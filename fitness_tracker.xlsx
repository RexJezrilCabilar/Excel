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https://d.docs.live.net/ba9b9164976f6ad0/Documents/GitHub/Excel/"/>
    </mc:Choice>
  </mc:AlternateContent>
  <xr:revisionPtr revIDLastSave="2" documentId="8_{5B8D4BE9-B130-4FF5-A87F-2D229FE49A67}" xr6:coauthVersionLast="47" xr6:coauthVersionMax="47" xr10:uidLastSave="{E7374E35-A136-460B-BB99-FD987B2D5F2E}"/>
  <bookViews>
    <workbookView xWindow="-108" yWindow="-108" windowWidth="23256" windowHeight="12456" activeTab="3" xr2:uid="{157FDF5F-718B-4A31-8206-1EF81E88C18A}"/>
  </bookViews>
  <sheets>
    <sheet name="Pivot Table" sheetId="3" r:id="rId1"/>
    <sheet name="Original dataset" sheetId="1" r:id="rId2"/>
    <sheet name="Cleaned data" sheetId="2" r:id="rId3"/>
    <sheet name="Dashboard" sheetId="4" r:id="rId4"/>
  </sheets>
  <definedNames>
    <definedName name="Slicer_Gender">#N/A</definedName>
  </definedNames>
  <calcPr calcId="0"/>
  <pivotCaches>
    <pivotCache cacheId="122" r:id="rId5"/>
    <pivotCache cacheId="121"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P2" i="1" l="1" a="1"/>
  <c r="P2" i="1" s="1"/>
  <c r="P3" i="1" a="1"/>
  <c r="P3" i="1" s="1"/>
  <c r="P4" i="1" a="1"/>
  <c r="P4" i="1" s="1"/>
  <c r="P5" i="1" a="1"/>
  <c r="P5" i="1"/>
  <c r="P6" i="1" a="1"/>
  <c r="P6" i="1" s="1"/>
  <c r="P7" i="1" a="1"/>
  <c r="P7" i="1" s="1"/>
  <c r="P8" i="1" a="1"/>
  <c r="P8" i="1" s="1"/>
  <c r="P9" i="1" a="1"/>
  <c r="P9" i="1"/>
  <c r="P10" i="1" a="1"/>
  <c r="P10" i="1" s="1"/>
  <c r="P11" i="1" a="1"/>
  <c r="P11" i="1" s="1"/>
  <c r="P12" i="1" a="1"/>
  <c r="P12" i="1" s="1"/>
  <c r="P13" i="1" a="1"/>
  <c r="P13" i="1"/>
  <c r="P14" i="1" a="1"/>
  <c r="P14" i="1" s="1"/>
  <c r="P15" i="1" a="1"/>
  <c r="P15" i="1" s="1"/>
  <c r="P16" i="1" a="1"/>
  <c r="P16" i="1" s="1"/>
  <c r="P17" i="1" a="1"/>
  <c r="P17" i="1"/>
  <c r="P18" i="1" a="1"/>
  <c r="P18" i="1" s="1"/>
  <c r="P19" i="1" a="1"/>
  <c r="P19" i="1" s="1"/>
  <c r="P20" i="1" a="1"/>
  <c r="P20" i="1" s="1"/>
  <c r="P21" i="1" a="1"/>
  <c r="P21" i="1"/>
  <c r="P22" i="1" a="1"/>
  <c r="P22" i="1" s="1"/>
  <c r="P23" i="1" a="1"/>
  <c r="P23" i="1" s="1"/>
  <c r="P24" i="1" a="1"/>
  <c r="P24" i="1" s="1"/>
  <c r="P25" i="1" a="1"/>
  <c r="P25" i="1"/>
  <c r="P26" i="1" a="1"/>
  <c r="P26" i="1" s="1"/>
  <c r="P27" i="1" a="1"/>
  <c r="P27" i="1" s="1"/>
  <c r="P28" i="1" a="1"/>
  <c r="P28" i="1" s="1"/>
  <c r="P29" i="1" a="1"/>
  <c r="P29" i="1" s="1"/>
  <c r="P30" i="1" a="1"/>
  <c r="P30" i="1" s="1"/>
  <c r="P31" i="1" a="1"/>
  <c r="P31" i="1" s="1"/>
  <c r="P32" i="1" a="1"/>
  <c r="P32" i="1" s="1"/>
  <c r="P33" i="1" a="1"/>
  <c r="P33" i="1"/>
  <c r="P34" i="1" a="1"/>
  <c r="P34" i="1" s="1"/>
  <c r="P35" i="1" a="1"/>
  <c r="P35" i="1" s="1"/>
  <c r="P36" i="1" a="1"/>
  <c r="P36" i="1" s="1"/>
  <c r="P37" i="1" a="1"/>
  <c r="P37" i="1" s="1"/>
  <c r="P38" i="1" a="1"/>
  <c r="P38" i="1" s="1"/>
  <c r="P39" i="1" a="1"/>
  <c r="P39" i="1" s="1"/>
  <c r="P40" i="1" a="1"/>
  <c r="P40" i="1" s="1"/>
  <c r="P41" i="1" a="1"/>
  <c r="P41" i="1"/>
  <c r="P42" i="1" a="1"/>
  <c r="P42" i="1" s="1"/>
  <c r="P43" i="1" a="1"/>
  <c r="P43" i="1" s="1"/>
  <c r="P44" i="1" a="1"/>
  <c r="P44" i="1" s="1"/>
  <c r="P45" i="1" a="1"/>
  <c r="P45" i="1"/>
  <c r="P46" i="1" a="1"/>
  <c r="P46" i="1" s="1"/>
  <c r="P47" i="1" a="1"/>
  <c r="P47" i="1" s="1"/>
  <c r="P48" i="1" a="1"/>
  <c r="P48" i="1" s="1"/>
  <c r="P49" i="1" a="1"/>
  <c r="P49" i="1" s="1"/>
  <c r="P50" i="1" a="1"/>
  <c r="P50" i="1" s="1"/>
  <c r="P51" i="1" a="1"/>
  <c r="P51" i="1" s="1"/>
  <c r="P52" i="1" a="1"/>
  <c r="P52" i="1" s="1"/>
  <c r="P53" i="1" a="1"/>
  <c r="P53" i="1" s="1"/>
  <c r="P54" i="1" a="1"/>
  <c r="P54" i="1" s="1"/>
  <c r="P55" i="1" a="1"/>
  <c r="P55" i="1" s="1"/>
  <c r="P56" i="1" a="1"/>
  <c r="P56" i="1" s="1"/>
  <c r="P57" i="1" a="1"/>
  <c r="P57" i="1"/>
  <c r="P58" i="1" a="1"/>
  <c r="P58" i="1" s="1"/>
  <c r="P59" i="1" a="1"/>
  <c r="P59" i="1" s="1"/>
  <c r="P60" i="1" a="1"/>
  <c r="P60" i="1" s="1"/>
  <c r="P61" i="1" a="1"/>
  <c r="P61" i="1" s="1"/>
  <c r="P62" i="1" a="1"/>
  <c r="P62" i="1" s="1"/>
  <c r="P63" i="1" a="1"/>
  <c r="P63" i="1" s="1"/>
  <c r="P64" i="1" a="1"/>
  <c r="P64" i="1" s="1"/>
  <c r="P65" i="1" a="1"/>
  <c r="P65" i="1"/>
  <c r="P66" i="1" a="1"/>
  <c r="P66" i="1" s="1"/>
  <c r="P67" i="1" a="1"/>
  <c r="P67" i="1" s="1"/>
  <c r="P68" i="1" a="1"/>
  <c r="P68" i="1" s="1"/>
  <c r="P69" i="1" a="1"/>
  <c r="P69" i="1" s="1"/>
  <c r="P70" i="1" a="1"/>
  <c r="P70" i="1" s="1"/>
  <c r="P71" i="1" a="1"/>
  <c r="P71" i="1" s="1"/>
  <c r="P72" i="1" a="1"/>
  <c r="P72" i="1" s="1"/>
  <c r="P73" i="1" a="1"/>
  <c r="P73" i="1" s="1"/>
  <c r="P74" i="1" a="1"/>
  <c r="P74" i="1" s="1"/>
  <c r="P75" i="1" a="1"/>
  <c r="P75" i="1" s="1"/>
  <c r="P76" i="1" a="1"/>
  <c r="P76" i="1" s="1"/>
  <c r="P77" i="1" a="1"/>
  <c r="P77" i="1" s="1"/>
  <c r="P78" i="1" a="1"/>
  <c r="P78" i="1" s="1"/>
  <c r="P79" i="1" a="1"/>
  <c r="P79" i="1" s="1"/>
  <c r="P80" i="1" a="1"/>
  <c r="P80" i="1" s="1"/>
  <c r="P81" i="1" a="1"/>
  <c r="P81" i="1" s="1"/>
  <c r="P82" i="1" a="1"/>
  <c r="P82" i="1" s="1"/>
  <c r="P83" i="1" a="1"/>
  <c r="P83" i="1" s="1"/>
  <c r="P84" i="1" a="1"/>
  <c r="P84" i="1" s="1"/>
  <c r="P85" i="1" a="1"/>
  <c r="P85" i="1" s="1"/>
  <c r="P86" i="1" a="1"/>
  <c r="P86" i="1" s="1"/>
  <c r="P87" i="1" a="1"/>
  <c r="P87" i="1" s="1"/>
  <c r="P88" i="1" a="1"/>
  <c r="P88" i="1" s="1"/>
  <c r="P89" i="1" a="1"/>
  <c r="P89" i="1"/>
  <c r="P90" i="1" a="1"/>
  <c r="P90" i="1" s="1"/>
  <c r="P91" i="1" a="1"/>
  <c r="P91" i="1" s="1"/>
  <c r="P92" i="1" a="1"/>
  <c r="P92" i="1" s="1"/>
  <c r="P93" i="1" a="1"/>
  <c r="P93" i="1" s="1"/>
  <c r="P94" i="1" a="1"/>
  <c r="P94" i="1" s="1"/>
  <c r="P95" i="1" a="1"/>
  <c r="P95" i="1" s="1"/>
  <c r="P96" i="1" a="1"/>
  <c r="P96" i="1" s="1"/>
  <c r="P97" i="1" a="1"/>
  <c r="P97" i="1" s="1"/>
  <c r="P98" i="1" a="1"/>
  <c r="P98" i="1" s="1"/>
  <c r="P99" i="1" a="1"/>
  <c r="P99" i="1" s="1"/>
  <c r="P100" i="1" a="1"/>
  <c r="P100" i="1" s="1"/>
  <c r="P101" i="1" a="1"/>
  <c r="P101" i="1" s="1"/>
  <c r="P102" i="1" a="1"/>
  <c r="P102" i="1" s="1"/>
  <c r="P103" i="1" a="1"/>
  <c r="P103" i="1" s="1"/>
  <c r="P104" i="1" a="1"/>
  <c r="P104" i="1" s="1"/>
  <c r="P105" i="1" a="1"/>
  <c r="P105" i="1" s="1"/>
  <c r="P106" i="1" a="1"/>
  <c r="P106" i="1" s="1"/>
  <c r="P107" i="1" a="1"/>
  <c r="P107" i="1" s="1"/>
  <c r="P108" i="1" a="1"/>
  <c r="P108" i="1" s="1"/>
  <c r="P109" i="1" a="1"/>
  <c r="P109" i="1"/>
  <c r="P110" i="1" a="1"/>
  <c r="P110" i="1" s="1"/>
  <c r="P111" i="1" a="1"/>
  <c r="P111" i="1" s="1"/>
  <c r="P112" i="1" a="1"/>
  <c r="P112" i="1" s="1"/>
  <c r="P113" i="1" a="1"/>
  <c r="P113" i="1" s="1"/>
  <c r="P114" i="1" a="1"/>
  <c r="P114" i="1" s="1"/>
  <c r="P115" i="1" a="1"/>
  <c r="P115" i="1" s="1"/>
  <c r="P116" i="1" a="1"/>
  <c r="P116" i="1" s="1"/>
  <c r="P117" i="1" a="1"/>
  <c r="P117" i="1" s="1"/>
  <c r="P118" i="1" a="1"/>
  <c r="P118" i="1" s="1"/>
  <c r="P119" i="1" a="1"/>
  <c r="P119" i="1" s="1"/>
  <c r="P120" i="1" a="1"/>
  <c r="P120" i="1" s="1"/>
  <c r="P121" i="1" a="1"/>
  <c r="P121" i="1"/>
  <c r="P122" i="1" a="1"/>
  <c r="P122" i="1" s="1"/>
  <c r="P123" i="1" a="1"/>
  <c r="P123" i="1" s="1"/>
  <c r="P124" i="1" a="1"/>
  <c r="P124" i="1" s="1"/>
  <c r="P125" i="1" a="1"/>
  <c r="P125" i="1" s="1"/>
  <c r="P126" i="1" a="1"/>
  <c r="P126" i="1" s="1"/>
  <c r="P127" i="1" a="1"/>
  <c r="P127" i="1" s="1"/>
  <c r="P128" i="1" a="1"/>
  <c r="P128" i="1" s="1"/>
  <c r="P129" i="1" a="1"/>
  <c r="P129" i="1" s="1"/>
  <c r="P130" i="1" a="1"/>
  <c r="P130" i="1" s="1"/>
  <c r="P131" i="1" a="1"/>
  <c r="P131" i="1" s="1"/>
  <c r="P132" i="1" a="1"/>
  <c r="P132" i="1" s="1"/>
  <c r="P133" i="1" a="1"/>
  <c r="P133" i="1" s="1"/>
  <c r="P134" i="1" a="1"/>
  <c r="P134" i="1" s="1"/>
  <c r="P135" i="1" a="1"/>
  <c r="P135" i="1" s="1"/>
  <c r="P136" i="1" a="1"/>
  <c r="P136" i="1" s="1"/>
  <c r="P137" i="1" a="1"/>
  <c r="P137" i="1" s="1"/>
  <c r="P138" i="1" a="1"/>
  <c r="P138" i="1" s="1"/>
  <c r="P139" i="1" a="1"/>
  <c r="P139" i="1" s="1"/>
  <c r="P140" i="1" a="1"/>
  <c r="P140" i="1" s="1"/>
  <c r="P141" i="1" a="1"/>
  <c r="P141" i="1" s="1"/>
  <c r="P142" i="1" a="1"/>
  <c r="P142" i="1" s="1"/>
  <c r="P143" i="1" a="1"/>
  <c r="P143" i="1" s="1"/>
  <c r="P144" i="1" a="1"/>
  <c r="P144" i="1" s="1"/>
  <c r="P145" i="1" a="1"/>
  <c r="P145" i="1"/>
  <c r="P146" i="1" a="1"/>
  <c r="P146" i="1"/>
  <c r="P147" i="1" a="1"/>
  <c r="P147" i="1"/>
  <c r="P148" i="1" a="1"/>
  <c r="P148" i="1" s="1"/>
  <c r="P149" i="1" a="1"/>
  <c r="P149" i="1" s="1"/>
  <c r="P150" i="1" a="1"/>
  <c r="P150" i="1" s="1"/>
  <c r="P151" i="1" a="1"/>
  <c r="P151" i="1" s="1"/>
  <c r="P152" i="1" a="1"/>
  <c r="P152" i="1" s="1"/>
  <c r="P153" i="1" a="1"/>
  <c r="P153" i="1"/>
  <c r="P154" i="1" a="1"/>
  <c r="P154" i="1"/>
  <c r="P155" i="1" a="1"/>
  <c r="P155" i="1" s="1"/>
  <c r="P156" i="1" a="1"/>
  <c r="P156" i="1" s="1"/>
  <c r="P157" i="1" a="1"/>
  <c r="P157" i="1" s="1"/>
  <c r="P158" i="1" a="1"/>
  <c r="P158" i="1" s="1"/>
  <c r="P159" i="1" a="1"/>
  <c r="P159" i="1" s="1"/>
  <c r="P160" i="1" a="1"/>
  <c r="P160" i="1" s="1"/>
  <c r="P161" i="1" a="1"/>
  <c r="P161" i="1"/>
  <c r="P162" i="1" a="1"/>
  <c r="P162" i="1" s="1"/>
  <c r="P163" i="1" a="1"/>
  <c r="P163" i="1"/>
  <c r="P164" i="1" a="1"/>
  <c r="P164" i="1" s="1"/>
  <c r="P165" i="1" a="1"/>
  <c r="P165" i="1" s="1"/>
  <c r="P166" i="1" a="1"/>
  <c r="P166" i="1" s="1"/>
  <c r="P167" i="1" a="1"/>
  <c r="P167" i="1" s="1"/>
  <c r="P168" i="1" a="1"/>
  <c r="P168" i="1" s="1"/>
  <c r="P169" i="1" a="1"/>
  <c r="P169" i="1"/>
  <c r="P170" i="1" a="1"/>
  <c r="P170" i="1"/>
  <c r="P171" i="1" a="1"/>
  <c r="P171" i="1" s="1"/>
  <c r="P172" i="1" a="1"/>
  <c r="P172" i="1" s="1"/>
  <c r="P173" i="1" a="1"/>
  <c r="P173" i="1" s="1"/>
  <c r="P174" i="1" a="1"/>
  <c r="P174" i="1" s="1"/>
  <c r="P175" i="1" a="1"/>
  <c r="P175" i="1" s="1"/>
  <c r="P176" i="1" a="1"/>
  <c r="P176" i="1" s="1"/>
  <c r="P177" i="1" a="1"/>
  <c r="P177" i="1"/>
  <c r="P178" i="1" a="1"/>
  <c r="P178" i="1" s="1"/>
  <c r="P179" i="1" a="1"/>
  <c r="P179" i="1" s="1"/>
  <c r="P180" i="1" a="1"/>
  <c r="P180" i="1" s="1"/>
  <c r="P181" i="1" a="1"/>
  <c r="P181" i="1" s="1"/>
  <c r="P182" i="1" a="1"/>
  <c r="P182" i="1"/>
  <c r="P183" i="1" a="1"/>
  <c r="P183" i="1" s="1"/>
  <c r="P184" i="1" a="1"/>
  <c r="P184" i="1" s="1"/>
  <c r="P185" i="1" a="1"/>
  <c r="P185" i="1" s="1"/>
  <c r="P186" i="1" a="1"/>
  <c r="P186" i="1"/>
  <c r="P187" i="1" a="1"/>
  <c r="P187" i="1" s="1"/>
  <c r="P188" i="1" a="1"/>
  <c r="P188" i="1" s="1"/>
  <c r="P189" i="1" a="1"/>
  <c r="P189" i="1" s="1"/>
  <c r="P190" i="1" a="1"/>
  <c r="P190" i="1" s="1"/>
  <c r="P191" i="1" a="1"/>
  <c r="P191" i="1" s="1"/>
  <c r="P192" i="1" a="1"/>
  <c r="P192" i="1" s="1"/>
  <c r="P193" i="1" a="1"/>
  <c r="P193" i="1"/>
  <c r="P194" i="1" a="1"/>
  <c r="P194" i="1" s="1"/>
  <c r="P195" i="1" a="1"/>
  <c r="P195" i="1"/>
  <c r="P196" i="1" a="1"/>
  <c r="P196" i="1" s="1"/>
  <c r="P197" i="1" a="1"/>
  <c r="P197" i="1" s="1"/>
  <c r="P198" i="1" a="1"/>
  <c r="P198" i="1" s="1"/>
  <c r="P199" i="1" a="1"/>
  <c r="P199" i="1" s="1"/>
  <c r="P200" i="1" a="1"/>
  <c r="P200" i="1" s="1"/>
  <c r="P201" i="1" a="1"/>
  <c r="P201" i="1"/>
  <c r="P202" i="1" a="1"/>
  <c r="P202" i="1"/>
  <c r="P203" i="1" a="1"/>
  <c r="P203" i="1"/>
  <c r="P204" i="1" a="1"/>
  <c r="P204" i="1" s="1"/>
  <c r="P205" i="1" a="1"/>
  <c r="P205" i="1"/>
  <c r="P206" i="1" a="1"/>
  <c r="P206" i="1" s="1"/>
  <c r="P207" i="1" a="1"/>
  <c r="P207" i="1" s="1"/>
  <c r="P208" i="1" a="1"/>
  <c r="P208" i="1" s="1"/>
  <c r="P209" i="1" a="1"/>
  <c r="P209" i="1"/>
  <c r="P210" i="1" a="1"/>
  <c r="P210" i="1" s="1"/>
  <c r="P211" i="1" a="1"/>
  <c r="P211" i="1" s="1"/>
  <c r="P212" i="1" a="1"/>
  <c r="P212" i="1" s="1"/>
  <c r="P213" i="1" a="1"/>
  <c r="P213" i="1" s="1"/>
  <c r="P214" i="1" a="1"/>
  <c r="P214" i="1" s="1"/>
  <c r="P215" i="1" a="1"/>
  <c r="P215" i="1" s="1"/>
  <c r="P216" i="1" a="1"/>
  <c r="P216" i="1" s="1"/>
  <c r="P217" i="1" a="1"/>
  <c r="P217" i="1" s="1"/>
  <c r="P218" i="1" a="1"/>
  <c r="P218" i="1"/>
  <c r="P219" i="1" a="1"/>
  <c r="P219" i="1" s="1"/>
  <c r="P220" i="1" a="1"/>
  <c r="P220" i="1" s="1"/>
  <c r="P221" i="1" a="1"/>
  <c r="P221" i="1" s="1"/>
  <c r="P222" i="1" a="1"/>
  <c r="P222" i="1" s="1"/>
  <c r="P223" i="1" a="1"/>
  <c r="P223" i="1"/>
  <c r="P224" i="1" a="1"/>
  <c r="P224" i="1" s="1"/>
  <c r="P225" i="1" a="1"/>
  <c r="P225" i="1" s="1"/>
  <c r="P226" i="1" a="1"/>
  <c r="P226" i="1" s="1"/>
  <c r="P227" i="1" a="1"/>
  <c r="P227" i="1"/>
  <c r="P228" i="1" a="1"/>
  <c r="P228" i="1" s="1"/>
  <c r="P229" i="1" a="1"/>
  <c r="P229" i="1" s="1"/>
  <c r="P230" i="1" a="1"/>
  <c r="P230" i="1" s="1"/>
  <c r="P231" i="1" a="1"/>
  <c r="P231" i="1" s="1"/>
  <c r="P232" i="1" a="1"/>
  <c r="P232" i="1" s="1"/>
  <c r="P233" i="1" a="1"/>
  <c r="P233" i="1" s="1"/>
  <c r="P234" i="1" a="1"/>
  <c r="P234" i="1"/>
  <c r="P235" i="1" a="1"/>
  <c r="P235" i="1" s="1"/>
  <c r="P236" i="1" a="1"/>
  <c r="P236" i="1" s="1"/>
  <c r="P237" i="1" a="1"/>
  <c r="P237" i="1" s="1"/>
  <c r="P238" i="1" a="1"/>
  <c r="P238" i="1" s="1"/>
  <c r="P239" i="1" a="1"/>
  <c r="P239" i="1" s="1"/>
  <c r="P240" i="1" a="1"/>
  <c r="P240" i="1" s="1"/>
  <c r="P241" i="1" a="1"/>
  <c r="P241" i="1"/>
  <c r="P242" i="1" a="1"/>
  <c r="P242" i="1" s="1"/>
  <c r="P243" i="1" a="1"/>
  <c r="P243" i="1"/>
  <c r="P244" i="1" a="1"/>
  <c r="P244" i="1" s="1"/>
  <c r="P245" i="1" a="1"/>
  <c r="P245" i="1"/>
  <c r="P246" i="1" a="1"/>
  <c r="P246" i="1"/>
  <c r="P247" i="1" a="1"/>
  <c r="P247" i="1" s="1"/>
  <c r="P248" i="1" a="1"/>
  <c r="P248" i="1" s="1"/>
  <c r="P249" i="1" a="1"/>
  <c r="P249" i="1" s="1"/>
  <c r="P250" i="1" a="1"/>
  <c r="P250" i="1"/>
  <c r="P251" i="1" a="1"/>
  <c r="P251" i="1" s="1"/>
  <c r="P252" i="1" a="1"/>
  <c r="P252" i="1" s="1"/>
  <c r="P253" i="1" a="1"/>
  <c r="P253" i="1" s="1"/>
  <c r="P254" i="1" a="1"/>
  <c r="P254" i="1" s="1"/>
  <c r="P255" i="1" a="1"/>
  <c r="P255" i="1" s="1"/>
  <c r="P256" i="1" a="1"/>
  <c r="P256" i="1" s="1"/>
  <c r="P257" i="1" a="1"/>
  <c r="P257" i="1" s="1"/>
  <c r="P258" i="1" a="1"/>
  <c r="P258" i="1" s="1"/>
  <c r="P259" i="1" a="1"/>
  <c r="P259" i="1"/>
  <c r="P260" i="1" a="1"/>
  <c r="P260" i="1" s="1"/>
  <c r="P261" i="1" a="1"/>
  <c r="P261" i="1" s="1"/>
  <c r="P262" i="1" a="1"/>
  <c r="P262" i="1" s="1"/>
  <c r="P263" i="1" a="1"/>
  <c r="P263" i="1" s="1"/>
  <c r="P264" i="1" a="1"/>
  <c r="P264" i="1" s="1"/>
  <c r="P265" i="1" a="1"/>
  <c r="P265" i="1"/>
  <c r="P266" i="1" a="1"/>
  <c r="P266" i="1" s="1"/>
  <c r="P267" i="1" a="1"/>
  <c r="P267" i="1" s="1"/>
  <c r="P268" i="1" a="1"/>
  <c r="P268" i="1" s="1"/>
  <c r="P269" i="1" a="1"/>
  <c r="P269" i="1"/>
  <c r="P270" i="1" a="1"/>
  <c r="P270" i="1" s="1"/>
  <c r="P271" i="1" a="1"/>
  <c r="P271" i="1" s="1"/>
  <c r="P272" i="1" a="1"/>
  <c r="P272" i="1" s="1"/>
  <c r="P273" i="1" a="1"/>
  <c r="P273" i="1"/>
  <c r="P274" i="1" a="1"/>
  <c r="P274" i="1" s="1"/>
  <c r="P275" i="1" a="1"/>
  <c r="P275" i="1" s="1"/>
  <c r="P276" i="1" a="1"/>
  <c r="P276" i="1" s="1"/>
  <c r="P277" i="1" a="1"/>
  <c r="P277" i="1" s="1"/>
  <c r="P278" i="1" a="1"/>
  <c r="P278" i="1" s="1"/>
  <c r="P279" i="1" a="1"/>
  <c r="P279" i="1" s="1"/>
  <c r="P280" i="1" a="1"/>
  <c r="P280" i="1" s="1"/>
  <c r="P281" i="1" a="1"/>
  <c r="P281" i="1" s="1"/>
  <c r="P282" i="1" a="1"/>
  <c r="P282" i="1"/>
  <c r="P283" i="1" a="1"/>
  <c r="P283" i="1"/>
  <c r="P284" i="1" a="1"/>
  <c r="P284" i="1" s="1"/>
  <c r="P285" i="1" a="1"/>
  <c r="P285" i="1" s="1"/>
  <c r="P286" i="1" a="1"/>
  <c r="P286" i="1" s="1"/>
  <c r="P287" i="1" a="1"/>
  <c r="P287" i="1"/>
  <c r="P288" i="1" a="1"/>
  <c r="P288" i="1" s="1"/>
  <c r="P289" i="1" a="1"/>
  <c r="P289" i="1" s="1"/>
  <c r="P290" i="1" a="1"/>
  <c r="P290" i="1" s="1"/>
  <c r="P291" i="1" a="1"/>
  <c r="P291" i="1"/>
  <c r="P292" i="1" a="1"/>
  <c r="P292" i="1" s="1"/>
  <c r="P293" i="1" a="1"/>
  <c r="P293" i="1" s="1"/>
  <c r="P294" i="1" a="1"/>
  <c r="P294" i="1" s="1"/>
  <c r="P295" i="1" a="1"/>
  <c r="P295" i="1" s="1"/>
  <c r="P296" i="1" a="1"/>
  <c r="P296" i="1" s="1"/>
  <c r="P297" i="1" a="1"/>
  <c r="P297" i="1" s="1"/>
  <c r="P298" i="1" a="1"/>
  <c r="P298" i="1" s="1"/>
  <c r="P299" i="1" a="1"/>
  <c r="P299" i="1" s="1"/>
  <c r="P300" i="1" a="1"/>
  <c r="P300" i="1" s="1"/>
  <c r="P301" i="1" a="1"/>
  <c r="P301" i="1"/>
  <c r="P302" i="1" a="1"/>
  <c r="P302" i="1" s="1"/>
  <c r="P303" i="1" a="1"/>
  <c r="P303" i="1" s="1"/>
  <c r="P304" i="1" a="1"/>
  <c r="P304" i="1" s="1"/>
  <c r="P305" i="1" a="1"/>
  <c r="P305" i="1"/>
  <c r="P306" i="1" a="1"/>
  <c r="P306" i="1"/>
  <c r="P307" i="1" a="1"/>
  <c r="P307" i="1" s="1"/>
  <c r="P308" i="1" a="1"/>
  <c r="P308" i="1" s="1"/>
  <c r="P309" i="1" a="1"/>
  <c r="P309" i="1" s="1"/>
  <c r="P310" i="1" a="1"/>
  <c r="P310" i="1" s="1"/>
  <c r="P311" i="1" a="1"/>
  <c r="P311" i="1" s="1"/>
  <c r="P312" i="1" a="1"/>
  <c r="P312" i="1" s="1"/>
  <c r="P313" i="1" a="1"/>
  <c r="P313" i="1" s="1"/>
  <c r="P314" i="1" a="1"/>
  <c r="P314" i="1"/>
  <c r="P315" i="1" a="1"/>
  <c r="P315" i="1"/>
  <c r="P316" i="1" a="1"/>
  <c r="P316" i="1" s="1"/>
  <c r="P317" i="1" a="1"/>
  <c r="P317" i="1" s="1"/>
  <c r="P318" i="1" a="1"/>
  <c r="P318" i="1" s="1"/>
  <c r="P319" i="1" a="1"/>
  <c r="P319" i="1"/>
  <c r="P320" i="1" a="1"/>
  <c r="P320" i="1" s="1"/>
  <c r="P321" i="1" a="1"/>
  <c r="P321" i="1"/>
  <c r="P322" i="1" a="1"/>
  <c r="P322" i="1" s="1"/>
  <c r="P323" i="1" a="1"/>
  <c r="P323" i="1"/>
  <c r="P324" i="1" a="1"/>
  <c r="P324" i="1" s="1"/>
  <c r="P325" i="1" a="1"/>
  <c r="P325" i="1" s="1"/>
  <c r="P326" i="1" a="1"/>
  <c r="P326" i="1" s="1"/>
  <c r="P327" i="1" a="1"/>
  <c r="P327" i="1" s="1"/>
  <c r="P328" i="1" a="1"/>
  <c r="P328" i="1" s="1"/>
  <c r="P329" i="1" a="1"/>
  <c r="P329" i="1" s="1"/>
  <c r="P330" i="1" a="1"/>
  <c r="P330" i="1"/>
  <c r="P331" i="1" a="1"/>
  <c r="P331" i="1" s="1"/>
  <c r="P332" i="1" a="1"/>
  <c r="P332" i="1" s="1"/>
  <c r="P333" i="1" a="1"/>
  <c r="P333" i="1"/>
  <c r="P334" i="1" a="1"/>
  <c r="P334" i="1" s="1"/>
  <c r="P335" i="1" a="1"/>
  <c r="P335" i="1" s="1"/>
  <c r="P336" i="1" a="1"/>
  <c r="P336" i="1" s="1"/>
  <c r="P337" i="1" a="1"/>
  <c r="P337" i="1"/>
  <c r="P338" i="1" a="1"/>
  <c r="P338" i="1"/>
  <c r="P339" i="1" a="1"/>
  <c r="P339" i="1" s="1"/>
  <c r="P340" i="1" a="1"/>
  <c r="P340" i="1" s="1"/>
  <c r="P341" i="1" a="1"/>
  <c r="P341" i="1" s="1"/>
  <c r="P342" i="1" a="1"/>
  <c r="P342" i="1"/>
  <c r="P343" i="1" a="1"/>
  <c r="P343" i="1" s="1"/>
  <c r="P344" i="1" a="1"/>
  <c r="P344" i="1" s="1"/>
  <c r="P345" i="1" a="1"/>
  <c r="P345" i="1" s="1"/>
  <c r="P346" i="1" a="1"/>
  <c r="P346" i="1" s="1"/>
  <c r="P347" i="1" a="1"/>
  <c r="P347" i="1" s="1"/>
  <c r="P348" i="1" a="1"/>
  <c r="P348" i="1" s="1"/>
  <c r="P349" i="1" a="1"/>
  <c r="P349" i="1" s="1"/>
  <c r="P350" i="1" a="1"/>
  <c r="P350" i="1" s="1"/>
  <c r="P351" i="1" a="1"/>
  <c r="P351" i="1" s="1"/>
  <c r="P352" i="1" a="1"/>
  <c r="P352" i="1" s="1"/>
  <c r="P353" i="1" a="1"/>
  <c r="P353" i="1" s="1"/>
  <c r="P354" i="1" a="1"/>
  <c r="P354" i="1" s="1"/>
  <c r="P355" i="1" a="1"/>
  <c r="P355" i="1" s="1"/>
  <c r="P356" i="1" a="1"/>
  <c r="P356" i="1" s="1"/>
  <c r="P357" i="1" a="1"/>
  <c r="P357" i="1" s="1"/>
  <c r="P358" i="1" a="1"/>
  <c r="P358" i="1" s="1"/>
  <c r="P359" i="1" a="1"/>
  <c r="P359" i="1" s="1"/>
  <c r="P360" i="1" a="1"/>
  <c r="P360" i="1" s="1"/>
  <c r="P361" i="1" a="1"/>
  <c r="P361" i="1" s="1"/>
  <c r="P362" i="1" a="1"/>
  <c r="P362" i="1"/>
  <c r="P363" i="1" a="1"/>
  <c r="P363" i="1" s="1"/>
  <c r="P364" i="1" a="1"/>
  <c r="P364" i="1" s="1"/>
  <c r="P365" i="1" a="1"/>
  <c r="P365" i="1" s="1"/>
  <c r="P366" i="1" a="1"/>
  <c r="P366" i="1" s="1"/>
  <c r="P367" i="1" a="1"/>
  <c r="P367" i="1" s="1"/>
  <c r="P368" i="1" a="1"/>
  <c r="P368" i="1" s="1"/>
  <c r="P369" i="1" a="1"/>
  <c r="P369" i="1" s="1"/>
  <c r="P370" i="1" a="1"/>
  <c r="P370" i="1"/>
  <c r="P371" i="1" a="1"/>
  <c r="P371" i="1" s="1"/>
  <c r="P372" i="1" a="1"/>
  <c r="P372" i="1" s="1"/>
  <c r="P373" i="1" a="1"/>
  <c r="P373" i="1" s="1"/>
  <c r="P374" i="1" a="1"/>
  <c r="P374" i="1"/>
  <c r="P375" i="1" a="1"/>
  <c r="P375" i="1" s="1"/>
  <c r="P376" i="1" a="1"/>
  <c r="P376" i="1" s="1"/>
  <c r="P377" i="1" a="1"/>
  <c r="P377" i="1" s="1"/>
  <c r="P378" i="1" a="1"/>
  <c r="P378" i="1" s="1"/>
  <c r="P379" i="1" a="1"/>
  <c r="P379" i="1" s="1"/>
  <c r="P380" i="1" a="1"/>
  <c r="P380" i="1" s="1"/>
  <c r="P381" i="1" a="1"/>
  <c r="P381" i="1" s="1"/>
  <c r="P382" i="1" a="1"/>
  <c r="P382" i="1" s="1"/>
  <c r="P383" i="1" a="1"/>
  <c r="P383" i="1" s="1"/>
  <c r="P384" i="1" a="1"/>
  <c r="P384" i="1" s="1"/>
  <c r="P385" i="1" a="1"/>
  <c r="P385" i="1" s="1"/>
  <c r="P386" i="1" a="1"/>
  <c r="P386" i="1" s="1"/>
  <c r="P387" i="1" a="1"/>
  <c r="P387" i="1" s="1"/>
  <c r="P388" i="1" a="1"/>
  <c r="P388" i="1" s="1"/>
  <c r="P389" i="1" a="1"/>
  <c r="P389" i="1" s="1"/>
  <c r="P390" i="1" a="1"/>
  <c r="P390" i="1"/>
  <c r="P391" i="1" a="1"/>
  <c r="P391" i="1" s="1"/>
  <c r="P392" i="1" a="1"/>
  <c r="P392" i="1" s="1"/>
  <c r="P393" i="1" a="1"/>
  <c r="P393" i="1" s="1"/>
  <c r="P394" i="1" a="1"/>
  <c r="P394" i="1"/>
  <c r="P395" i="1" a="1"/>
  <c r="P395" i="1" s="1"/>
  <c r="P396" i="1" a="1"/>
  <c r="P396" i="1" s="1"/>
  <c r="P397" i="1" a="1"/>
  <c r="P397" i="1" s="1"/>
  <c r="P398" i="1" a="1"/>
  <c r="P398" i="1" s="1"/>
  <c r="P399" i="1" a="1"/>
  <c r="P399" i="1" s="1"/>
  <c r="P400" i="1" a="1"/>
  <c r="P400" i="1" s="1"/>
  <c r="P401" i="1" a="1"/>
  <c r="P401" i="1" s="1"/>
  <c r="P402" i="1" a="1"/>
  <c r="P402" i="1"/>
  <c r="P403" i="1" a="1"/>
  <c r="P403" i="1" s="1"/>
  <c r="P404" i="1" a="1"/>
  <c r="P404" i="1" s="1"/>
  <c r="P405" i="1" a="1"/>
  <c r="P405" i="1" s="1"/>
  <c r="P406" i="1" a="1"/>
  <c r="P406" i="1"/>
  <c r="P407" i="1" a="1"/>
  <c r="P407" i="1" s="1"/>
  <c r="P408" i="1" a="1"/>
  <c r="P408" i="1" s="1"/>
  <c r="P409" i="1" a="1"/>
  <c r="P409" i="1" s="1"/>
  <c r="P410" i="1" a="1"/>
  <c r="P410" i="1" s="1"/>
  <c r="P411" i="1" a="1"/>
  <c r="P411" i="1" s="1"/>
  <c r="P412" i="1" a="1"/>
  <c r="P412" i="1" s="1"/>
  <c r="P413" i="1" a="1"/>
  <c r="P413" i="1" s="1"/>
  <c r="P414" i="1" a="1"/>
  <c r="P414" i="1" s="1"/>
  <c r="P415" i="1" a="1"/>
  <c r="P415" i="1" s="1"/>
  <c r="P416" i="1" a="1"/>
  <c r="P416" i="1" s="1"/>
  <c r="P417" i="1" a="1"/>
  <c r="P417" i="1" s="1"/>
  <c r="P418" i="1" a="1"/>
  <c r="P418" i="1" s="1"/>
  <c r="P419" i="1" a="1"/>
  <c r="P419" i="1" s="1"/>
  <c r="P420" i="1" a="1"/>
  <c r="P420" i="1" s="1"/>
  <c r="P421" i="1" a="1"/>
  <c r="P421" i="1" s="1"/>
  <c r="P422" i="1" a="1"/>
  <c r="P422" i="1" s="1"/>
  <c r="P423" i="1" a="1"/>
  <c r="P423" i="1" s="1"/>
  <c r="P424" i="1" a="1"/>
  <c r="P424" i="1" s="1"/>
  <c r="P425" i="1" a="1"/>
  <c r="P425" i="1" s="1"/>
  <c r="P426" i="1" a="1"/>
  <c r="P426" i="1"/>
  <c r="P427" i="1" a="1"/>
  <c r="P427" i="1" s="1"/>
  <c r="P428" i="1" a="1"/>
  <c r="P428" i="1" s="1"/>
  <c r="P429" i="1" a="1"/>
  <c r="P429" i="1" s="1"/>
  <c r="P430" i="1" a="1"/>
  <c r="P430" i="1" s="1"/>
  <c r="P431" i="1" a="1"/>
  <c r="P431" i="1" s="1"/>
  <c r="P432" i="1" a="1"/>
  <c r="P432" i="1" s="1"/>
  <c r="P433" i="1" a="1"/>
  <c r="P433" i="1" s="1"/>
  <c r="P434" i="1" a="1"/>
  <c r="P434" i="1"/>
  <c r="P435" i="1" a="1"/>
  <c r="P435" i="1" s="1"/>
  <c r="P436" i="1" a="1"/>
  <c r="P436" i="1" s="1"/>
  <c r="P437" i="1" a="1"/>
  <c r="P437" i="1" s="1"/>
  <c r="P438" i="1" a="1"/>
  <c r="P438" i="1"/>
  <c r="P439" i="1" a="1"/>
  <c r="P439" i="1" s="1"/>
  <c r="P440" i="1" a="1"/>
  <c r="P440" i="1" s="1"/>
  <c r="P441" i="1" a="1"/>
  <c r="P441" i="1" s="1"/>
  <c r="P442" i="1" a="1"/>
  <c r="P442" i="1" s="1"/>
  <c r="P443" i="1" a="1"/>
  <c r="P443" i="1" s="1"/>
  <c r="P444" i="1" a="1"/>
  <c r="P444" i="1" s="1"/>
  <c r="P445" i="1" a="1"/>
  <c r="P445" i="1" s="1"/>
  <c r="P446" i="1" a="1"/>
  <c r="P446" i="1" s="1"/>
  <c r="P447" i="1" a="1"/>
  <c r="P447" i="1" s="1"/>
  <c r="P448" i="1" a="1"/>
  <c r="P448" i="1" s="1"/>
  <c r="P449" i="1" a="1"/>
  <c r="P449" i="1" s="1"/>
  <c r="P450" i="1" a="1"/>
  <c r="P450" i="1" s="1"/>
  <c r="P451" i="1" a="1"/>
  <c r="P451" i="1" s="1"/>
  <c r="P452" i="1" a="1"/>
  <c r="P452" i="1" s="1"/>
  <c r="P453" i="1" a="1"/>
  <c r="P453" i="1" s="1"/>
  <c r="P454" i="1" a="1"/>
  <c r="P454" i="1"/>
  <c r="P455" i="1" a="1"/>
  <c r="P455" i="1" s="1"/>
  <c r="P456" i="1" a="1"/>
  <c r="P456" i="1" s="1"/>
  <c r="P457" i="1" a="1"/>
  <c r="P457" i="1" s="1"/>
  <c r="P458" i="1" a="1"/>
  <c r="P458" i="1"/>
  <c r="P459" i="1" a="1"/>
  <c r="P459" i="1" s="1"/>
  <c r="P460" i="1" a="1"/>
  <c r="P460" i="1" s="1"/>
  <c r="P461" i="1" a="1"/>
  <c r="P461" i="1" s="1"/>
  <c r="P462" i="1" a="1"/>
  <c r="P462" i="1" s="1"/>
  <c r="P463" i="1" a="1"/>
  <c r="P463" i="1" s="1"/>
  <c r="P464" i="1" a="1"/>
  <c r="P464" i="1" s="1"/>
  <c r="P465" i="1" a="1"/>
  <c r="P465" i="1" s="1"/>
  <c r="P466" i="1" a="1"/>
  <c r="P466" i="1"/>
  <c r="P467" i="1" a="1"/>
  <c r="P467" i="1" s="1"/>
  <c r="P468" i="1" a="1"/>
  <c r="P468" i="1" s="1"/>
  <c r="P469" i="1" a="1"/>
  <c r="P469" i="1" s="1"/>
  <c r="P470" i="1" a="1"/>
  <c r="P470" i="1"/>
  <c r="P471" i="1" a="1"/>
  <c r="P471" i="1" s="1"/>
  <c r="P472" i="1" a="1"/>
  <c r="P472" i="1" s="1"/>
  <c r="P473" i="1" a="1"/>
  <c r="P473" i="1" s="1"/>
  <c r="P474" i="1" a="1"/>
  <c r="P474" i="1" s="1"/>
  <c r="P475" i="1" a="1"/>
  <c r="P475" i="1" s="1"/>
  <c r="P476" i="1" a="1"/>
  <c r="P476" i="1" s="1"/>
  <c r="P477" i="1" a="1"/>
  <c r="P477" i="1" s="1"/>
  <c r="P478" i="1" a="1"/>
  <c r="P478" i="1" s="1"/>
  <c r="P479" i="1" a="1"/>
  <c r="P479" i="1" s="1"/>
  <c r="P480" i="1" a="1"/>
  <c r="P480" i="1" s="1"/>
  <c r="P481" i="1" a="1"/>
  <c r="P481" i="1" s="1"/>
  <c r="P482" i="1" a="1"/>
  <c r="P482" i="1" s="1"/>
  <c r="P483" i="1" a="1"/>
  <c r="P483" i="1" s="1"/>
  <c r="P484" i="1" a="1"/>
  <c r="P484" i="1" s="1"/>
  <c r="P485" i="1" a="1"/>
  <c r="P485" i="1" s="1"/>
  <c r="P486" i="1" a="1"/>
  <c r="P486" i="1" s="1"/>
  <c r="P487" i="1" a="1"/>
  <c r="P487" i="1" s="1"/>
  <c r="P488" i="1" a="1"/>
  <c r="P488" i="1" s="1"/>
  <c r="P489" i="1" a="1"/>
  <c r="P489" i="1" s="1"/>
  <c r="P490" i="1" a="1"/>
  <c r="P490" i="1"/>
  <c r="P491" i="1" a="1"/>
  <c r="P491" i="1" s="1"/>
  <c r="P492" i="1" a="1"/>
  <c r="P492" i="1" s="1"/>
  <c r="P493" i="1" a="1"/>
  <c r="P493" i="1" s="1"/>
  <c r="P494" i="1" a="1"/>
  <c r="P494" i="1" s="1"/>
  <c r="P495" i="1" a="1"/>
  <c r="P495" i="1" s="1"/>
  <c r="P496" i="1" a="1"/>
  <c r="P496" i="1" s="1"/>
  <c r="P497" i="1" a="1"/>
  <c r="P497" i="1" s="1"/>
  <c r="P498" i="1" a="1"/>
  <c r="P498" i="1"/>
  <c r="P499" i="1" a="1"/>
  <c r="P499" i="1" s="1"/>
  <c r="P500" i="1" a="1"/>
  <c r="P500" i="1" s="1"/>
  <c r="P501" i="1" a="1"/>
  <c r="P501" i="1" s="1"/>
  <c r="P502" i="1" a="1"/>
  <c r="P502" i="1"/>
  <c r="P503" i="1" a="1"/>
  <c r="P503" i="1" s="1"/>
  <c r="P504" i="1" a="1"/>
  <c r="P504" i="1" s="1"/>
  <c r="P505" i="1" a="1"/>
  <c r="P505" i="1" s="1"/>
  <c r="P506" i="1" a="1"/>
  <c r="P506" i="1" s="1"/>
  <c r="P507" i="1" a="1"/>
  <c r="P507" i="1" s="1"/>
  <c r="P508" i="1" a="1"/>
  <c r="P508" i="1" s="1"/>
  <c r="P509" i="1" a="1"/>
  <c r="P509" i="1" s="1"/>
  <c r="P510" i="1" a="1"/>
  <c r="P510" i="1" s="1"/>
  <c r="P511" i="1" a="1"/>
  <c r="P511" i="1" s="1"/>
  <c r="P512" i="1" a="1"/>
  <c r="P512" i="1" s="1"/>
  <c r="P513" i="1" a="1"/>
  <c r="P513" i="1" s="1"/>
  <c r="P514" i="1" a="1"/>
  <c r="P514" i="1" s="1"/>
  <c r="P515" i="1" a="1"/>
  <c r="P515" i="1" s="1"/>
  <c r="P516" i="1" a="1"/>
  <c r="P516" i="1" s="1"/>
  <c r="P517" i="1" a="1"/>
  <c r="P517" i="1" s="1"/>
  <c r="P518" i="1" a="1"/>
  <c r="P518" i="1"/>
  <c r="P519" i="1" a="1"/>
  <c r="P519" i="1" s="1"/>
  <c r="P520" i="1" a="1"/>
  <c r="P520" i="1" s="1"/>
  <c r="P521" i="1" a="1"/>
  <c r="P521" i="1" s="1"/>
  <c r="P522" i="1" a="1"/>
  <c r="P522" i="1"/>
  <c r="P523" i="1" a="1"/>
  <c r="P523" i="1" s="1"/>
  <c r="P524" i="1" a="1"/>
  <c r="P524" i="1" s="1"/>
  <c r="P525" i="1" a="1"/>
  <c r="P525" i="1" s="1"/>
  <c r="P526" i="1" a="1"/>
  <c r="P526" i="1" s="1"/>
  <c r="P527" i="1" a="1"/>
  <c r="P527" i="1" s="1"/>
  <c r="P528" i="1" a="1"/>
  <c r="P528" i="1" s="1"/>
  <c r="P529" i="1" a="1"/>
  <c r="P529" i="1" s="1"/>
  <c r="P530" i="1" a="1"/>
  <c r="P530" i="1"/>
  <c r="P531" i="1" a="1"/>
  <c r="P531" i="1" s="1"/>
  <c r="P532" i="1" a="1"/>
  <c r="P532" i="1" s="1"/>
  <c r="P533" i="1" a="1"/>
  <c r="P533" i="1" s="1"/>
  <c r="P534" i="1" a="1"/>
  <c r="P534" i="1"/>
  <c r="P535" i="1" a="1"/>
  <c r="P535" i="1" s="1"/>
  <c r="P536" i="1" a="1"/>
  <c r="P536" i="1" s="1"/>
  <c r="P537" i="1" a="1"/>
  <c r="P537" i="1" s="1"/>
  <c r="P538" i="1" a="1"/>
  <c r="P538" i="1" s="1"/>
  <c r="P539" i="1" a="1"/>
  <c r="P539" i="1" s="1"/>
  <c r="P540" i="1" a="1"/>
  <c r="P540" i="1" s="1"/>
  <c r="P541" i="1" a="1"/>
  <c r="P541" i="1" s="1"/>
  <c r="P542" i="1" a="1"/>
  <c r="P542" i="1" s="1"/>
  <c r="P543" i="1" a="1"/>
  <c r="P543" i="1" s="1"/>
  <c r="P544" i="1" a="1"/>
  <c r="P544" i="1" s="1"/>
  <c r="P545" i="1" a="1"/>
  <c r="P545" i="1" s="1"/>
  <c r="P546" i="1" a="1"/>
  <c r="P546" i="1" s="1"/>
  <c r="P547" i="1" a="1"/>
  <c r="P547" i="1" s="1"/>
  <c r="P548" i="1" a="1"/>
  <c r="P548" i="1" s="1"/>
  <c r="P549" i="1" a="1"/>
  <c r="P549" i="1" s="1"/>
  <c r="P550" i="1" a="1"/>
  <c r="P550" i="1" s="1"/>
  <c r="P551" i="1" a="1"/>
  <c r="P551" i="1" s="1"/>
  <c r="P552" i="1" a="1"/>
  <c r="P552" i="1" s="1"/>
  <c r="P553" i="1" a="1"/>
  <c r="P553" i="1" s="1"/>
  <c r="P554" i="1" a="1"/>
  <c r="P554" i="1"/>
  <c r="P555" i="1" a="1"/>
  <c r="P555" i="1" s="1"/>
  <c r="P556" i="1" a="1"/>
  <c r="P556" i="1" s="1"/>
  <c r="P557" i="1" a="1"/>
  <c r="P557" i="1" s="1"/>
  <c r="P558" i="1" a="1"/>
  <c r="P558" i="1" s="1"/>
  <c r="P559" i="1" a="1"/>
  <c r="P559" i="1" s="1"/>
  <c r="P560" i="1" a="1"/>
  <c r="P560" i="1" s="1"/>
  <c r="P561" i="1" a="1"/>
  <c r="P561" i="1" s="1"/>
  <c r="P562" i="1" a="1"/>
  <c r="P562" i="1"/>
  <c r="P563" i="1" a="1"/>
  <c r="P563" i="1" s="1"/>
  <c r="P564" i="1" a="1"/>
  <c r="P564" i="1" s="1"/>
  <c r="P565" i="1" a="1"/>
  <c r="P565" i="1" s="1"/>
  <c r="P566" i="1" a="1"/>
  <c r="P566" i="1"/>
  <c r="P567" i="1" a="1"/>
  <c r="P567" i="1" s="1"/>
  <c r="P568" i="1" a="1"/>
  <c r="P568" i="1" s="1"/>
  <c r="P569" i="1" a="1"/>
  <c r="P569" i="1" s="1"/>
  <c r="P570" i="1" a="1"/>
  <c r="P570" i="1" s="1"/>
  <c r="P571" i="1" a="1"/>
  <c r="P571" i="1" s="1"/>
  <c r="P572" i="1" a="1"/>
  <c r="P572" i="1" s="1"/>
  <c r="P573" i="1" a="1"/>
  <c r="P573" i="1" s="1"/>
  <c r="P574" i="1" a="1"/>
  <c r="P574" i="1" s="1"/>
  <c r="P575" i="1" a="1"/>
  <c r="P575" i="1" s="1"/>
  <c r="P576" i="1" a="1"/>
  <c r="P576" i="1" s="1"/>
  <c r="P577" i="1" a="1"/>
  <c r="P577" i="1" s="1"/>
  <c r="P578" i="1" a="1"/>
  <c r="P578" i="1" s="1"/>
  <c r="P579" i="1" a="1"/>
  <c r="P579" i="1" s="1"/>
  <c r="P580" i="1" a="1"/>
  <c r="P580" i="1" s="1"/>
  <c r="P581" i="1" a="1"/>
  <c r="P581" i="1" s="1"/>
  <c r="P582" i="1" a="1"/>
  <c r="P582" i="1"/>
  <c r="P583" i="1" a="1"/>
  <c r="P583" i="1" s="1"/>
  <c r="P584" i="1" a="1"/>
  <c r="P584" i="1" s="1"/>
  <c r="P585" i="1" a="1"/>
  <c r="P585" i="1" s="1"/>
  <c r="P586" i="1" a="1"/>
  <c r="P586" i="1"/>
  <c r="P587" i="1" a="1"/>
  <c r="P587" i="1" s="1"/>
  <c r="P588" i="1" a="1"/>
  <c r="P588" i="1" s="1"/>
  <c r="P589" i="1" a="1"/>
  <c r="P589" i="1" s="1"/>
  <c r="P590" i="1" a="1"/>
  <c r="P590" i="1" s="1"/>
  <c r="P591" i="1" a="1"/>
  <c r="P591" i="1" s="1"/>
  <c r="P592" i="1" a="1"/>
  <c r="P592" i="1"/>
  <c r="P593" i="1" a="1"/>
  <c r="P593" i="1" s="1"/>
  <c r="P594" i="1" a="1"/>
  <c r="P594" i="1"/>
  <c r="P595" i="1" a="1"/>
  <c r="P595" i="1" s="1"/>
  <c r="P596" i="1" a="1"/>
  <c r="P596" i="1"/>
  <c r="P597" i="1" a="1"/>
  <c r="P597" i="1" s="1"/>
  <c r="P598" i="1" a="1"/>
  <c r="P598" i="1" s="1"/>
  <c r="P599" i="1" a="1"/>
  <c r="P599" i="1" s="1"/>
  <c r="P600" i="1" a="1"/>
  <c r="P600" i="1"/>
  <c r="P601" i="1" a="1"/>
  <c r="P601" i="1" s="1"/>
  <c r="P602" i="1" a="1"/>
  <c r="P602" i="1" s="1"/>
  <c r="P603" i="1" a="1"/>
  <c r="P603" i="1" s="1"/>
  <c r="P604" i="1" a="1"/>
  <c r="P604" i="1"/>
  <c r="P605" i="1" a="1"/>
  <c r="P605" i="1" s="1"/>
  <c r="P606" i="1" a="1"/>
  <c r="P606" i="1"/>
  <c r="P607" i="1" a="1"/>
  <c r="P607" i="1" s="1"/>
  <c r="P608" i="1" a="1"/>
  <c r="P608" i="1" s="1"/>
  <c r="P609" i="1" a="1"/>
  <c r="P609" i="1" s="1"/>
  <c r="P610" i="1" a="1"/>
  <c r="P610" i="1" s="1"/>
  <c r="P611" i="1" a="1"/>
  <c r="P611" i="1" s="1"/>
  <c r="P612" i="1" a="1"/>
  <c r="P612" i="1" s="1"/>
  <c r="P613" i="1" a="1"/>
  <c r="P613" i="1" s="1"/>
  <c r="P614" i="1" a="1"/>
  <c r="P614" i="1" s="1"/>
  <c r="P615" i="1" a="1"/>
  <c r="P615" i="1" s="1"/>
  <c r="P616" i="1" a="1"/>
  <c r="P616" i="1" s="1"/>
  <c r="P617" i="1" a="1"/>
  <c r="P617" i="1" s="1"/>
  <c r="P618" i="1" a="1"/>
  <c r="P618" i="1"/>
  <c r="P619" i="1" a="1"/>
  <c r="P619" i="1" s="1"/>
  <c r="P620" i="1" a="1"/>
  <c r="P620" i="1" s="1"/>
  <c r="P621" i="1" a="1"/>
  <c r="P621" i="1" s="1"/>
  <c r="P622" i="1" a="1"/>
  <c r="P622" i="1" s="1"/>
  <c r="P623" i="1" a="1"/>
  <c r="P623" i="1" s="1"/>
  <c r="P624" i="1" a="1"/>
  <c r="P624" i="1" s="1"/>
  <c r="P625" i="1" a="1"/>
  <c r="P625" i="1" s="1"/>
  <c r="P626" i="1" a="1"/>
  <c r="P626" i="1" s="1"/>
  <c r="P627" i="1" a="1"/>
  <c r="P627" i="1" s="1"/>
  <c r="P628" i="1" a="1"/>
  <c r="P628" i="1" s="1"/>
  <c r="P629" i="1" a="1"/>
  <c r="P629" i="1" s="1"/>
  <c r="P630" i="1" a="1"/>
  <c r="P630" i="1"/>
  <c r="P631" i="1" a="1"/>
  <c r="P631" i="1" s="1"/>
  <c r="P632" i="1" a="1"/>
  <c r="P632" i="1" s="1"/>
  <c r="P633" i="1" a="1"/>
  <c r="P633" i="1" s="1"/>
  <c r="P634" i="1" a="1"/>
  <c r="P634" i="1" s="1"/>
  <c r="P635" i="1" a="1"/>
  <c r="P635" i="1" s="1"/>
  <c r="P636" i="1" a="1"/>
  <c r="P636" i="1" s="1"/>
  <c r="P637" i="1" a="1"/>
  <c r="P637" i="1" s="1"/>
  <c r="P638" i="1" a="1"/>
  <c r="P638" i="1"/>
  <c r="P639" i="1" a="1"/>
  <c r="P639" i="1" s="1"/>
  <c r="P640" i="1" a="1"/>
  <c r="P640" i="1" s="1"/>
  <c r="P641" i="1" a="1"/>
  <c r="P641" i="1" s="1"/>
  <c r="P642" i="1" a="1"/>
  <c r="P642" i="1" s="1"/>
  <c r="P643" i="1" a="1"/>
  <c r="P643" i="1" s="1"/>
  <c r="P644" i="1" a="1"/>
  <c r="P644" i="1" s="1"/>
  <c r="P645" i="1" a="1"/>
  <c r="P645" i="1" s="1"/>
  <c r="P646" i="1" a="1"/>
  <c r="P646" i="1" s="1"/>
  <c r="P647" i="1" a="1"/>
  <c r="P647" i="1" s="1"/>
  <c r="P648" i="1" a="1"/>
  <c r="P648" i="1" s="1"/>
  <c r="P649" i="1" a="1"/>
  <c r="P649" i="1" s="1"/>
  <c r="P650" i="1" a="1"/>
  <c r="P650" i="1"/>
  <c r="P651" i="1" a="1"/>
  <c r="P651" i="1" s="1"/>
  <c r="P652" i="1" a="1"/>
  <c r="P652" i="1" s="1"/>
  <c r="P653" i="1" a="1"/>
  <c r="P653" i="1" s="1"/>
  <c r="P654" i="1" a="1"/>
  <c r="P654" i="1" s="1"/>
  <c r="P655" i="1" a="1"/>
  <c r="P655" i="1" s="1"/>
  <c r="P656" i="1" a="1"/>
  <c r="P656" i="1" s="1"/>
  <c r="P657" i="1" a="1"/>
  <c r="P657" i="1" s="1"/>
  <c r="P658" i="1" a="1"/>
  <c r="P658" i="1" s="1"/>
  <c r="P659" i="1" a="1"/>
  <c r="P659" i="1" s="1"/>
  <c r="P660" i="1" a="1"/>
  <c r="P660" i="1" s="1"/>
  <c r="P661" i="1" a="1"/>
  <c r="P661" i="1" s="1"/>
  <c r="P662" i="1" a="1"/>
  <c r="P662" i="1"/>
  <c r="P663" i="1" a="1"/>
  <c r="P663" i="1" s="1"/>
  <c r="P664" i="1" a="1"/>
  <c r="P664" i="1" s="1"/>
  <c r="P665" i="1" a="1"/>
  <c r="P665" i="1" s="1"/>
  <c r="P666" i="1" a="1"/>
  <c r="P666" i="1" s="1"/>
  <c r="P667" i="1" a="1"/>
  <c r="P667" i="1" s="1"/>
  <c r="P668" i="1" a="1"/>
  <c r="P668" i="1" s="1"/>
  <c r="P669" i="1" a="1"/>
  <c r="P669" i="1" s="1"/>
  <c r="P670" i="1" a="1"/>
  <c r="P670" i="1" s="1"/>
  <c r="P671" i="1" a="1"/>
  <c r="P671" i="1" s="1"/>
  <c r="P672" i="1" a="1"/>
  <c r="P672" i="1" s="1"/>
  <c r="P673" i="1" a="1"/>
  <c r="P673" i="1" s="1"/>
  <c r="P674" i="1" a="1"/>
  <c r="P674" i="1" s="1"/>
  <c r="P675" i="1" a="1"/>
  <c r="P675" i="1" s="1"/>
  <c r="P676" i="1" a="1"/>
  <c r="P676" i="1" s="1"/>
  <c r="P677" i="1" a="1"/>
  <c r="P677" i="1" s="1"/>
  <c r="P678" i="1" a="1"/>
  <c r="P678" i="1" s="1"/>
  <c r="P679" i="1" a="1"/>
  <c r="P679" i="1" s="1"/>
  <c r="P680" i="1" a="1"/>
  <c r="P680" i="1" s="1"/>
  <c r="P681" i="1" a="1"/>
  <c r="P681" i="1" s="1"/>
  <c r="P682" i="1" a="1"/>
  <c r="P682" i="1"/>
  <c r="P683" i="1" a="1"/>
  <c r="P683" i="1" s="1"/>
  <c r="P684" i="1" a="1"/>
  <c r="P684" i="1" s="1"/>
  <c r="P685" i="1" a="1"/>
  <c r="P685" i="1" s="1"/>
  <c r="P686" i="1" a="1"/>
  <c r="P686" i="1" s="1"/>
  <c r="P687" i="1" a="1"/>
  <c r="P687" i="1" s="1"/>
  <c r="P688" i="1" a="1"/>
  <c r="P688" i="1" s="1"/>
  <c r="P689" i="1" a="1"/>
  <c r="P689" i="1" s="1"/>
  <c r="P690" i="1" a="1"/>
  <c r="P690" i="1" s="1"/>
  <c r="P691" i="1" a="1"/>
  <c r="P691" i="1" s="1"/>
  <c r="P692" i="1" a="1"/>
  <c r="P692" i="1" s="1"/>
  <c r="P693" i="1" a="1"/>
  <c r="P693" i="1" s="1"/>
  <c r="P694" i="1" a="1"/>
  <c r="P694" i="1"/>
  <c r="P695" i="1" a="1"/>
  <c r="P695" i="1" s="1"/>
  <c r="P696" i="1" a="1"/>
  <c r="P696" i="1" s="1"/>
  <c r="P697" i="1" a="1"/>
  <c r="P697" i="1" s="1"/>
  <c r="P698" i="1" a="1"/>
  <c r="P698" i="1" s="1"/>
  <c r="P699" i="1" a="1"/>
  <c r="P699" i="1" s="1"/>
  <c r="P700" i="1" a="1"/>
  <c r="P700" i="1" s="1"/>
  <c r="P701" i="1" a="1"/>
  <c r="P701" i="1" s="1"/>
  <c r="P702" i="1" a="1"/>
  <c r="P702" i="1"/>
  <c r="P703" i="1" a="1"/>
  <c r="P703" i="1" s="1"/>
  <c r="P704" i="1" a="1"/>
  <c r="P704" i="1" s="1"/>
  <c r="P705" i="1" a="1"/>
  <c r="P705" i="1" s="1"/>
  <c r="P706" i="1" a="1"/>
  <c r="P706" i="1" s="1"/>
  <c r="P707" i="1" a="1"/>
  <c r="P707" i="1" s="1"/>
  <c r="P708" i="1" a="1"/>
  <c r="P708" i="1" s="1"/>
  <c r="P709" i="1" a="1"/>
  <c r="P709" i="1" s="1"/>
  <c r="P710" i="1" a="1"/>
  <c r="P710" i="1" s="1"/>
  <c r="P711" i="1" a="1"/>
  <c r="P711" i="1" s="1"/>
  <c r="P712" i="1" a="1"/>
  <c r="P712" i="1" s="1"/>
  <c r="P713" i="1" a="1"/>
  <c r="P713" i="1" s="1"/>
  <c r="P714" i="1" a="1"/>
  <c r="P714" i="1"/>
  <c r="P715" i="1" a="1"/>
  <c r="P715" i="1" s="1"/>
  <c r="P716" i="1" a="1"/>
  <c r="P716" i="1" s="1"/>
  <c r="P717" i="1" a="1"/>
  <c r="P717" i="1" s="1"/>
  <c r="P718" i="1" a="1"/>
  <c r="P718" i="1" s="1"/>
  <c r="P719" i="1" a="1"/>
  <c r="P719" i="1" s="1"/>
  <c r="P720" i="1" a="1"/>
  <c r="P720" i="1" s="1"/>
  <c r="P721" i="1" a="1"/>
  <c r="P721" i="1" s="1"/>
  <c r="P722" i="1" a="1"/>
  <c r="P722" i="1" s="1"/>
  <c r="P723" i="1" a="1"/>
  <c r="P723" i="1" s="1"/>
  <c r="P724" i="1" a="1"/>
  <c r="P724" i="1" s="1"/>
  <c r="P725" i="1" a="1"/>
  <c r="P725" i="1" s="1"/>
  <c r="P726" i="1" a="1"/>
  <c r="P726" i="1"/>
  <c r="P727" i="1" a="1"/>
  <c r="P727" i="1" s="1"/>
  <c r="P728" i="1" a="1"/>
  <c r="P728" i="1" s="1"/>
  <c r="P729" i="1" a="1"/>
  <c r="P729" i="1" s="1"/>
  <c r="P730" i="1" a="1"/>
  <c r="P730" i="1" s="1"/>
  <c r="P731" i="1" a="1"/>
  <c r="P731" i="1" s="1"/>
  <c r="P732" i="1" a="1"/>
  <c r="P732" i="1" s="1"/>
  <c r="P733" i="1" a="1"/>
  <c r="P733" i="1" s="1"/>
  <c r="P734" i="1" a="1"/>
  <c r="P734" i="1" s="1"/>
  <c r="P735" i="1" a="1"/>
  <c r="P735" i="1" s="1"/>
  <c r="P736" i="1" a="1"/>
  <c r="P736" i="1" s="1"/>
  <c r="P737" i="1" a="1"/>
  <c r="P737" i="1" s="1"/>
  <c r="P738" i="1" a="1"/>
  <c r="P738" i="1" s="1"/>
  <c r="P739" i="1" a="1"/>
  <c r="P739" i="1" s="1"/>
  <c r="P740" i="1" a="1"/>
  <c r="P740" i="1" s="1"/>
  <c r="P741" i="1" a="1"/>
  <c r="P741" i="1" s="1"/>
  <c r="P742" i="1" a="1"/>
  <c r="P742" i="1" s="1"/>
  <c r="P743" i="1" a="1"/>
  <c r="P743" i="1" s="1"/>
  <c r="P744" i="1" a="1"/>
  <c r="P744" i="1" s="1"/>
  <c r="P745" i="1" a="1"/>
  <c r="P745" i="1" s="1"/>
  <c r="P746" i="1" a="1"/>
  <c r="P746" i="1"/>
  <c r="P747" i="1" a="1"/>
  <c r="P747" i="1" s="1"/>
  <c r="P748" i="1" a="1"/>
  <c r="P748" i="1" s="1"/>
  <c r="P749" i="1" a="1"/>
  <c r="P749" i="1" s="1"/>
  <c r="P750" i="1" a="1"/>
  <c r="P750" i="1" s="1"/>
  <c r="P751" i="1" a="1"/>
  <c r="P751" i="1" s="1"/>
  <c r="P752" i="1" a="1"/>
  <c r="P752" i="1" s="1"/>
  <c r="P753" i="1" a="1"/>
  <c r="P753" i="1" s="1"/>
  <c r="P754" i="1" a="1"/>
  <c r="P754" i="1" s="1"/>
  <c r="P755" i="1" a="1"/>
  <c r="P755" i="1" s="1"/>
  <c r="P756" i="1" a="1"/>
  <c r="P756" i="1" s="1"/>
  <c r="P757" i="1" a="1"/>
  <c r="P757" i="1" s="1"/>
  <c r="P758" i="1" a="1"/>
  <c r="P758" i="1"/>
  <c r="P759" i="1" a="1"/>
  <c r="P759" i="1" s="1"/>
  <c r="P760" i="1" a="1"/>
  <c r="P760" i="1" s="1"/>
  <c r="P761" i="1" a="1"/>
  <c r="P761" i="1" s="1"/>
  <c r="P762" i="1" a="1"/>
  <c r="P762" i="1" s="1"/>
  <c r="P763" i="1" a="1"/>
  <c r="P763" i="1" s="1"/>
  <c r="P764" i="1" a="1"/>
  <c r="P764" i="1" s="1"/>
  <c r="P765" i="1" a="1"/>
  <c r="P765" i="1" s="1"/>
  <c r="P766" i="1" a="1"/>
  <c r="P766" i="1"/>
  <c r="P767" i="1" a="1"/>
  <c r="P767" i="1" s="1"/>
  <c r="P768" i="1" a="1"/>
  <c r="P768" i="1" s="1"/>
  <c r="P769" i="1" a="1"/>
  <c r="P769" i="1" s="1"/>
  <c r="P770" i="1" a="1"/>
  <c r="P770" i="1" s="1"/>
  <c r="P771" i="1" a="1"/>
  <c r="P771" i="1" s="1"/>
  <c r="P772" i="1" a="1"/>
  <c r="P772" i="1" s="1"/>
  <c r="P773" i="1" a="1"/>
  <c r="P773" i="1" s="1"/>
  <c r="P774" i="1" a="1"/>
  <c r="P774" i="1" s="1"/>
  <c r="P775" i="1" a="1"/>
  <c r="P775" i="1" s="1"/>
  <c r="P776" i="1" a="1"/>
  <c r="P776" i="1" s="1"/>
  <c r="P777" i="1" a="1"/>
  <c r="P777" i="1" s="1"/>
  <c r="P778" i="1" a="1"/>
  <c r="P778" i="1"/>
  <c r="P779" i="1" a="1"/>
  <c r="P779" i="1" s="1"/>
  <c r="P780" i="1" a="1"/>
  <c r="P780" i="1" s="1"/>
  <c r="P781" i="1" a="1"/>
  <c r="P781" i="1" s="1"/>
  <c r="P782" i="1" a="1"/>
  <c r="P782" i="1" s="1"/>
  <c r="P783" i="1" a="1"/>
  <c r="P783" i="1" s="1"/>
  <c r="P784" i="1" a="1"/>
  <c r="P784" i="1" s="1"/>
  <c r="P785" i="1" a="1"/>
  <c r="P785" i="1" s="1"/>
  <c r="P786" i="1" a="1"/>
  <c r="P786" i="1" s="1"/>
  <c r="P787" i="1" a="1"/>
  <c r="P787" i="1" s="1"/>
  <c r="P788" i="1" a="1"/>
  <c r="P788" i="1" s="1"/>
  <c r="P789" i="1" a="1"/>
  <c r="P789" i="1" s="1"/>
  <c r="P790" i="1" a="1"/>
  <c r="P790" i="1"/>
  <c r="P791" i="1" a="1"/>
  <c r="P791" i="1" s="1"/>
  <c r="P792" i="1" a="1"/>
  <c r="P792" i="1" s="1"/>
  <c r="P793" i="1" a="1"/>
  <c r="P793" i="1" s="1"/>
  <c r="P794" i="1" a="1"/>
  <c r="P794" i="1" s="1"/>
  <c r="P795" i="1" a="1"/>
  <c r="P795" i="1" s="1"/>
  <c r="P796" i="1" a="1"/>
  <c r="P796" i="1" s="1"/>
  <c r="P797" i="1" a="1"/>
  <c r="P797" i="1" s="1"/>
  <c r="P798" i="1" a="1"/>
  <c r="P798" i="1"/>
  <c r="P799" i="1" a="1"/>
  <c r="P799" i="1" s="1"/>
  <c r="P800" i="1" a="1"/>
  <c r="P800" i="1" s="1"/>
  <c r="P801" i="1" a="1"/>
  <c r="P801" i="1" s="1"/>
  <c r="P802" i="1" a="1"/>
  <c r="P802" i="1" s="1"/>
  <c r="P803" i="1" a="1"/>
  <c r="P803" i="1" s="1"/>
  <c r="P804" i="1" a="1"/>
  <c r="P804" i="1" s="1"/>
  <c r="P805" i="1" a="1"/>
  <c r="P805" i="1" s="1"/>
  <c r="P806" i="1" a="1"/>
  <c r="P806" i="1" s="1"/>
  <c r="P807" i="1" a="1"/>
  <c r="P807" i="1" s="1"/>
  <c r="P808" i="1" a="1"/>
  <c r="P808" i="1" s="1"/>
  <c r="P809" i="1" a="1"/>
  <c r="P809" i="1" s="1"/>
  <c r="P810" i="1" a="1"/>
  <c r="P810" i="1"/>
  <c r="P811" i="1" a="1"/>
  <c r="P811" i="1" s="1"/>
  <c r="P812" i="1" a="1"/>
  <c r="P812" i="1" s="1"/>
  <c r="P813" i="1" a="1"/>
  <c r="P813" i="1" s="1"/>
  <c r="P814" i="1" a="1"/>
  <c r="P814" i="1" s="1"/>
  <c r="P815" i="1" a="1"/>
  <c r="P815" i="1" s="1"/>
  <c r="P816" i="1" a="1"/>
  <c r="P816" i="1" s="1"/>
  <c r="P817" i="1" a="1"/>
  <c r="P817" i="1" s="1"/>
  <c r="P818" i="1" a="1"/>
  <c r="P818" i="1" s="1"/>
  <c r="P819" i="1" a="1"/>
  <c r="P819" i="1" s="1"/>
  <c r="P820" i="1" a="1"/>
  <c r="P820" i="1" s="1"/>
  <c r="P821" i="1" a="1"/>
  <c r="P821" i="1" s="1"/>
  <c r="P822" i="1" a="1"/>
  <c r="P822" i="1"/>
  <c r="P823" i="1" a="1"/>
  <c r="P823" i="1" s="1"/>
  <c r="P824" i="1" a="1"/>
  <c r="P824" i="1" s="1"/>
  <c r="P825" i="1" a="1"/>
  <c r="P825" i="1" s="1"/>
  <c r="P826" i="1" a="1"/>
  <c r="P826" i="1" s="1"/>
  <c r="P827" i="1" a="1"/>
  <c r="P827" i="1" s="1"/>
  <c r="P828" i="1" a="1"/>
  <c r="P828" i="1" s="1"/>
  <c r="P829" i="1" a="1"/>
  <c r="P829" i="1" s="1"/>
  <c r="P830" i="1" a="1"/>
  <c r="P830" i="1"/>
  <c r="P831" i="1" a="1"/>
  <c r="P831" i="1" s="1"/>
  <c r="P832" i="1" a="1"/>
  <c r="P832" i="1" s="1"/>
  <c r="P833" i="1" a="1"/>
  <c r="P833" i="1" s="1"/>
  <c r="P834" i="1" a="1"/>
  <c r="P834" i="1"/>
  <c r="P835" i="1" a="1"/>
  <c r="P835" i="1" s="1"/>
  <c r="P836" i="1" a="1"/>
  <c r="P836" i="1" s="1"/>
  <c r="P837" i="1" a="1"/>
  <c r="P837" i="1" s="1"/>
  <c r="P838" i="1" a="1"/>
  <c r="P838" i="1" s="1"/>
  <c r="P839" i="1" a="1"/>
  <c r="P839" i="1" s="1"/>
  <c r="P840" i="1" a="1"/>
  <c r="P840" i="1" s="1"/>
  <c r="P841" i="1" a="1"/>
  <c r="P841" i="1" s="1"/>
  <c r="P842" i="1" a="1"/>
  <c r="P842" i="1"/>
  <c r="P843" i="1" a="1"/>
  <c r="P843" i="1" s="1"/>
  <c r="P844" i="1" a="1"/>
  <c r="P844" i="1" s="1"/>
  <c r="P845" i="1" a="1"/>
  <c r="P845" i="1" s="1"/>
  <c r="P846" i="1" a="1"/>
  <c r="P846" i="1" s="1"/>
  <c r="P847" i="1" a="1"/>
  <c r="P847" i="1" s="1"/>
  <c r="P848" i="1" a="1"/>
  <c r="P848" i="1" s="1"/>
  <c r="P849" i="1" a="1"/>
  <c r="P849" i="1" s="1"/>
  <c r="P850" i="1" a="1"/>
  <c r="P850" i="1" s="1"/>
  <c r="P851" i="1" a="1"/>
  <c r="P851" i="1" s="1"/>
  <c r="P852" i="1" a="1"/>
  <c r="P852" i="1" s="1"/>
  <c r="P853" i="1" a="1"/>
  <c r="P853" i="1" s="1"/>
  <c r="P854" i="1" a="1"/>
  <c r="P854" i="1"/>
  <c r="P855" i="1" a="1"/>
  <c r="P855" i="1" s="1"/>
  <c r="P856" i="1" a="1"/>
  <c r="P856" i="1" s="1"/>
  <c r="P857" i="1" a="1"/>
  <c r="P857" i="1" s="1"/>
  <c r="P858" i="1" a="1"/>
  <c r="P858" i="1" s="1"/>
  <c r="P859" i="1" a="1"/>
  <c r="P859" i="1" s="1"/>
  <c r="P860" i="1" a="1"/>
  <c r="P860" i="1" s="1"/>
  <c r="P861" i="1" a="1"/>
  <c r="P861" i="1" s="1"/>
  <c r="P862" i="1" a="1"/>
  <c r="P862" i="1" s="1"/>
  <c r="P863" i="1" a="1"/>
  <c r="P863" i="1" s="1"/>
  <c r="P864" i="1" a="1"/>
  <c r="P864" i="1" s="1"/>
  <c r="P865" i="1" a="1"/>
  <c r="P865" i="1" s="1"/>
  <c r="P866" i="1" a="1"/>
  <c r="P866" i="1" s="1"/>
  <c r="P867" i="1" a="1"/>
  <c r="P867" i="1" s="1"/>
  <c r="P868" i="1" a="1"/>
  <c r="P868" i="1" s="1"/>
  <c r="P869" i="1" a="1"/>
  <c r="P869" i="1" s="1"/>
  <c r="P870" i="1" a="1"/>
  <c r="P870" i="1" s="1"/>
  <c r="P871" i="1" a="1"/>
  <c r="P871" i="1" s="1"/>
  <c r="P872" i="1" a="1"/>
  <c r="P872" i="1" s="1"/>
  <c r="P873" i="1" a="1"/>
  <c r="P873" i="1" s="1"/>
  <c r="P874" i="1" a="1"/>
  <c r="P874" i="1"/>
  <c r="P875" i="1" a="1"/>
  <c r="P875" i="1" s="1"/>
  <c r="P876" i="1" a="1"/>
  <c r="P876" i="1" s="1"/>
  <c r="P877" i="1" a="1"/>
  <c r="P877" i="1" s="1"/>
  <c r="P878" i="1" a="1"/>
  <c r="P878" i="1" s="1"/>
  <c r="P879" i="1" a="1"/>
  <c r="P879" i="1" s="1"/>
  <c r="P880" i="1" a="1"/>
  <c r="P880" i="1" s="1"/>
  <c r="P881" i="1" a="1"/>
  <c r="P881" i="1" s="1"/>
  <c r="P882" i="1" a="1"/>
  <c r="P882" i="1"/>
  <c r="P883" i="1" a="1"/>
  <c r="P883" i="1" s="1"/>
  <c r="P884" i="1" a="1"/>
  <c r="P884" i="1" s="1"/>
  <c r="P885" i="1" a="1"/>
  <c r="P885" i="1" s="1"/>
  <c r="P886" i="1" a="1"/>
  <c r="P886" i="1"/>
  <c r="P887" i="1" a="1"/>
  <c r="P887" i="1" s="1"/>
  <c r="P888" i="1" a="1"/>
  <c r="P888" i="1" s="1"/>
  <c r="P889" i="1" a="1"/>
  <c r="P889" i="1" s="1"/>
  <c r="P890" i="1" a="1"/>
  <c r="P890" i="1" s="1"/>
  <c r="P891" i="1" a="1"/>
  <c r="P891" i="1" s="1"/>
  <c r="P892" i="1" a="1"/>
  <c r="P892" i="1"/>
  <c r="P893" i="1" a="1"/>
  <c r="P893" i="1" s="1"/>
  <c r="P894" i="1" a="1"/>
  <c r="P894" i="1" s="1"/>
  <c r="P895" i="1" a="1"/>
  <c r="P895" i="1" s="1"/>
  <c r="P896" i="1" a="1"/>
  <c r="P896" i="1"/>
  <c r="P897" i="1" a="1"/>
  <c r="P897" i="1" s="1"/>
  <c r="P898" i="1" a="1"/>
  <c r="P898" i="1" s="1"/>
  <c r="P899" i="1" a="1"/>
  <c r="P899" i="1" s="1"/>
  <c r="P900" i="1" a="1"/>
  <c r="P900" i="1"/>
  <c r="P901" i="1" a="1"/>
  <c r="P901" i="1"/>
  <c r="P902" i="1" a="1"/>
  <c r="P902" i="1" s="1"/>
  <c r="P903" i="1" a="1"/>
  <c r="P903" i="1" s="1"/>
  <c r="P904" i="1" a="1"/>
  <c r="P904" i="1"/>
  <c r="P905" i="1" a="1"/>
  <c r="P905" i="1"/>
  <c r="P906" i="1" a="1"/>
  <c r="P906" i="1" s="1"/>
  <c r="P907" i="1" a="1"/>
  <c r="P907" i="1" s="1"/>
  <c r="P908" i="1" a="1"/>
  <c r="P908" i="1"/>
  <c r="P909" i="1" a="1"/>
  <c r="P909" i="1" s="1"/>
  <c r="P910" i="1" a="1"/>
  <c r="P910" i="1" s="1"/>
  <c r="P911" i="1" a="1"/>
  <c r="P911" i="1" s="1"/>
  <c r="P912" i="1" a="1"/>
  <c r="P912" i="1"/>
  <c r="P913" i="1" a="1"/>
  <c r="P913" i="1" s="1"/>
  <c r="P914" i="1" a="1"/>
  <c r="P914" i="1" s="1"/>
  <c r="P915" i="1" a="1"/>
  <c r="P915" i="1" s="1"/>
  <c r="P916" i="1" a="1"/>
  <c r="P916" i="1"/>
  <c r="P917" i="1" a="1"/>
  <c r="P917" i="1" s="1"/>
  <c r="P918" i="1" a="1"/>
  <c r="P918" i="1" s="1"/>
  <c r="P919" i="1" a="1"/>
  <c r="P919" i="1" s="1"/>
  <c r="P920" i="1" a="1"/>
  <c r="P920" i="1"/>
  <c r="P921" i="1" a="1"/>
  <c r="P921" i="1"/>
  <c r="P922" i="1" a="1"/>
  <c r="P922" i="1" s="1"/>
  <c r="P923" i="1" a="1"/>
  <c r="P923" i="1" s="1"/>
  <c r="P924" i="1" a="1"/>
  <c r="P924" i="1"/>
  <c r="P925" i="1" a="1"/>
  <c r="P925" i="1" s="1"/>
  <c r="P926" i="1" a="1"/>
  <c r="P926" i="1" s="1"/>
  <c r="P927" i="1" a="1"/>
  <c r="P927" i="1" s="1"/>
  <c r="P928" i="1" a="1"/>
  <c r="P928" i="1"/>
  <c r="P929" i="1" a="1"/>
  <c r="P929" i="1" s="1"/>
  <c r="P930" i="1" a="1"/>
  <c r="P930" i="1" s="1"/>
  <c r="P931" i="1" a="1"/>
  <c r="P931" i="1" s="1"/>
  <c r="P932" i="1" a="1"/>
  <c r="P932" i="1"/>
  <c r="P933" i="1" a="1"/>
  <c r="P933" i="1" s="1"/>
  <c r="P934" i="1" a="1"/>
  <c r="P934" i="1" s="1"/>
  <c r="P935" i="1" a="1"/>
  <c r="P935" i="1" s="1"/>
  <c r="P936" i="1" a="1"/>
  <c r="P936" i="1"/>
  <c r="P937" i="1" a="1"/>
  <c r="P937" i="1"/>
  <c r="P938" i="1" a="1"/>
  <c r="P938" i="1" s="1"/>
  <c r="P939" i="1" a="1"/>
  <c r="P939" i="1" s="1"/>
  <c r="P940" i="1" a="1"/>
  <c r="P940" i="1"/>
  <c r="P941" i="1" a="1"/>
  <c r="P941" i="1" s="1"/>
  <c r="P942" i="1" a="1"/>
  <c r="P942" i="1" s="1"/>
  <c r="P943" i="1" a="1"/>
  <c r="P943" i="1" s="1"/>
  <c r="P944" i="1" a="1"/>
  <c r="P944" i="1"/>
  <c r="P945" i="1" a="1"/>
  <c r="P945" i="1" s="1"/>
  <c r="P946" i="1" a="1"/>
  <c r="P946" i="1" s="1"/>
  <c r="P947" i="1" a="1"/>
  <c r="P947" i="1" s="1"/>
  <c r="P948" i="1" a="1"/>
  <c r="P948" i="1"/>
  <c r="P949" i="1" a="1"/>
  <c r="P949" i="1" s="1"/>
  <c r="P950" i="1" a="1"/>
  <c r="P950" i="1" s="1"/>
  <c r="P951" i="1" a="1"/>
  <c r="P951" i="1" s="1"/>
  <c r="P952" i="1" a="1"/>
  <c r="P952" i="1"/>
  <c r="P953" i="1" a="1"/>
  <c r="P953" i="1"/>
  <c r="P954" i="1" a="1"/>
  <c r="P954" i="1" s="1"/>
  <c r="P955" i="1" a="1"/>
  <c r="P955" i="1" s="1"/>
  <c r="P956" i="1" a="1"/>
  <c r="P956" i="1"/>
  <c r="P957" i="1" a="1"/>
  <c r="P957" i="1" s="1"/>
  <c r="P958" i="1" a="1"/>
  <c r="P958" i="1" s="1"/>
  <c r="P959" i="1" a="1"/>
  <c r="P959" i="1" s="1"/>
  <c r="P960" i="1" a="1"/>
  <c r="P960" i="1"/>
  <c r="P961" i="1" a="1"/>
  <c r="P961" i="1" s="1"/>
  <c r="P962" i="1" a="1"/>
  <c r="P962" i="1" s="1"/>
  <c r="P963" i="1" a="1"/>
  <c r="P963" i="1" s="1"/>
  <c r="P964" i="1" a="1"/>
  <c r="P964" i="1"/>
  <c r="P965" i="1" a="1"/>
  <c r="P965" i="1"/>
  <c r="P966" i="1" a="1"/>
  <c r="P966" i="1" s="1"/>
  <c r="P967" i="1" a="1"/>
  <c r="P967" i="1" s="1"/>
  <c r="P968" i="1" a="1"/>
  <c r="P968" i="1"/>
  <c r="P969" i="1" a="1"/>
  <c r="P969" i="1"/>
  <c r="P970" i="1" a="1"/>
  <c r="P970" i="1" s="1"/>
  <c r="P971" i="1" a="1"/>
  <c r="P971" i="1" s="1"/>
  <c r="P972" i="1" a="1"/>
  <c r="P972" i="1"/>
  <c r="P973" i="1" a="1"/>
  <c r="P973" i="1" s="1"/>
  <c r="P974" i="1" a="1"/>
  <c r="P974" i="1" s="1"/>
  <c r="P975" i="1" a="1"/>
  <c r="P975" i="1" s="1"/>
  <c r="P976" i="1" a="1"/>
  <c r="P976" i="1"/>
  <c r="P977" i="1" a="1"/>
  <c r="P977" i="1" s="1"/>
  <c r="P978" i="1" a="1"/>
  <c r="P978" i="1" s="1"/>
  <c r="P979" i="1" a="1"/>
  <c r="P979" i="1" s="1"/>
  <c r="P980" i="1" a="1"/>
  <c r="P980" i="1"/>
  <c r="P981" i="1" a="1"/>
  <c r="P981" i="1" s="1"/>
  <c r="P982" i="1" a="1"/>
  <c r="P982" i="1" s="1"/>
  <c r="P983" i="1" a="1"/>
  <c r="P983" i="1" s="1"/>
  <c r="P984" i="1" a="1"/>
  <c r="P984" i="1"/>
  <c r="P985" i="1" a="1"/>
  <c r="P985" i="1"/>
  <c r="P986" i="1" a="1"/>
  <c r="P986" i="1" s="1"/>
  <c r="P987" i="1" a="1"/>
  <c r="P987" i="1" s="1"/>
  <c r="P988" i="1" a="1"/>
  <c r="P988" i="1"/>
  <c r="P989" i="1" a="1"/>
  <c r="P989" i="1" s="1"/>
  <c r="P990" i="1" a="1"/>
  <c r="P990" i="1" s="1"/>
  <c r="P991" i="1" a="1"/>
  <c r="P991" i="1" s="1"/>
  <c r="P992" i="1" a="1"/>
  <c r="P992" i="1"/>
  <c r="P993" i="1" a="1"/>
  <c r="P993" i="1" s="1"/>
  <c r="P994" i="1" a="1"/>
  <c r="P994" i="1" s="1"/>
  <c r="P995" i="1" a="1"/>
  <c r="P995" i="1" s="1"/>
  <c r="P996" i="1" a="1"/>
  <c r="P996" i="1"/>
  <c r="P997" i="1" a="1"/>
  <c r="P997" i="1" s="1"/>
  <c r="P998" i="1" a="1"/>
  <c r="P998" i="1" s="1"/>
  <c r="P999" i="1" a="1"/>
  <c r="P999" i="1" s="1"/>
  <c r="P1000" i="1" a="1"/>
  <c r="P1000" i="1" s="1"/>
  <c r="P1001" i="1" a="1"/>
  <c r="P1001" i="1"/>
  <c r="P1002" i="1" a="1"/>
  <c r="P1002" i="1" s="1"/>
  <c r="P1003" i="1" a="1"/>
  <c r="P1003" i="1" s="1"/>
  <c r="P1004" i="1" a="1"/>
  <c r="P1004" i="1" s="1"/>
  <c r="P1005" i="1" a="1"/>
  <c r="P1005" i="1" s="1"/>
  <c r="P1006" i="1" a="1"/>
  <c r="P1006" i="1" s="1"/>
  <c r="P1007" i="1" a="1"/>
  <c r="P1007" i="1" s="1"/>
  <c r="P1008" i="1" a="1"/>
  <c r="P1008" i="1"/>
  <c r="P1009" i="1" a="1"/>
  <c r="P1009" i="1" s="1"/>
  <c r="P1010" i="1" a="1"/>
  <c r="P1010" i="1" s="1"/>
  <c r="P1011" i="1" a="1"/>
  <c r="P1011" i="1" s="1"/>
  <c r="P1012" i="1" a="1"/>
  <c r="P1012" i="1"/>
  <c r="P1013" i="1" a="1"/>
  <c r="P1013" i="1" s="1"/>
  <c r="P1014" i="1" a="1"/>
  <c r="P1014" i="1" s="1"/>
  <c r="P1015" i="1" a="1"/>
  <c r="P1015" i="1" s="1"/>
  <c r="P1016" i="1" a="1"/>
  <c r="P1016" i="1" s="1"/>
  <c r="P1017" i="1" a="1"/>
  <c r="P1017" i="1"/>
  <c r="P1018" i="1" a="1"/>
  <c r="P1018" i="1" s="1"/>
  <c r="P1019" i="1" a="1"/>
  <c r="P1019" i="1" s="1"/>
  <c r="P1020" i="1" a="1"/>
  <c r="P1020" i="1" s="1"/>
  <c r="P1021" i="1" a="1"/>
  <c r="P1021" i="1" s="1"/>
  <c r="P1022" i="1" a="1"/>
  <c r="P1022" i="1" s="1"/>
  <c r="P1023" i="1" a="1"/>
  <c r="P1023" i="1" s="1"/>
  <c r="P1024" i="1" a="1"/>
  <c r="P1024" i="1" s="1"/>
  <c r="P1025" i="1" a="1"/>
  <c r="P1025" i="1" s="1"/>
  <c r="P1026" i="1" a="1"/>
  <c r="P1026" i="1" s="1"/>
  <c r="P1027" i="1" a="1"/>
  <c r="P1027" i="1" s="1"/>
  <c r="P1028" i="1" a="1"/>
  <c r="P1028" i="1"/>
  <c r="P1029" i="1" a="1"/>
  <c r="P1029" i="1" s="1"/>
  <c r="P1030" i="1" a="1"/>
  <c r="P1030" i="1" s="1"/>
  <c r="P1031" i="1" a="1"/>
  <c r="P1031" i="1" s="1"/>
  <c r="P1032" i="1" a="1"/>
  <c r="P1032" i="1" s="1"/>
  <c r="P1033" i="1" a="1"/>
  <c r="P1033" i="1"/>
  <c r="P1034" i="1" a="1"/>
  <c r="P1034" i="1" s="1"/>
  <c r="P1035" i="1" a="1"/>
  <c r="P1035" i="1" s="1"/>
  <c r="P1036" i="1" a="1"/>
  <c r="P1036" i="1" s="1"/>
  <c r="P1037" i="1" a="1"/>
  <c r="P1037" i="1" s="1"/>
  <c r="P1038" i="1" a="1"/>
  <c r="P1038" i="1"/>
  <c r="P1039" i="1" a="1"/>
  <c r="P1039" i="1" s="1"/>
  <c r="P1040" i="1" a="1"/>
  <c r="P1040" i="1" s="1"/>
  <c r="P1041" i="1" a="1"/>
  <c r="P1041" i="1"/>
  <c r="P1042" i="1" a="1"/>
  <c r="P1042" i="1" s="1"/>
  <c r="P1043" i="1" a="1"/>
  <c r="P1043" i="1" s="1"/>
  <c r="P1044" i="1" a="1"/>
  <c r="P1044" i="1"/>
  <c r="P1045" i="1" a="1"/>
  <c r="P1045" i="1" s="1"/>
  <c r="P1046" i="1" a="1"/>
  <c r="P1046" i="1" s="1"/>
  <c r="P1047" i="1" a="1"/>
  <c r="P1047" i="1" s="1"/>
  <c r="P1048" i="1" a="1"/>
  <c r="P1048" i="1" s="1"/>
  <c r="P1049" i="1" a="1"/>
  <c r="P1049" i="1" s="1"/>
  <c r="P1050" i="1" a="1"/>
  <c r="P1050" i="1"/>
  <c r="P1051" i="1" a="1"/>
  <c r="P1051" i="1" s="1"/>
  <c r="P1052" i="1" a="1"/>
  <c r="P1052" i="1"/>
  <c r="P1053" i="1" a="1"/>
  <c r="P1053" i="1" s="1"/>
  <c r="P1054" i="1" a="1"/>
  <c r="P1054" i="1" s="1"/>
  <c r="P1055" i="1" a="1"/>
  <c r="P1055" i="1" s="1"/>
  <c r="P1056" i="1" a="1"/>
  <c r="P1056" i="1" s="1"/>
  <c r="P1057" i="1" a="1"/>
  <c r="P1057" i="1"/>
  <c r="P1058" i="1" a="1"/>
  <c r="P1058" i="1" s="1"/>
  <c r="P1059" i="1" a="1"/>
  <c r="P1059" i="1" s="1"/>
  <c r="P1060" i="1" a="1"/>
  <c r="P1060" i="1" s="1"/>
  <c r="P1061" i="1" a="1"/>
  <c r="P1061" i="1"/>
  <c r="P1062" i="1" a="1"/>
  <c r="P1062" i="1" s="1"/>
  <c r="P1063" i="1" a="1"/>
  <c r="P1063" i="1" s="1"/>
  <c r="P1064" i="1" a="1"/>
  <c r="P1064" i="1"/>
  <c r="P1065" i="1" a="1"/>
  <c r="P1065" i="1" s="1"/>
  <c r="P1066" i="1" a="1"/>
  <c r="P1066" i="1" s="1"/>
  <c r="P1067" i="1" a="1"/>
  <c r="P1067" i="1" s="1"/>
  <c r="P1068" i="1" a="1"/>
  <c r="P1068" i="1" s="1"/>
  <c r="P1069" i="1" a="1"/>
  <c r="P1069" i="1" s="1"/>
  <c r="P1070" i="1" a="1"/>
  <c r="P1070" i="1"/>
  <c r="P1071" i="1" a="1"/>
  <c r="P1071" i="1" s="1"/>
  <c r="P1072" i="1" a="1"/>
  <c r="P1072" i="1" s="1"/>
  <c r="P1073" i="1" a="1"/>
  <c r="P1073" i="1"/>
  <c r="P1074" i="1" a="1"/>
  <c r="P1074" i="1" s="1"/>
  <c r="P1075" i="1" a="1"/>
  <c r="P1075" i="1" s="1"/>
  <c r="P1076" i="1" a="1"/>
  <c r="P1076" i="1"/>
  <c r="P1077" i="1" a="1"/>
  <c r="P1077" i="1" s="1"/>
  <c r="P1078" i="1" a="1"/>
  <c r="P1078" i="1" s="1"/>
  <c r="P1079" i="1" a="1"/>
  <c r="P1079" i="1" s="1"/>
  <c r="P1080" i="1" a="1"/>
  <c r="P1080" i="1" s="1"/>
  <c r="P1081" i="1" a="1"/>
  <c r="P1081" i="1" s="1"/>
  <c r="P1082" i="1" a="1"/>
  <c r="P1082" i="1"/>
  <c r="P1083" i="1" a="1"/>
  <c r="P1083" i="1" s="1"/>
  <c r="P1084" i="1" a="1"/>
  <c r="P1084" i="1"/>
  <c r="P1085" i="1" a="1"/>
  <c r="P1085" i="1" s="1"/>
  <c r="P1086" i="1" a="1"/>
  <c r="P1086" i="1" s="1"/>
  <c r="P1087" i="1" a="1"/>
  <c r="P1087" i="1" s="1"/>
  <c r="P1088" i="1" a="1"/>
  <c r="P1088" i="1" s="1"/>
  <c r="P1089" i="1" a="1"/>
  <c r="P1089" i="1" s="1"/>
  <c r="P1090" i="1" a="1"/>
  <c r="P1090" i="1" s="1"/>
  <c r="P1091" i="1" a="1"/>
  <c r="P1091" i="1" s="1"/>
  <c r="P1092" i="1" a="1"/>
  <c r="P1092" i="1" s="1"/>
  <c r="P1093" i="1" a="1"/>
  <c r="P1093" i="1"/>
  <c r="P1094" i="1" a="1"/>
  <c r="P1094" i="1"/>
  <c r="P1095" i="1" a="1"/>
  <c r="P1095" i="1" s="1"/>
  <c r="P1096" i="1" a="1"/>
  <c r="P1096" i="1"/>
  <c r="P1097" i="1" a="1"/>
  <c r="P1097" i="1" s="1"/>
  <c r="P1098" i="1" a="1"/>
  <c r="P1098" i="1" s="1"/>
  <c r="P1099" i="1" a="1"/>
  <c r="P1099" i="1" s="1"/>
  <c r="P1100" i="1" a="1"/>
  <c r="P1100" i="1" s="1"/>
  <c r="P1101" i="1" a="1"/>
  <c r="P1101" i="1" s="1"/>
  <c r="P1102" i="1" a="1"/>
  <c r="P1102" i="1"/>
  <c r="P1103" i="1" a="1"/>
  <c r="P1103" i="1" s="1"/>
  <c r="P1104" i="1" a="1"/>
  <c r="P1104" i="1" s="1"/>
  <c r="P1105" i="1" a="1"/>
  <c r="P1105" i="1"/>
  <c r="P1106" i="1" a="1"/>
  <c r="P1106" i="1" s="1"/>
  <c r="P1107" i="1" a="1"/>
  <c r="P1107" i="1" s="1"/>
  <c r="P1108" i="1" a="1"/>
  <c r="P1108" i="1"/>
  <c r="P1109" i="1" a="1"/>
  <c r="P1109" i="1" s="1"/>
  <c r="P1110" i="1" a="1"/>
  <c r="P1110" i="1" s="1"/>
  <c r="P1111" i="1" a="1"/>
  <c r="P1111" i="1" s="1"/>
  <c r="P1112" i="1" a="1"/>
  <c r="P1112" i="1" s="1"/>
  <c r="P1113" i="1" a="1"/>
  <c r="P1113" i="1" s="1"/>
  <c r="P1114" i="1" a="1"/>
  <c r="P1114" i="1"/>
  <c r="P1115" i="1" a="1"/>
  <c r="P1115" i="1" s="1"/>
  <c r="P1116" i="1" a="1"/>
  <c r="P1116" i="1"/>
  <c r="P1117" i="1" a="1"/>
  <c r="P1117" i="1" s="1"/>
  <c r="P1118" i="1" a="1"/>
  <c r="P1118" i="1" s="1"/>
  <c r="P1119" i="1" a="1"/>
  <c r="P1119" i="1" s="1"/>
  <c r="P1120" i="1" a="1"/>
  <c r="P1120" i="1" s="1"/>
  <c r="P1121" i="1" a="1"/>
  <c r="P1121" i="1"/>
  <c r="P1122" i="1" a="1"/>
  <c r="P1122" i="1" s="1"/>
  <c r="P1123" i="1" a="1"/>
  <c r="P1123" i="1" s="1"/>
  <c r="P1124" i="1" a="1"/>
  <c r="P1124" i="1" s="1"/>
  <c r="P1125" i="1" a="1"/>
  <c r="P1125" i="1"/>
  <c r="P1126" i="1" a="1"/>
  <c r="P1126" i="1" s="1"/>
  <c r="P1127" i="1" a="1"/>
  <c r="P1127" i="1" s="1"/>
  <c r="P1128" i="1" a="1"/>
  <c r="P1128" i="1"/>
  <c r="P1129" i="1" a="1"/>
  <c r="P1129" i="1" s="1"/>
  <c r="P1130" i="1" a="1"/>
  <c r="P1130" i="1" s="1"/>
  <c r="P1131" i="1" a="1"/>
  <c r="P1131" i="1" s="1"/>
  <c r="P1132" i="1" a="1"/>
  <c r="P1132" i="1" s="1"/>
  <c r="P1133" i="1" a="1"/>
  <c r="P1133" i="1" s="1"/>
  <c r="P1134" i="1" a="1"/>
  <c r="P1134" i="1"/>
  <c r="P1135" i="1" a="1"/>
  <c r="P1135" i="1" s="1"/>
  <c r="P1136" i="1" a="1"/>
  <c r="P1136" i="1" s="1"/>
  <c r="P1137" i="1" a="1"/>
  <c r="P1137" i="1"/>
  <c r="P1138" i="1" a="1"/>
  <c r="P1138" i="1" s="1"/>
  <c r="P1139" i="1" a="1"/>
  <c r="P1139" i="1" s="1"/>
  <c r="P1140" i="1" a="1"/>
  <c r="P1140" i="1"/>
  <c r="P1141" i="1" a="1"/>
  <c r="P1141" i="1" s="1"/>
  <c r="P1142" i="1" a="1"/>
  <c r="P1142" i="1" s="1"/>
  <c r="P1143" i="1" a="1"/>
  <c r="P1143" i="1" s="1"/>
  <c r="P1144" i="1" a="1"/>
  <c r="P1144" i="1" s="1"/>
  <c r="P1145" i="1" a="1"/>
  <c r="P1145" i="1" s="1"/>
  <c r="P1146" i="1" a="1"/>
  <c r="P1146" i="1"/>
  <c r="P1147" i="1" a="1"/>
  <c r="P1147" i="1" s="1"/>
  <c r="P1148" i="1" a="1"/>
  <c r="P1148" i="1"/>
  <c r="P1149" i="1" a="1"/>
  <c r="P1149" i="1" s="1"/>
  <c r="P1150" i="1" a="1"/>
  <c r="P1150" i="1" s="1"/>
  <c r="P1151" i="1" a="1"/>
  <c r="P1151" i="1" s="1"/>
  <c r="P1152" i="1" a="1"/>
  <c r="P1152" i="1" s="1"/>
  <c r="P1153" i="1" a="1"/>
  <c r="P1153" i="1" s="1"/>
  <c r="P1154" i="1" a="1"/>
  <c r="P1154" i="1" s="1"/>
  <c r="P1155" i="1" a="1"/>
  <c r="P1155" i="1" s="1"/>
  <c r="P1156" i="1" a="1"/>
  <c r="P1156" i="1" s="1"/>
  <c r="P1157" i="1" a="1"/>
  <c r="P1157" i="1"/>
  <c r="P1158" i="1" a="1"/>
  <c r="P1158" i="1"/>
  <c r="P1159" i="1" a="1"/>
  <c r="P1159" i="1" s="1"/>
  <c r="P1160" i="1" a="1"/>
  <c r="P1160" i="1"/>
  <c r="P1161" i="1" a="1"/>
  <c r="P1161" i="1" s="1"/>
  <c r="P1162" i="1" a="1"/>
  <c r="P1162" i="1" s="1"/>
  <c r="P1163" i="1" a="1"/>
  <c r="P1163" i="1" s="1"/>
  <c r="P1164" i="1" a="1"/>
  <c r="P1164" i="1" s="1"/>
  <c r="P1165" i="1" a="1"/>
  <c r="P1165" i="1" s="1"/>
  <c r="P1166" i="1" a="1"/>
  <c r="P1166" i="1"/>
  <c r="P1167" i="1" a="1"/>
  <c r="P1167" i="1" s="1"/>
  <c r="P1168" i="1" a="1"/>
  <c r="P1168" i="1" s="1"/>
  <c r="P1169" i="1" a="1"/>
  <c r="P1169" i="1"/>
  <c r="P1170" i="1" a="1"/>
  <c r="P1170" i="1" s="1"/>
  <c r="P1171" i="1" a="1"/>
  <c r="P1171" i="1" s="1"/>
  <c r="P1172" i="1" a="1"/>
  <c r="P1172" i="1"/>
  <c r="P1173" i="1" a="1"/>
  <c r="P1173" i="1" s="1"/>
  <c r="P1174" i="1" a="1"/>
  <c r="P1174" i="1" s="1"/>
  <c r="P1175" i="1" a="1"/>
  <c r="P1175" i="1" s="1"/>
  <c r="P1176" i="1" a="1"/>
  <c r="P1176" i="1" s="1"/>
  <c r="P1177" i="1" a="1"/>
  <c r="P1177" i="1" s="1"/>
  <c r="P1178" i="1" a="1"/>
  <c r="P1178" i="1"/>
  <c r="P1179" i="1" a="1"/>
  <c r="P1179" i="1" s="1"/>
  <c r="P1180" i="1" a="1"/>
  <c r="P1180" i="1"/>
  <c r="P1181" i="1" a="1"/>
  <c r="P1181" i="1" s="1"/>
  <c r="P1182" i="1" a="1"/>
  <c r="P1182" i="1" s="1"/>
  <c r="P1183" i="1" a="1"/>
  <c r="P1183" i="1" s="1"/>
  <c r="P1184" i="1" a="1"/>
  <c r="P1184" i="1" s="1"/>
  <c r="P1185" i="1" a="1"/>
  <c r="P1185" i="1"/>
  <c r="P1186" i="1" a="1"/>
  <c r="P1186" i="1" s="1"/>
  <c r="P1187" i="1" a="1"/>
  <c r="P1187" i="1" s="1"/>
  <c r="P1188" i="1" a="1"/>
  <c r="P1188" i="1" s="1"/>
  <c r="P1189" i="1" a="1"/>
  <c r="P1189" i="1"/>
  <c r="P1190" i="1" a="1"/>
  <c r="P1190" i="1" s="1"/>
  <c r="P1191" i="1" a="1"/>
  <c r="P1191" i="1" s="1"/>
  <c r="P1192" i="1" a="1"/>
  <c r="P1192" i="1"/>
  <c r="P1193" i="1" a="1"/>
  <c r="P1193" i="1" s="1"/>
  <c r="P1194" i="1" a="1"/>
  <c r="P1194" i="1" s="1"/>
  <c r="P1195" i="1" a="1"/>
  <c r="P1195" i="1" s="1"/>
  <c r="P1196" i="1" a="1"/>
  <c r="P1196" i="1" s="1"/>
  <c r="P1197" i="1" a="1"/>
  <c r="P1197" i="1" s="1"/>
  <c r="P1198" i="1" a="1"/>
  <c r="P1198" i="1"/>
  <c r="P1199" i="1" a="1"/>
  <c r="P1199" i="1" s="1"/>
  <c r="P1200" i="1" a="1"/>
  <c r="P1200" i="1" s="1"/>
  <c r="P1201" i="1" a="1"/>
  <c r="P1201" i="1" s="1"/>
  <c r="P1202" i="1" a="1"/>
  <c r="P1202" i="1"/>
  <c r="P1203" i="1" a="1"/>
  <c r="P1203" i="1"/>
  <c r="P1204" i="1" a="1"/>
  <c r="P1204" i="1" s="1"/>
  <c r="P1205" i="1" a="1"/>
  <c r="P1205" i="1" s="1"/>
  <c r="P1206" i="1" a="1"/>
  <c r="P1206" i="1"/>
  <c r="P1207" i="1" a="1"/>
  <c r="P1207" i="1"/>
  <c r="P1208" i="1" a="1"/>
  <c r="P1208" i="1" s="1"/>
  <c r="P1209" i="1" a="1"/>
  <c r="P1209" i="1" s="1"/>
  <c r="P1210" i="1" a="1"/>
  <c r="P1210" i="1"/>
  <c r="P1211" i="1" a="1"/>
  <c r="P1211" i="1"/>
  <c r="P1212" i="1" a="1"/>
  <c r="P1212" i="1" s="1"/>
  <c r="P1213" i="1" a="1"/>
  <c r="P1213" i="1" s="1"/>
  <c r="P1214" i="1" a="1"/>
  <c r="P1214" i="1"/>
  <c r="P1215" i="1" a="1"/>
  <c r="P1215" i="1" s="1"/>
  <c r="P1216" i="1" a="1"/>
  <c r="P1216" i="1" s="1"/>
  <c r="P1217" i="1" a="1"/>
  <c r="P1217" i="1" s="1"/>
  <c r="P1218" i="1" a="1"/>
  <c r="P1218" i="1"/>
  <c r="P1219" i="1" a="1"/>
  <c r="P1219" i="1"/>
  <c r="P1220" i="1" a="1"/>
  <c r="P1220" i="1" s="1"/>
  <c r="P1221" i="1" a="1"/>
  <c r="P1221" i="1" s="1"/>
  <c r="P1222" i="1" a="1"/>
  <c r="P1222" i="1"/>
  <c r="P1223" i="1" a="1"/>
  <c r="P1223" i="1"/>
  <c r="P1224" i="1" a="1"/>
  <c r="P1224" i="1" s="1"/>
  <c r="P1225" i="1" a="1"/>
  <c r="P1225" i="1" s="1"/>
  <c r="P1226" i="1" a="1"/>
  <c r="P1226" i="1"/>
  <c r="P1227" i="1" a="1"/>
  <c r="P1227" i="1"/>
  <c r="P1228" i="1" a="1"/>
  <c r="P1228" i="1" s="1"/>
  <c r="P1229" i="1" a="1"/>
  <c r="P1229" i="1" s="1"/>
  <c r="P1230" i="1" a="1"/>
  <c r="P1230" i="1"/>
  <c r="P1231" i="1" a="1"/>
  <c r="P1231" i="1" s="1"/>
  <c r="P1232" i="1" a="1"/>
  <c r="P1232" i="1" s="1"/>
  <c r="P1233" i="1" a="1"/>
  <c r="P1233" i="1" s="1"/>
  <c r="P1234" i="1" a="1"/>
  <c r="P1234" i="1"/>
  <c r="P1235" i="1" a="1"/>
  <c r="P1235" i="1"/>
  <c r="P1236" i="1" a="1"/>
  <c r="P1236" i="1" s="1"/>
  <c r="P1237" i="1" a="1"/>
  <c r="P1237" i="1" s="1"/>
  <c r="P1238" i="1" a="1"/>
  <c r="P1238" i="1"/>
  <c r="P1239" i="1" a="1"/>
  <c r="P1239" i="1"/>
  <c r="P1240" i="1" a="1"/>
  <c r="P1240" i="1" s="1"/>
  <c r="P1241" i="1" a="1"/>
  <c r="P1241" i="1" s="1"/>
  <c r="P1242" i="1" a="1"/>
  <c r="P1242" i="1"/>
  <c r="P1243" i="1" a="1"/>
  <c r="P1243" i="1"/>
  <c r="P1244" i="1" a="1"/>
  <c r="P1244" i="1" s="1"/>
  <c r="P1245" i="1" a="1"/>
  <c r="P1245" i="1" s="1"/>
  <c r="P1246" i="1" a="1"/>
  <c r="P1246" i="1"/>
  <c r="P1247" i="1" a="1"/>
  <c r="P1247" i="1" s="1"/>
  <c r="P1248" i="1" a="1"/>
  <c r="P1248" i="1" s="1"/>
  <c r="P1249" i="1" a="1"/>
  <c r="P1249" i="1" s="1"/>
  <c r="P1250" i="1" a="1"/>
  <c r="P1250" i="1"/>
  <c r="P1251" i="1" a="1"/>
  <c r="P1251" i="1"/>
  <c r="P1252" i="1" a="1"/>
  <c r="P1252" i="1" s="1"/>
  <c r="P1253" i="1" a="1"/>
  <c r="P1253" i="1" s="1"/>
  <c r="P1254" i="1" a="1"/>
  <c r="P1254" i="1"/>
  <c r="P1255" i="1" a="1"/>
  <c r="P1255" i="1"/>
  <c r="P1256" i="1" a="1"/>
  <c r="P1256" i="1" s="1"/>
  <c r="P1257" i="1" a="1"/>
  <c r="P1257" i="1" s="1"/>
  <c r="P1258" i="1" a="1"/>
  <c r="P1258" i="1"/>
  <c r="P1259" i="1" a="1"/>
  <c r="P1259" i="1"/>
  <c r="P1260" i="1" a="1"/>
  <c r="P1260" i="1" s="1"/>
  <c r="P1261" i="1" a="1"/>
  <c r="P1261" i="1" s="1"/>
  <c r="P1262" i="1" a="1"/>
  <c r="P1262" i="1"/>
  <c r="P1263" i="1" a="1"/>
  <c r="P1263" i="1" s="1"/>
  <c r="P1264" i="1" a="1"/>
  <c r="P1264" i="1"/>
  <c r="P1265" i="1" a="1"/>
  <c r="P1265" i="1" s="1"/>
  <c r="P1266" i="1" a="1"/>
  <c r="P1266" i="1"/>
  <c r="P1267" i="1" a="1"/>
  <c r="P1267" i="1"/>
  <c r="P1268" i="1" a="1"/>
  <c r="P1268" i="1"/>
  <c r="P1269" i="1" a="1"/>
  <c r="P1269" i="1" s="1"/>
  <c r="P1270" i="1" a="1"/>
  <c r="P1270" i="1"/>
  <c r="P1271" i="1" a="1"/>
  <c r="P1271" i="1"/>
  <c r="P1272" i="1" a="1"/>
  <c r="P1272" i="1"/>
  <c r="P1273" i="1" a="1"/>
  <c r="P1273" i="1" s="1"/>
  <c r="P1274" i="1" a="1"/>
  <c r="P1274" i="1"/>
  <c r="P1275" i="1" a="1"/>
  <c r="P1275" i="1" s="1"/>
  <c r="P1276" i="1" a="1"/>
  <c r="P1276" i="1"/>
  <c r="P1277" i="1" a="1"/>
  <c r="P1277" i="1" s="1"/>
  <c r="P1278" i="1" a="1"/>
  <c r="P1278" i="1"/>
  <c r="P1279" i="1" a="1"/>
  <c r="P1279" i="1"/>
  <c r="P1280" i="1" a="1"/>
  <c r="P1280" i="1"/>
  <c r="P1281" i="1" a="1"/>
  <c r="P1281" i="1" s="1"/>
  <c r="P1282" i="1" a="1"/>
  <c r="P1282" i="1"/>
  <c r="P1283" i="1" a="1"/>
  <c r="P1283" i="1"/>
  <c r="P1284" i="1" a="1"/>
  <c r="P1284" i="1"/>
  <c r="P1285" i="1" a="1"/>
  <c r="P1285" i="1" s="1"/>
  <c r="P1286" i="1" a="1"/>
  <c r="P1286" i="1"/>
  <c r="P1287" i="1" a="1"/>
  <c r="P1287" i="1"/>
  <c r="P1288" i="1" a="1"/>
  <c r="P1288" i="1"/>
  <c r="P1289" i="1" a="1"/>
  <c r="P1289" i="1" s="1"/>
  <c r="P1290" i="1" a="1"/>
  <c r="P1290" i="1"/>
  <c r="P1291" i="1" a="1"/>
  <c r="P1291" i="1" s="1"/>
  <c r="P1292" i="1" a="1"/>
  <c r="P1292" i="1"/>
  <c r="P1293" i="1" a="1"/>
  <c r="P1293" i="1" s="1"/>
  <c r="P1294" i="1" a="1"/>
  <c r="P1294" i="1"/>
  <c r="P1295" i="1" a="1"/>
  <c r="P1295" i="1" s="1"/>
  <c r="P1296" i="1" a="1"/>
  <c r="P1296" i="1"/>
  <c r="P1297" i="1" a="1"/>
  <c r="P1297" i="1" s="1"/>
  <c r="P1298" i="1" a="1"/>
  <c r="P1298" i="1"/>
  <c r="P1299" i="1" a="1"/>
  <c r="P1299" i="1" s="1"/>
  <c r="P1300" i="1" a="1"/>
  <c r="P1300" i="1"/>
  <c r="P1301" i="1" a="1"/>
  <c r="P1301" i="1" s="1"/>
  <c r="P1302" i="1" a="1"/>
  <c r="P1302" i="1"/>
  <c r="P1303" i="1" a="1"/>
  <c r="P1303" i="1"/>
  <c r="P1304" i="1" a="1"/>
  <c r="P1304" i="1"/>
  <c r="P1305" i="1" a="1"/>
  <c r="P1305" i="1" s="1"/>
  <c r="P1306" i="1" a="1"/>
  <c r="P1306" i="1"/>
  <c r="P1307" i="1" a="1"/>
  <c r="P1307" i="1" s="1"/>
  <c r="P1308" i="1" a="1"/>
  <c r="P1308" i="1"/>
  <c r="P1309" i="1" a="1"/>
  <c r="P1309" i="1" s="1"/>
  <c r="P1310" i="1" a="1"/>
  <c r="P1310" i="1"/>
  <c r="P1311" i="1" a="1"/>
  <c r="P1311" i="1"/>
  <c r="P1312" i="1" a="1"/>
  <c r="P1312" i="1"/>
  <c r="P1313" i="1" a="1"/>
  <c r="P1313" i="1" s="1"/>
  <c r="P1314" i="1" a="1"/>
  <c r="P1314" i="1"/>
  <c r="P1315" i="1" a="1"/>
  <c r="P1315" i="1"/>
  <c r="P1316" i="1" a="1"/>
  <c r="P1316" i="1"/>
  <c r="P1317" i="1" a="1"/>
  <c r="P1317" i="1" s="1"/>
  <c r="P1318" i="1" a="1"/>
  <c r="P1318" i="1"/>
  <c r="P1319" i="1" a="1"/>
  <c r="P1319" i="1"/>
  <c r="P1320" i="1" a="1"/>
  <c r="P1320" i="1"/>
  <c r="P1321" i="1" a="1"/>
  <c r="P1321" i="1" s="1"/>
  <c r="P1322" i="1" a="1"/>
  <c r="P1322" i="1"/>
  <c r="P1323" i="1" a="1"/>
  <c r="P1323" i="1" s="1"/>
  <c r="P1324" i="1" a="1"/>
  <c r="P1324" i="1"/>
  <c r="P1325" i="1" a="1"/>
  <c r="P1325" i="1" s="1"/>
  <c r="P1326" i="1" a="1"/>
  <c r="P1326" i="1"/>
  <c r="P1327" i="1" a="1"/>
  <c r="P1327" i="1" s="1"/>
  <c r="P1328" i="1" a="1"/>
  <c r="P1328" i="1"/>
  <c r="P1329" i="1" a="1"/>
  <c r="P1329" i="1" s="1"/>
  <c r="P1330" i="1" a="1"/>
  <c r="P1330" i="1"/>
  <c r="P1331" i="1" a="1"/>
  <c r="P1331" i="1" s="1"/>
  <c r="P1332" i="1" a="1"/>
  <c r="P1332" i="1"/>
  <c r="P1333" i="1" a="1"/>
  <c r="P1333" i="1" s="1"/>
  <c r="P1334" i="1" a="1"/>
  <c r="P1334" i="1"/>
  <c r="P1335" i="1" a="1"/>
  <c r="P1335" i="1"/>
  <c r="P1336" i="1" a="1"/>
  <c r="P1336" i="1" s="1"/>
  <c r="P1337" i="1" a="1"/>
  <c r="P1337" i="1" s="1"/>
  <c r="P1338" i="1" a="1"/>
  <c r="P1338" i="1"/>
  <c r="P1339" i="1" a="1"/>
  <c r="P1339" i="1" s="1"/>
  <c r="P1340" i="1" a="1"/>
  <c r="P1340" i="1" s="1"/>
  <c r="P1341" i="1" a="1"/>
  <c r="P1341" i="1" s="1"/>
  <c r="P1342" i="1" a="1"/>
  <c r="P1342" i="1"/>
  <c r="P1343" i="1" a="1"/>
  <c r="P1343" i="1"/>
  <c r="P1344" i="1" a="1"/>
  <c r="P1344" i="1"/>
  <c r="P1345" i="1" a="1"/>
  <c r="P1345" i="1" s="1"/>
  <c r="P1346" i="1" a="1"/>
  <c r="P1346" i="1"/>
  <c r="P1347" i="1" a="1"/>
  <c r="P1347" i="1" s="1"/>
  <c r="P1348" i="1" a="1"/>
  <c r="P1348" i="1" s="1"/>
  <c r="P1349" i="1" a="1"/>
  <c r="P1349" i="1" s="1"/>
  <c r="P1350" i="1" a="1"/>
  <c r="P1350" i="1"/>
  <c r="P1351" i="1" a="1"/>
  <c r="P1351" i="1"/>
  <c r="P1352" i="1" a="1"/>
  <c r="P1352" i="1"/>
  <c r="P1353" i="1" a="1"/>
  <c r="P1353" i="1" s="1"/>
  <c r="P1354" i="1" a="1"/>
  <c r="P1354" i="1"/>
  <c r="P1355" i="1" a="1"/>
  <c r="P1355" i="1" s="1"/>
  <c r="P1356" i="1" a="1"/>
  <c r="P1356" i="1"/>
  <c r="P1357" i="1" a="1"/>
  <c r="P1357" i="1" s="1"/>
  <c r="P1358" i="1" a="1"/>
  <c r="P1358" i="1"/>
  <c r="P1359" i="1" a="1"/>
  <c r="P1359" i="1" s="1"/>
  <c r="P1360" i="1" a="1"/>
  <c r="P1360" i="1"/>
  <c r="P1361" i="1" a="1"/>
  <c r="P1361" i="1" s="1"/>
  <c r="P1362" i="1" a="1"/>
  <c r="P1362" i="1"/>
  <c r="P1363" i="1" a="1"/>
  <c r="P1363" i="1"/>
  <c r="P1364" i="1" a="1"/>
  <c r="P1364" i="1" s="1"/>
  <c r="P1365" i="1" a="1"/>
  <c r="P1365" i="1" s="1"/>
  <c r="P1366" i="1" a="1"/>
  <c r="P1366" i="1"/>
  <c r="P1367" i="1" a="1"/>
  <c r="P1367" i="1"/>
  <c r="P1368" i="1" a="1"/>
  <c r="P1368" i="1" s="1"/>
  <c r="P1369" i="1" a="1"/>
  <c r="P1369" i="1" s="1"/>
  <c r="P1370" i="1" a="1"/>
  <c r="P1370" i="1" s="1"/>
  <c r="P1371" i="1" a="1"/>
  <c r="P1371" i="1" s="1"/>
  <c r="P1372" i="1" a="1"/>
  <c r="P1372" i="1" s="1"/>
  <c r="P1373" i="1" a="1"/>
  <c r="P1373" i="1" s="1"/>
  <c r="P1374" i="1" a="1"/>
  <c r="P1374" i="1"/>
  <c r="P1375" i="1" a="1"/>
  <c r="P1375" i="1"/>
  <c r="P1376" i="1" a="1"/>
  <c r="P1376" i="1"/>
  <c r="P1377" i="1" a="1"/>
  <c r="P1377" i="1" s="1"/>
  <c r="P1378" i="1" a="1"/>
  <c r="P1378" i="1" s="1"/>
  <c r="P1379" i="1" a="1"/>
  <c r="P1379" i="1" s="1"/>
  <c r="P1380" i="1" a="1"/>
  <c r="P1380" i="1" s="1"/>
  <c r="P1381" i="1" a="1"/>
  <c r="P1381" i="1" s="1"/>
  <c r="P1382" i="1" a="1"/>
  <c r="P1382" i="1" s="1"/>
  <c r="P1383" i="1" a="1"/>
  <c r="P1383" i="1"/>
  <c r="P1384" i="1" a="1"/>
  <c r="P1384" i="1"/>
  <c r="P1385" i="1" a="1"/>
  <c r="P1385" i="1" s="1"/>
  <c r="P1386" i="1" a="1"/>
  <c r="P1386" i="1"/>
  <c r="P1387" i="1" a="1"/>
  <c r="P1387" i="1" s="1"/>
  <c r="P1388" i="1" a="1"/>
  <c r="P1388" i="1" s="1"/>
  <c r="P1389" i="1" a="1"/>
  <c r="P1389" i="1" s="1"/>
  <c r="P1390" i="1" a="1"/>
  <c r="P1390" i="1"/>
  <c r="P1391" i="1" a="1"/>
  <c r="P1391" i="1" s="1"/>
  <c r="P1392" i="1" a="1"/>
  <c r="P1392" i="1"/>
  <c r="P1393" i="1" a="1"/>
  <c r="P1393" i="1" s="1"/>
  <c r="P1394" i="1" a="1"/>
  <c r="P1394" i="1" s="1"/>
  <c r="P1395" i="1" a="1"/>
  <c r="P1395" i="1" s="1"/>
  <c r="P1396" i="1" a="1"/>
  <c r="P1396" i="1" s="1"/>
  <c r="P1397" i="1" a="1"/>
  <c r="P1397" i="1" s="1"/>
  <c r="P1398" i="1" a="1"/>
  <c r="P1398" i="1"/>
  <c r="P1399" i="1" a="1"/>
  <c r="P1399" i="1"/>
  <c r="P1400" i="1" a="1"/>
  <c r="P1400" i="1" s="1"/>
  <c r="P1401" i="1" a="1"/>
  <c r="P1401" i="1" s="1"/>
  <c r="P1402" i="1" a="1"/>
  <c r="P1402" i="1"/>
  <c r="P1403" i="1" a="1"/>
  <c r="P1403" i="1" s="1"/>
  <c r="P1404" i="1" a="1"/>
  <c r="P1404" i="1" s="1"/>
  <c r="P1405" i="1" a="1"/>
  <c r="P1405" i="1" s="1"/>
  <c r="P1406" i="1" a="1"/>
  <c r="P1406" i="1"/>
  <c r="P1407" i="1" a="1"/>
  <c r="P1407" i="1"/>
  <c r="P1408" i="1" a="1"/>
  <c r="P1408" i="1"/>
  <c r="P1409" i="1" a="1"/>
  <c r="P1409" i="1" s="1"/>
  <c r="P1410" i="1" a="1"/>
  <c r="P1410" i="1" s="1"/>
  <c r="P1411" i="1" a="1"/>
  <c r="P1411" i="1"/>
  <c r="P1412" i="1" a="1"/>
  <c r="P1412" i="1" s="1"/>
  <c r="P1413" i="1" a="1"/>
  <c r="P1413" i="1" s="1"/>
  <c r="P1414" i="1" a="1"/>
  <c r="P1414" i="1" s="1"/>
  <c r="P1415" i="1" a="1"/>
  <c r="P1415" i="1"/>
  <c r="P1416" i="1" a="1"/>
  <c r="P1416" i="1"/>
  <c r="P1417" i="1" a="1"/>
  <c r="P1417" i="1" s="1"/>
  <c r="P1418" i="1" a="1"/>
  <c r="P1418" i="1" s="1"/>
  <c r="P1419" i="1" a="1"/>
  <c r="P1419" i="1" s="1"/>
  <c r="P1420" i="1" a="1"/>
  <c r="P1420" i="1" s="1"/>
  <c r="P1421" i="1" a="1"/>
  <c r="P1421" i="1" s="1"/>
  <c r="P1422" i="1" a="1"/>
  <c r="P1422" i="1"/>
  <c r="P1423" i="1" a="1"/>
  <c r="P1423" i="1" s="1"/>
  <c r="P1424" i="1" a="1"/>
  <c r="P1424" i="1"/>
  <c r="P1425" i="1" a="1"/>
  <c r="P1425" i="1" s="1"/>
  <c r="P1426" i="1" a="1"/>
  <c r="P1426" i="1" s="1"/>
  <c r="P1427" i="1" a="1"/>
  <c r="P1427" i="1"/>
  <c r="P1428" i="1" a="1"/>
  <c r="P1428" i="1" s="1"/>
  <c r="P1429" i="1" a="1"/>
  <c r="P1429" i="1" s="1"/>
  <c r="P1430" i="1" a="1"/>
  <c r="P1430" i="1"/>
  <c r="P1431" i="1" a="1"/>
  <c r="P1431" i="1"/>
  <c r="P1432" i="1" a="1"/>
  <c r="P1432" i="1" s="1"/>
  <c r="P1433" i="1" a="1"/>
  <c r="P1433" i="1" s="1"/>
  <c r="P1434" i="1" a="1"/>
  <c r="P1434" i="1" s="1"/>
  <c r="P1435" i="1" a="1"/>
  <c r="P1435" i="1" s="1"/>
  <c r="P1436" i="1" a="1"/>
  <c r="P1436" i="1" s="1"/>
  <c r="P1437" i="1" a="1"/>
  <c r="P1437" i="1" s="1"/>
  <c r="P1438" i="1" a="1"/>
  <c r="P1438" i="1"/>
  <c r="P1439" i="1" a="1"/>
  <c r="P1439" i="1"/>
  <c r="P1440" i="1" a="1"/>
  <c r="P1440" i="1"/>
  <c r="P1441" i="1" a="1"/>
  <c r="P1441" i="1" s="1"/>
  <c r="P1442" i="1" a="1"/>
  <c r="P1442" i="1" s="1"/>
  <c r="P1443" i="1" a="1"/>
  <c r="P1443" i="1" s="1"/>
  <c r="P1444" i="1" a="1"/>
  <c r="P1444" i="1" s="1"/>
  <c r="P1445" i="1" a="1"/>
  <c r="P1445" i="1" s="1"/>
  <c r="P1446" i="1" a="1"/>
  <c r="P1446" i="1" s="1"/>
  <c r="P1447" i="1" a="1"/>
  <c r="P1447" i="1"/>
  <c r="P1448" i="1" a="1"/>
  <c r="P1448" i="1"/>
  <c r="P1449" i="1" a="1"/>
  <c r="P1449" i="1" s="1"/>
  <c r="P1450" i="1" a="1"/>
  <c r="P1450" i="1"/>
  <c r="P1451" i="1" a="1"/>
  <c r="P1451" i="1" s="1"/>
  <c r="P1452" i="1" a="1"/>
  <c r="P1452" i="1" s="1"/>
  <c r="P1453" i="1" a="1"/>
  <c r="P1453" i="1" s="1"/>
  <c r="P1454" i="1" a="1"/>
  <c r="P1454" i="1"/>
  <c r="P1455" i="1" a="1"/>
  <c r="P1455" i="1" s="1"/>
  <c r="P1456" i="1" a="1"/>
  <c r="P1456" i="1" s="1"/>
  <c r="P1457" i="1" a="1"/>
  <c r="P1457" i="1" s="1"/>
  <c r="P1458" i="1" a="1"/>
  <c r="P1458" i="1" s="1"/>
  <c r="P1459" i="1" a="1"/>
  <c r="P1459" i="1"/>
  <c r="P1460" i="1" a="1"/>
  <c r="P1460" i="1" s="1"/>
  <c r="P1461" i="1" a="1"/>
  <c r="P1461" i="1" s="1"/>
  <c r="P1462" i="1" a="1"/>
  <c r="P1462" i="1"/>
  <c r="P1463" i="1" a="1"/>
  <c r="P1463" i="1"/>
  <c r="P1464" i="1" a="1"/>
  <c r="P1464" i="1" s="1"/>
  <c r="P1465" i="1" a="1"/>
  <c r="P1465" i="1" s="1"/>
  <c r="P1466" i="1" a="1"/>
  <c r="P1466" i="1" s="1"/>
  <c r="P1467" i="1" a="1"/>
  <c r="P1467" i="1" s="1"/>
  <c r="P1468" i="1" a="1"/>
  <c r="P1468" i="1" s="1"/>
  <c r="P1469" i="1" a="1"/>
  <c r="P1469" i="1" s="1"/>
  <c r="P1470" i="1" a="1"/>
  <c r="P1470" i="1" s="1"/>
  <c r="P1471" i="1" a="1"/>
  <c r="P1471" i="1"/>
  <c r="P1472" i="1" a="1"/>
  <c r="P1472" i="1"/>
  <c r="P1473" i="1" a="1"/>
  <c r="P1473" i="1" s="1"/>
  <c r="P1474" i="1" a="1"/>
  <c r="P1474" i="1" s="1"/>
  <c r="P1475" i="1" a="1"/>
  <c r="P1475" i="1" s="1"/>
  <c r="P1476" i="1" a="1"/>
  <c r="P1476" i="1" s="1"/>
  <c r="P1477" i="1" a="1"/>
  <c r="P1477" i="1" s="1"/>
  <c r="P1478" i="1" a="1"/>
  <c r="P1478" i="1" s="1"/>
  <c r="P1479" i="1" a="1"/>
  <c r="P1479" i="1" s="1"/>
  <c r="P1480" i="1" a="1"/>
  <c r="P1480" i="1"/>
  <c r="P1481" i="1" a="1"/>
  <c r="P1481" i="1" s="1"/>
  <c r="P1482" i="1" a="1"/>
  <c r="P1482" i="1" s="1"/>
  <c r="P1483" i="1" a="1"/>
  <c r="P1483" i="1" s="1"/>
  <c r="P1484" i="1" a="1"/>
  <c r="P1484" i="1" s="1"/>
  <c r="P1485" i="1" a="1"/>
  <c r="P1485" i="1" s="1"/>
  <c r="P1486" i="1" a="1"/>
  <c r="P1486" i="1"/>
  <c r="P1487" i="1" a="1"/>
  <c r="P1487" i="1" s="1"/>
  <c r="P1488" i="1" a="1"/>
  <c r="P1488" i="1" s="1"/>
  <c r="P1489" i="1" a="1"/>
  <c r="P1489" i="1" s="1"/>
  <c r="P1490" i="1" a="1"/>
  <c r="P1490" i="1" s="1"/>
  <c r="P1491" i="1" a="1"/>
  <c r="P1491" i="1"/>
  <c r="P1492" i="1" a="1"/>
  <c r="P1492" i="1" s="1"/>
  <c r="P1493" i="1" a="1"/>
  <c r="P1493" i="1" s="1"/>
  <c r="P1494" i="1" a="1"/>
  <c r="P1494" i="1"/>
  <c r="P1495" i="1" a="1"/>
  <c r="P1495" i="1"/>
  <c r="P1496" i="1" a="1"/>
  <c r="P1496" i="1" s="1"/>
  <c r="P1497" i="1" a="1"/>
  <c r="P1497" i="1" s="1"/>
  <c r="P1498" i="1" a="1"/>
  <c r="P1498" i="1" s="1"/>
  <c r="P1499" i="1" a="1"/>
  <c r="P1499" i="1" s="1"/>
  <c r="P1500" i="1" a="1"/>
  <c r="P1500" i="1"/>
  <c r="P1501" i="1" a="1"/>
  <c r="P1501" i="1" s="1"/>
  <c r="P1502" i="1" a="1"/>
  <c r="P1502" i="1" s="1"/>
  <c r="P1503" i="1" a="1"/>
  <c r="P1503" i="1"/>
  <c r="P1504" i="1" a="1"/>
  <c r="P1504" i="1"/>
  <c r="P1505" i="1" a="1"/>
  <c r="P1505" i="1" s="1"/>
  <c r="P1506" i="1" a="1"/>
  <c r="P1506" i="1" s="1"/>
  <c r="P1507" i="1" a="1"/>
  <c r="P1507" i="1" s="1"/>
  <c r="P1508" i="1" a="1"/>
  <c r="P1508" i="1" s="1"/>
  <c r="P1509" i="1" a="1"/>
  <c r="P1509" i="1" s="1"/>
  <c r="P1510" i="1" a="1"/>
  <c r="P1510" i="1" s="1"/>
  <c r="P1511" i="1" a="1"/>
  <c r="P1511" i="1" s="1"/>
  <c r="P1512" i="1" a="1"/>
  <c r="P1512" i="1"/>
  <c r="P1513" i="1" a="1"/>
  <c r="P1513" i="1" s="1"/>
  <c r="P1514" i="1" a="1"/>
  <c r="P1514" i="1"/>
  <c r="P1515" i="1" a="1"/>
  <c r="P1515" i="1" s="1"/>
  <c r="P1516" i="1" a="1"/>
  <c r="P1516" i="1" s="1"/>
  <c r="P1517" i="1" a="1"/>
  <c r="P1517" i="1" s="1"/>
  <c r="P1518" i="1" a="1"/>
  <c r="P1518" i="1"/>
  <c r="P1519" i="1" a="1"/>
  <c r="P1519" i="1" s="1"/>
  <c r="P1520" i="1" a="1"/>
  <c r="P1520" i="1" s="1"/>
  <c r="P1521" i="1" a="1"/>
  <c r="P1521" i="1" s="1"/>
  <c r="P1522" i="1" a="1"/>
  <c r="P1522" i="1" s="1"/>
  <c r="P1523" i="1" a="1"/>
  <c r="P1523" i="1" s="1"/>
  <c r="P1524" i="1" a="1"/>
  <c r="P1524" i="1" s="1"/>
  <c r="P1525" i="1" a="1"/>
  <c r="P1525" i="1" s="1"/>
  <c r="P1526" i="1" a="1"/>
  <c r="P1526" i="1"/>
  <c r="P1527" i="1" a="1"/>
  <c r="P1527" i="1"/>
  <c r="P1528" i="1" a="1"/>
  <c r="P1528" i="1" s="1"/>
  <c r="P1529" i="1" a="1"/>
  <c r="P1529" i="1" s="1"/>
  <c r="P1530" i="1" a="1"/>
  <c r="P1530" i="1" s="1"/>
  <c r="P1531" i="1" a="1"/>
  <c r="P1531" i="1" s="1"/>
  <c r="P1532" i="1" a="1"/>
  <c r="P1532" i="1" s="1"/>
  <c r="P1533" i="1" a="1"/>
  <c r="P1533" i="1" s="1"/>
  <c r="P1534" i="1" a="1"/>
  <c r="P1534" i="1" s="1"/>
  <c r="P1535" i="1" a="1"/>
  <c r="P1535" i="1"/>
  <c r="P1536" i="1" a="1"/>
  <c r="P1536" i="1"/>
  <c r="P1537" i="1" a="1"/>
  <c r="P1537" i="1" s="1"/>
  <c r="P1538" i="1" a="1"/>
  <c r="P1538" i="1" s="1"/>
  <c r="P1539" i="1" a="1"/>
  <c r="P1539" i="1" s="1"/>
  <c r="P1540" i="1" a="1"/>
  <c r="P1540" i="1" s="1"/>
  <c r="P1541" i="1" a="1"/>
  <c r="P1541" i="1" s="1"/>
  <c r="P1542" i="1" a="1"/>
  <c r="P1542" i="1" s="1"/>
  <c r="P1543" i="1" a="1"/>
  <c r="P1543" i="1" s="1"/>
  <c r="P1544" i="1" a="1"/>
  <c r="P1544" i="1"/>
  <c r="P1545" i="1" a="1"/>
  <c r="P1545" i="1" s="1"/>
  <c r="P1546" i="1" a="1"/>
  <c r="P1546" i="1"/>
  <c r="P1547" i="1" a="1"/>
  <c r="P1547" i="1" s="1"/>
  <c r="P1548" i="1" a="1"/>
  <c r="P1548" i="1" s="1"/>
  <c r="P1549" i="1" a="1"/>
  <c r="P1549" i="1" s="1"/>
  <c r="P1550" i="1" a="1"/>
  <c r="P1550" i="1"/>
  <c r="P1551" i="1" a="1"/>
  <c r="P1551" i="1" s="1"/>
  <c r="P1552" i="1" a="1"/>
  <c r="P1552" i="1" s="1"/>
  <c r="P1553" i="1" a="1"/>
  <c r="P1553" i="1" s="1"/>
  <c r="P1554" i="1" a="1"/>
  <c r="P1554" i="1" s="1"/>
  <c r="P1555" i="1" a="1"/>
  <c r="P1555" i="1"/>
  <c r="P1556" i="1" a="1"/>
  <c r="P1556" i="1" s="1"/>
  <c r="P1557" i="1" a="1"/>
  <c r="P1557" i="1" s="1"/>
  <c r="P1558" i="1" a="1"/>
  <c r="P1558" i="1"/>
  <c r="P1559" i="1" a="1"/>
  <c r="P1559" i="1"/>
  <c r="P1560" i="1" a="1"/>
  <c r="P1560" i="1" s="1"/>
  <c r="P1561" i="1" a="1"/>
  <c r="P1561" i="1" s="1"/>
  <c r="P1562" i="1" a="1"/>
  <c r="P1562" i="1" s="1"/>
  <c r="P1563" i="1" a="1"/>
  <c r="P1563" i="1" s="1"/>
  <c r="P1564" i="1" a="1"/>
  <c r="P1564" i="1" s="1"/>
  <c r="P1565" i="1" a="1"/>
  <c r="P1565" i="1" s="1"/>
  <c r="P1566" i="1" a="1"/>
  <c r="P1566" i="1" s="1"/>
  <c r="P1567" i="1" a="1"/>
  <c r="P1567" i="1"/>
  <c r="P1568" i="1" a="1"/>
  <c r="P1568" i="1"/>
  <c r="P1569" i="1" a="1"/>
  <c r="P1569" i="1" s="1"/>
  <c r="P1570" i="1" a="1"/>
  <c r="P1570" i="1" s="1"/>
  <c r="P1571" i="1" a="1"/>
  <c r="P1571" i="1" s="1"/>
  <c r="P1572" i="1" a="1"/>
  <c r="P1572" i="1" s="1"/>
  <c r="P1573" i="1" a="1"/>
  <c r="P1573" i="1" s="1"/>
  <c r="P1574" i="1" a="1"/>
  <c r="P1574" i="1" s="1"/>
  <c r="P1575" i="1" a="1"/>
  <c r="P1575" i="1" s="1"/>
  <c r="P1576" i="1" a="1"/>
  <c r="P1576" i="1"/>
  <c r="P1577" i="1" a="1"/>
  <c r="P1577" i="1" s="1"/>
  <c r="P1578" i="1" a="1"/>
  <c r="P1578" i="1"/>
  <c r="P1579" i="1" a="1"/>
  <c r="P1579" i="1" s="1"/>
  <c r="P1580" i="1" a="1"/>
  <c r="P1580" i="1" s="1"/>
  <c r="P1581" i="1" a="1"/>
  <c r="P1581" i="1" s="1"/>
  <c r="P1582" i="1" a="1"/>
  <c r="P1582" i="1"/>
  <c r="P1583" i="1" a="1"/>
  <c r="P1583" i="1" s="1"/>
  <c r="P1584" i="1" a="1"/>
  <c r="P1584" i="1" s="1"/>
  <c r="P1585" i="1" a="1"/>
  <c r="P1585" i="1" s="1"/>
  <c r="P1586" i="1" a="1"/>
  <c r="P1586" i="1" s="1"/>
  <c r="P1587" i="1" a="1"/>
  <c r="P1587" i="1"/>
  <c r="P1588" i="1" a="1"/>
  <c r="P1588" i="1" s="1"/>
  <c r="P1589" i="1" a="1"/>
  <c r="P1589" i="1" s="1"/>
  <c r="P1590" i="1" a="1"/>
  <c r="P1590" i="1"/>
  <c r="P1591" i="1" a="1"/>
  <c r="P1591" i="1"/>
  <c r="P1592" i="1" a="1"/>
  <c r="P1592" i="1" s="1"/>
  <c r="P1593" i="1" a="1"/>
  <c r="P1593" i="1" s="1"/>
  <c r="P1594" i="1" a="1"/>
  <c r="P1594" i="1" s="1"/>
  <c r="P1595" i="1" a="1"/>
  <c r="P1595" i="1" s="1"/>
  <c r="P1596" i="1" a="1"/>
  <c r="P1596" i="1"/>
  <c r="P1597" i="1" a="1"/>
  <c r="P1597" i="1" s="1"/>
  <c r="P1598" i="1" a="1"/>
  <c r="P1598" i="1" s="1"/>
  <c r="P1599" i="1" a="1"/>
  <c r="P1599" i="1"/>
  <c r="P1600" i="1" a="1"/>
  <c r="P1600" i="1"/>
  <c r="P1601" i="1" a="1"/>
  <c r="P1601" i="1" s="1"/>
  <c r="P1602" i="1" a="1"/>
  <c r="P1602" i="1" s="1"/>
  <c r="P1603" i="1" a="1"/>
  <c r="P1603" i="1" s="1"/>
  <c r="P1604" i="1" a="1"/>
  <c r="P1604" i="1" s="1"/>
  <c r="P1605" i="1" a="1"/>
  <c r="P1605" i="1" s="1"/>
  <c r="P1606" i="1" a="1"/>
  <c r="P1606" i="1" s="1"/>
  <c r="P1607" i="1" a="1"/>
  <c r="P1607" i="1" s="1"/>
  <c r="P1608" i="1" a="1"/>
  <c r="P1608" i="1"/>
  <c r="P1609" i="1" a="1"/>
  <c r="P1609" i="1" s="1"/>
  <c r="P1610" i="1" a="1"/>
  <c r="P1610" i="1" s="1"/>
  <c r="P1611" i="1" a="1"/>
  <c r="P1611" i="1" s="1"/>
  <c r="P1612" i="1" a="1"/>
  <c r="P1612" i="1" s="1"/>
  <c r="P1613" i="1" a="1"/>
  <c r="P1613" i="1" s="1"/>
  <c r="P1614" i="1" a="1"/>
  <c r="P1614" i="1"/>
  <c r="P1615" i="1" a="1"/>
  <c r="P1615" i="1" s="1"/>
  <c r="P1616" i="1" a="1"/>
  <c r="P1616" i="1" s="1"/>
  <c r="P1617" i="1" a="1"/>
  <c r="P1617" i="1" s="1"/>
  <c r="P1618" i="1" a="1"/>
  <c r="P1618" i="1" s="1"/>
  <c r="P1619" i="1" a="1"/>
  <c r="P1619" i="1"/>
  <c r="P1620" i="1" a="1"/>
  <c r="P1620" i="1" s="1"/>
  <c r="P1621" i="1" a="1"/>
  <c r="P1621" i="1" s="1"/>
  <c r="P1622" i="1" a="1"/>
  <c r="P1622" i="1"/>
  <c r="P1623" i="1" a="1"/>
  <c r="P1623" i="1"/>
  <c r="P1624" i="1" a="1"/>
  <c r="P1624" i="1" s="1"/>
  <c r="P1625" i="1" a="1"/>
  <c r="P1625" i="1" s="1"/>
  <c r="P1626" i="1" a="1"/>
  <c r="P1626" i="1" s="1"/>
  <c r="P1627" i="1" a="1"/>
  <c r="P1627" i="1" s="1"/>
  <c r="P1628" i="1" a="1"/>
  <c r="P1628" i="1"/>
  <c r="P1629" i="1" a="1"/>
  <c r="P1629" i="1" s="1"/>
  <c r="P1630" i="1" a="1"/>
  <c r="P1630" i="1" s="1"/>
  <c r="P1631" i="1" a="1"/>
  <c r="P1631" i="1"/>
  <c r="P1632" i="1" a="1"/>
  <c r="P1632" i="1"/>
  <c r="P1633" i="1" a="1"/>
  <c r="P1633" i="1" s="1"/>
  <c r="P1634" i="1" a="1"/>
  <c r="P1634" i="1" s="1"/>
  <c r="P1635" i="1" a="1"/>
  <c r="P1635" i="1" s="1"/>
  <c r="P1636" i="1" a="1"/>
  <c r="P1636" i="1" s="1"/>
  <c r="P1637" i="1" a="1"/>
  <c r="P1637" i="1" s="1"/>
  <c r="P1638" i="1" a="1"/>
  <c r="P1638" i="1" s="1"/>
  <c r="P1639" i="1" a="1"/>
  <c r="P1639" i="1" s="1"/>
  <c r="P1640" i="1" a="1"/>
  <c r="P1640" i="1"/>
  <c r="P1641" i="1" a="1"/>
  <c r="P1641" i="1" s="1"/>
  <c r="P1642" i="1" a="1"/>
  <c r="P1642" i="1"/>
  <c r="P1643" i="1" a="1"/>
  <c r="P1643" i="1" s="1"/>
  <c r="P1644" i="1" a="1"/>
  <c r="P1644" i="1" s="1"/>
  <c r="P1645" i="1" a="1"/>
  <c r="P1645" i="1" s="1"/>
  <c r="P1646" i="1" a="1"/>
  <c r="P1646" i="1"/>
  <c r="P1647" i="1" a="1"/>
  <c r="P1647" i="1" s="1"/>
  <c r="P1648" i="1" a="1"/>
  <c r="P1648" i="1" s="1"/>
  <c r="P1649" i="1" a="1"/>
  <c r="P1649" i="1" s="1"/>
  <c r="P1650" i="1" a="1"/>
  <c r="P1650" i="1" s="1"/>
  <c r="P1651" i="1" a="1"/>
  <c r="P1651" i="1" s="1"/>
  <c r="P1652" i="1" a="1"/>
  <c r="P1652" i="1" s="1"/>
  <c r="P1653" i="1" a="1"/>
  <c r="P1653" i="1" s="1"/>
  <c r="P1654" i="1" a="1"/>
  <c r="P1654" i="1"/>
  <c r="P1655" i="1" a="1"/>
  <c r="P1655" i="1"/>
  <c r="P1656" i="1" a="1"/>
  <c r="P1656" i="1" s="1"/>
  <c r="P1657" i="1" a="1"/>
  <c r="P1657" i="1" s="1"/>
  <c r="P1658" i="1" a="1"/>
  <c r="P1658" i="1" s="1"/>
  <c r="P1659" i="1" a="1"/>
  <c r="P1659" i="1" s="1"/>
  <c r="P1660" i="1" a="1"/>
  <c r="P1660" i="1" s="1"/>
  <c r="P1661" i="1" a="1"/>
  <c r="P1661" i="1" s="1"/>
  <c r="P1662" i="1" a="1"/>
  <c r="P1662" i="1" s="1"/>
  <c r="P1663" i="1" a="1"/>
  <c r="P1663" i="1"/>
  <c r="P1664" i="1" a="1"/>
  <c r="P1664" i="1"/>
  <c r="P1665" i="1" a="1"/>
  <c r="P1665" i="1" s="1"/>
  <c r="P1666" i="1" a="1"/>
  <c r="P1666" i="1" s="1"/>
  <c r="P1667" i="1" a="1"/>
  <c r="P1667" i="1" s="1"/>
  <c r="P1668" i="1" a="1"/>
  <c r="P1668" i="1" s="1"/>
  <c r="P1669" i="1" a="1"/>
  <c r="P1669" i="1" s="1"/>
  <c r="P1670" i="1" a="1"/>
  <c r="P1670" i="1" s="1"/>
  <c r="P1671" i="1" a="1"/>
  <c r="P1671" i="1" s="1"/>
  <c r="P1672" i="1" a="1"/>
  <c r="P1672" i="1"/>
  <c r="P1673" i="1" a="1"/>
  <c r="P1673" i="1" s="1"/>
  <c r="P1674" i="1" a="1"/>
  <c r="P1674" i="1"/>
  <c r="P1675" i="1" a="1"/>
  <c r="P1675" i="1" s="1"/>
  <c r="P1676" i="1" a="1"/>
  <c r="P1676" i="1" s="1"/>
  <c r="P1677" i="1" a="1"/>
  <c r="P1677" i="1" s="1"/>
  <c r="P1678" i="1" a="1"/>
  <c r="P1678" i="1"/>
  <c r="P1679" i="1" a="1"/>
  <c r="P1679" i="1" s="1"/>
  <c r="P1680" i="1" a="1"/>
  <c r="P1680" i="1" s="1"/>
  <c r="P1681" i="1" a="1"/>
  <c r="P1681" i="1" s="1"/>
  <c r="P1682" i="1" a="1"/>
  <c r="P1682" i="1" s="1"/>
  <c r="P1683" i="1" a="1"/>
  <c r="P1683" i="1" s="1"/>
  <c r="P1684" i="1" a="1"/>
  <c r="P1684" i="1" s="1"/>
  <c r="P1685" i="1" a="1"/>
  <c r="P1685" i="1" s="1"/>
  <c r="P1686" i="1" a="1"/>
  <c r="P1686" i="1"/>
  <c r="P1687" i="1" a="1"/>
  <c r="P1687" i="1"/>
  <c r="P1688" i="1" a="1"/>
  <c r="P1688" i="1" s="1"/>
  <c r="P1689" i="1" a="1"/>
  <c r="P1689" i="1" s="1"/>
  <c r="P1690" i="1" a="1"/>
  <c r="P1690" i="1" s="1"/>
  <c r="P1691" i="1" a="1"/>
  <c r="P1691" i="1" s="1"/>
  <c r="P1692" i="1" a="1"/>
  <c r="P1692" i="1"/>
  <c r="P1693" i="1" a="1"/>
  <c r="P1693" i="1" s="1"/>
  <c r="P1694" i="1" a="1"/>
  <c r="P1694" i="1" s="1"/>
  <c r="P1695" i="1" a="1"/>
  <c r="P1695" i="1"/>
  <c r="P1696" i="1" a="1"/>
  <c r="P1696" i="1"/>
  <c r="P1697" i="1" a="1"/>
  <c r="P1697" i="1" s="1"/>
  <c r="P1698" i="1" a="1"/>
  <c r="P1698" i="1" s="1"/>
  <c r="P1699" i="1" a="1"/>
  <c r="P1699" i="1" s="1"/>
  <c r="P1700" i="1" a="1"/>
  <c r="P1700" i="1" s="1"/>
  <c r="P1701" i="1" a="1"/>
  <c r="P1701" i="1" s="1"/>
  <c r="P1702" i="1" a="1"/>
  <c r="P1702" i="1" s="1"/>
  <c r="P1703" i="1" a="1"/>
  <c r="P1703" i="1" s="1"/>
  <c r="P1704" i="1" a="1"/>
  <c r="P1704" i="1"/>
  <c r="P1705" i="1" a="1"/>
  <c r="P1705" i="1" s="1"/>
  <c r="P1706" i="1" a="1"/>
  <c r="P1706" i="1"/>
  <c r="P1707" i="1" a="1"/>
  <c r="P1707" i="1" s="1"/>
  <c r="P1708" i="1" a="1"/>
  <c r="P1708" i="1" s="1"/>
  <c r="P1709" i="1" a="1"/>
  <c r="P1709" i="1" s="1"/>
  <c r="P1710" i="1" a="1"/>
  <c r="P1710" i="1"/>
  <c r="P1711" i="1" a="1"/>
  <c r="P1711" i="1" s="1"/>
  <c r="P1712" i="1" a="1"/>
  <c r="P1712" i="1" s="1"/>
  <c r="P1713" i="1" a="1"/>
  <c r="P1713" i="1" s="1"/>
  <c r="P1714" i="1" a="1"/>
  <c r="P1714" i="1" s="1"/>
  <c r="P1715" i="1" a="1"/>
  <c r="P1715" i="1"/>
  <c r="P1716" i="1" a="1"/>
  <c r="P1716" i="1" s="1"/>
  <c r="P1717" i="1" a="1"/>
  <c r="P1717" i="1" s="1"/>
  <c r="P1718" i="1" a="1"/>
  <c r="P1718" i="1"/>
  <c r="P1719" i="1" a="1"/>
  <c r="P1719" i="1"/>
  <c r="P1720" i="1" a="1"/>
  <c r="P1720" i="1" s="1"/>
  <c r="P1721" i="1" a="1"/>
  <c r="P1721" i="1" s="1"/>
  <c r="P1722" i="1" a="1"/>
  <c r="P1722" i="1"/>
  <c r="P1723" i="1" a="1"/>
  <c r="P1723" i="1"/>
  <c r="P1724" i="1" a="1"/>
  <c r="P1724" i="1" s="1"/>
  <c r="P1725" i="1" a="1"/>
  <c r="P1725" i="1" s="1"/>
  <c r="P1726" i="1" a="1"/>
  <c r="P1726" i="1" s="1"/>
  <c r="P1727" i="1" a="1"/>
  <c r="P1727" i="1"/>
  <c r="P1728" i="1" a="1"/>
  <c r="P1728" i="1" s="1"/>
  <c r="P1729" i="1" a="1"/>
  <c r="P1729" i="1" s="1"/>
  <c r="P1730" i="1" a="1"/>
  <c r="P1730" i="1" s="1"/>
  <c r="P1731" i="1" a="1"/>
  <c r="P1731" i="1" s="1"/>
  <c r="P1732" i="1" a="1"/>
  <c r="P1732" i="1"/>
  <c r="P1733" i="1" a="1"/>
  <c r="P1733" i="1" s="1"/>
  <c r="P1734" i="1" a="1"/>
  <c r="P1734" i="1" s="1"/>
  <c r="P1735" i="1" a="1"/>
  <c r="P1735" i="1" s="1"/>
  <c r="P1736" i="1" a="1"/>
  <c r="P1736" i="1"/>
  <c r="P1737" i="1" a="1"/>
  <c r="P1737" i="1" s="1"/>
  <c r="P1738" i="1" a="1"/>
  <c r="P1738" i="1"/>
  <c r="P1739" i="1" a="1"/>
  <c r="P1739" i="1" s="1"/>
  <c r="P1740" i="1" a="1"/>
  <c r="P1740" i="1"/>
  <c r="P1741" i="1" a="1"/>
  <c r="P1741" i="1" s="1"/>
  <c r="P1742" i="1" a="1"/>
  <c r="P1742" i="1" s="1"/>
  <c r="P1743" i="1" a="1"/>
  <c r="P1743" i="1" s="1"/>
  <c r="P1744" i="1" a="1"/>
  <c r="P1744" i="1" s="1"/>
  <c r="P1745" i="1" a="1"/>
  <c r="P1745" i="1" s="1"/>
  <c r="P1746" i="1" a="1"/>
  <c r="P1746" i="1" s="1"/>
  <c r="P1747" i="1" a="1"/>
  <c r="P1747" i="1" s="1"/>
  <c r="P1748" i="1" a="1"/>
  <c r="P1748" i="1" s="1"/>
  <c r="P1749" i="1" a="1"/>
  <c r="P1749" i="1" s="1"/>
  <c r="P1750" i="1" a="1"/>
  <c r="P1750" i="1"/>
  <c r="P1751" i="1" a="1"/>
  <c r="P1751" i="1"/>
  <c r="P1752" i="1" a="1"/>
  <c r="P1752" i="1" s="1"/>
  <c r="P1753" i="1" a="1"/>
  <c r="P1753" i="1" s="1"/>
  <c r="P1754" i="1" a="1"/>
  <c r="P1754" i="1"/>
  <c r="P1755" i="1" a="1"/>
  <c r="P1755" i="1" s="1"/>
  <c r="P1756" i="1" a="1"/>
  <c r="P1756" i="1"/>
  <c r="P1757" i="1" a="1"/>
  <c r="P1757" i="1" s="1"/>
  <c r="P1758" i="1" a="1"/>
  <c r="P1758" i="1" s="1"/>
  <c r="P1759" i="1" a="1"/>
  <c r="P1759" i="1"/>
  <c r="P1760" i="1" a="1"/>
  <c r="P1760" i="1" s="1"/>
  <c r="P1761" i="1" a="1"/>
  <c r="P1761" i="1" s="1"/>
  <c r="P1762" i="1" a="1"/>
  <c r="P1762" i="1" s="1"/>
  <c r="P1763" i="1" a="1"/>
  <c r="P1763" i="1" s="1"/>
  <c r="P1764" i="1" a="1"/>
  <c r="P1764" i="1" s="1"/>
  <c r="P1765" i="1" a="1"/>
  <c r="P1765" i="1" s="1"/>
  <c r="P1766" i="1" a="1"/>
  <c r="P1766" i="1" s="1"/>
  <c r="P1767" i="1" a="1"/>
  <c r="P1767" i="1"/>
  <c r="P1768" i="1" a="1"/>
  <c r="P1768" i="1"/>
  <c r="P1769" i="1" a="1"/>
  <c r="P1769" i="1" s="1"/>
  <c r="P1770" i="1" a="1"/>
  <c r="P1770" i="1" s="1"/>
  <c r="P1771" i="1" a="1"/>
  <c r="P1771" i="1" s="1"/>
  <c r="P1772" i="1" a="1"/>
  <c r="P1772" i="1"/>
  <c r="P1773" i="1" a="1"/>
  <c r="P1773" i="1" s="1"/>
  <c r="P1774" i="1" a="1"/>
  <c r="P1774" i="1" s="1"/>
  <c r="P1775" i="1" a="1"/>
  <c r="P1775" i="1" s="1"/>
  <c r="P1776" i="1" a="1"/>
  <c r="P1776" i="1"/>
  <c r="P1777" i="1" a="1"/>
  <c r="P1777" i="1"/>
  <c r="P1778" i="1" a="1"/>
  <c r="P1778" i="1" s="1"/>
  <c r="P1779" i="1" a="1"/>
  <c r="P1779" i="1" s="1"/>
  <c r="P1780" i="1" a="1"/>
  <c r="P1780" i="1"/>
  <c r="P1781" i="1" a="1"/>
  <c r="P1781" i="1"/>
  <c r="P1782" i="1" a="1"/>
  <c r="P1782" i="1" s="1"/>
  <c r="P1783" i="1" a="1"/>
  <c r="P1783" i="1" s="1"/>
  <c r="P1784" i="1" a="1"/>
  <c r="P1784" i="1"/>
  <c r="P1785" i="1" a="1"/>
  <c r="P1785" i="1" s="1"/>
  <c r="P1786" i="1" a="1"/>
  <c r="P1786" i="1" s="1"/>
  <c r="P1787" i="1" a="1"/>
  <c r="P1787" i="1" s="1"/>
  <c r="P1788" i="1" a="1"/>
  <c r="P1788" i="1"/>
  <c r="P1789" i="1" a="1"/>
  <c r="P1789" i="1"/>
  <c r="P1790" i="1" a="1"/>
  <c r="P1790" i="1" s="1"/>
  <c r="P1791" i="1" a="1"/>
  <c r="P1791" i="1" s="1"/>
  <c r="P1792" i="1" a="1"/>
  <c r="P1792" i="1"/>
  <c r="P1793" i="1" a="1"/>
  <c r="P1793" i="1"/>
  <c r="P1794" i="1" a="1"/>
  <c r="P1794" i="1" s="1"/>
  <c r="P1795" i="1" a="1"/>
  <c r="P1795" i="1" s="1"/>
  <c r="P1796" i="1" a="1"/>
  <c r="P1796" i="1"/>
  <c r="P1797" i="1" a="1"/>
  <c r="P1797" i="1"/>
  <c r="P1798" i="1" a="1"/>
  <c r="P1798" i="1" s="1"/>
  <c r="P1799" i="1" a="1"/>
  <c r="P1799" i="1" s="1"/>
  <c r="P1800" i="1" a="1"/>
  <c r="P1800" i="1"/>
  <c r="P1801" i="1" a="1"/>
  <c r="P1801" i="1" s="1"/>
  <c r="P1802" i="1" a="1"/>
  <c r="P1802" i="1" s="1"/>
  <c r="P1803" i="1" a="1"/>
  <c r="P1803" i="1" s="1"/>
  <c r="P1804" i="1" a="1"/>
  <c r="P1804" i="1"/>
  <c r="P1805" i="1" a="1"/>
  <c r="P1805" i="1"/>
  <c r="P1806" i="1" a="1"/>
  <c r="P1806" i="1" s="1"/>
  <c r="P1807" i="1" a="1"/>
  <c r="P1807" i="1" s="1"/>
  <c r="P1808" i="1" a="1"/>
  <c r="P1808" i="1"/>
  <c r="P1809" i="1" a="1"/>
  <c r="P1809" i="1"/>
  <c r="P1810" i="1" a="1"/>
  <c r="P1810" i="1" s="1"/>
  <c r="P1811" i="1" a="1"/>
  <c r="P1811" i="1" s="1"/>
  <c r="P1812" i="1" a="1"/>
  <c r="P1812" i="1"/>
  <c r="P1813" i="1" a="1"/>
  <c r="P1813" i="1" s="1"/>
  <c r="P1814" i="1" a="1"/>
  <c r="P1814" i="1" s="1"/>
  <c r="P1815" i="1" a="1"/>
  <c r="P1815" i="1" s="1"/>
  <c r="P1816" i="1" a="1"/>
  <c r="P1816" i="1"/>
  <c r="P1817" i="1" a="1"/>
  <c r="P1817" i="1" s="1"/>
  <c r="P1818" i="1" a="1"/>
  <c r="P1818" i="1" s="1"/>
  <c r="P1819" i="1" a="1"/>
  <c r="P1819" i="1" s="1"/>
  <c r="P1820" i="1" a="1"/>
  <c r="P1820" i="1"/>
  <c r="P1821" i="1" a="1"/>
  <c r="P1821" i="1" s="1"/>
  <c r="P1822" i="1" a="1"/>
  <c r="P1822" i="1" s="1"/>
  <c r="P1823" i="1" a="1"/>
  <c r="P1823" i="1" s="1"/>
  <c r="P1824" i="1" a="1"/>
  <c r="P1824" i="1"/>
  <c r="P1825" i="1" a="1"/>
  <c r="P1825" i="1"/>
  <c r="P1826" i="1" a="1"/>
  <c r="P1826" i="1" s="1"/>
  <c r="P1827" i="1" a="1"/>
  <c r="P1827" i="1" s="1"/>
  <c r="P1828" i="1" a="1"/>
  <c r="P1828" i="1"/>
  <c r="P1829" i="1" a="1"/>
  <c r="P1829" i="1"/>
  <c r="P1830" i="1" a="1"/>
  <c r="P1830" i="1" s="1"/>
  <c r="P1831" i="1" a="1"/>
  <c r="P1831" i="1" s="1"/>
  <c r="P1832" i="1" a="1"/>
  <c r="P1832" i="1"/>
  <c r="P1833" i="1" a="1"/>
  <c r="P1833" i="1" s="1"/>
  <c r="P1834" i="1" a="1"/>
  <c r="P1834" i="1" s="1"/>
  <c r="P1835" i="1" a="1"/>
  <c r="P1835" i="1" s="1"/>
  <c r="P1836" i="1" a="1"/>
  <c r="P1836" i="1"/>
  <c r="P1837" i="1" a="1"/>
  <c r="P1837" i="1"/>
  <c r="P1838" i="1" a="1"/>
  <c r="P1838" i="1" s="1"/>
  <c r="P1839" i="1" a="1"/>
  <c r="P1839" i="1" s="1"/>
  <c r="P1840" i="1" a="1"/>
  <c r="P1840" i="1"/>
  <c r="P1841" i="1" a="1"/>
  <c r="P1841" i="1"/>
  <c r="P1842" i="1" a="1"/>
  <c r="P1842" i="1" s="1"/>
  <c r="P1843" i="1" a="1"/>
  <c r="P1843" i="1" s="1"/>
  <c r="P1844" i="1" a="1"/>
  <c r="P1844" i="1"/>
  <c r="P1845" i="1" a="1"/>
  <c r="P1845" i="1" s="1"/>
  <c r="P1846" i="1" a="1"/>
  <c r="P1846" i="1" s="1"/>
  <c r="P1847" i="1" a="1"/>
  <c r="P1847" i="1" s="1"/>
  <c r="P1848" i="1" a="1"/>
  <c r="P1848" i="1"/>
  <c r="P1849" i="1" a="1"/>
  <c r="P1849" i="1" s="1"/>
  <c r="P1850" i="1" a="1"/>
  <c r="P1850" i="1" s="1"/>
  <c r="P1851" i="1" a="1"/>
  <c r="P1851" i="1" s="1"/>
  <c r="P1852" i="1" a="1"/>
  <c r="P1852" i="1"/>
  <c r="P1853" i="1" a="1"/>
  <c r="P1853" i="1"/>
  <c r="P1854" i="1" a="1"/>
  <c r="P1854" i="1" s="1"/>
  <c r="P1855" i="1" a="1"/>
  <c r="P1855" i="1" s="1"/>
  <c r="P1856" i="1" a="1"/>
  <c r="P1856" i="1"/>
  <c r="P1857" i="1" a="1"/>
  <c r="P1857" i="1"/>
  <c r="P1858" i="1" a="1"/>
  <c r="P1858" i="1" s="1"/>
  <c r="P1859" i="1" a="1"/>
  <c r="P1859" i="1" s="1"/>
  <c r="P1860" i="1" a="1"/>
  <c r="P1860" i="1" s="1"/>
  <c r="P1861" i="1" a="1"/>
  <c r="P1861" i="1"/>
  <c r="P1862" i="1" a="1"/>
  <c r="P1862" i="1" s="1"/>
  <c r="P1863" i="1" a="1"/>
  <c r="P1863" i="1" s="1"/>
  <c r="P1864" i="1" a="1"/>
  <c r="P1864" i="1" s="1"/>
  <c r="P1865" i="1" a="1"/>
  <c r="P1865" i="1" s="1"/>
  <c r="P1866" i="1" a="1"/>
  <c r="P1866" i="1" s="1"/>
  <c r="P1867" i="1" a="1"/>
  <c r="P1867" i="1" s="1"/>
  <c r="P1868" i="1" a="1"/>
  <c r="P1868" i="1"/>
  <c r="P1869" i="1" a="1"/>
  <c r="P1869" i="1"/>
  <c r="P1870" i="1" a="1"/>
  <c r="P1870" i="1" s="1"/>
  <c r="P1871" i="1" a="1"/>
  <c r="P1871" i="1" s="1"/>
  <c r="P1872" i="1" a="1"/>
  <c r="P1872" i="1" s="1"/>
  <c r="P1873" i="1" a="1"/>
  <c r="P1873" i="1"/>
  <c r="P1874" i="1" a="1"/>
  <c r="P1874" i="1" s="1"/>
  <c r="P1875" i="1" a="1"/>
  <c r="P1875" i="1" s="1"/>
  <c r="P1876" i="1" a="1"/>
  <c r="P1876" i="1" s="1"/>
  <c r="P1877" i="1" a="1"/>
  <c r="P1877" i="1"/>
  <c r="P1878" i="1" a="1"/>
  <c r="P1878" i="1" s="1"/>
  <c r="P1879" i="1" a="1"/>
  <c r="P1879" i="1" s="1"/>
  <c r="P1880" i="1" a="1"/>
  <c r="P1880" i="1" s="1"/>
  <c r="P1881" i="1" a="1"/>
  <c r="P1881" i="1" s="1"/>
  <c r="P1882" i="1" a="1"/>
  <c r="P1882" i="1" s="1"/>
  <c r="P1883" i="1" a="1"/>
  <c r="P1883" i="1" s="1"/>
  <c r="P1884" i="1" a="1"/>
  <c r="P1884" i="1"/>
  <c r="P1885" i="1" a="1"/>
  <c r="P1885" i="1"/>
  <c r="P1886" i="1" a="1"/>
  <c r="P1886" i="1" s="1"/>
  <c r="P1887" i="1" a="1"/>
  <c r="P1887" i="1" s="1"/>
  <c r="P1888" i="1" a="1"/>
  <c r="P1888" i="1"/>
  <c r="P1889" i="1" a="1"/>
  <c r="P1889" i="1"/>
  <c r="P1890" i="1" a="1"/>
  <c r="P1890" i="1" s="1"/>
  <c r="P1891" i="1" a="1"/>
  <c r="P1891" i="1" s="1"/>
  <c r="P1892" i="1" a="1"/>
  <c r="P1892" i="1" s="1"/>
  <c r="P1893" i="1" a="1"/>
  <c r="P1893" i="1" s="1"/>
  <c r="P1894" i="1" a="1"/>
  <c r="P1894" i="1" s="1"/>
  <c r="P1895" i="1" a="1"/>
  <c r="P1895" i="1" s="1"/>
  <c r="P1896" i="1" a="1"/>
  <c r="P1896" i="1"/>
  <c r="P1897" i="1" a="1"/>
  <c r="P1897" i="1" s="1"/>
  <c r="P1898" i="1" a="1"/>
  <c r="P1898" i="1" s="1"/>
  <c r="P1899" i="1" a="1"/>
  <c r="P1899" i="1" s="1"/>
  <c r="P1900" i="1" a="1"/>
  <c r="P1900" i="1"/>
  <c r="P1901" i="1" a="1"/>
  <c r="P1901" i="1" s="1"/>
  <c r="P1902" i="1" a="1"/>
  <c r="P1902" i="1" s="1"/>
  <c r="P1903" i="1" a="1"/>
  <c r="P1903" i="1" s="1"/>
  <c r="P1904" i="1" a="1"/>
  <c r="P1904" i="1"/>
  <c r="P1905" i="1" a="1"/>
  <c r="P1905" i="1"/>
  <c r="P1906" i="1" a="1"/>
  <c r="P1906" i="1" s="1"/>
  <c r="P1907" i="1" a="1"/>
  <c r="P1907" i="1" s="1"/>
  <c r="P1908" i="1" a="1"/>
  <c r="P1908" i="1" s="1"/>
  <c r="P1909" i="1" a="1"/>
  <c r="P1909" i="1" s="1"/>
  <c r="P1910" i="1" a="1"/>
  <c r="P1910" i="1" s="1"/>
  <c r="P1911" i="1" a="1"/>
  <c r="P1911" i="1" s="1"/>
  <c r="P1912" i="1" a="1"/>
  <c r="P1912" i="1" s="1"/>
  <c r="P1913" i="1" a="1"/>
  <c r="P1913" i="1" s="1"/>
  <c r="P1914" i="1" a="1"/>
  <c r="P1914" i="1" s="1"/>
  <c r="P1915" i="1" a="1"/>
  <c r="P1915" i="1" s="1"/>
  <c r="P1916" i="1" a="1"/>
  <c r="P1916" i="1"/>
  <c r="P1917" i="1" a="1"/>
  <c r="P1917" i="1" s="1"/>
  <c r="P1918" i="1" a="1"/>
  <c r="P1918" i="1" s="1"/>
  <c r="P1919" i="1" a="1"/>
  <c r="P1919" i="1" s="1"/>
  <c r="P1920" i="1" a="1"/>
  <c r="P1920" i="1"/>
  <c r="P1921" i="1" a="1"/>
  <c r="P1921" i="1"/>
  <c r="P1922" i="1" a="1"/>
  <c r="P1922" i="1" s="1"/>
  <c r="P1923" i="1" a="1"/>
  <c r="P1923" i="1" s="1"/>
  <c r="P1924" i="1" a="1"/>
  <c r="P1924" i="1" s="1"/>
  <c r="P1925" i="1" a="1"/>
  <c r="P1925" i="1"/>
  <c r="P1926" i="1" a="1"/>
  <c r="P1926" i="1" s="1"/>
  <c r="P1927" i="1" a="1"/>
  <c r="P1927" i="1" s="1"/>
  <c r="P1928" i="1" a="1"/>
  <c r="P1928" i="1"/>
  <c r="P1929" i="1" a="1"/>
  <c r="P1929" i="1" s="1"/>
  <c r="P1930" i="1" a="1"/>
  <c r="P1930" i="1" s="1"/>
  <c r="P1931" i="1" a="1"/>
  <c r="P1931" i="1" s="1"/>
  <c r="P1932" i="1" a="1"/>
  <c r="P1932" i="1"/>
  <c r="P1933" i="1" a="1"/>
  <c r="P1933" i="1"/>
  <c r="P1934" i="1" a="1"/>
  <c r="P1934" i="1" s="1"/>
  <c r="P1935" i="1" a="1"/>
  <c r="P1935" i="1" s="1"/>
  <c r="P1936" i="1" a="1"/>
  <c r="P1936" i="1" s="1"/>
  <c r="P1937" i="1" a="1"/>
  <c r="P1937" i="1"/>
  <c r="P1938" i="1" a="1"/>
  <c r="P1938" i="1" s="1"/>
  <c r="P1939" i="1" a="1"/>
  <c r="P1939" i="1" s="1"/>
  <c r="P1940" i="1" a="1"/>
  <c r="P1940" i="1" s="1"/>
  <c r="P1941" i="1" a="1"/>
  <c r="P1941" i="1" s="1"/>
  <c r="P1942" i="1" a="1"/>
  <c r="P1942" i="1" s="1"/>
  <c r="P1943" i="1" a="1"/>
  <c r="P1943" i="1" s="1"/>
  <c r="P1944" i="1" a="1"/>
  <c r="P1944" i="1" s="1"/>
  <c r="P1945" i="1" a="1"/>
  <c r="P1945" i="1" s="1"/>
  <c r="P1946" i="1" a="1"/>
  <c r="P1946" i="1" s="1"/>
  <c r="P1947" i="1" a="1"/>
  <c r="P1947" i="1" s="1"/>
  <c r="P1948" i="1" a="1"/>
  <c r="P1948" i="1"/>
  <c r="P1949" i="1" a="1"/>
  <c r="P1949" i="1"/>
  <c r="P1950" i="1" a="1"/>
  <c r="P1950" i="1" s="1"/>
  <c r="P1951" i="1" a="1"/>
  <c r="P1951" i="1" s="1"/>
  <c r="P1952" i="1" a="1"/>
  <c r="P1952" i="1"/>
  <c r="P1953" i="1" a="1"/>
  <c r="P1953" i="1"/>
  <c r="P1954" i="1" a="1"/>
  <c r="P1954" i="1" s="1"/>
  <c r="P1955" i="1" a="1"/>
  <c r="P1955" i="1" s="1"/>
  <c r="P1956" i="1" a="1"/>
  <c r="P1956" i="1" s="1"/>
  <c r="P1957" i="1" a="1"/>
  <c r="P1957" i="1"/>
  <c r="P1958" i="1" a="1"/>
  <c r="P1958" i="1" s="1"/>
  <c r="P1959" i="1" a="1"/>
  <c r="P1959" i="1" s="1"/>
  <c r="P1960" i="1" a="1"/>
  <c r="P1960" i="1"/>
  <c r="P1961" i="1" a="1"/>
  <c r="P1961" i="1" s="1"/>
  <c r="P1962" i="1" a="1"/>
  <c r="P1962" i="1" s="1"/>
  <c r="P1963" i="1" a="1"/>
  <c r="P1963" i="1" s="1"/>
  <c r="P1964" i="1" a="1"/>
  <c r="P1964" i="1"/>
  <c r="P1965" i="1" a="1"/>
  <c r="P1965" i="1" s="1"/>
  <c r="P1966" i="1" a="1"/>
  <c r="P1966" i="1" s="1"/>
  <c r="P1967" i="1" a="1"/>
  <c r="P1967" i="1" s="1"/>
  <c r="P1968" i="1" a="1"/>
  <c r="P1968" i="1"/>
  <c r="P1969" i="1" a="1"/>
  <c r="P1969" i="1"/>
  <c r="P1970" i="1" a="1"/>
  <c r="P1970" i="1" s="1"/>
  <c r="P1971" i="1" a="1"/>
  <c r="P1971" i="1" s="1"/>
  <c r="P1972" i="1" a="1"/>
  <c r="P1972" i="1" s="1"/>
  <c r="P1973" i="1" a="1"/>
  <c r="P1973" i="1" s="1"/>
  <c r="P1974" i="1" a="1"/>
  <c r="P1974" i="1" s="1"/>
  <c r="P1975" i="1" a="1"/>
  <c r="P1975" i="1" s="1"/>
  <c r="P1976" i="1" a="1"/>
  <c r="P1976" i="1"/>
  <c r="P1977" i="1" a="1"/>
  <c r="P1977" i="1" s="1"/>
  <c r="P1978" i="1" a="1"/>
  <c r="P1978" i="1" s="1"/>
  <c r="P1979" i="1" a="1"/>
  <c r="P1979" i="1" s="1"/>
  <c r="P1980" i="1" a="1"/>
  <c r="P1980" i="1"/>
  <c r="P1981" i="1" a="1"/>
  <c r="P1981" i="1"/>
  <c r="P1982" i="1" a="1"/>
  <c r="P1982" i="1" s="1"/>
  <c r="P1983" i="1" a="1"/>
  <c r="P1983" i="1" s="1"/>
  <c r="P1984" i="1" a="1"/>
  <c r="P1984" i="1"/>
  <c r="P1985" i="1" a="1"/>
  <c r="P1985" i="1"/>
  <c r="P1986" i="1" a="1"/>
  <c r="P1986" i="1" s="1"/>
  <c r="P1987" i="1" a="1"/>
  <c r="P1987" i="1" s="1"/>
  <c r="P1988" i="1" a="1"/>
  <c r="P1988" i="1" s="1"/>
  <c r="P1989" i="1" a="1"/>
  <c r="P1989" i="1" s="1"/>
  <c r="P1990" i="1" a="1"/>
  <c r="P1990" i="1" s="1"/>
  <c r="P1991" i="1" a="1"/>
  <c r="P1991" i="1" s="1"/>
  <c r="P1992" i="1" a="1"/>
  <c r="P1992" i="1"/>
  <c r="P1993" i="1" a="1"/>
  <c r="P1993" i="1" s="1"/>
  <c r="P1994" i="1" a="1"/>
  <c r="P1994" i="1" s="1"/>
  <c r="P1995" i="1" a="1"/>
  <c r="P1995" i="1" s="1"/>
  <c r="P1996" i="1" a="1"/>
  <c r="P1996" i="1"/>
  <c r="P1997" i="1" a="1"/>
  <c r="P1997" i="1"/>
  <c r="P1998" i="1" a="1"/>
  <c r="P1998" i="1" s="1"/>
  <c r="P1999" i="1" a="1"/>
  <c r="P1999" i="1" s="1"/>
  <c r="P2000" i="1" a="1"/>
  <c r="P2000" i="1" s="1"/>
  <c r="P2001" i="1" a="1"/>
  <c r="P2001" i="1"/>
  <c r="P2002" i="1" a="1"/>
  <c r="P2002" i="1" s="1"/>
  <c r="P2003" i="1" a="1"/>
  <c r="P2003" i="1" s="1"/>
  <c r="P2004" i="1" a="1"/>
  <c r="P2004" i="1" s="1"/>
  <c r="P2005" i="1" a="1"/>
  <c r="P2005" i="1" s="1"/>
  <c r="P2006" i="1" a="1"/>
  <c r="P2006" i="1" s="1"/>
  <c r="P2007" i="1" a="1"/>
  <c r="P2007" i="1" s="1"/>
  <c r="P2008" i="1" a="1"/>
  <c r="P2008" i="1" s="1"/>
  <c r="P2009" i="1" a="1"/>
  <c r="P2009" i="1" s="1"/>
  <c r="P2010" i="1" a="1"/>
  <c r="P2010" i="1" s="1"/>
  <c r="P2011" i="1" a="1"/>
  <c r="P2011" i="1" s="1"/>
  <c r="P2012" i="1" a="1"/>
  <c r="P2012" i="1" s="1"/>
  <c r="P2013" i="1" a="1"/>
  <c r="P2013" i="1"/>
  <c r="P2014" i="1" a="1"/>
  <c r="P2014" i="1" s="1"/>
  <c r="P2015" i="1" a="1"/>
  <c r="P2015" i="1" s="1"/>
  <c r="P2016" i="1" a="1"/>
  <c r="P2016" i="1" s="1"/>
  <c r="P2017" i="1" a="1"/>
  <c r="P2017" i="1" s="1"/>
  <c r="P2018" i="1" a="1"/>
  <c r="P2018" i="1" s="1"/>
  <c r="P2019" i="1" a="1"/>
  <c r="P2019" i="1" s="1"/>
  <c r="P2020" i="1" a="1"/>
  <c r="P2020" i="1" s="1"/>
  <c r="P2021" i="1" a="1"/>
  <c r="P2021" i="1"/>
  <c r="P2022" i="1" a="1"/>
  <c r="P2022" i="1" s="1"/>
  <c r="P2023" i="1" a="1"/>
  <c r="P2023" i="1" s="1"/>
  <c r="P2024" i="1" a="1"/>
  <c r="P2024" i="1" s="1"/>
  <c r="P2025" i="1" a="1"/>
  <c r="P2025" i="1" s="1"/>
  <c r="P2026" i="1" a="1"/>
  <c r="P2026" i="1" s="1"/>
  <c r="P2027" i="1" a="1"/>
  <c r="P2027" i="1" s="1"/>
  <c r="P2028" i="1" a="1"/>
  <c r="P2028" i="1"/>
  <c r="P2029" i="1" a="1"/>
  <c r="P2029" i="1" s="1"/>
  <c r="P2030" i="1" a="1"/>
  <c r="P2030" i="1" s="1"/>
  <c r="P2031" i="1" a="1"/>
  <c r="P2031" i="1" s="1"/>
  <c r="P2032" i="1" a="1"/>
  <c r="P2032" i="1"/>
  <c r="P2033" i="1" a="1"/>
  <c r="P2033" i="1"/>
  <c r="P2034" i="1" a="1"/>
  <c r="P2034" i="1" s="1"/>
  <c r="P2035" i="1" a="1"/>
  <c r="P2035" i="1" s="1"/>
  <c r="P2036" i="1" a="1"/>
  <c r="P2036" i="1" s="1"/>
  <c r="P2037" i="1" a="1"/>
  <c r="P2037" i="1" s="1"/>
  <c r="P2038" i="1" a="1"/>
  <c r="P2038" i="1" s="1"/>
  <c r="P2039" i="1" a="1"/>
  <c r="P2039" i="1" s="1"/>
  <c r="P2040" i="1" a="1"/>
  <c r="P2040" i="1"/>
  <c r="P2041" i="1" a="1"/>
  <c r="P2041" i="1" s="1"/>
  <c r="P2042" i="1" a="1"/>
  <c r="P2042" i="1" s="1"/>
  <c r="P2043" i="1" a="1"/>
  <c r="P2043" i="1" s="1"/>
  <c r="P2044" i="1" a="1"/>
  <c r="P2044" i="1"/>
  <c r="P2045" i="1" a="1"/>
  <c r="P2045" i="1"/>
  <c r="P2046" i="1" a="1"/>
  <c r="P2046" i="1" s="1"/>
  <c r="P2047" i="1" a="1"/>
  <c r="P2047" i="1" s="1"/>
  <c r="P2048" i="1" a="1"/>
  <c r="P2048" i="1"/>
  <c r="P2049" i="1" a="1"/>
  <c r="P2049" i="1"/>
  <c r="P2050" i="1" a="1"/>
  <c r="P2050" i="1" s="1"/>
  <c r="P2051" i="1" a="1"/>
  <c r="P2051" i="1" s="1"/>
  <c r="P2052" i="1" a="1"/>
  <c r="P2052" i="1" s="1"/>
  <c r="P2053" i="1" a="1"/>
  <c r="P2053" i="1" s="1"/>
  <c r="P2054" i="1" a="1"/>
  <c r="P2054" i="1" s="1"/>
  <c r="P2055" i="1" a="1"/>
  <c r="P2055" i="1" s="1"/>
  <c r="P2056" i="1" a="1"/>
  <c r="P2056" i="1"/>
  <c r="P2057" i="1" a="1"/>
  <c r="P2057" i="1" s="1"/>
  <c r="P2058" i="1" a="1"/>
  <c r="P2058" i="1" s="1"/>
  <c r="P2059" i="1" a="1"/>
  <c r="P2059" i="1" s="1"/>
  <c r="P2060" i="1" a="1"/>
  <c r="P2060" i="1"/>
  <c r="P2061" i="1" a="1"/>
  <c r="P2061" i="1"/>
  <c r="P2062" i="1" a="1"/>
  <c r="P2062" i="1" s="1"/>
  <c r="P2063" i="1" a="1"/>
  <c r="P2063" i="1" s="1"/>
  <c r="P2064" i="1" a="1"/>
  <c r="P2064" i="1" s="1"/>
  <c r="P2065" i="1" a="1"/>
  <c r="P2065" i="1"/>
  <c r="P2066" i="1" a="1"/>
  <c r="P2066" i="1" s="1"/>
  <c r="P2067" i="1" a="1"/>
  <c r="P2067" i="1" s="1"/>
  <c r="P2068" i="1" a="1"/>
  <c r="P2068" i="1" s="1"/>
  <c r="P2069" i="1" a="1"/>
  <c r="P2069" i="1" s="1"/>
  <c r="P2070" i="1" a="1"/>
  <c r="P2070" i="1" s="1"/>
  <c r="P2071" i="1" a="1"/>
  <c r="P2071" i="1" s="1"/>
  <c r="P2072" i="1" a="1"/>
  <c r="P2072" i="1" s="1"/>
  <c r="P2073" i="1" a="1"/>
  <c r="P2073" i="1" s="1"/>
  <c r="P2074" i="1" a="1"/>
  <c r="P2074" i="1" s="1"/>
  <c r="P2075" i="1" a="1"/>
  <c r="P2075" i="1" s="1"/>
  <c r="P2076" i="1" a="1"/>
  <c r="P2076" i="1" s="1"/>
  <c r="P2077" i="1" a="1"/>
  <c r="P2077" i="1"/>
  <c r="P2078" i="1" a="1"/>
  <c r="P2078" i="1" s="1"/>
  <c r="P2079" i="1" a="1"/>
  <c r="P2079" i="1" s="1"/>
  <c r="P2080" i="1" a="1"/>
  <c r="P2080" i="1" s="1"/>
  <c r="P2081" i="1" a="1"/>
  <c r="P2081" i="1" s="1"/>
  <c r="P2082" i="1" a="1"/>
  <c r="P2082" i="1" s="1"/>
  <c r="P2083" i="1" a="1"/>
  <c r="P2083" i="1" s="1"/>
  <c r="P2084" i="1" a="1"/>
  <c r="P2084" i="1" s="1"/>
  <c r="P2085" i="1" a="1"/>
  <c r="P2085" i="1"/>
  <c r="P2086" i="1" a="1"/>
  <c r="P2086" i="1" s="1"/>
  <c r="P2087" i="1" a="1"/>
  <c r="P2087" i="1" s="1"/>
  <c r="P2088" i="1" a="1"/>
  <c r="P2088" i="1" s="1"/>
  <c r="P2089" i="1" a="1"/>
  <c r="P2089" i="1" s="1"/>
  <c r="P2090" i="1" a="1"/>
  <c r="P2090" i="1" s="1"/>
  <c r="P2091" i="1" a="1"/>
  <c r="P2091" i="1" s="1"/>
  <c r="P2092" i="1" a="1"/>
  <c r="P2092" i="1"/>
  <c r="P2093" i="1" a="1"/>
  <c r="P2093" i="1" s="1"/>
  <c r="P2094" i="1" a="1"/>
  <c r="P2094" i="1" s="1"/>
  <c r="P2095" i="1" a="1"/>
  <c r="P2095" i="1" s="1"/>
  <c r="P2096" i="1" a="1"/>
  <c r="P2096" i="1"/>
  <c r="P2097" i="1" a="1"/>
  <c r="P2097" i="1" s="1"/>
  <c r="P2098" i="1" a="1"/>
  <c r="P2098" i="1" s="1"/>
  <c r="P2099" i="1" a="1"/>
  <c r="P2099" i="1" s="1"/>
  <c r="P2100" i="1" a="1"/>
  <c r="P2100" i="1" s="1"/>
  <c r="P2101" i="1" a="1"/>
  <c r="P2101" i="1" s="1"/>
  <c r="P2102" i="1" a="1"/>
  <c r="P2102" i="1" s="1"/>
  <c r="P2103" i="1" a="1"/>
  <c r="P2103" i="1" s="1"/>
  <c r="P2104" i="1" a="1"/>
  <c r="P2104" i="1" s="1"/>
  <c r="P2105" i="1" a="1"/>
  <c r="P2105" i="1" s="1"/>
  <c r="P2106" i="1" a="1"/>
  <c r="P2106" i="1" s="1"/>
  <c r="P2107" i="1" a="1"/>
  <c r="P2107" i="1" s="1"/>
  <c r="P2108" i="1" a="1"/>
  <c r="P2108" i="1"/>
  <c r="P2109" i="1" a="1"/>
  <c r="P2109" i="1"/>
  <c r="P2110" i="1" a="1"/>
  <c r="P2110" i="1" s="1"/>
  <c r="P2111" i="1" a="1"/>
  <c r="P2111" i="1" s="1"/>
  <c r="P2112" i="1" a="1"/>
  <c r="P2112" i="1"/>
  <c r="P2113" i="1" a="1"/>
  <c r="P2113" i="1"/>
  <c r="P2114" i="1" a="1"/>
  <c r="P2114" i="1" s="1"/>
  <c r="P2115" i="1" a="1"/>
  <c r="P2115" i="1" s="1"/>
  <c r="P2116" i="1" a="1"/>
  <c r="P2116" i="1" s="1"/>
  <c r="P2117" i="1" a="1"/>
  <c r="P2117" i="1" s="1"/>
  <c r="P2118" i="1" a="1"/>
  <c r="P2118" i="1" s="1"/>
  <c r="P2119" i="1" a="1"/>
  <c r="P2119" i="1" s="1"/>
  <c r="P2120" i="1" a="1"/>
  <c r="P2120" i="1"/>
  <c r="P2121" i="1" a="1"/>
  <c r="P2121" i="1" s="1"/>
  <c r="P2122" i="1" a="1"/>
  <c r="P2122" i="1" s="1"/>
  <c r="P2123" i="1" a="1"/>
  <c r="P2123" i="1" s="1"/>
  <c r="P2124" i="1" a="1"/>
  <c r="P2124" i="1"/>
  <c r="P2125" i="1" a="1"/>
  <c r="P2125" i="1"/>
  <c r="P2126" i="1" a="1"/>
  <c r="P2126" i="1" s="1"/>
  <c r="P2127" i="1" a="1"/>
  <c r="P2127" i="1" s="1"/>
  <c r="P2128" i="1" a="1"/>
  <c r="P2128" i="1" s="1"/>
  <c r="P2129" i="1" a="1"/>
  <c r="P2129" i="1"/>
  <c r="P2130" i="1" a="1"/>
  <c r="P2130" i="1" s="1"/>
  <c r="P2131" i="1" a="1"/>
  <c r="P2131" i="1" s="1"/>
  <c r="P2132" i="1" a="1"/>
  <c r="P2132" i="1" s="1"/>
  <c r="P2133" i="1" a="1"/>
  <c r="P2133" i="1" s="1"/>
  <c r="P2134" i="1" a="1"/>
  <c r="P2134" i="1" s="1"/>
  <c r="P2135" i="1" a="1"/>
  <c r="P2135" i="1" s="1"/>
  <c r="P2136" i="1" a="1"/>
  <c r="P2136" i="1" s="1"/>
  <c r="P2137" i="1" a="1"/>
  <c r="P2137" i="1" s="1"/>
  <c r="P2138" i="1" a="1"/>
  <c r="P2138" i="1" s="1"/>
  <c r="P2139" i="1" a="1"/>
  <c r="P2139" i="1" s="1"/>
  <c r="P2140" i="1" a="1"/>
  <c r="P2140" i="1" s="1"/>
  <c r="P2141" i="1" a="1"/>
  <c r="P2141" i="1"/>
  <c r="P2142" i="1" a="1"/>
  <c r="P2142" i="1" s="1"/>
  <c r="P2143" i="1" a="1"/>
  <c r="P2143" i="1" s="1"/>
  <c r="P2144" i="1" a="1"/>
  <c r="P2144" i="1" s="1"/>
  <c r="P2145" i="1" a="1"/>
  <c r="P2145" i="1" s="1"/>
  <c r="P2146" i="1" a="1"/>
  <c r="P2146" i="1" s="1"/>
  <c r="P2147" i="1" a="1"/>
  <c r="P2147" i="1" s="1"/>
  <c r="P2148" i="1" a="1"/>
  <c r="P2148" i="1" s="1"/>
  <c r="P2149" i="1" a="1"/>
  <c r="P2149" i="1"/>
  <c r="P2150" i="1" a="1"/>
  <c r="P2150" i="1" s="1"/>
  <c r="P2151" i="1" a="1"/>
  <c r="P2151" i="1" s="1"/>
  <c r="P2152" i="1" a="1"/>
  <c r="P2152" i="1" s="1"/>
  <c r="P2153" i="1" a="1"/>
  <c r="P2153" i="1" s="1"/>
  <c r="P2154" i="1" a="1"/>
  <c r="P2154" i="1" s="1"/>
  <c r="P2155" i="1" a="1"/>
  <c r="P2155" i="1" s="1"/>
  <c r="P2156" i="1" a="1"/>
  <c r="P2156" i="1"/>
  <c r="P2157" i="1" a="1"/>
  <c r="P2157" i="1" s="1"/>
  <c r="P2158" i="1" a="1"/>
  <c r="P2158" i="1" s="1"/>
  <c r="P2159" i="1" a="1"/>
  <c r="P2159" i="1" s="1"/>
  <c r="P2160" i="1" a="1"/>
  <c r="P2160" i="1"/>
  <c r="P2161" i="1" a="1"/>
  <c r="P2161" i="1" s="1"/>
  <c r="P2162" i="1" a="1"/>
  <c r="P2162" i="1" s="1"/>
  <c r="P2163" i="1" a="1"/>
  <c r="P2163" i="1" s="1"/>
  <c r="P2164" i="1" a="1"/>
  <c r="P2164" i="1" s="1"/>
  <c r="P2165" i="1" a="1"/>
  <c r="P2165" i="1" s="1"/>
  <c r="P2166" i="1" a="1"/>
  <c r="P2166" i="1" s="1"/>
  <c r="P2167" i="1" a="1"/>
  <c r="P2167" i="1" s="1"/>
  <c r="P2168" i="1" a="1"/>
  <c r="P2168" i="1" s="1"/>
  <c r="P2169" i="1" a="1"/>
  <c r="P2169" i="1" s="1"/>
  <c r="P2170" i="1" a="1"/>
  <c r="P2170" i="1" s="1"/>
  <c r="P2171" i="1" a="1"/>
  <c r="P2171" i="1" s="1"/>
  <c r="P2172" i="1" a="1"/>
  <c r="P2172" i="1"/>
  <c r="P2173" i="1" a="1"/>
  <c r="P2173" i="1" s="1"/>
  <c r="P2174" i="1" a="1"/>
  <c r="P2174" i="1" s="1"/>
  <c r="P2175" i="1" a="1"/>
  <c r="P2175" i="1" s="1"/>
  <c r="P2176" i="1" a="1"/>
  <c r="P2176" i="1"/>
  <c r="P2177" i="1" a="1"/>
  <c r="P2177" i="1"/>
  <c r="P2178" i="1" a="1"/>
  <c r="P2178" i="1" s="1"/>
  <c r="P2179" i="1" a="1"/>
  <c r="P2179" i="1" s="1"/>
  <c r="P2180" i="1" a="1"/>
  <c r="P2180" i="1" s="1"/>
  <c r="P2181" i="1" a="1"/>
  <c r="P2181" i="1" s="1"/>
  <c r="P2182" i="1" a="1"/>
  <c r="P2182" i="1" s="1"/>
  <c r="P2183" i="1" a="1"/>
  <c r="P2183" i="1" s="1"/>
  <c r="P2184" i="1" a="1"/>
  <c r="P2184" i="1"/>
  <c r="P2185" i="1" a="1"/>
  <c r="P2185" i="1" s="1"/>
  <c r="P2186" i="1" a="1"/>
  <c r="P2186" i="1" s="1"/>
  <c r="P2187" i="1" a="1"/>
  <c r="P2187" i="1" s="1"/>
  <c r="P2188" i="1" a="1"/>
  <c r="P2188" i="1"/>
  <c r="P2189" i="1" a="1"/>
  <c r="P2189" i="1"/>
  <c r="P2190" i="1" a="1"/>
  <c r="P2190" i="1" s="1"/>
  <c r="P2191" i="1" a="1"/>
  <c r="P2191" i="1" s="1"/>
  <c r="P2192" i="1" a="1"/>
  <c r="P2192" i="1" s="1"/>
  <c r="P2193" i="1" a="1"/>
  <c r="P2193" i="1"/>
  <c r="P2194" i="1" a="1"/>
  <c r="P2194" i="1" s="1"/>
  <c r="P2195" i="1" a="1"/>
  <c r="P2195" i="1" s="1"/>
  <c r="P2196" i="1" a="1"/>
  <c r="P2196" i="1" s="1"/>
  <c r="P2197" i="1" a="1"/>
  <c r="P2197" i="1" s="1"/>
  <c r="P2198" i="1" a="1"/>
  <c r="P2198" i="1" s="1"/>
  <c r="P2199" i="1" a="1"/>
  <c r="P2199" i="1" s="1"/>
  <c r="P2200" i="1" a="1"/>
  <c r="P2200" i="1" s="1"/>
  <c r="P2201" i="1" a="1"/>
  <c r="P2201" i="1" s="1"/>
  <c r="P2202" i="1" a="1"/>
  <c r="P2202" i="1" s="1"/>
  <c r="P2203" i="1" a="1"/>
  <c r="P2203" i="1" s="1"/>
  <c r="P2204" i="1" a="1"/>
  <c r="P2204" i="1" s="1"/>
  <c r="P2205" i="1" a="1"/>
  <c r="P2205" i="1"/>
  <c r="P2206" i="1" a="1"/>
  <c r="P2206" i="1" s="1"/>
  <c r="P2207" i="1" a="1"/>
  <c r="P2207" i="1" s="1"/>
  <c r="P2208" i="1" a="1"/>
  <c r="P2208" i="1" s="1"/>
  <c r="P2209" i="1" a="1"/>
  <c r="P2209" i="1" s="1"/>
  <c r="P2210" i="1" a="1"/>
  <c r="P2210" i="1" s="1"/>
  <c r="P2211" i="1" a="1"/>
  <c r="P2211" i="1" s="1"/>
  <c r="P2212" i="1" a="1"/>
  <c r="P2212" i="1" s="1"/>
  <c r="P2213" i="1" a="1"/>
  <c r="P2213" i="1"/>
  <c r="P2214" i="1" a="1"/>
  <c r="P2214" i="1" s="1"/>
  <c r="P2215" i="1" a="1"/>
  <c r="P2215" i="1" s="1"/>
  <c r="P2216" i="1" a="1"/>
  <c r="P2216" i="1" s="1"/>
  <c r="P2217" i="1" a="1"/>
  <c r="P2217" i="1" s="1"/>
  <c r="P2218" i="1" a="1"/>
  <c r="P2218" i="1" s="1"/>
  <c r="P2219" i="1" a="1"/>
  <c r="P2219" i="1" s="1"/>
  <c r="P2220" i="1" a="1"/>
  <c r="P2220" i="1"/>
  <c r="P2221" i="1" a="1"/>
  <c r="P2221" i="1" s="1"/>
  <c r="P2222" i="1" a="1"/>
  <c r="P2222" i="1" s="1"/>
  <c r="P2223" i="1" a="1"/>
  <c r="P2223" i="1" s="1"/>
  <c r="P2224" i="1" a="1"/>
  <c r="P2224" i="1"/>
  <c r="P2225" i="1" a="1"/>
  <c r="P2225" i="1" s="1"/>
  <c r="P2226" i="1" a="1"/>
  <c r="P2226" i="1" s="1"/>
  <c r="P2227" i="1" a="1"/>
  <c r="P2227" i="1" s="1"/>
  <c r="P2228" i="1" a="1"/>
  <c r="P2228" i="1" s="1"/>
  <c r="P2229" i="1" a="1"/>
  <c r="P2229" i="1" s="1"/>
  <c r="P2230" i="1" a="1"/>
  <c r="P2230" i="1" s="1"/>
  <c r="P2231" i="1" a="1"/>
  <c r="P2231" i="1" s="1"/>
  <c r="P2232" i="1" a="1"/>
  <c r="P2232" i="1" s="1"/>
  <c r="P2233" i="1" a="1"/>
  <c r="P2233" i="1" s="1"/>
  <c r="P2234" i="1" a="1"/>
  <c r="P2234" i="1" s="1"/>
  <c r="P2235" i="1" a="1"/>
  <c r="P2235" i="1" s="1"/>
  <c r="P2236" i="1" a="1"/>
  <c r="P2236" i="1"/>
  <c r="P2237" i="1" a="1"/>
  <c r="P2237" i="1" s="1"/>
  <c r="P2238" i="1" a="1"/>
  <c r="P2238" i="1" s="1"/>
  <c r="P2239" i="1" a="1"/>
  <c r="P2239" i="1" s="1"/>
  <c r="P2240" i="1" a="1"/>
  <c r="P2240" i="1"/>
  <c r="P2241" i="1" a="1"/>
  <c r="P2241" i="1"/>
  <c r="P2242" i="1" a="1"/>
  <c r="P2242" i="1" s="1"/>
  <c r="P2243" i="1" a="1"/>
  <c r="P2243" i="1" s="1"/>
  <c r="P2244" i="1" a="1"/>
  <c r="P2244" i="1" s="1"/>
  <c r="P2245" i="1" a="1"/>
  <c r="P2245" i="1" s="1"/>
  <c r="P2246" i="1" a="1"/>
  <c r="P2246" i="1" s="1"/>
  <c r="P2247" i="1" a="1"/>
  <c r="P2247" i="1" s="1"/>
  <c r="P2248" i="1" a="1"/>
  <c r="P2248" i="1"/>
  <c r="P2249" i="1" a="1"/>
  <c r="P2249" i="1"/>
  <c r="P2250" i="1" a="1"/>
  <c r="P2250" i="1"/>
  <c r="P2251" i="1" a="1"/>
  <c r="P2251" i="1" s="1"/>
  <c r="P2252" i="1" a="1"/>
  <c r="P2252" i="1" s="1"/>
  <c r="P2253" i="1" a="1"/>
  <c r="P2253" i="1" s="1"/>
  <c r="P2254" i="1" a="1"/>
  <c r="P2254" i="1" s="1"/>
  <c r="P2255" i="1" a="1"/>
  <c r="P2255" i="1"/>
  <c r="P2256" i="1" a="1"/>
  <c r="P2256" i="1"/>
  <c r="P2257" i="1" a="1"/>
  <c r="P2257" i="1" s="1"/>
  <c r="P2258" i="1" a="1"/>
  <c r="P2258" i="1"/>
  <c r="P2259" i="1" a="1"/>
  <c r="P2259" i="1"/>
  <c r="P2260" i="1" a="1"/>
  <c r="P2260" i="1" s="1"/>
  <c r="P2261" i="1" a="1"/>
  <c r="P2261" i="1" s="1"/>
  <c r="P2262" i="1" a="1"/>
  <c r="P2262" i="1" s="1"/>
  <c r="P2263" i="1" a="1"/>
  <c r="P2263" i="1" s="1"/>
  <c r="P2264" i="1" a="1"/>
  <c r="P2264" i="1"/>
  <c r="P2265" i="1" a="1"/>
  <c r="P2265" i="1" s="1"/>
  <c r="P2266" i="1" a="1"/>
  <c r="P2266" i="1"/>
  <c r="P2267" i="1" a="1"/>
  <c r="P2267" i="1" s="1"/>
  <c r="P2268" i="1" a="1"/>
  <c r="P2268" i="1"/>
  <c r="P2269" i="1" a="1"/>
  <c r="P2269" i="1" s="1"/>
  <c r="P2270" i="1" a="1"/>
  <c r="P2270" i="1"/>
  <c r="P2271" i="1" a="1"/>
  <c r="P2271" i="1"/>
  <c r="P2272" i="1" a="1"/>
  <c r="P2272" i="1" s="1"/>
  <c r="P2273" i="1" a="1"/>
  <c r="P2273" i="1" s="1"/>
  <c r="P2274" i="1" a="1"/>
  <c r="P2274" i="1" s="1"/>
  <c r="P2275" i="1" a="1"/>
  <c r="P2275" i="1" s="1"/>
  <c r="P2276" i="1" a="1"/>
  <c r="P2276" i="1"/>
  <c r="P2277" i="1" a="1"/>
  <c r="P2277" i="1" s="1"/>
  <c r="P2278" i="1" a="1"/>
  <c r="P2278" i="1"/>
  <c r="P2279" i="1" a="1"/>
  <c r="P2279" i="1"/>
  <c r="P2280" i="1" a="1"/>
  <c r="P2280" i="1" s="1"/>
  <c r="P2281" i="1" a="1"/>
  <c r="P2281" i="1" s="1"/>
  <c r="P2282" i="1" a="1"/>
  <c r="P2282" i="1"/>
  <c r="P2283" i="1" a="1"/>
  <c r="P2283" i="1" s="1"/>
  <c r="P2284" i="1" a="1"/>
  <c r="P2284" i="1" s="1"/>
  <c r="P2285" i="1" a="1"/>
  <c r="P2285" i="1" s="1"/>
  <c r="P2286" i="1" a="1"/>
  <c r="P2286" i="1" s="1"/>
  <c r="P2287" i="1" a="1"/>
  <c r="P2287" i="1"/>
  <c r="P2288" i="1" a="1"/>
  <c r="P2288" i="1"/>
  <c r="P2289" i="1" a="1"/>
  <c r="P2289" i="1" s="1"/>
  <c r="P2290" i="1" a="1"/>
  <c r="P2290" i="1" s="1"/>
  <c r="P2291" i="1" a="1"/>
  <c r="P2291" i="1"/>
  <c r="P2292" i="1" a="1"/>
  <c r="P2292" i="1" s="1"/>
  <c r="P2293" i="1" a="1"/>
  <c r="P2293" i="1" s="1"/>
  <c r="P2294" i="1" a="1"/>
  <c r="P2294" i="1"/>
  <c r="P2295" i="1" a="1"/>
  <c r="P2295" i="1" s="1"/>
  <c r="P2296" i="1" a="1"/>
  <c r="P2296" i="1"/>
  <c r="P2297" i="1" a="1"/>
  <c r="P2297" i="1" s="1"/>
  <c r="P2298" i="1" a="1"/>
  <c r="P2298" i="1" s="1"/>
  <c r="P2299" i="1" a="1"/>
  <c r="P2299" i="1"/>
  <c r="P2300" i="1" a="1"/>
  <c r="P2300" i="1"/>
  <c r="P2301" i="1" a="1"/>
  <c r="P2301" i="1" s="1"/>
  <c r="P2302" i="1" a="1"/>
  <c r="P2302" i="1"/>
  <c r="P2303" i="1" a="1"/>
  <c r="P2303" i="1" s="1"/>
  <c r="P2304" i="1" a="1"/>
  <c r="P2304" i="1" s="1"/>
  <c r="P2305" i="1" a="1"/>
  <c r="P2305" i="1" s="1"/>
  <c r="P2306" i="1" a="1"/>
  <c r="P2306" i="1" s="1"/>
  <c r="P2307" i="1" a="1"/>
  <c r="P2307" i="1"/>
  <c r="P2308" i="1" a="1"/>
  <c r="P2308" i="1" s="1"/>
  <c r="P2309" i="1" a="1"/>
  <c r="P2309" i="1" s="1"/>
  <c r="P2310" i="1" a="1"/>
  <c r="P2310" i="1"/>
  <c r="P2311" i="1" a="1"/>
  <c r="P2311" i="1"/>
  <c r="P2312" i="1" a="1"/>
  <c r="P2312" i="1"/>
  <c r="P2313" i="1" a="1"/>
  <c r="P2313" i="1" s="1"/>
  <c r="P2314" i="1" a="1"/>
  <c r="P2314" i="1"/>
  <c r="P2315" i="1" a="1"/>
  <c r="P2315" i="1" s="1"/>
  <c r="P2316" i="1" a="1"/>
  <c r="P2316" i="1"/>
  <c r="P2317" i="1" a="1"/>
  <c r="P2317" i="1" s="1"/>
  <c r="P2318" i="1" a="1"/>
  <c r="P2318" i="1" s="1"/>
  <c r="P2319" i="1" a="1"/>
  <c r="P2319" i="1"/>
  <c r="P2320" i="1" a="1"/>
  <c r="P2320" i="1"/>
  <c r="P2321" i="1" a="1"/>
  <c r="P2321" i="1" s="1"/>
  <c r="P2322" i="1" a="1"/>
  <c r="P2322" i="1"/>
  <c r="P2323" i="1" a="1"/>
  <c r="P2323" i="1"/>
  <c r="P2324" i="1" a="1"/>
  <c r="P2324" i="1" s="1"/>
  <c r="P2325" i="1" a="1"/>
  <c r="P2325" i="1" s="1"/>
  <c r="P2326" i="1" a="1"/>
  <c r="P2326" i="1" s="1"/>
  <c r="P2327" i="1" a="1"/>
  <c r="P2327" i="1" s="1"/>
  <c r="P2328" i="1" a="1"/>
  <c r="P2328" i="1"/>
  <c r="P2329" i="1" a="1"/>
  <c r="P2329" i="1" s="1"/>
  <c r="P2330" i="1" a="1"/>
  <c r="P2330" i="1"/>
  <c r="P2331" i="1" a="1"/>
  <c r="P2331" i="1" s="1"/>
  <c r="P2332" i="1" a="1"/>
  <c r="P2332" i="1"/>
  <c r="P2333" i="1" a="1"/>
  <c r="P2333" i="1" s="1"/>
  <c r="P2334" i="1" a="1"/>
  <c r="P2334" i="1"/>
  <c r="P2335" i="1" a="1"/>
  <c r="P2335" i="1" s="1"/>
  <c r="P2336" i="1" a="1"/>
  <c r="P2336" i="1" s="1"/>
  <c r="P2337" i="1" a="1"/>
  <c r="P2337" i="1" s="1"/>
  <c r="P2338" i="1" a="1"/>
  <c r="P2338" i="1" s="1"/>
  <c r="P2339" i="1" a="1"/>
  <c r="P2339" i="1" s="1"/>
  <c r="P2340" i="1" a="1"/>
  <c r="P2340" i="1"/>
  <c r="P2341" i="1" a="1"/>
  <c r="P2341" i="1" s="1"/>
  <c r="P2342" i="1" a="1"/>
  <c r="P2342" i="1"/>
  <c r="P2343" i="1" a="1"/>
  <c r="P2343" i="1"/>
  <c r="P2344" i="1" a="1"/>
  <c r="P2344" i="1" s="1"/>
  <c r="P2345" i="1" a="1"/>
  <c r="P2345" i="1" s="1"/>
  <c r="P2346" i="1" a="1"/>
  <c r="P2346" i="1"/>
  <c r="P2347" i="1" a="1"/>
  <c r="P2347" i="1" s="1"/>
  <c r="P2348" i="1" a="1"/>
  <c r="P2348" i="1"/>
  <c r="P2349" i="1" a="1"/>
  <c r="P2349" i="1" s="1"/>
  <c r="P2350" i="1" a="1"/>
  <c r="P2350" i="1" s="1"/>
  <c r="P2351" i="1" a="1"/>
  <c r="P2351" i="1" s="1"/>
  <c r="P2352" i="1" a="1"/>
  <c r="P2352" i="1"/>
  <c r="P2353" i="1" a="1"/>
  <c r="P2353" i="1" s="1"/>
  <c r="P2354" i="1" a="1"/>
  <c r="P2354" i="1" s="1"/>
  <c r="P2355" i="1" a="1"/>
  <c r="P2355" i="1"/>
  <c r="P2356" i="1" a="1"/>
  <c r="P2356" i="1" s="1"/>
  <c r="P2357" i="1" a="1"/>
  <c r="P2357" i="1" s="1"/>
  <c r="P2358" i="1" a="1"/>
  <c r="P2358" i="1"/>
  <c r="P2359" i="1" a="1"/>
  <c r="P2359" i="1" s="1"/>
  <c r="P2360" i="1" a="1"/>
  <c r="P2360" i="1" s="1"/>
  <c r="P2361" i="1" a="1"/>
  <c r="P2361" i="1" s="1"/>
  <c r="P2362" i="1" a="1"/>
  <c r="P2362" i="1" s="1"/>
  <c r="P2363" i="1" a="1"/>
  <c r="P2363" i="1"/>
  <c r="P2364" i="1" a="1"/>
  <c r="P2364" i="1"/>
  <c r="P2365" i="1" a="1"/>
  <c r="P2365" i="1" s="1"/>
  <c r="P2366" i="1" a="1"/>
  <c r="P2366" i="1"/>
  <c r="P2367" i="1" a="1"/>
  <c r="P2367" i="1"/>
  <c r="P2368" i="1" a="1"/>
  <c r="P2368" i="1" s="1"/>
  <c r="P2369" i="1" a="1"/>
  <c r="P2369" i="1" s="1"/>
  <c r="P2370" i="1" a="1"/>
  <c r="P2370" i="1" s="1"/>
  <c r="P2371" i="1" a="1"/>
  <c r="P2371" i="1"/>
  <c r="P2372" i="1" a="1"/>
  <c r="P2372" i="1" s="1"/>
  <c r="P2373" i="1" a="1"/>
  <c r="P2373" i="1" s="1"/>
  <c r="P2374" i="1" a="1"/>
  <c r="P2374" i="1"/>
  <c r="P2375" i="1" a="1"/>
  <c r="P2375" i="1"/>
  <c r="P2376" i="1" a="1"/>
  <c r="P2376" i="1" s="1"/>
  <c r="P2377" i="1" a="1"/>
  <c r="P2377" i="1" s="1"/>
  <c r="P2378" i="1" a="1"/>
  <c r="P2378" i="1"/>
  <c r="P2379" i="1" a="1"/>
  <c r="P2379" i="1" s="1"/>
  <c r="P2380" i="1" a="1"/>
  <c r="P2380" i="1" s="1"/>
  <c r="P2381" i="1" a="1"/>
  <c r="P2381" i="1" s="1"/>
  <c r="P2382" i="1" a="1"/>
  <c r="P2382" i="1" s="1"/>
  <c r="P2383" i="1" a="1"/>
  <c r="P2383" i="1"/>
  <c r="P2384" i="1" a="1"/>
  <c r="P2384" i="1"/>
  <c r="P2385" i="1" a="1"/>
  <c r="P2385" i="1" s="1"/>
  <c r="P2386" i="1" a="1"/>
  <c r="P2386" i="1"/>
  <c r="P2387" i="1" a="1"/>
  <c r="P2387" i="1"/>
  <c r="P2388" i="1" a="1"/>
  <c r="P2388" i="1" s="1"/>
  <c r="P2389" i="1" a="1"/>
  <c r="P2389" i="1" s="1"/>
  <c r="P2390" i="1" a="1"/>
  <c r="P2390" i="1" s="1"/>
  <c r="P2391" i="1" a="1"/>
  <c r="P2391" i="1" s="1"/>
  <c r="P2392" i="1" a="1"/>
  <c r="P2392" i="1" s="1"/>
  <c r="P2393" i="1" a="1"/>
  <c r="P2393" i="1" s="1"/>
  <c r="P2394" i="1" a="1"/>
  <c r="P2394" i="1"/>
  <c r="P2395" i="1" a="1"/>
  <c r="P2395" i="1" s="1"/>
  <c r="P2396" i="1" a="1"/>
  <c r="P2396" i="1"/>
  <c r="P2397" i="1" a="1"/>
  <c r="P2397" i="1" s="1"/>
  <c r="P2398" i="1" a="1"/>
  <c r="P2398" i="1"/>
  <c r="P2399" i="1" a="1"/>
  <c r="P2399" i="1"/>
  <c r="P2400" i="1" a="1"/>
  <c r="P2400" i="1" s="1"/>
  <c r="P2401" i="1" a="1"/>
  <c r="P2401" i="1" s="1"/>
  <c r="P2402" i="1" a="1"/>
  <c r="P2402" i="1" s="1"/>
  <c r="P2403" i="1" a="1"/>
  <c r="P2403" i="1" s="1"/>
  <c r="P2404" i="1" a="1"/>
  <c r="P2404" i="1"/>
  <c r="P2405" i="1" a="1"/>
  <c r="P2405" i="1" s="1"/>
  <c r="P2406" i="1" a="1"/>
  <c r="P2406" i="1" s="1"/>
  <c r="P2407" i="1" a="1"/>
  <c r="P2407" i="1"/>
  <c r="P2408" i="1" a="1"/>
  <c r="P2408" i="1"/>
  <c r="P2409" i="1" a="1"/>
  <c r="P2409" i="1" s="1"/>
  <c r="P2410" i="1" a="1"/>
  <c r="P2410" i="1"/>
  <c r="P2411" i="1" a="1"/>
  <c r="P2411" i="1" s="1"/>
  <c r="P2412" i="1" a="1"/>
  <c r="P2412" i="1" s="1"/>
  <c r="P2413" i="1" a="1"/>
  <c r="P2413" i="1" s="1"/>
  <c r="P2414" i="1" a="1"/>
  <c r="P2414" i="1" s="1"/>
  <c r="P2415" i="1" a="1"/>
  <c r="P2415" i="1"/>
  <c r="P2416" i="1" a="1"/>
  <c r="P2416" i="1"/>
  <c r="P2417" i="1" a="1"/>
  <c r="P2417" i="1" s="1"/>
  <c r="P2418" i="1" a="1"/>
  <c r="P2418" i="1" s="1"/>
  <c r="P2419" i="1" a="1"/>
  <c r="P2419" i="1"/>
  <c r="P2420" i="1" a="1"/>
  <c r="P2420" i="1" s="1"/>
  <c r="P2421" i="1" a="1"/>
  <c r="P2421" i="1" s="1"/>
  <c r="P2422" i="1" a="1"/>
  <c r="P2422" i="1"/>
  <c r="P2423" i="1" a="1"/>
  <c r="P2423" i="1" s="1"/>
  <c r="P2424" i="1" a="1"/>
  <c r="P2424" i="1"/>
  <c r="P2425" i="1" a="1"/>
  <c r="P2425" i="1" s="1"/>
  <c r="P2426" i="1" a="1"/>
  <c r="P2426" i="1" s="1"/>
  <c r="P2427" i="1" a="1"/>
  <c r="P2427" i="1"/>
  <c r="P2428" i="1" a="1"/>
  <c r="P2428" i="1"/>
  <c r="P2429" i="1" a="1"/>
  <c r="P2429" i="1" s="1"/>
  <c r="P2430" i="1" a="1"/>
  <c r="P2430" i="1"/>
  <c r="P2431" i="1" a="1"/>
  <c r="P2431" i="1" s="1"/>
  <c r="P2432" i="1" a="1"/>
  <c r="P2432" i="1" s="1"/>
  <c r="P2433" i="1" a="1"/>
  <c r="P2433" i="1" s="1"/>
  <c r="P2434" i="1" a="1"/>
  <c r="P2434" i="1" s="1"/>
  <c r="P2435" i="1" a="1"/>
  <c r="P2435" i="1"/>
  <c r="P2436" i="1" a="1"/>
  <c r="P2436" i="1" s="1"/>
  <c r="P2437" i="1" a="1"/>
  <c r="P2437" i="1" s="1"/>
  <c r="P2438" i="1" a="1"/>
  <c r="P2438" i="1" s="1"/>
  <c r="P2439" i="1" a="1"/>
  <c r="P2439" i="1"/>
  <c r="P2440" i="1" a="1"/>
  <c r="P2440" i="1"/>
  <c r="P2441" i="1" a="1"/>
  <c r="P2441" i="1" s="1"/>
  <c r="P2442" i="1" a="1"/>
  <c r="P2442" i="1"/>
  <c r="P2443" i="1" a="1"/>
  <c r="P2443" i="1" s="1"/>
  <c r="P2444" i="1" a="1"/>
  <c r="P2444" i="1"/>
  <c r="P2445" i="1" a="1"/>
  <c r="P2445" i="1" s="1"/>
  <c r="P2446" i="1" a="1"/>
  <c r="P2446" i="1" s="1"/>
  <c r="P2447" i="1" a="1"/>
  <c r="P2447" i="1" s="1"/>
  <c r="P2448" i="1" a="1"/>
  <c r="P2448" i="1"/>
  <c r="P2449" i="1" a="1"/>
  <c r="P2449" i="1" s="1"/>
  <c r="P2450" i="1" a="1"/>
  <c r="P2450" i="1"/>
  <c r="P2451" i="1" a="1"/>
  <c r="P2451" i="1"/>
  <c r="P2452" i="1" a="1"/>
  <c r="P2452" i="1" s="1"/>
  <c r="P2453" i="1" a="1"/>
  <c r="P2453" i="1" s="1"/>
  <c r="P2454" i="1" a="1"/>
  <c r="P2454" i="1" s="1"/>
  <c r="P2455" i="1" a="1"/>
  <c r="P2455" i="1" s="1"/>
  <c r="P2456" i="1" a="1"/>
  <c r="P2456" i="1"/>
  <c r="P2457" i="1" a="1"/>
  <c r="P2457" i="1" s="1"/>
  <c r="P2458" i="1" a="1"/>
  <c r="P2458" i="1"/>
  <c r="P2459" i="1" a="1"/>
  <c r="P2459" i="1" s="1"/>
  <c r="P2460" i="1" a="1"/>
  <c r="P2460" i="1"/>
  <c r="P2461" i="1" a="1"/>
  <c r="P2461" i="1" s="1"/>
  <c r="P2462" i="1" a="1"/>
  <c r="P2462" i="1"/>
  <c r="P2463" i="1" a="1"/>
  <c r="P2463" i="1" s="1"/>
  <c r="P2464" i="1" a="1"/>
  <c r="P2464" i="1" s="1"/>
  <c r="P2465" i="1" a="1"/>
  <c r="P2465" i="1" s="1"/>
  <c r="P2466" i="1" a="1"/>
  <c r="P2466" i="1" s="1"/>
  <c r="P2467" i="1" a="1"/>
  <c r="P2467" i="1" s="1"/>
  <c r="P2468" i="1" a="1"/>
  <c r="P2468" i="1"/>
  <c r="P2469" i="1" a="1"/>
  <c r="P2469" i="1" s="1"/>
  <c r="P2470" i="1" a="1"/>
  <c r="P2470" i="1"/>
  <c r="P2471" i="1" a="1"/>
  <c r="P2471" i="1"/>
  <c r="P2472" i="1" a="1"/>
  <c r="P2472" i="1" s="1"/>
  <c r="P2473" i="1" a="1"/>
  <c r="P2473" i="1" s="1"/>
  <c r="P2474" i="1" a="1"/>
  <c r="P2474" i="1"/>
  <c r="P2475" i="1" a="1"/>
  <c r="P2475" i="1" s="1"/>
  <c r="P2476" i="1" a="1"/>
  <c r="P2476" i="1"/>
  <c r="P2477" i="1" a="1"/>
  <c r="P2477" i="1" s="1"/>
  <c r="P2478" i="1" a="1"/>
  <c r="P2478" i="1" s="1"/>
  <c r="P2479" i="1" a="1"/>
  <c r="P2479" i="1" s="1"/>
  <c r="P2480" i="1" a="1"/>
  <c r="P2480" i="1"/>
  <c r="P2481" i="1" a="1"/>
  <c r="P2481" i="1" s="1"/>
  <c r="P2482" i="1" a="1"/>
  <c r="P2482" i="1" s="1"/>
  <c r="P2483" i="1" a="1"/>
  <c r="P2483" i="1"/>
  <c r="P2484" i="1" a="1"/>
  <c r="P2484" i="1" s="1"/>
  <c r="P2485" i="1" a="1"/>
  <c r="P2485" i="1" s="1"/>
  <c r="P2486" i="1" a="1"/>
  <c r="P2486" i="1" s="1"/>
  <c r="P2487" i="1" a="1"/>
  <c r="P2487" i="1" s="1"/>
  <c r="P2488" i="1" a="1"/>
  <c r="P2488" i="1" s="1"/>
  <c r="P2489" i="1" a="1"/>
  <c r="P2489" i="1" s="1"/>
  <c r="P2490" i="1" a="1"/>
  <c r="P2490" i="1" s="1"/>
  <c r="P2491" i="1" a="1"/>
  <c r="P2491" i="1" s="1"/>
  <c r="P2492" i="1" a="1"/>
  <c r="P2492" i="1"/>
  <c r="P2493" i="1" a="1"/>
  <c r="P2493" i="1" s="1"/>
  <c r="P2494" i="1" a="1"/>
  <c r="P2494" i="1"/>
  <c r="P2495" i="1" a="1"/>
  <c r="P2495" i="1"/>
  <c r="P2496" i="1" a="1"/>
  <c r="P2496" i="1" s="1"/>
  <c r="P2497" i="1" a="1"/>
  <c r="P2497" i="1" s="1"/>
  <c r="P2498" i="1" a="1"/>
  <c r="P2498" i="1" s="1"/>
  <c r="P2499" i="1" a="1"/>
  <c r="P2499" i="1"/>
  <c r="P2500" i="1" a="1"/>
  <c r="P2500" i="1"/>
  <c r="P2501" i="1" a="1"/>
  <c r="P2501" i="1" s="1"/>
  <c r="P2502" i="1" a="1"/>
  <c r="P2502" i="1"/>
  <c r="P2503" i="1" a="1"/>
  <c r="P2503" i="1"/>
  <c r="P2504" i="1" a="1"/>
  <c r="P2504" i="1" s="1"/>
  <c r="P2505" i="1" a="1"/>
  <c r="P2505" i="1" s="1"/>
  <c r="P2506" i="1" a="1"/>
  <c r="P2506" i="1"/>
  <c r="P2507" i="1" a="1"/>
  <c r="P2507" i="1" s="1"/>
  <c r="P2508" i="1" a="1"/>
  <c r="P2508" i="1" s="1"/>
  <c r="P2509" i="1" a="1"/>
  <c r="P2509" i="1" s="1"/>
  <c r="P2510" i="1" a="1"/>
  <c r="P2510" i="1" s="1"/>
  <c r="P2511" i="1" a="1"/>
  <c r="P2511" i="1"/>
  <c r="P2512" i="1" a="1"/>
  <c r="P2512" i="1"/>
  <c r="P2513" i="1" a="1"/>
  <c r="P2513" i="1" s="1"/>
  <c r="P2514" i="1" a="1"/>
  <c r="P2514" i="1"/>
  <c r="P2515" i="1" a="1"/>
  <c r="P2515" i="1"/>
  <c r="P2516" i="1" a="1"/>
  <c r="P2516" i="1" s="1"/>
  <c r="P2517" i="1" a="1"/>
  <c r="P2517" i="1" s="1"/>
  <c r="P2518" i="1" a="1"/>
  <c r="P2518" i="1" s="1"/>
  <c r="P2519" i="1" a="1"/>
  <c r="P2519" i="1" s="1"/>
  <c r="P2520" i="1" a="1"/>
  <c r="P2520" i="1" s="1"/>
  <c r="P2521" i="1" a="1"/>
  <c r="P2521" i="1" s="1"/>
  <c r="P2522" i="1" a="1"/>
  <c r="P2522" i="1" s="1"/>
  <c r="P2523" i="1" a="1"/>
  <c r="P2523" i="1" s="1"/>
  <c r="P2524" i="1" a="1"/>
  <c r="P2524" i="1"/>
  <c r="P2525" i="1" a="1"/>
  <c r="P2525" i="1" s="1"/>
  <c r="P2526" i="1" a="1"/>
  <c r="P2526" i="1"/>
  <c r="P2527" i="1" a="1"/>
  <c r="P2527" i="1"/>
  <c r="P2528" i="1" a="1"/>
  <c r="P2528" i="1" s="1"/>
  <c r="P2529" i="1" a="1"/>
  <c r="P2529" i="1" s="1"/>
  <c r="P2530" i="1" a="1"/>
  <c r="P2530" i="1" s="1"/>
  <c r="P2531" i="1" a="1"/>
  <c r="P2531" i="1" s="1"/>
  <c r="P2532" i="1" a="1"/>
  <c r="P2532" i="1" s="1"/>
  <c r="P2533" i="1" a="1"/>
  <c r="P2533" i="1" s="1"/>
  <c r="P2534" i="1" a="1"/>
  <c r="P2534" i="1" s="1"/>
  <c r="P2535" i="1" a="1"/>
  <c r="P2535" i="1"/>
  <c r="P2536" i="1" a="1"/>
  <c r="P2536" i="1"/>
  <c r="P2537" i="1" a="1"/>
  <c r="P2537" i="1" s="1"/>
  <c r="P2538" i="1" a="1"/>
  <c r="P2538" i="1"/>
  <c r="P2539" i="1" a="1"/>
  <c r="P2539" i="1" s="1"/>
  <c r="P2540" i="1" a="1"/>
  <c r="P2540" i="1" s="1"/>
  <c r="P2541" i="1" a="1"/>
  <c r="P2541" i="1" s="1"/>
  <c r="P2542" i="1" a="1"/>
  <c r="P2542" i="1" s="1"/>
  <c r="P2543" i="1" a="1"/>
  <c r="P2543" i="1"/>
  <c r="P2544" i="1" a="1"/>
  <c r="P2544" i="1"/>
  <c r="P2545" i="1" a="1"/>
  <c r="P2545" i="1" s="1"/>
  <c r="P2546" i="1" a="1"/>
  <c r="P2546" i="1" s="1"/>
  <c r="P2547" i="1" a="1"/>
  <c r="P2547" i="1"/>
  <c r="P2548" i="1" a="1"/>
  <c r="P2548" i="1" s="1"/>
  <c r="P2549" i="1" a="1"/>
  <c r="P2549" i="1" s="1"/>
  <c r="P2550" i="1" a="1"/>
  <c r="P2550" i="1"/>
  <c r="P2551" i="1" a="1"/>
  <c r="P2551" i="1" s="1"/>
  <c r="P2552" i="1" a="1"/>
  <c r="P2552" i="1"/>
  <c r="P2553" i="1" a="1"/>
  <c r="P2553" i="1" s="1"/>
  <c r="P2554" i="1" a="1"/>
  <c r="P2554" i="1" s="1"/>
  <c r="P2555" i="1" a="1"/>
  <c r="P2555" i="1"/>
  <c r="P2556" i="1" a="1"/>
  <c r="P2556" i="1"/>
  <c r="P2557" i="1" a="1"/>
  <c r="P2557" i="1" s="1"/>
  <c r="P2558" i="1" a="1"/>
  <c r="P2558" i="1"/>
  <c r="P2559" i="1" a="1"/>
  <c r="P2559" i="1" s="1"/>
  <c r="P2560" i="1" a="1"/>
  <c r="P2560" i="1" s="1"/>
  <c r="P2561" i="1" a="1"/>
  <c r="P2561" i="1" s="1"/>
  <c r="P2562" i="1" a="1"/>
  <c r="P2562" i="1" s="1"/>
  <c r="P2563" i="1" a="1"/>
  <c r="P2563" i="1" s="1"/>
  <c r="P2564" i="1" a="1"/>
  <c r="P2564" i="1" s="1"/>
  <c r="P2565" i="1" a="1"/>
  <c r="P2565" i="1" s="1"/>
  <c r="P2566" i="1" a="1"/>
  <c r="P2566" i="1" s="1"/>
  <c r="P2567" i="1" a="1"/>
  <c r="P2567" i="1"/>
  <c r="P2568" i="1" a="1"/>
  <c r="P2568" i="1"/>
  <c r="P2569" i="1" a="1"/>
  <c r="P2569" i="1" s="1"/>
  <c r="P2570" i="1" a="1"/>
  <c r="P2570" i="1"/>
  <c r="P2571" i="1" a="1"/>
  <c r="P2571" i="1" s="1"/>
  <c r="P2572" i="1" a="1"/>
  <c r="P2572" i="1"/>
  <c r="P2573" i="1" a="1"/>
  <c r="P2573" i="1" s="1"/>
  <c r="P2574" i="1" a="1"/>
  <c r="P2574" i="1" s="1"/>
  <c r="P2575" i="1" a="1"/>
  <c r="P2575" i="1" s="1"/>
  <c r="P2576" i="1" a="1"/>
  <c r="P2576" i="1"/>
  <c r="P2577" i="1" a="1"/>
  <c r="P2577" i="1" s="1"/>
  <c r="P2578" i="1" a="1"/>
  <c r="P2578" i="1" s="1"/>
  <c r="P2579" i="1" a="1"/>
  <c r="P2579" i="1"/>
  <c r="P2580" i="1" a="1"/>
  <c r="P2580" i="1" s="1"/>
  <c r="P2581" i="1" a="1"/>
  <c r="P2581" i="1" s="1"/>
  <c r="P2582" i="1" a="1"/>
  <c r="P2582" i="1" s="1"/>
  <c r="P2583" i="1" a="1"/>
  <c r="P2583" i="1" s="1"/>
  <c r="P2584" i="1" a="1"/>
  <c r="P2584" i="1"/>
  <c r="P2585" i="1" a="1"/>
  <c r="P2585" i="1" s="1"/>
  <c r="P2586" i="1" a="1"/>
  <c r="P2586" i="1"/>
  <c r="P2587" i="1" a="1"/>
  <c r="P2587" i="1" s="1"/>
  <c r="P2588" i="1" a="1"/>
  <c r="P2588" i="1"/>
  <c r="P2589" i="1" a="1"/>
  <c r="P2589" i="1" s="1"/>
  <c r="P2590" i="1" a="1"/>
  <c r="P2590" i="1"/>
  <c r="P2591" i="1" a="1"/>
  <c r="P2591" i="1" s="1"/>
  <c r="P2592" i="1" a="1"/>
  <c r="P2592" i="1" s="1"/>
  <c r="P2593" i="1" a="1"/>
  <c r="P2593" i="1" s="1"/>
  <c r="P2594" i="1" a="1"/>
  <c r="P2594" i="1" s="1"/>
  <c r="P2595" i="1" a="1"/>
  <c r="P2595" i="1"/>
  <c r="P2596" i="1" a="1"/>
  <c r="P2596" i="1"/>
  <c r="P2597" i="1" a="1"/>
  <c r="P2597" i="1" s="1"/>
  <c r="P2598" i="1" a="1"/>
  <c r="P2598" i="1"/>
  <c r="P2599" i="1" a="1"/>
  <c r="P2599" i="1"/>
  <c r="P2600" i="1" a="1"/>
  <c r="P2600" i="1" s="1"/>
  <c r="P2601" i="1" a="1"/>
  <c r="P2601" i="1" s="1"/>
  <c r="P2602" i="1" a="1"/>
  <c r="P2602" i="1"/>
  <c r="P2603" i="1" a="1"/>
  <c r="P2603" i="1" s="1"/>
  <c r="P2604" i="1" a="1"/>
  <c r="P2604" i="1"/>
  <c r="P2605" i="1" a="1"/>
  <c r="P2605" i="1" s="1"/>
  <c r="P2606" i="1" a="1"/>
  <c r="P2606" i="1" s="1"/>
  <c r="P2607" i="1" a="1"/>
  <c r="P2607" i="1" s="1"/>
  <c r="P2608" i="1" a="1"/>
  <c r="P2608" i="1"/>
  <c r="P2609" i="1" a="1"/>
  <c r="P2609" i="1" s="1"/>
  <c r="P2610" i="1" a="1"/>
  <c r="P2610" i="1" s="1"/>
  <c r="P2611" i="1" a="1"/>
  <c r="P2611" i="1"/>
  <c r="P2612" i="1" a="1"/>
  <c r="P2612" i="1" s="1"/>
  <c r="P2613" i="1" a="1"/>
  <c r="P2613" i="1" s="1"/>
  <c r="P2614" i="1" a="1"/>
  <c r="P2614" i="1" s="1"/>
  <c r="P2615" i="1" a="1"/>
  <c r="P2615" i="1" s="1"/>
  <c r="P2616" i="1" a="1"/>
  <c r="P2616" i="1" s="1"/>
  <c r="P2617" i="1" a="1"/>
  <c r="P2617" i="1" s="1"/>
  <c r="P2618" i="1" a="1"/>
  <c r="P2618" i="1" s="1"/>
  <c r="P2619" i="1" a="1"/>
  <c r="P2619" i="1" s="1"/>
  <c r="P2620" i="1" a="1"/>
  <c r="P2620" i="1"/>
  <c r="P2621" i="1" a="1"/>
  <c r="P2621" i="1" s="1"/>
  <c r="P2622" i="1" a="1"/>
  <c r="P2622" i="1"/>
  <c r="P2623" i="1" a="1"/>
  <c r="P2623" i="1"/>
  <c r="P2624" i="1" a="1"/>
  <c r="P2624" i="1" s="1"/>
  <c r="P2625" i="1" a="1"/>
  <c r="P2625" i="1" s="1"/>
  <c r="P2626" i="1" a="1"/>
  <c r="P2626" i="1" s="1"/>
  <c r="P2627" i="1" a="1"/>
  <c r="P2627" i="1"/>
  <c r="P2628" i="1" a="1"/>
  <c r="P2628" i="1" s="1"/>
  <c r="P2629" i="1" a="1"/>
  <c r="P2629" i="1" s="1"/>
  <c r="P2630" i="1" a="1"/>
  <c r="P2630" i="1"/>
  <c r="P2631" i="1" a="1"/>
  <c r="P2631" i="1"/>
  <c r="P2632" i="1" a="1"/>
  <c r="P2632" i="1" s="1"/>
  <c r="P2633" i="1" a="1"/>
  <c r="P2633" i="1" s="1"/>
  <c r="P2634" i="1" a="1"/>
  <c r="P2634" i="1"/>
  <c r="P2635" i="1" a="1"/>
  <c r="P2635" i="1" s="1"/>
  <c r="P2636" i="1" a="1"/>
  <c r="P2636" i="1" s="1"/>
  <c r="P2637" i="1" a="1"/>
  <c r="P2637" i="1" s="1"/>
  <c r="P2638" i="1" a="1"/>
  <c r="P2638" i="1" s="1"/>
  <c r="P2639" i="1" a="1"/>
  <c r="P2639" i="1"/>
  <c r="P2640" i="1" a="1"/>
  <c r="P2640" i="1"/>
  <c r="P2641" i="1" a="1"/>
  <c r="P2641" i="1" s="1"/>
  <c r="P2642" i="1" a="1"/>
  <c r="P2642" i="1"/>
  <c r="P2643" i="1" a="1"/>
  <c r="P2643" i="1"/>
  <c r="P2644" i="1" a="1"/>
  <c r="P2644" i="1" s="1"/>
  <c r="P2645" i="1" a="1"/>
  <c r="P2645" i="1" s="1"/>
  <c r="P2646" i="1" a="1"/>
  <c r="P2646" i="1"/>
  <c r="P2647" i="1" a="1"/>
  <c r="P2647" i="1" s="1"/>
  <c r="P2648" i="1" a="1"/>
  <c r="P2648" i="1" s="1"/>
  <c r="P2649" i="1" a="1"/>
  <c r="P2649" i="1" s="1"/>
  <c r="P2650" i="1" a="1"/>
  <c r="P2650" i="1" s="1"/>
  <c r="P2651" i="1" a="1"/>
  <c r="P2651" i="1" s="1"/>
  <c r="P2652" i="1" a="1"/>
  <c r="P2652" i="1"/>
  <c r="P2653" i="1" a="1"/>
  <c r="P2653" i="1" s="1"/>
  <c r="P2654" i="1" a="1"/>
  <c r="P2654" i="1"/>
  <c r="P2655" i="1" a="1"/>
  <c r="P2655" i="1"/>
  <c r="P2656" i="1" a="1"/>
  <c r="P2656" i="1" s="1"/>
  <c r="P2657" i="1" a="1"/>
  <c r="P2657" i="1" s="1"/>
  <c r="P2658" i="1" a="1"/>
  <c r="P2658" i="1" s="1"/>
  <c r="P2659" i="1" a="1"/>
  <c r="P2659" i="1"/>
  <c r="P2660" i="1" a="1"/>
  <c r="P2660" i="1"/>
  <c r="P2661" i="1" a="1"/>
  <c r="P2661" i="1" s="1"/>
  <c r="P2662" i="1" a="1"/>
  <c r="P2662" i="1"/>
  <c r="P2663" i="1" a="1"/>
  <c r="P2663" i="1"/>
  <c r="P2664" i="1" a="1"/>
  <c r="P2664" i="1" s="1"/>
  <c r="P2665" i="1" a="1"/>
  <c r="P2665" i="1" s="1"/>
  <c r="P2666" i="1" a="1"/>
  <c r="P2666" i="1" s="1"/>
  <c r="P2667" i="1" a="1"/>
  <c r="P2667" i="1" s="1"/>
  <c r="P2668" i="1" a="1"/>
  <c r="P2668" i="1" s="1"/>
  <c r="P2669" i="1" a="1"/>
  <c r="P2669" i="1" s="1"/>
  <c r="P2670" i="1" a="1"/>
  <c r="P2670" i="1"/>
  <c r="P2671" i="1" a="1"/>
  <c r="P2671" i="1" s="1"/>
  <c r="P2672" i="1" a="1"/>
  <c r="P2672" i="1"/>
  <c r="P2673" i="1" a="1"/>
  <c r="P2673" i="1" s="1"/>
  <c r="P2674" i="1" a="1"/>
  <c r="P2674" i="1" s="1"/>
  <c r="P2675" i="1" a="1"/>
  <c r="P2675" i="1"/>
  <c r="P2676" i="1" a="1"/>
  <c r="P2676" i="1" s="1"/>
  <c r="P2677" i="1" a="1"/>
  <c r="P2677" i="1" s="1"/>
  <c r="P2678" i="1" a="1"/>
  <c r="P2678" i="1" s="1"/>
  <c r="P2679" i="1" a="1"/>
  <c r="P2679" i="1" s="1"/>
  <c r="P2680" i="1" a="1"/>
  <c r="P2680" i="1" s="1"/>
  <c r="P2681" i="1" a="1"/>
  <c r="P2681" i="1" s="1"/>
  <c r="P2682" i="1" a="1"/>
  <c r="P2682" i="1" s="1"/>
  <c r="P2683" i="1" a="1"/>
  <c r="P2683" i="1"/>
  <c r="P2684" i="1" a="1"/>
  <c r="P2684" i="1"/>
  <c r="P2685" i="1" a="1"/>
  <c r="P2685" i="1" s="1"/>
  <c r="P2686" i="1" a="1"/>
  <c r="P2686" i="1"/>
  <c r="P2687" i="1" a="1"/>
  <c r="P2687" i="1" s="1"/>
  <c r="P2688" i="1" a="1"/>
  <c r="P2688" i="1" s="1"/>
  <c r="P2689" i="1" a="1"/>
  <c r="P2689" i="1" s="1"/>
  <c r="P2690" i="1" a="1"/>
  <c r="P2690" i="1" s="1"/>
  <c r="P2691" i="1" a="1"/>
  <c r="P2691" i="1" s="1"/>
  <c r="P2692" i="1" a="1"/>
  <c r="P2692" i="1"/>
  <c r="P2693" i="1" a="1"/>
  <c r="P2693" i="1" s="1"/>
  <c r="P2694" i="1" a="1"/>
  <c r="P2694" i="1"/>
  <c r="P2695" i="1" a="1"/>
  <c r="P2695" i="1"/>
  <c r="P2696" i="1" a="1"/>
  <c r="P2696" i="1" s="1"/>
  <c r="P2697" i="1" a="1"/>
  <c r="P2697" i="1" s="1"/>
  <c r="P2698" i="1" a="1"/>
  <c r="P2698" i="1"/>
  <c r="P2699" i="1" a="1"/>
  <c r="P2699" i="1" s="1"/>
  <c r="P2700" i="1" a="1"/>
  <c r="P2700" i="1" s="1"/>
  <c r="P2701" i="1" a="1"/>
  <c r="P2701" i="1" s="1"/>
  <c r="P2702" i="1" a="1"/>
  <c r="P2702" i="1" s="1"/>
  <c r="P2703" i="1" a="1"/>
  <c r="P2703" i="1"/>
  <c r="P2704" i="1" a="1"/>
  <c r="P2704" i="1"/>
  <c r="P2705" i="1" a="1"/>
  <c r="P2705" i="1" s="1"/>
  <c r="P2706" i="1" a="1"/>
  <c r="P2706" i="1"/>
  <c r="P2707" i="1" a="1"/>
  <c r="P2707" i="1"/>
  <c r="P2708" i="1" a="1"/>
  <c r="P2708" i="1" s="1"/>
  <c r="P2709" i="1" a="1"/>
  <c r="P2709" i="1" s="1"/>
  <c r="P2710" i="1" a="1"/>
  <c r="P2710" i="1" s="1"/>
  <c r="P2711" i="1" a="1"/>
  <c r="P2711" i="1" s="1"/>
  <c r="P2712" i="1" a="1"/>
  <c r="P2712" i="1"/>
  <c r="P2713" i="1" a="1"/>
  <c r="P2713" i="1" s="1"/>
  <c r="P2714" i="1" a="1"/>
  <c r="P2714" i="1" s="1"/>
  <c r="P2715" i="1" a="1"/>
  <c r="P2715" i="1"/>
  <c r="P2716" i="1" a="1"/>
  <c r="P2716" i="1"/>
  <c r="P2717" i="1" a="1"/>
  <c r="P2717" i="1" s="1"/>
  <c r="P2718" i="1" a="1"/>
  <c r="P2718" i="1"/>
  <c r="P2719" i="1" a="1"/>
  <c r="P2719" i="1" s="1"/>
  <c r="P2720" i="1" a="1"/>
  <c r="P2720" i="1" s="1"/>
  <c r="P2721" i="1" a="1"/>
  <c r="P2721" i="1" s="1"/>
  <c r="P2722" i="1" a="1"/>
  <c r="P2722" i="1" s="1"/>
  <c r="P2723" i="1" a="1"/>
  <c r="P2723" i="1" s="1"/>
  <c r="P2724" i="1" a="1"/>
  <c r="P2724" i="1"/>
  <c r="P2725" i="1" a="1"/>
  <c r="P2725" i="1" s="1"/>
  <c r="P2726" i="1" a="1"/>
  <c r="P2726" i="1"/>
  <c r="P2727" i="1" a="1"/>
  <c r="P2727" i="1"/>
  <c r="P2728" i="1" a="1"/>
  <c r="P2728" i="1" s="1"/>
  <c r="P2729" i="1" a="1"/>
  <c r="P2729" i="1" s="1"/>
  <c r="P2730" i="1" a="1"/>
  <c r="P2730" i="1"/>
  <c r="P2731" i="1" a="1"/>
  <c r="P2731" i="1" s="1"/>
  <c r="P2732" i="1" a="1"/>
  <c r="P2732" i="1" s="1"/>
  <c r="P2733" i="1" a="1"/>
  <c r="P2733" i="1" s="1"/>
  <c r="P2734" i="1" a="1"/>
  <c r="P2734" i="1" s="1"/>
  <c r="P2735" i="1" a="1"/>
  <c r="P2735" i="1"/>
  <c r="P2736" i="1" a="1"/>
  <c r="P2736" i="1"/>
  <c r="P2737" i="1" a="1"/>
  <c r="P2737" i="1" s="1"/>
  <c r="P2738" i="1" a="1"/>
  <c r="P2738" i="1"/>
  <c r="P2739" i="1" a="1"/>
  <c r="P2739" i="1"/>
  <c r="P2740" i="1" a="1"/>
  <c r="P2740" i="1" s="1"/>
  <c r="P2741" i="1" a="1"/>
  <c r="P2741" i="1" s="1"/>
  <c r="P2742" i="1" a="1"/>
  <c r="P2742" i="1" s="1"/>
  <c r="P2743" i="1" a="1"/>
  <c r="P2743" i="1" s="1"/>
  <c r="P2744" i="1" a="1"/>
  <c r="P2744" i="1" s="1"/>
  <c r="P2745" i="1" a="1"/>
  <c r="P2745" i="1" s="1"/>
  <c r="P2746" i="1" a="1"/>
  <c r="P2746" i="1" s="1"/>
  <c r="P2747" i="1" a="1"/>
  <c r="P2747" i="1"/>
  <c r="P2748" i="1" a="1"/>
  <c r="P2748" i="1"/>
  <c r="P2749" i="1" a="1"/>
  <c r="P2749" i="1" s="1"/>
  <c r="P2750" i="1" a="1"/>
  <c r="P2750" i="1"/>
  <c r="P2751" i="1" a="1"/>
  <c r="P2751" i="1" s="1"/>
  <c r="P2752" i="1" a="1"/>
  <c r="P2752" i="1" s="1"/>
  <c r="P2753" i="1" a="1"/>
  <c r="P2753" i="1" s="1"/>
  <c r="P2754" i="1" a="1"/>
  <c r="P2754" i="1" s="1"/>
  <c r="P2755" i="1" a="1"/>
  <c r="P2755" i="1" s="1"/>
  <c r="P2756" i="1" a="1"/>
  <c r="P2756" i="1"/>
  <c r="P2757" i="1" a="1"/>
  <c r="P2757" i="1" s="1"/>
  <c r="P2758" i="1" a="1"/>
  <c r="P2758" i="1"/>
  <c r="P2759" i="1" a="1"/>
  <c r="P2759" i="1"/>
  <c r="P2760" i="1" a="1"/>
  <c r="P2760" i="1"/>
  <c r="P2761" i="1" a="1"/>
  <c r="P2761" i="1" s="1"/>
  <c r="P2762" i="1" a="1"/>
  <c r="P2762" i="1"/>
  <c r="P2763" i="1" a="1"/>
  <c r="P2763" i="1" s="1"/>
  <c r="P2764" i="1" a="1"/>
  <c r="P2764" i="1" s="1"/>
  <c r="P2765" i="1" a="1"/>
  <c r="P2765" i="1" s="1"/>
  <c r="P2766" i="1" a="1"/>
  <c r="P2766" i="1" s="1"/>
  <c r="P2767" i="1" a="1"/>
  <c r="P2767" i="1" s="1"/>
  <c r="P2768" i="1" a="1"/>
  <c r="P2768" i="1"/>
  <c r="P2769" i="1" a="1"/>
  <c r="P2769" i="1" s="1"/>
  <c r="P2770" i="1" a="1"/>
  <c r="P2770" i="1"/>
  <c r="P2771" i="1" a="1"/>
  <c r="P2771" i="1"/>
  <c r="P2772" i="1" a="1"/>
  <c r="P2772" i="1" s="1"/>
  <c r="P2773" i="1" a="1"/>
  <c r="P2773" i="1" s="1"/>
  <c r="P2774" i="1" a="1"/>
  <c r="P2774" i="1"/>
  <c r="P2775" i="1" a="1"/>
  <c r="P2775" i="1" s="1"/>
  <c r="P2776" i="1" a="1"/>
  <c r="P2776" i="1"/>
  <c r="P2777" i="1" a="1"/>
  <c r="P2777" i="1" s="1"/>
  <c r="P2778" i="1" a="1"/>
  <c r="P2778" i="1" s="1"/>
  <c r="P2779" i="1" a="1"/>
  <c r="P2779" i="1"/>
  <c r="P2780" i="1" a="1"/>
  <c r="P2780" i="1"/>
  <c r="P2781" i="1" a="1"/>
  <c r="P2781" i="1" s="1"/>
  <c r="P2782" i="1" a="1"/>
  <c r="P2782" i="1"/>
  <c r="P2783" i="1" a="1"/>
  <c r="P2783" i="1" s="1"/>
  <c r="P2784" i="1" a="1"/>
  <c r="P2784" i="1" s="1"/>
  <c r="P2785" i="1" a="1"/>
  <c r="P2785" i="1" s="1"/>
  <c r="P2786" i="1" a="1"/>
  <c r="P2786" i="1" s="1"/>
  <c r="P2787" i="1" a="1"/>
  <c r="P2787" i="1" s="1"/>
  <c r="P2788" i="1" a="1"/>
  <c r="P2788" i="1"/>
  <c r="P2789" i="1" a="1"/>
  <c r="P2789" i="1" s="1"/>
  <c r="P2790" i="1" a="1"/>
  <c r="P2790" i="1" s="1"/>
  <c r="P2791" i="1" a="1"/>
  <c r="P2791" i="1"/>
  <c r="P2792" i="1" a="1"/>
  <c r="P2792" i="1"/>
  <c r="P2793" i="1" a="1"/>
  <c r="P2793" i="1" s="1"/>
  <c r="P2794" i="1" a="1"/>
  <c r="P2794" i="1"/>
  <c r="P2795" i="1" a="1"/>
  <c r="P2795" i="1" s="1"/>
  <c r="P2796" i="1" a="1"/>
  <c r="P2796" i="1" s="1"/>
  <c r="P2797" i="1" a="1"/>
  <c r="P2797" i="1" s="1"/>
  <c r="P2798" i="1" a="1"/>
  <c r="P2798" i="1" s="1"/>
  <c r="P2799" i="1" a="1"/>
  <c r="P2799" i="1"/>
  <c r="P2800" i="1" a="1"/>
  <c r="P2800" i="1"/>
  <c r="P2801" i="1" a="1"/>
  <c r="P2801" i="1" s="1"/>
  <c r="P2802" i="1" a="1"/>
  <c r="P2802" i="1"/>
  <c r="P2803" i="1" a="1"/>
  <c r="P2803" i="1"/>
  <c r="P2804" i="1" a="1"/>
  <c r="P2804" i="1" s="1"/>
  <c r="P2805" i="1" a="1"/>
  <c r="P2805" i="1" s="1"/>
  <c r="P2806" i="1" a="1"/>
  <c r="P2806" i="1" s="1"/>
  <c r="P2807" i="1" a="1"/>
  <c r="P2807" i="1" s="1"/>
  <c r="P2808" i="1" a="1"/>
  <c r="P2808" i="1"/>
  <c r="P2809" i="1" a="1"/>
  <c r="P2809" i="1" s="1"/>
  <c r="P2810" i="1" a="1"/>
  <c r="P2810" i="1" s="1"/>
  <c r="P2811" i="1" a="1"/>
  <c r="P2811" i="1"/>
  <c r="P2812" i="1" a="1"/>
  <c r="P2812" i="1"/>
  <c r="P2813" i="1" a="1"/>
  <c r="P2813" i="1" s="1"/>
  <c r="P2814" i="1" a="1"/>
  <c r="P2814" i="1"/>
  <c r="P2815" i="1" a="1"/>
  <c r="P2815" i="1" s="1"/>
  <c r="P2816" i="1" a="1"/>
  <c r="P2816" i="1" s="1"/>
  <c r="P2817" i="1" a="1"/>
  <c r="P2817" i="1" s="1"/>
  <c r="P2818" i="1" a="1"/>
  <c r="P2818" i="1" s="1"/>
  <c r="P2819" i="1" a="1"/>
  <c r="P2819" i="1" s="1"/>
  <c r="P2820" i="1" a="1"/>
  <c r="P2820" i="1"/>
  <c r="P2821" i="1" a="1"/>
  <c r="P2821" i="1" s="1"/>
  <c r="P2822" i="1" a="1"/>
  <c r="P2822" i="1"/>
  <c r="P2823" i="1" a="1"/>
  <c r="P2823" i="1"/>
  <c r="P2824" i="1" a="1"/>
  <c r="P2824" i="1" s="1"/>
  <c r="P2825" i="1" a="1"/>
  <c r="P2825" i="1" s="1"/>
  <c r="P2826" i="1" a="1"/>
  <c r="P2826" i="1"/>
  <c r="P2827" i="1" a="1"/>
  <c r="P2827" i="1" s="1"/>
  <c r="P2828" i="1" a="1"/>
  <c r="P2828" i="1" s="1"/>
  <c r="P2829" i="1" a="1"/>
  <c r="P2829" i="1" s="1"/>
  <c r="P2830" i="1" a="1"/>
  <c r="P2830" i="1" s="1"/>
  <c r="P2831" i="1" a="1"/>
  <c r="P2831" i="1"/>
  <c r="P2832" i="1" a="1"/>
  <c r="P2832" i="1"/>
  <c r="P2833" i="1" a="1"/>
  <c r="P2833" i="1" s="1"/>
  <c r="P2834" i="1" a="1"/>
  <c r="P2834" i="1"/>
  <c r="P2835" i="1" a="1"/>
  <c r="P2835" i="1"/>
  <c r="P2836" i="1" a="1"/>
  <c r="P2836" i="1" s="1"/>
  <c r="P2837" i="1" a="1"/>
  <c r="P2837" i="1" s="1"/>
  <c r="P2838" i="1" a="1"/>
  <c r="P2838" i="1" s="1"/>
  <c r="P2839" i="1" a="1"/>
  <c r="P2839" i="1" s="1"/>
  <c r="P2840" i="1" a="1"/>
  <c r="P2840" i="1"/>
  <c r="P2841" i="1" a="1"/>
  <c r="P2841" i="1" s="1"/>
  <c r="P2842" i="1" a="1"/>
  <c r="P2842" i="1" s="1"/>
  <c r="P2843" i="1" a="1"/>
  <c r="P2843" i="1"/>
  <c r="P2844" i="1" a="1"/>
  <c r="P2844" i="1"/>
  <c r="P2845" i="1" a="1"/>
  <c r="P2845" i="1" s="1"/>
  <c r="P2846" i="1" a="1"/>
  <c r="P2846" i="1"/>
  <c r="P2847" i="1" a="1"/>
  <c r="P2847" i="1"/>
  <c r="P2848" i="1" a="1"/>
  <c r="P2848" i="1" s="1"/>
  <c r="P2849" i="1" a="1"/>
  <c r="P2849" i="1" s="1"/>
  <c r="P2850" i="1" a="1"/>
  <c r="P2850" i="1" s="1"/>
  <c r="P2851" i="1" a="1"/>
  <c r="P2851" i="1" s="1"/>
  <c r="P2852" i="1" a="1"/>
  <c r="P2852" i="1"/>
  <c r="P2853" i="1" a="1"/>
  <c r="P2853" i="1" s="1"/>
  <c r="P2854" i="1" a="1"/>
  <c r="P2854" i="1"/>
  <c r="P2855" i="1" a="1"/>
  <c r="P2855" i="1"/>
  <c r="P2856" i="1" a="1"/>
  <c r="P2856" i="1" s="1"/>
  <c r="P2857" i="1" a="1"/>
  <c r="P2857" i="1" s="1"/>
  <c r="P2858" i="1" a="1"/>
  <c r="P2858" i="1"/>
  <c r="P2859" i="1" a="1"/>
  <c r="P2859" i="1" s="1"/>
  <c r="P2860" i="1" a="1"/>
  <c r="P2860" i="1" s="1"/>
  <c r="P2861" i="1" a="1"/>
  <c r="P2861" i="1" s="1"/>
  <c r="P2862" i="1" a="1"/>
  <c r="P2862" i="1" s="1"/>
  <c r="P2863" i="1" a="1"/>
  <c r="P2863" i="1"/>
  <c r="P2864" i="1" a="1"/>
  <c r="P2864" i="1"/>
  <c r="P2865" i="1" a="1"/>
  <c r="P2865" i="1" s="1"/>
  <c r="P2866" i="1" a="1"/>
  <c r="P2866" i="1"/>
  <c r="P2867" i="1" a="1"/>
  <c r="P2867" i="1"/>
  <c r="P2868" i="1" a="1"/>
  <c r="P2868" i="1" s="1"/>
  <c r="P2869" i="1" a="1"/>
  <c r="P2869" i="1" s="1"/>
  <c r="P2870" i="1" a="1"/>
  <c r="P2870" i="1" s="1"/>
  <c r="P2871" i="1" a="1"/>
  <c r="P2871" i="1" s="1"/>
  <c r="P2872" i="1" a="1"/>
  <c r="P2872" i="1"/>
  <c r="P2873" i="1" a="1"/>
  <c r="P2873" i="1" s="1"/>
  <c r="P2874" i="1" a="1"/>
  <c r="P2874" i="1" s="1"/>
  <c r="P2875" i="1" a="1"/>
  <c r="P2875" i="1"/>
  <c r="P2876" i="1" a="1"/>
  <c r="P2876" i="1"/>
  <c r="P2877" i="1" a="1"/>
  <c r="P2877" i="1" s="1"/>
  <c r="P2878" i="1" a="1"/>
  <c r="P2878" i="1"/>
  <c r="P2879" i="1" a="1"/>
  <c r="P2879" i="1" s="1"/>
  <c r="P2880" i="1" a="1"/>
  <c r="P2880" i="1" s="1"/>
  <c r="P2881" i="1" a="1"/>
  <c r="P2881" i="1" s="1"/>
  <c r="P2882" i="1" a="1"/>
  <c r="P2882" i="1" s="1"/>
  <c r="P2883" i="1" a="1"/>
  <c r="P2883" i="1" s="1"/>
  <c r="P2884" i="1" a="1"/>
  <c r="P2884" i="1"/>
  <c r="P2885" i="1" a="1"/>
  <c r="P2885" i="1" s="1"/>
  <c r="P2886" i="1" a="1"/>
  <c r="P2886" i="1"/>
  <c r="P2887" i="1" a="1"/>
  <c r="P2887" i="1"/>
  <c r="P2888" i="1" a="1"/>
  <c r="P2888" i="1" s="1"/>
  <c r="P2889" i="1" a="1"/>
  <c r="P2889" i="1" s="1"/>
  <c r="P2890" i="1" a="1"/>
  <c r="P2890" i="1"/>
  <c r="P2891" i="1" a="1"/>
  <c r="P2891" i="1" s="1"/>
  <c r="P2892" i="1" a="1"/>
  <c r="P2892" i="1" s="1"/>
  <c r="P2893" i="1" a="1"/>
  <c r="P2893" i="1" s="1"/>
  <c r="P2894" i="1" a="1"/>
  <c r="P2894" i="1" s="1"/>
  <c r="P2895" i="1" a="1"/>
  <c r="P2895" i="1"/>
  <c r="P2896" i="1" a="1"/>
  <c r="P2896" i="1"/>
  <c r="P2897" i="1" a="1"/>
  <c r="P2897" i="1" s="1"/>
  <c r="P2898" i="1" a="1"/>
  <c r="P2898" i="1"/>
  <c r="P2899" i="1" a="1"/>
  <c r="P2899" i="1"/>
  <c r="P2900" i="1" a="1"/>
  <c r="P2900" i="1" s="1"/>
  <c r="P2901" i="1" a="1"/>
  <c r="P2901" i="1" s="1"/>
  <c r="P2902" i="1" a="1"/>
  <c r="P2902" i="1" s="1"/>
  <c r="P2903" i="1" a="1"/>
  <c r="P2903" i="1" s="1"/>
  <c r="P2904" i="1" a="1"/>
  <c r="P2904" i="1" s="1"/>
  <c r="P2905" i="1" a="1"/>
  <c r="P2905" i="1" s="1"/>
  <c r="P2906" i="1" a="1"/>
  <c r="P2906" i="1" s="1"/>
  <c r="P2907" i="1" a="1"/>
  <c r="P2907" i="1"/>
  <c r="P2908" i="1" a="1"/>
  <c r="P2908" i="1"/>
  <c r="P2909" i="1" a="1"/>
  <c r="P2909" i="1" s="1"/>
  <c r="P2910" i="1" a="1"/>
  <c r="P2910" i="1"/>
  <c r="P2911" i="1" a="1"/>
  <c r="P2911" i="1" s="1"/>
  <c r="P2912" i="1" a="1"/>
  <c r="P2912" i="1" s="1"/>
  <c r="P2913" i="1" a="1"/>
  <c r="P2913" i="1" s="1"/>
  <c r="P2914" i="1" a="1"/>
  <c r="P2914" i="1" s="1"/>
  <c r="P2915" i="1" a="1"/>
  <c r="P2915" i="1" s="1"/>
  <c r="P2916" i="1" a="1"/>
  <c r="P2916" i="1"/>
  <c r="P2917" i="1" a="1"/>
  <c r="P2917" i="1" s="1"/>
  <c r="P2918" i="1" a="1"/>
  <c r="P2918" i="1"/>
  <c r="P2919" i="1" a="1"/>
  <c r="P2919" i="1"/>
  <c r="P2920" i="1" a="1"/>
  <c r="P2920" i="1" s="1"/>
  <c r="P2921" i="1" a="1"/>
  <c r="P2921" i="1" s="1"/>
  <c r="P2922" i="1" a="1"/>
  <c r="P2922" i="1"/>
  <c r="P2923" i="1" a="1"/>
  <c r="P2923" i="1" s="1"/>
  <c r="P2924" i="1" a="1"/>
  <c r="P2924" i="1" s="1"/>
  <c r="P2925" i="1" a="1"/>
  <c r="P2925" i="1" s="1"/>
  <c r="P2926" i="1" a="1"/>
  <c r="P2926" i="1" s="1"/>
  <c r="P2927" i="1" a="1"/>
  <c r="P2927" i="1"/>
  <c r="P2928" i="1" a="1"/>
  <c r="P2928" i="1"/>
  <c r="P2929" i="1" a="1"/>
  <c r="P2929" i="1" s="1"/>
  <c r="P2930" i="1" a="1"/>
  <c r="P2930" i="1"/>
  <c r="P2931" i="1" a="1"/>
  <c r="P2931" i="1"/>
  <c r="P2932" i="1" a="1"/>
  <c r="P2932" i="1" s="1"/>
  <c r="P2933" i="1" a="1"/>
  <c r="P2933" i="1" s="1"/>
  <c r="P2934" i="1" a="1"/>
  <c r="P2934" i="1" s="1"/>
  <c r="P2935" i="1" a="1"/>
  <c r="P2935" i="1" s="1"/>
  <c r="P2936" i="1" a="1"/>
  <c r="P2936" i="1"/>
  <c r="P2937" i="1" a="1"/>
  <c r="P2937" i="1" s="1"/>
  <c r="P2938" i="1" a="1"/>
  <c r="P2938" i="1" s="1"/>
  <c r="P2939" i="1" a="1"/>
  <c r="P2939" i="1"/>
  <c r="P2940" i="1" a="1"/>
  <c r="P2940" i="1"/>
  <c r="P2941" i="1" a="1"/>
  <c r="P2941" i="1" s="1"/>
  <c r="P2942" i="1" a="1"/>
  <c r="P2942" i="1"/>
  <c r="P2943" i="1" a="1"/>
  <c r="P2943" i="1" s="1"/>
  <c r="P2944" i="1" a="1"/>
  <c r="P2944" i="1" s="1"/>
  <c r="P2945" i="1" a="1"/>
  <c r="P2945" i="1" s="1"/>
  <c r="P2946" i="1" a="1"/>
  <c r="P2946" i="1" s="1"/>
  <c r="P2947" i="1" a="1"/>
  <c r="P2947" i="1" s="1"/>
  <c r="P2948" i="1" a="1"/>
  <c r="P2948" i="1"/>
  <c r="P2949" i="1" a="1"/>
  <c r="P2949" i="1" s="1"/>
  <c r="P2950" i="1" a="1"/>
  <c r="P2950" i="1"/>
  <c r="P2951" i="1" a="1"/>
  <c r="P2951" i="1"/>
  <c r="P2952" i="1" a="1"/>
  <c r="P2952" i="1" s="1"/>
  <c r="P2953" i="1" a="1"/>
  <c r="P2953" i="1" s="1"/>
  <c r="P2954" i="1" a="1"/>
  <c r="P2954" i="1"/>
  <c r="P2955" i="1" a="1"/>
  <c r="P2955" i="1" s="1"/>
  <c r="P2956" i="1" a="1"/>
  <c r="P2956" i="1" s="1"/>
  <c r="P2957" i="1" a="1"/>
  <c r="P2957" i="1" s="1"/>
  <c r="P2958" i="1" a="1"/>
  <c r="P2958" i="1" s="1"/>
  <c r="P2959" i="1" a="1"/>
  <c r="P2959" i="1"/>
  <c r="P2960" i="1" a="1"/>
  <c r="P2960" i="1"/>
  <c r="P2961" i="1" a="1"/>
  <c r="P2961" i="1" s="1"/>
  <c r="P2962" i="1" a="1"/>
  <c r="P2962" i="1"/>
  <c r="P2963" i="1" a="1"/>
  <c r="P2963" i="1"/>
  <c r="P2964" i="1" a="1"/>
  <c r="P2964" i="1" s="1"/>
  <c r="P2965" i="1" a="1"/>
  <c r="P2965" i="1" s="1"/>
  <c r="P2966" i="1" a="1"/>
  <c r="P2966" i="1" s="1"/>
  <c r="P2967" i="1" a="1"/>
  <c r="P2967" i="1" s="1"/>
  <c r="P2968" i="1" a="1"/>
  <c r="P2968" i="1" s="1"/>
  <c r="P2969" i="1" a="1"/>
  <c r="P2969" i="1" s="1"/>
  <c r="P2970" i="1" a="1"/>
  <c r="P2970" i="1" s="1"/>
  <c r="P2971" i="1" a="1"/>
  <c r="P2971" i="1"/>
  <c r="P2972" i="1" a="1"/>
  <c r="P2972" i="1"/>
  <c r="P2973" i="1" a="1"/>
  <c r="P2973" i="1" s="1"/>
  <c r="P2974" i="1" a="1"/>
  <c r="P2974" i="1"/>
  <c r="P2975" i="1" a="1"/>
  <c r="P2975" i="1" s="1"/>
  <c r="P2976" i="1" a="1"/>
  <c r="P2976" i="1" s="1"/>
  <c r="P2977" i="1" a="1"/>
  <c r="P2977" i="1" s="1"/>
  <c r="P2978" i="1" a="1"/>
  <c r="P2978" i="1" s="1"/>
  <c r="P2979" i="1" a="1"/>
  <c r="P2979" i="1" s="1"/>
  <c r="P2980" i="1" a="1"/>
  <c r="P2980" i="1"/>
  <c r="P2981" i="1" a="1"/>
  <c r="P2981" i="1" s="1"/>
  <c r="P2982" i="1" a="1"/>
  <c r="P2982" i="1"/>
  <c r="P2983" i="1" a="1"/>
  <c r="P2983" i="1"/>
  <c r="P2984" i="1" a="1"/>
  <c r="P2984" i="1" s="1"/>
  <c r="P2985" i="1" a="1"/>
  <c r="P2985" i="1" s="1"/>
  <c r="P2986" i="1" a="1"/>
  <c r="P2986" i="1"/>
  <c r="P2987" i="1" a="1"/>
  <c r="P2987" i="1" s="1"/>
  <c r="P2988" i="1" a="1"/>
  <c r="P2988" i="1" s="1"/>
  <c r="P2989" i="1" a="1"/>
  <c r="P2989" i="1" s="1"/>
  <c r="P2990" i="1" a="1"/>
  <c r="P2990" i="1" s="1"/>
  <c r="P2991" i="1" a="1"/>
  <c r="P2991" i="1"/>
  <c r="P2992" i="1" a="1"/>
  <c r="P2992" i="1"/>
  <c r="P2993" i="1" a="1"/>
  <c r="P2993" i="1" s="1"/>
  <c r="P2994" i="1" a="1"/>
  <c r="P2994" i="1"/>
  <c r="P2995" i="1" a="1"/>
  <c r="P2995" i="1"/>
  <c r="P2996" i="1" a="1"/>
  <c r="P2996" i="1" s="1"/>
  <c r="P2997" i="1" a="1"/>
  <c r="P2997" i="1" s="1"/>
  <c r="P2998" i="1" a="1"/>
  <c r="P2998" i="1" s="1"/>
  <c r="P2999" i="1" a="1"/>
  <c r="P2999" i="1" s="1"/>
  <c r="P3000" i="1" a="1"/>
  <c r="P3000" i="1"/>
  <c r="P3001" i="1" a="1"/>
  <c r="P3001" i="1" s="1"/>
  <c r="P3002" i="1" a="1"/>
  <c r="P3002" i="1" s="1"/>
  <c r="P3003" i="1" a="1"/>
  <c r="P3003" i="1"/>
  <c r="P3004" i="1" a="1"/>
  <c r="P3004" i="1"/>
  <c r="P3005" i="1" a="1"/>
  <c r="P3005" i="1" s="1"/>
  <c r="P3006" i="1" a="1"/>
  <c r="P3006" i="1"/>
  <c r="P3007" i="1" a="1"/>
  <c r="P3007" i="1" s="1"/>
  <c r="P3008" i="1" a="1"/>
  <c r="P3008" i="1" s="1"/>
  <c r="P3009" i="1" a="1"/>
  <c r="P3009" i="1" s="1"/>
  <c r="P3010" i="1" a="1"/>
  <c r="P3010" i="1" s="1"/>
  <c r="P3011" i="1" a="1"/>
  <c r="P3011" i="1" s="1"/>
  <c r="P3012" i="1" a="1"/>
  <c r="P3012" i="1"/>
  <c r="P3013" i="1" a="1"/>
  <c r="P3013" i="1" s="1"/>
  <c r="P3014" i="1" a="1"/>
  <c r="P3014" i="1"/>
  <c r="P3015" i="1" a="1"/>
  <c r="P3015" i="1"/>
  <c r="P3016" i="1" a="1"/>
  <c r="P3016" i="1" s="1"/>
  <c r="P3017" i="1" a="1"/>
  <c r="P3017" i="1" s="1"/>
  <c r="P3018" i="1" a="1"/>
  <c r="P3018" i="1"/>
  <c r="P3019" i="1" a="1"/>
  <c r="P3019" i="1" s="1"/>
  <c r="P3020" i="1" a="1"/>
  <c r="P3020" i="1" s="1"/>
  <c r="P3021" i="1" a="1"/>
  <c r="P3021" i="1" s="1"/>
  <c r="P3022" i="1" a="1"/>
  <c r="P3022" i="1" s="1"/>
  <c r="P3023" i="1" a="1"/>
  <c r="P3023" i="1"/>
  <c r="P3024" i="1" a="1"/>
  <c r="P3024" i="1"/>
  <c r="P3025" i="1" a="1"/>
  <c r="P3025" i="1" s="1"/>
  <c r="P3026" i="1" a="1"/>
  <c r="P3026" i="1"/>
  <c r="P3027" i="1" a="1"/>
  <c r="P3027" i="1"/>
  <c r="P3028" i="1" a="1"/>
  <c r="P3028" i="1" s="1"/>
  <c r="P3029" i="1" a="1"/>
  <c r="P3029" i="1" s="1"/>
  <c r="P3030" i="1" a="1"/>
  <c r="P3030" i="1" s="1"/>
  <c r="P3031" i="1" a="1"/>
  <c r="P3031" i="1" s="1"/>
  <c r="P3032" i="1" a="1"/>
  <c r="P3032" i="1" s="1"/>
  <c r="P3033" i="1" a="1"/>
  <c r="P3033" i="1" s="1"/>
  <c r="P3034" i="1" a="1"/>
  <c r="P3034" i="1" s="1"/>
  <c r="P3035" i="1" a="1"/>
  <c r="P3035" i="1"/>
  <c r="P3036" i="1" a="1"/>
  <c r="P3036" i="1"/>
  <c r="P3037" i="1" a="1"/>
  <c r="P3037" i="1" s="1"/>
  <c r="P3038" i="1" a="1"/>
  <c r="P3038" i="1"/>
  <c r="P3039" i="1" a="1"/>
  <c r="P3039" i="1" s="1"/>
  <c r="P3040" i="1" a="1"/>
  <c r="P3040" i="1" s="1"/>
  <c r="P3041" i="1" a="1"/>
  <c r="P3041" i="1" s="1"/>
  <c r="P3042" i="1" a="1"/>
  <c r="P3042" i="1" s="1"/>
  <c r="P3043" i="1" a="1"/>
  <c r="P3043" i="1" s="1"/>
  <c r="P3044" i="1" a="1"/>
  <c r="P3044" i="1"/>
  <c r="P3045" i="1" a="1"/>
  <c r="P3045" i="1" s="1"/>
  <c r="P3046" i="1" a="1"/>
  <c r="P3046" i="1"/>
  <c r="P3047" i="1" a="1"/>
  <c r="P3047" i="1"/>
  <c r="P3048" i="1" a="1"/>
  <c r="P3048" i="1" s="1"/>
  <c r="P3049" i="1" a="1"/>
  <c r="P3049" i="1" s="1"/>
  <c r="P3050" i="1" a="1"/>
  <c r="P3050" i="1"/>
  <c r="P3051" i="1" a="1"/>
  <c r="P3051" i="1" s="1"/>
  <c r="P3052" i="1" a="1"/>
  <c r="P3052" i="1" s="1"/>
  <c r="P3053" i="1" a="1"/>
  <c r="P3053" i="1" s="1"/>
  <c r="P3054" i="1" a="1"/>
  <c r="P3054" i="1" s="1"/>
  <c r="P3055" i="1" a="1"/>
  <c r="P3055" i="1"/>
  <c r="P3056" i="1" a="1"/>
  <c r="P3056" i="1"/>
  <c r="P3057" i="1" a="1"/>
  <c r="P3057" i="1" s="1"/>
  <c r="P3058" i="1" a="1"/>
  <c r="P3058" i="1"/>
  <c r="P3059" i="1" a="1"/>
  <c r="P3059" i="1"/>
  <c r="P3060" i="1" a="1"/>
  <c r="P3060" i="1" s="1"/>
  <c r="P3061" i="1" a="1"/>
  <c r="P3061" i="1" s="1"/>
  <c r="P3062" i="1" a="1"/>
  <c r="P3062" i="1" s="1"/>
  <c r="P3063" i="1" a="1"/>
  <c r="P3063" i="1" s="1"/>
  <c r="P3064" i="1" a="1"/>
  <c r="P3064" i="1"/>
  <c r="P3065" i="1" a="1"/>
  <c r="P3065" i="1" s="1"/>
  <c r="P3066" i="1" a="1"/>
  <c r="P3066" i="1" s="1"/>
  <c r="P3067" i="1" a="1"/>
  <c r="P3067" i="1"/>
  <c r="P3068" i="1" a="1"/>
  <c r="P3068" i="1"/>
  <c r="P3069" i="1" a="1"/>
  <c r="P3069" i="1" s="1"/>
  <c r="P3070" i="1" a="1"/>
  <c r="P3070" i="1"/>
  <c r="P3071" i="1" a="1"/>
  <c r="P3071" i="1" s="1"/>
  <c r="P3072" i="1" a="1"/>
  <c r="P3072" i="1" s="1"/>
  <c r="P3073" i="1" a="1"/>
  <c r="P3073" i="1" s="1"/>
  <c r="P3074" i="1" a="1"/>
  <c r="P3074" i="1" s="1"/>
  <c r="P3075" i="1" a="1"/>
  <c r="P3075" i="1" s="1"/>
  <c r="P3076" i="1" a="1"/>
  <c r="P3076" i="1"/>
  <c r="P3077" i="1" a="1"/>
  <c r="P3077" i="1" s="1"/>
  <c r="P3078" i="1" a="1"/>
  <c r="P3078" i="1"/>
  <c r="P3079" i="1" a="1"/>
  <c r="P3079" i="1"/>
  <c r="P3080" i="1" a="1"/>
  <c r="P3080" i="1" s="1"/>
  <c r="P3081" i="1" a="1"/>
  <c r="P3081" i="1" s="1"/>
  <c r="P3082" i="1" a="1"/>
  <c r="P3082" i="1"/>
  <c r="P3083" i="1" a="1"/>
  <c r="P3083" i="1" s="1"/>
  <c r="P3084" i="1" a="1"/>
  <c r="P3084" i="1" s="1"/>
  <c r="P3085" i="1" a="1"/>
  <c r="P3085" i="1" s="1"/>
  <c r="P3086" i="1" a="1"/>
  <c r="P3086" i="1" s="1"/>
  <c r="P3087" i="1" a="1"/>
  <c r="P3087" i="1"/>
  <c r="P3088" i="1" a="1"/>
  <c r="P3088" i="1"/>
  <c r="P3089" i="1" a="1"/>
  <c r="P3089" i="1" s="1"/>
  <c r="P3090" i="1" a="1"/>
  <c r="P3090" i="1"/>
  <c r="P3091" i="1" a="1"/>
  <c r="P3091" i="1"/>
  <c r="P3092" i="1" a="1"/>
  <c r="P3092" i="1" s="1"/>
  <c r="P3093" i="1" a="1"/>
  <c r="P3093" i="1" s="1"/>
  <c r="P3094" i="1" a="1"/>
  <c r="P3094" i="1" s="1"/>
  <c r="P3095" i="1" a="1"/>
  <c r="P3095" i="1" s="1"/>
  <c r="P3096" i="1" a="1"/>
  <c r="P3096" i="1" s="1"/>
  <c r="P3097" i="1" a="1"/>
  <c r="P3097" i="1" s="1"/>
  <c r="P3098" i="1" a="1"/>
  <c r="P3098" i="1" s="1"/>
  <c r="P3099" i="1" a="1"/>
  <c r="P3099" i="1"/>
  <c r="P3100" i="1" a="1"/>
  <c r="P3100" i="1"/>
  <c r="P3101" i="1" a="1"/>
  <c r="P3101" i="1" s="1"/>
  <c r="P3102" i="1" a="1"/>
  <c r="P3102" i="1"/>
  <c r="P3103" i="1" a="1"/>
  <c r="P3103" i="1" s="1"/>
  <c r="P3104" i="1" a="1"/>
  <c r="P3104" i="1" s="1"/>
  <c r="P3105" i="1" a="1"/>
  <c r="P3105" i="1" s="1"/>
  <c r="P3106" i="1" a="1"/>
  <c r="P3106" i="1" s="1"/>
  <c r="P3107" i="1" a="1"/>
  <c r="P3107" i="1" s="1"/>
  <c r="P3108" i="1" a="1"/>
  <c r="P3108" i="1"/>
  <c r="P3109" i="1" a="1"/>
  <c r="P3109" i="1" s="1"/>
  <c r="P3110" i="1" a="1"/>
  <c r="P3110" i="1"/>
  <c r="P3111" i="1" a="1"/>
  <c r="P3111" i="1"/>
  <c r="P3112" i="1" a="1"/>
  <c r="P3112" i="1" s="1"/>
  <c r="P3113" i="1" a="1"/>
  <c r="P3113" i="1" s="1"/>
  <c r="P3114" i="1" a="1"/>
  <c r="P3114" i="1"/>
  <c r="P3115" i="1" a="1"/>
  <c r="P3115" i="1" s="1"/>
  <c r="P3116" i="1" a="1"/>
  <c r="P3116" i="1" s="1"/>
  <c r="P3117" i="1" a="1"/>
  <c r="P3117" i="1" s="1"/>
  <c r="P3118" i="1" a="1"/>
  <c r="P3118" i="1" s="1"/>
  <c r="P3119" i="1" a="1"/>
  <c r="P3119" i="1"/>
  <c r="P3120" i="1" a="1"/>
  <c r="P3120" i="1"/>
  <c r="P3121" i="1" a="1"/>
  <c r="P3121" i="1" s="1"/>
  <c r="P3122" i="1" a="1"/>
  <c r="P3122" i="1"/>
  <c r="P3123" i="1" a="1"/>
  <c r="P3123" i="1"/>
  <c r="P3124" i="1" a="1"/>
  <c r="P3124" i="1" s="1"/>
  <c r="P3125" i="1" a="1"/>
  <c r="P3125" i="1" s="1"/>
  <c r="P3126" i="1" a="1"/>
  <c r="P3126" i="1" s="1"/>
  <c r="P3127" i="1" a="1"/>
  <c r="P3127" i="1" s="1"/>
  <c r="P3128" i="1" a="1"/>
  <c r="P3128" i="1"/>
  <c r="P3129" i="1" a="1"/>
  <c r="P3129" i="1" s="1"/>
  <c r="P3130" i="1" a="1"/>
  <c r="P3130" i="1" s="1"/>
  <c r="P3131" i="1" a="1"/>
  <c r="P3131" i="1"/>
  <c r="P3132" i="1" a="1"/>
  <c r="P3132" i="1"/>
  <c r="P3133" i="1" a="1"/>
  <c r="P3133" i="1" s="1"/>
  <c r="P3134" i="1" a="1"/>
  <c r="P3134" i="1"/>
  <c r="P3135" i="1" a="1"/>
  <c r="P3135" i="1" s="1"/>
  <c r="P3136" i="1" a="1"/>
  <c r="P3136" i="1" s="1"/>
  <c r="P3137" i="1" a="1"/>
  <c r="P3137" i="1" s="1"/>
  <c r="P3138" i="1" a="1"/>
  <c r="P3138" i="1" s="1"/>
  <c r="P3139" i="1" a="1"/>
  <c r="P3139" i="1" s="1"/>
  <c r="P3140" i="1" a="1"/>
  <c r="P3140" i="1"/>
  <c r="P3141" i="1" a="1"/>
  <c r="P3141" i="1" s="1"/>
  <c r="P3142" i="1" a="1"/>
  <c r="P3142" i="1"/>
  <c r="P3143" i="1" a="1"/>
  <c r="P3143" i="1"/>
  <c r="P3144" i="1" a="1"/>
  <c r="P3144" i="1" s="1"/>
  <c r="P3145" i="1" a="1"/>
  <c r="P3145" i="1" s="1"/>
  <c r="P3146" i="1" a="1"/>
  <c r="P3146" i="1"/>
  <c r="P3147" i="1" a="1"/>
  <c r="P3147" i="1" s="1"/>
  <c r="P3148" i="1" a="1"/>
  <c r="P3148" i="1" s="1"/>
  <c r="P3149" i="1" a="1"/>
  <c r="P3149" i="1" s="1"/>
  <c r="P3150" i="1" a="1"/>
  <c r="P3150" i="1" s="1"/>
  <c r="P3151" i="1" a="1"/>
  <c r="P3151" i="1"/>
  <c r="P3152" i="1" a="1"/>
  <c r="P3152" i="1"/>
  <c r="P3153" i="1" a="1"/>
  <c r="P3153" i="1" s="1"/>
  <c r="P3154" i="1" a="1"/>
  <c r="P3154" i="1"/>
  <c r="P3155" i="1" a="1"/>
  <c r="P3155" i="1"/>
  <c r="P3156" i="1" a="1"/>
  <c r="P3156" i="1" s="1"/>
  <c r="P3157" i="1" a="1"/>
  <c r="P3157" i="1" s="1"/>
  <c r="P3158" i="1" a="1"/>
  <c r="P3158" i="1" s="1"/>
  <c r="P3159" i="1" a="1"/>
  <c r="P3159" i="1" s="1"/>
  <c r="P3160" i="1" a="1"/>
  <c r="P3160" i="1" s="1"/>
  <c r="P3161" i="1" a="1"/>
  <c r="P3161" i="1" s="1"/>
  <c r="P3162" i="1" a="1"/>
  <c r="P3162" i="1" s="1"/>
  <c r="P3163" i="1" a="1"/>
  <c r="P3163" i="1"/>
  <c r="P3164" i="1" a="1"/>
  <c r="P3164" i="1"/>
  <c r="P3165" i="1" a="1"/>
  <c r="P3165" i="1" s="1"/>
  <c r="P3166" i="1" a="1"/>
  <c r="P3166" i="1"/>
  <c r="P3167" i="1" a="1"/>
  <c r="P3167" i="1" s="1"/>
  <c r="P3168" i="1" a="1"/>
  <c r="P3168" i="1" s="1"/>
  <c r="P3169" i="1" a="1"/>
  <c r="P3169" i="1" s="1"/>
  <c r="P3170" i="1" a="1"/>
  <c r="P3170" i="1" s="1"/>
  <c r="P3171" i="1" a="1"/>
  <c r="P3171" i="1" s="1"/>
  <c r="P3172" i="1" a="1"/>
  <c r="P3172" i="1"/>
  <c r="P3173" i="1" a="1"/>
  <c r="P3173" i="1" s="1"/>
  <c r="P3174" i="1" a="1"/>
  <c r="P3174" i="1"/>
  <c r="P3175" i="1" a="1"/>
  <c r="P3175" i="1"/>
  <c r="P3176" i="1" a="1"/>
  <c r="P3176" i="1" s="1"/>
  <c r="P3177" i="1" a="1"/>
  <c r="P3177" i="1" s="1"/>
  <c r="P3178" i="1" a="1"/>
  <c r="P3178" i="1"/>
  <c r="P3179" i="1" a="1"/>
  <c r="P3179" i="1" s="1"/>
  <c r="P3180" i="1" a="1"/>
  <c r="P3180" i="1" s="1"/>
  <c r="P3181" i="1" a="1"/>
  <c r="P3181" i="1" s="1"/>
  <c r="P3182" i="1" a="1"/>
  <c r="P3182" i="1" s="1"/>
  <c r="P3183" i="1" a="1"/>
  <c r="P3183" i="1"/>
  <c r="P3184" i="1" a="1"/>
  <c r="P3184" i="1"/>
  <c r="P3185" i="1" a="1"/>
  <c r="P3185" i="1" s="1"/>
  <c r="P3186" i="1" a="1"/>
  <c r="P3186" i="1"/>
  <c r="P3187" i="1" a="1"/>
  <c r="P3187" i="1"/>
  <c r="P3188" i="1" a="1"/>
  <c r="P3188" i="1" s="1"/>
  <c r="P3189" i="1" a="1"/>
  <c r="P3189" i="1" s="1"/>
  <c r="P3190" i="1" a="1"/>
  <c r="P3190" i="1" s="1"/>
  <c r="P3191" i="1" a="1"/>
  <c r="P3191" i="1" s="1"/>
  <c r="P3192" i="1" a="1"/>
  <c r="P3192" i="1"/>
  <c r="P3193" i="1" a="1"/>
  <c r="P3193" i="1" s="1"/>
  <c r="P3194" i="1" a="1"/>
  <c r="P3194" i="1" s="1"/>
  <c r="P3195" i="1" a="1"/>
  <c r="P3195" i="1"/>
  <c r="P3196" i="1" a="1"/>
  <c r="P3196" i="1"/>
  <c r="P3197" i="1" a="1"/>
  <c r="P3197" i="1" s="1"/>
  <c r="P3198" i="1" a="1"/>
  <c r="P3198" i="1"/>
  <c r="P3199" i="1" a="1"/>
  <c r="P3199" i="1" s="1"/>
  <c r="P3200" i="1" a="1"/>
  <c r="P3200" i="1" s="1"/>
  <c r="P3201" i="1" a="1"/>
  <c r="P3201" i="1" s="1"/>
  <c r="P3202" i="1" a="1"/>
  <c r="P3202" i="1" s="1"/>
  <c r="P3203" i="1" a="1"/>
  <c r="P3203" i="1" s="1"/>
  <c r="P3204" i="1" a="1"/>
  <c r="P3204" i="1"/>
  <c r="P3205" i="1" a="1"/>
  <c r="P3205" i="1" s="1"/>
  <c r="P3206" i="1" a="1"/>
  <c r="P3206" i="1"/>
  <c r="P3207" i="1" a="1"/>
  <c r="P3207" i="1"/>
  <c r="P3208" i="1" a="1"/>
  <c r="P3208" i="1" s="1"/>
  <c r="P3209" i="1" a="1"/>
  <c r="P3209" i="1" s="1"/>
  <c r="P3210" i="1" a="1"/>
  <c r="P3210" i="1"/>
  <c r="P3211" i="1" a="1"/>
  <c r="P3211" i="1" s="1"/>
  <c r="P3212" i="1" a="1"/>
  <c r="P3212" i="1" s="1"/>
  <c r="P3213" i="1" a="1"/>
  <c r="P3213" i="1" s="1"/>
  <c r="P3214" i="1" a="1"/>
  <c r="P3214" i="1" s="1"/>
  <c r="P3215" i="1" a="1"/>
  <c r="P3215" i="1"/>
  <c r="P3216" i="1" a="1"/>
  <c r="P3216" i="1"/>
  <c r="P3217" i="1" a="1"/>
  <c r="P3217" i="1" s="1"/>
  <c r="P3218" i="1" a="1"/>
  <c r="P3218" i="1"/>
  <c r="P3219" i="1" a="1"/>
  <c r="P3219" i="1"/>
  <c r="P3220" i="1" a="1"/>
  <c r="P3220" i="1" s="1"/>
  <c r="P3221" i="1" a="1"/>
  <c r="P3221" i="1" s="1"/>
  <c r="P3222" i="1" a="1"/>
  <c r="P3222" i="1" s="1"/>
  <c r="P3223" i="1" a="1"/>
  <c r="P3223" i="1" s="1"/>
  <c r="P3224" i="1" a="1"/>
  <c r="P3224" i="1" s="1"/>
  <c r="P3225" i="1" a="1"/>
  <c r="P3225" i="1" s="1"/>
  <c r="P3226" i="1" a="1"/>
  <c r="P3226" i="1" s="1"/>
  <c r="P3227" i="1" a="1"/>
  <c r="P3227" i="1"/>
  <c r="P3228" i="1" a="1"/>
  <c r="P3228" i="1"/>
  <c r="P3229" i="1" a="1"/>
  <c r="P3229" i="1" s="1"/>
  <c r="P3230" i="1" a="1"/>
  <c r="P3230" i="1"/>
  <c r="P3231" i="1" a="1"/>
  <c r="P3231" i="1" s="1"/>
  <c r="P3232" i="1" a="1"/>
  <c r="P3232" i="1" s="1"/>
  <c r="P3233" i="1" a="1"/>
  <c r="P3233" i="1" s="1"/>
  <c r="P3234" i="1" a="1"/>
  <c r="P3234" i="1" s="1"/>
  <c r="P3235" i="1" a="1"/>
  <c r="P3235" i="1" s="1"/>
  <c r="P3236" i="1" a="1"/>
  <c r="P3236" i="1"/>
  <c r="P3237" i="1" a="1"/>
  <c r="P3237" i="1" s="1"/>
  <c r="P3238" i="1" a="1"/>
  <c r="P3238" i="1"/>
  <c r="P3239" i="1" a="1"/>
  <c r="P3239" i="1"/>
  <c r="P3240" i="1" a="1"/>
  <c r="P3240" i="1" s="1"/>
  <c r="P3241" i="1" a="1"/>
  <c r="P3241" i="1" s="1"/>
  <c r="P3242" i="1" a="1"/>
  <c r="P3242" i="1"/>
  <c r="P3243" i="1" a="1"/>
  <c r="P3243" i="1" s="1"/>
  <c r="P3244" i="1" a="1"/>
  <c r="P3244" i="1" s="1"/>
  <c r="P3245" i="1" a="1"/>
  <c r="P3245" i="1" s="1"/>
  <c r="P3246" i="1" a="1"/>
  <c r="P3246" i="1" s="1"/>
  <c r="P3247" i="1" a="1"/>
  <c r="P3247" i="1"/>
  <c r="P3248" i="1" a="1"/>
  <c r="P3248" i="1"/>
  <c r="P3249" i="1" a="1"/>
  <c r="P3249" i="1" s="1"/>
  <c r="P3250" i="1" a="1"/>
  <c r="P3250" i="1"/>
  <c r="P3251" i="1" a="1"/>
  <c r="P3251" i="1"/>
  <c r="P3252" i="1" a="1"/>
  <c r="P3252" i="1" s="1"/>
  <c r="P3253" i="1" a="1"/>
  <c r="P3253" i="1" s="1"/>
  <c r="P3254" i="1" a="1"/>
  <c r="P3254" i="1" s="1"/>
  <c r="P3255" i="1" a="1"/>
  <c r="P3255" i="1" s="1"/>
  <c r="P3256" i="1" a="1"/>
  <c r="P3256" i="1"/>
  <c r="P3257" i="1" a="1"/>
  <c r="P3257" i="1" s="1"/>
  <c r="P3258" i="1" a="1"/>
  <c r="P3258" i="1" s="1"/>
  <c r="P3259" i="1" a="1"/>
  <c r="P3259" i="1"/>
  <c r="P3260" i="1" a="1"/>
  <c r="P3260" i="1"/>
  <c r="P3261" i="1" a="1"/>
  <c r="P3261" i="1" s="1"/>
  <c r="P3262" i="1" a="1"/>
  <c r="P3262" i="1"/>
  <c r="P3263" i="1" a="1"/>
  <c r="P3263" i="1" s="1"/>
  <c r="P3264" i="1" a="1"/>
  <c r="P3264" i="1" s="1"/>
  <c r="P3265" i="1" a="1"/>
  <c r="P3265" i="1" s="1"/>
  <c r="P3266" i="1" a="1"/>
  <c r="P3266" i="1" s="1"/>
  <c r="P3267" i="1" a="1"/>
  <c r="P3267" i="1" s="1"/>
  <c r="P3268" i="1" a="1"/>
  <c r="P3268" i="1"/>
  <c r="P3269" i="1" a="1"/>
  <c r="P3269" i="1" s="1"/>
  <c r="P3270" i="1" a="1"/>
  <c r="P3270" i="1"/>
  <c r="P3271" i="1" a="1"/>
  <c r="P3271" i="1"/>
  <c r="P3272" i="1" a="1"/>
  <c r="P3272" i="1" s="1"/>
  <c r="P3273" i="1" a="1"/>
  <c r="P3273" i="1" s="1"/>
  <c r="P3274" i="1" a="1"/>
  <c r="P3274" i="1"/>
  <c r="P3275" i="1" a="1"/>
  <c r="P3275" i="1" s="1"/>
  <c r="P3276" i="1" a="1"/>
  <c r="P3276" i="1" s="1"/>
  <c r="P3277" i="1" a="1"/>
  <c r="P3277" i="1" s="1"/>
  <c r="P3278" i="1" a="1"/>
  <c r="P3278" i="1" s="1"/>
  <c r="P3279" i="1" a="1"/>
  <c r="P3279" i="1"/>
  <c r="P3280" i="1" a="1"/>
  <c r="P3280" i="1"/>
  <c r="P3281" i="1" a="1"/>
  <c r="P3281" i="1" s="1"/>
  <c r="P3282" i="1" a="1"/>
  <c r="P3282" i="1"/>
  <c r="P3283" i="1" a="1"/>
  <c r="P3283" i="1"/>
  <c r="P3284" i="1" a="1"/>
  <c r="P3284" i="1" s="1"/>
  <c r="P3285" i="1" a="1"/>
  <c r="P3285" i="1" s="1"/>
  <c r="P3286" i="1" a="1"/>
  <c r="P3286" i="1" s="1"/>
  <c r="P3287" i="1" a="1"/>
  <c r="P3287" i="1" s="1"/>
  <c r="P3288" i="1" a="1"/>
  <c r="P3288" i="1" s="1"/>
  <c r="P3289" i="1" a="1"/>
  <c r="P3289" i="1" s="1"/>
  <c r="P3290" i="1" a="1"/>
  <c r="P3290" i="1" s="1"/>
  <c r="P3291" i="1" a="1"/>
  <c r="P3291" i="1"/>
  <c r="P3292" i="1" a="1"/>
  <c r="P3292" i="1"/>
  <c r="P3293" i="1" a="1"/>
  <c r="P3293" i="1" s="1"/>
  <c r="P3294" i="1" a="1"/>
  <c r="P3294" i="1"/>
  <c r="P3295" i="1" a="1"/>
  <c r="P3295" i="1" s="1"/>
  <c r="P3296" i="1" a="1"/>
  <c r="P3296" i="1" s="1"/>
  <c r="P3297" i="1" a="1"/>
  <c r="P3297" i="1" s="1"/>
  <c r="P3298" i="1" a="1"/>
  <c r="P3298" i="1" s="1"/>
  <c r="P3299" i="1" a="1"/>
  <c r="P3299" i="1" s="1"/>
  <c r="P3300" i="1" a="1"/>
  <c r="P3300" i="1"/>
  <c r="P3301" i="1" a="1"/>
  <c r="P3301" i="1" s="1"/>
  <c r="P3302" i="1" a="1"/>
  <c r="P3302" i="1"/>
  <c r="P3303" i="1" a="1"/>
  <c r="P3303" i="1"/>
  <c r="P3304" i="1" a="1"/>
  <c r="P3304" i="1" s="1"/>
  <c r="P3305" i="1" a="1"/>
  <c r="P3305" i="1" s="1"/>
  <c r="P3306" i="1" a="1"/>
  <c r="P3306" i="1"/>
  <c r="P3307" i="1" a="1"/>
  <c r="P3307" i="1" s="1"/>
  <c r="P3308" i="1" a="1"/>
  <c r="P3308" i="1" s="1"/>
  <c r="P3309" i="1" a="1"/>
  <c r="P3309" i="1" s="1"/>
  <c r="P3310" i="1" a="1"/>
  <c r="P3310" i="1" s="1"/>
  <c r="P3311" i="1" a="1"/>
  <c r="P3311" i="1"/>
  <c r="P3312" i="1" a="1"/>
  <c r="P3312" i="1"/>
  <c r="P3313" i="1" a="1"/>
  <c r="P3313" i="1" s="1"/>
  <c r="P3314" i="1" a="1"/>
  <c r="P3314" i="1"/>
  <c r="P3315" i="1" a="1"/>
  <c r="P3315" i="1"/>
  <c r="P3316" i="1" a="1"/>
  <c r="P3316" i="1" s="1"/>
  <c r="P3317" i="1" a="1"/>
  <c r="P3317" i="1" s="1"/>
  <c r="P3318" i="1" a="1"/>
  <c r="P3318" i="1" s="1"/>
  <c r="P3319" i="1" a="1"/>
  <c r="P3319" i="1" s="1"/>
  <c r="P3320" i="1" a="1"/>
  <c r="P3320" i="1"/>
  <c r="P3321" i="1" a="1"/>
  <c r="P3321" i="1" s="1"/>
  <c r="P3322" i="1" a="1"/>
  <c r="P3322" i="1" s="1"/>
  <c r="P3323" i="1" a="1"/>
  <c r="P3323" i="1"/>
  <c r="P3324" i="1" a="1"/>
  <c r="P3324" i="1"/>
  <c r="P3325" i="1" a="1"/>
  <c r="P3325" i="1" s="1"/>
  <c r="P3326" i="1" a="1"/>
  <c r="P3326" i="1"/>
  <c r="P3327" i="1" a="1"/>
  <c r="P3327" i="1" s="1"/>
  <c r="P3328" i="1" a="1"/>
  <c r="P3328" i="1" s="1"/>
  <c r="P3329" i="1" a="1"/>
  <c r="P3329" i="1" s="1"/>
  <c r="P3330" i="1" a="1"/>
  <c r="P3330" i="1" s="1"/>
  <c r="P3331" i="1" a="1"/>
  <c r="P3331" i="1" s="1"/>
  <c r="P3332" i="1" a="1"/>
  <c r="P3332" i="1"/>
  <c r="P3333" i="1" a="1"/>
  <c r="P3333" i="1" s="1"/>
  <c r="P3334" i="1" a="1"/>
  <c r="P3334" i="1"/>
  <c r="P3335" i="1" a="1"/>
  <c r="P3335" i="1" s="1"/>
  <c r="P3336" i="1" a="1"/>
  <c r="P3336" i="1" s="1"/>
  <c r="P3337" i="1" a="1"/>
  <c r="P3337" i="1" s="1"/>
  <c r="P3338" i="1" a="1"/>
  <c r="P3338" i="1"/>
  <c r="P3339" i="1" a="1"/>
  <c r="P3339" i="1"/>
  <c r="P3340" i="1" a="1"/>
  <c r="P3340" i="1" s="1"/>
  <c r="P3341" i="1" a="1"/>
  <c r="P3341" i="1" s="1"/>
  <c r="P3342" i="1" a="1"/>
  <c r="P3342" i="1" s="1"/>
  <c r="P3343" i="1" a="1"/>
  <c r="P3343" i="1"/>
  <c r="P3344" i="1" a="1"/>
  <c r="P3344" i="1" s="1"/>
  <c r="P3345" i="1" a="1"/>
  <c r="P3345" i="1" s="1"/>
  <c r="P3346" i="1" a="1"/>
  <c r="P3346" i="1"/>
  <c r="P3347" i="1" a="1"/>
  <c r="P3347" i="1"/>
  <c r="P3348" i="1" a="1"/>
  <c r="P3348" i="1" s="1"/>
  <c r="P3349" i="1" a="1"/>
  <c r="P3349" i="1" s="1"/>
  <c r="P3350" i="1" a="1"/>
  <c r="P3350" i="1" s="1"/>
  <c r="P3351" i="1" a="1"/>
  <c r="P3351" i="1" s="1"/>
  <c r="P3352" i="1" a="1"/>
  <c r="P3352" i="1"/>
  <c r="P3353" i="1" a="1"/>
  <c r="P3353" i="1" s="1"/>
  <c r="P3354" i="1" a="1"/>
  <c r="P3354" i="1" s="1"/>
  <c r="P3355" i="1" a="1"/>
  <c r="P3355" i="1"/>
  <c r="P3356" i="1" a="1"/>
  <c r="P3356" i="1"/>
  <c r="P3357" i="1" a="1"/>
  <c r="P3357" i="1" s="1"/>
  <c r="P3358" i="1" a="1"/>
  <c r="P3358" i="1"/>
  <c r="P3359" i="1" a="1"/>
  <c r="P3359" i="1" s="1"/>
  <c r="P3360" i="1" a="1"/>
  <c r="P3360" i="1" s="1"/>
  <c r="P3361" i="1" a="1"/>
  <c r="P3361" i="1" s="1"/>
  <c r="P3362" i="1" a="1"/>
  <c r="P3362" i="1" s="1"/>
  <c r="P3363" i="1" a="1"/>
  <c r="P3363" i="1" s="1"/>
  <c r="P3364" i="1" a="1"/>
  <c r="P3364" i="1"/>
  <c r="P3365" i="1" a="1"/>
  <c r="P3365" i="1" s="1"/>
  <c r="P3366" i="1" a="1"/>
  <c r="P3366" i="1" s="1"/>
  <c r="P3367" i="1" a="1"/>
  <c r="P3367" i="1" s="1"/>
  <c r="P3368" i="1" a="1"/>
  <c r="P3368" i="1" s="1"/>
  <c r="P3369" i="1" a="1"/>
  <c r="P3369" i="1" s="1"/>
  <c r="P3370" i="1" a="1"/>
  <c r="P3370" i="1"/>
  <c r="P3371" i="1" a="1"/>
  <c r="P3371" i="1" s="1"/>
  <c r="P3372" i="1" a="1"/>
  <c r="P3372" i="1" s="1"/>
  <c r="P3373" i="1" a="1"/>
  <c r="P3373" i="1" s="1"/>
  <c r="P3374" i="1" a="1"/>
  <c r="P3374" i="1" s="1"/>
  <c r="P3375" i="1" a="1"/>
  <c r="P3375" i="1"/>
  <c r="P3376" i="1" a="1"/>
  <c r="P3376" i="1" s="1"/>
  <c r="P3377" i="1" a="1"/>
  <c r="P3377" i="1" s="1"/>
  <c r="P3378" i="1" a="1"/>
  <c r="P3378" i="1"/>
  <c r="P3379" i="1" a="1"/>
  <c r="P3379" i="1"/>
  <c r="P3380" i="1" a="1"/>
  <c r="P3380" i="1"/>
  <c r="P3381" i="1" a="1"/>
  <c r="P3381" i="1" s="1"/>
  <c r="P3382" i="1" a="1"/>
  <c r="P3382" i="1" s="1"/>
  <c r="P3383" i="1" a="1"/>
  <c r="P3383" i="1" s="1"/>
  <c r="P3384" i="1" a="1"/>
  <c r="P3384" i="1" s="1"/>
  <c r="P3385" i="1" a="1"/>
  <c r="P3385" i="1" s="1"/>
  <c r="P3386" i="1" a="1"/>
  <c r="P3386" i="1" s="1"/>
  <c r="P3387" i="1" a="1"/>
  <c r="P3387" i="1"/>
  <c r="P3388" i="1" a="1"/>
  <c r="P3388" i="1"/>
  <c r="P3389" i="1" a="1"/>
  <c r="P3389" i="1" s="1"/>
  <c r="P3390" i="1" a="1"/>
  <c r="P3390" i="1"/>
  <c r="P3391" i="1" a="1"/>
  <c r="P3391" i="1" s="1"/>
  <c r="P3392" i="1" a="1"/>
  <c r="P3392" i="1" s="1"/>
  <c r="P3393" i="1" a="1"/>
  <c r="P3393" i="1" s="1"/>
  <c r="P3394" i="1" a="1"/>
  <c r="P3394" i="1"/>
  <c r="P3395" i="1" a="1"/>
  <c r="P3395" i="1" s="1"/>
  <c r="P3396" i="1" a="1"/>
  <c r="P3396" i="1"/>
  <c r="P3397" i="1" a="1"/>
  <c r="P3397" i="1" s="1"/>
  <c r="P3398" i="1" a="1"/>
  <c r="P3398" i="1" s="1"/>
  <c r="P3399" i="1" a="1"/>
  <c r="P3399" i="1"/>
  <c r="P3400" i="1" a="1"/>
  <c r="P3400" i="1" s="1"/>
  <c r="P3401" i="1" a="1"/>
  <c r="P3401" i="1" s="1"/>
  <c r="P3402" i="1" a="1"/>
  <c r="P3402" i="1"/>
  <c r="P3403" i="1" a="1"/>
  <c r="P3403" i="1" s="1"/>
  <c r="P3404" i="1" a="1"/>
  <c r="P3404" i="1" s="1"/>
  <c r="P3405" i="1" a="1"/>
  <c r="P3405" i="1" s="1"/>
  <c r="P3406" i="1" a="1"/>
  <c r="P3406" i="1" s="1"/>
  <c r="P3407" i="1" a="1"/>
  <c r="P3407" i="1"/>
  <c r="P3408" i="1" a="1"/>
  <c r="P3408" i="1"/>
  <c r="P3409" i="1" a="1"/>
  <c r="P3409" i="1" s="1"/>
  <c r="P3410" i="1" a="1"/>
  <c r="P3410" i="1"/>
  <c r="P3411" i="1" a="1"/>
  <c r="P3411" i="1"/>
  <c r="P3412" i="1" a="1"/>
  <c r="P3412" i="1"/>
  <c r="P3413" i="1" a="1"/>
  <c r="P3413" i="1" s="1"/>
  <c r="P3414" i="1" a="1"/>
  <c r="P3414" i="1" s="1"/>
  <c r="P3415" i="1" a="1"/>
  <c r="P3415" i="1" s="1"/>
  <c r="P3416" i="1" a="1"/>
  <c r="P3416" i="1" s="1"/>
  <c r="P3417" i="1" a="1"/>
  <c r="P3417" i="1" s="1"/>
  <c r="P3418" i="1" a="1"/>
  <c r="P3418" i="1" s="1"/>
  <c r="P3419" i="1" a="1"/>
  <c r="P3419" i="1"/>
  <c r="P3420" i="1" a="1"/>
  <c r="P3420" i="1"/>
  <c r="P3421" i="1" a="1"/>
  <c r="P3421" i="1" s="1"/>
  <c r="P3422" i="1" a="1"/>
  <c r="P3422" i="1" s="1"/>
  <c r="P3423" i="1" a="1"/>
  <c r="P3423" i="1" s="1"/>
  <c r="P3424" i="1" a="1"/>
  <c r="P3424" i="1" s="1"/>
  <c r="P3425" i="1" a="1"/>
  <c r="P3425" i="1" s="1"/>
  <c r="P3426" i="1" a="1"/>
  <c r="P3426" i="1" s="1"/>
  <c r="P3427" i="1" a="1"/>
  <c r="P3427" i="1" s="1"/>
  <c r="P3428" i="1" a="1"/>
  <c r="P3428" i="1"/>
  <c r="P3429" i="1" a="1"/>
  <c r="P3429" i="1" s="1"/>
  <c r="P3430" i="1" a="1"/>
  <c r="P3430" i="1"/>
  <c r="P3431" i="1" a="1"/>
  <c r="P3431" i="1" s="1"/>
  <c r="P3432" i="1" a="1"/>
  <c r="P3432" i="1" s="1"/>
  <c r="P3433" i="1" a="1"/>
  <c r="P3433" i="1" s="1"/>
  <c r="P3434" i="1" a="1"/>
  <c r="P3434" i="1"/>
  <c r="P3435" i="1" a="1"/>
  <c r="P3435" i="1"/>
  <c r="P3436" i="1" a="1"/>
  <c r="P3436" i="1" s="1"/>
  <c r="P3437" i="1" a="1"/>
  <c r="P3437" i="1" s="1"/>
  <c r="P3438" i="1" a="1"/>
  <c r="P3438" i="1" s="1"/>
  <c r="P3439" i="1" a="1"/>
  <c r="P3439" i="1" s="1"/>
  <c r="P3440" i="1" a="1"/>
  <c r="P3440" i="1"/>
  <c r="P3441" i="1" a="1"/>
  <c r="P3441" i="1" s="1"/>
  <c r="P3442" i="1" a="1"/>
  <c r="P3442" i="1"/>
  <c r="P3443" i="1" a="1"/>
  <c r="P3443" i="1"/>
  <c r="P3444" i="1" a="1"/>
  <c r="P3444" i="1"/>
  <c r="P3445" i="1" a="1"/>
  <c r="P3445" i="1" s="1"/>
  <c r="P3446" i="1" a="1"/>
  <c r="P3446" i="1" s="1"/>
  <c r="P3447" i="1" a="1"/>
  <c r="P3447" i="1" s="1"/>
  <c r="P3448" i="1" a="1"/>
  <c r="P3448" i="1"/>
  <c r="P3449" i="1" a="1"/>
  <c r="P3449" i="1" s="1"/>
  <c r="P3450" i="1" a="1"/>
  <c r="P3450" i="1" s="1"/>
  <c r="P3451" i="1" a="1"/>
  <c r="P3451" i="1"/>
  <c r="P3452" i="1" a="1"/>
  <c r="P3452" i="1"/>
  <c r="P3453" i="1" a="1"/>
  <c r="P3453" i="1" s="1"/>
  <c r="P3454" i="1" a="1"/>
  <c r="P3454" i="1" s="1"/>
  <c r="P3455" i="1" a="1"/>
  <c r="P3455" i="1"/>
  <c r="P3456" i="1" a="1"/>
  <c r="P3456" i="1" s="1"/>
  <c r="P3457" i="1" a="1"/>
  <c r="P3457" i="1" s="1"/>
  <c r="P3458" i="1" a="1"/>
  <c r="P3458" i="1" s="1"/>
  <c r="P3459" i="1" a="1"/>
  <c r="P3459" i="1" s="1"/>
  <c r="P3460" i="1" a="1"/>
  <c r="P3460" i="1"/>
  <c r="P3461" i="1" a="1"/>
  <c r="P3461" i="1" s="1"/>
  <c r="P3462" i="1" a="1"/>
  <c r="P3462" i="1"/>
  <c r="P3463" i="1" a="1"/>
  <c r="P3463" i="1" s="1"/>
  <c r="P3464" i="1" a="1"/>
  <c r="P3464" i="1"/>
  <c r="P3465" i="1" a="1"/>
  <c r="P3465" i="1" s="1"/>
  <c r="P3466" i="1" a="1"/>
  <c r="P3466" i="1"/>
  <c r="P3467" i="1" a="1"/>
  <c r="P3467" i="1" s="1"/>
  <c r="P3468" i="1" a="1"/>
  <c r="P3468" i="1" s="1"/>
  <c r="P3469" i="1" a="1"/>
  <c r="P3469" i="1" s="1"/>
  <c r="P3470" i="1" a="1"/>
  <c r="P3470" i="1" s="1"/>
  <c r="P3471" i="1" a="1"/>
  <c r="P3471" i="1"/>
  <c r="P3472" i="1" a="1"/>
  <c r="P3472" i="1"/>
  <c r="P3473" i="1" a="1"/>
  <c r="P3473" i="1" s="1"/>
  <c r="P3474" i="1" a="1"/>
  <c r="P3474" i="1"/>
  <c r="P3475" i="1" a="1"/>
  <c r="P3475" i="1"/>
  <c r="P3476" i="1" a="1"/>
  <c r="P3476" i="1"/>
  <c r="P3477" i="1" a="1"/>
  <c r="P3477" i="1" s="1"/>
  <c r="P3478" i="1" a="1"/>
  <c r="P3478" i="1" s="1"/>
  <c r="P3479" i="1" a="1"/>
  <c r="P3479" i="1" s="1"/>
  <c r="P3480" i="1" a="1"/>
  <c r="P3480" i="1" s="1"/>
  <c r="P3481" i="1" a="1"/>
  <c r="P3481" i="1" s="1"/>
  <c r="P3482" i="1" a="1"/>
  <c r="P3482" i="1" s="1"/>
  <c r="P3483" i="1" a="1"/>
  <c r="P3483" i="1"/>
  <c r="P3484" i="1" a="1"/>
  <c r="P3484" i="1"/>
  <c r="P3485" i="1" a="1"/>
  <c r="P3485" i="1" s="1"/>
  <c r="P3486" i="1" a="1"/>
  <c r="P3486" i="1" s="1"/>
  <c r="P3487" i="1" a="1"/>
  <c r="P3487" i="1" s="1"/>
  <c r="P3488" i="1" a="1"/>
  <c r="P3488" i="1" s="1"/>
  <c r="P3489" i="1" a="1"/>
  <c r="P3489" i="1" s="1"/>
  <c r="P3490" i="1" a="1"/>
  <c r="P3490" i="1" s="1"/>
  <c r="P3491" i="1" a="1"/>
  <c r="P3491" i="1" s="1"/>
  <c r="P3492" i="1" a="1"/>
  <c r="P3492" i="1"/>
  <c r="P3493" i="1" a="1"/>
  <c r="P3493" i="1" s="1"/>
  <c r="P3494" i="1" a="1"/>
  <c r="P3494" i="1"/>
  <c r="P3495" i="1" a="1"/>
  <c r="P3495" i="1" s="1"/>
  <c r="P3496" i="1" a="1"/>
  <c r="P3496" i="1" s="1"/>
  <c r="P3497" i="1" a="1"/>
  <c r="P3497" i="1" s="1"/>
  <c r="P3498" i="1" a="1"/>
  <c r="P3498" i="1"/>
  <c r="P3499" i="1" a="1"/>
  <c r="P3499" i="1"/>
  <c r="P3500" i="1" a="1"/>
  <c r="P3500" i="1" s="1"/>
  <c r="P3501" i="1" a="1"/>
  <c r="P3501" i="1" s="1"/>
  <c r="P3502" i="1" a="1"/>
  <c r="P3502" i="1" s="1"/>
  <c r="P3503" i="1" a="1"/>
  <c r="P3503" i="1" s="1"/>
  <c r="P3504" i="1" a="1"/>
  <c r="P3504" i="1"/>
  <c r="P3505" i="1" a="1"/>
  <c r="P3505" i="1" s="1"/>
  <c r="P3506" i="1" a="1"/>
  <c r="P3506" i="1"/>
  <c r="P3507" i="1" a="1"/>
  <c r="P3507" i="1"/>
  <c r="P3508" i="1" a="1"/>
  <c r="P3508" i="1"/>
  <c r="P3509" i="1" a="1"/>
  <c r="P3509" i="1" s="1"/>
  <c r="P3510" i="1" a="1"/>
  <c r="P3510" i="1" s="1"/>
  <c r="P3511" i="1" a="1"/>
  <c r="P3511" i="1" s="1"/>
  <c r="P3512" i="1" a="1"/>
  <c r="P3512" i="1"/>
  <c r="P3513" i="1" a="1"/>
  <c r="P3513" i="1" s="1"/>
  <c r="P3514" i="1" a="1"/>
  <c r="P3514" i="1" s="1"/>
  <c r="P3515" i="1" a="1"/>
  <c r="P3515" i="1"/>
  <c r="P3516" i="1" a="1"/>
  <c r="P3516" i="1"/>
  <c r="P3517" i="1" a="1"/>
  <c r="P3517" i="1" s="1"/>
  <c r="P3518" i="1" a="1"/>
  <c r="P3518" i="1" s="1"/>
  <c r="P3519" i="1" a="1"/>
  <c r="P3519" i="1" s="1"/>
  <c r="P3520" i="1" a="1"/>
  <c r="P3520" i="1" s="1"/>
  <c r="P3521" i="1" a="1"/>
  <c r="P3521" i="1" s="1"/>
  <c r="P3522" i="1" a="1"/>
  <c r="P3522" i="1" s="1"/>
  <c r="P3523" i="1" a="1"/>
  <c r="P3523" i="1" s="1"/>
  <c r="P3524" i="1" a="1"/>
  <c r="P3524" i="1"/>
  <c r="P3525" i="1" a="1"/>
  <c r="P3525" i="1" s="1"/>
  <c r="P3526" i="1" a="1"/>
  <c r="P3526" i="1"/>
  <c r="P3527" i="1" a="1"/>
  <c r="P3527" i="1" s="1"/>
  <c r="P3528" i="1" a="1"/>
  <c r="P3528" i="1" s="1"/>
  <c r="P3529" i="1" a="1"/>
  <c r="P3529" i="1" s="1"/>
  <c r="P3530" i="1" a="1"/>
  <c r="P3530" i="1"/>
  <c r="P3531" i="1" a="1"/>
  <c r="P3531" i="1"/>
  <c r="P3532" i="1" a="1"/>
  <c r="P3532" i="1" s="1"/>
  <c r="P3533" i="1" a="1"/>
  <c r="P3533" i="1" s="1"/>
  <c r="P3534" i="1" a="1"/>
  <c r="P3534" i="1" s="1"/>
  <c r="P3535" i="1" a="1"/>
  <c r="P3535" i="1" s="1"/>
  <c r="P3536" i="1" a="1"/>
  <c r="P3536" i="1"/>
  <c r="P3537" i="1" a="1"/>
  <c r="P3537" i="1" s="1"/>
  <c r="P3538" i="1" a="1"/>
  <c r="P3538" i="1"/>
  <c r="P3539" i="1" a="1"/>
  <c r="P3539" i="1"/>
  <c r="P3540" i="1" a="1"/>
  <c r="P3540" i="1" s="1"/>
  <c r="P3541" i="1" a="1"/>
  <c r="P3541" i="1" s="1"/>
  <c r="P3542" i="1" a="1"/>
  <c r="P3542" i="1" s="1"/>
  <c r="P3543" i="1" a="1"/>
  <c r="P3543" i="1" s="1"/>
  <c r="P3544" i="1" a="1"/>
  <c r="P3544" i="1" s="1"/>
  <c r="P3545" i="1" a="1"/>
  <c r="P3545" i="1" s="1"/>
  <c r="P3546" i="1" a="1"/>
  <c r="P3546" i="1" s="1"/>
  <c r="P3547" i="1" a="1"/>
  <c r="P3547" i="1"/>
  <c r="P3548" i="1" a="1"/>
  <c r="P3548" i="1"/>
  <c r="P3549" i="1" a="1"/>
  <c r="P3549" i="1" s="1"/>
  <c r="P3550" i="1" a="1"/>
  <c r="P3550" i="1"/>
  <c r="P3551" i="1" a="1"/>
  <c r="P3551" i="1" s="1"/>
  <c r="P3552" i="1" a="1"/>
  <c r="P3552" i="1" s="1"/>
  <c r="P3553" i="1" a="1"/>
  <c r="P3553" i="1" s="1"/>
  <c r="P3554" i="1" a="1"/>
  <c r="P3554" i="1"/>
  <c r="P3555" i="1" a="1"/>
  <c r="P3555" i="1" s="1"/>
  <c r="P3556" i="1" a="1"/>
  <c r="P3556" i="1"/>
  <c r="P3557" i="1" a="1"/>
  <c r="P3557" i="1" s="1"/>
  <c r="P3558" i="1" a="1"/>
  <c r="P3558" i="1"/>
  <c r="P3559" i="1" a="1"/>
  <c r="P3559" i="1"/>
  <c r="P3560" i="1" a="1"/>
  <c r="P3560" i="1" s="1"/>
  <c r="P3561" i="1" a="1"/>
  <c r="P3561" i="1" s="1"/>
  <c r="P3562" i="1" a="1"/>
  <c r="P3562" i="1"/>
  <c r="P3563" i="1" a="1"/>
  <c r="P3563" i="1"/>
  <c r="P3564" i="1" a="1"/>
  <c r="P3564" i="1" s="1"/>
  <c r="P3565" i="1" a="1"/>
  <c r="P3565" i="1" s="1"/>
  <c r="P3566" i="1" a="1"/>
  <c r="P3566" i="1" s="1"/>
  <c r="P3567" i="1" a="1"/>
  <c r="P3567" i="1"/>
  <c r="P3568" i="1" a="1"/>
  <c r="P3568" i="1" s="1"/>
  <c r="P3569" i="1" a="1"/>
  <c r="P3569" i="1" s="1"/>
  <c r="P3570" i="1" a="1"/>
  <c r="P3570" i="1"/>
  <c r="P3571" i="1" a="1"/>
  <c r="P3571" i="1"/>
  <c r="P3572" i="1" a="1"/>
  <c r="P3572" i="1" s="1"/>
  <c r="P3573" i="1" a="1"/>
  <c r="P3573" i="1" s="1"/>
  <c r="P3574" i="1" a="1"/>
  <c r="P3574" i="1" s="1"/>
  <c r="P3575" i="1" a="1"/>
  <c r="P3575" i="1" s="1"/>
  <c r="P3576" i="1" a="1"/>
  <c r="P3576" i="1" s="1"/>
  <c r="P3577" i="1" a="1"/>
  <c r="P3577" i="1" s="1"/>
  <c r="P3578" i="1" a="1"/>
  <c r="P3578" i="1" s="1"/>
  <c r="P3579" i="1" a="1"/>
  <c r="P3579" i="1"/>
  <c r="P3580" i="1" a="1"/>
  <c r="P3580" i="1"/>
  <c r="P3581" i="1" a="1"/>
  <c r="P3581" i="1" s="1"/>
  <c r="P3582" i="1" a="1"/>
  <c r="P3582" i="1" s="1"/>
  <c r="P3583" i="1" a="1"/>
  <c r="P3583" i="1" s="1"/>
  <c r="P3584" i="1" a="1"/>
  <c r="P3584" i="1" s="1"/>
  <c r="P3585" i="1" a="1"/>
  <c r="P3585" i="1" s="1"/>
  <c r="P3586" i="1" a="1"/>
  <c r="P3586" i="1"/>
  <c r="P3587" i="1" a="1"/>
  <c r="P3587" i="1" s="1"/>
  <c r="P3588" i="1" a="1"/>
  <c r="P3588" i="1"/>
  <c r="P3589" i="1" a="1"/>
  <c r="P3589" i="1" s="1"/>
  <c r="P3590" i="1" a="1"/>
  <c r="P3590" i="1" s="1"/>
  <c r="P3591" i="1" a="1"/>
  <c r="P3591" i="1"/>
  <c r="P3592" i="1" a="1"/>
  <c r="P3592" i="1" s="1"/>
  <c r="P3593" i="1" a="1"/>
  <c r="P3593" i="1" s="1"/>
  <c r="P3594" i="1" a="1"/>
  <c r="P3594" i="1"/>
  <c r="P3595" i="1" a="1"/>
  <c r="P3595" i="1" s="1"/>
  <c r="P3596" i="1" a="1"/>
  <c r="P3596" i="1" s="1"/>
  <c r="P3597" i="1" a="1"/>
  <c r="P3597" i="1" s="1"/>
  <c r="P3598" i="1" a="1"/>
  <c r="P3598" i="1" s="1"/>
  <c r="P3599" i="1" a="1"/>
  <c r="P3599" i="1" s="1"/>
  <c r="P3600" i="1" a="1"/>
  <c r="P3600" i="1" s="1"/>
  <c r="P3601" i="1" a="1"/>
  <c r="P3601" i="1" s="1"/>
  <c r="P3602" i="1" a="1"/>
  <c r="P3602" i="1"/>
  <c r="P3603" i="1" a="1"/>
  <c r="P3603" i="1"/>
  <c r="P3604" i="1" a="1"/>
  <c r="P3604" i="1"/>
  <c r="P3605" i="1" a="1"/>
  <c r="P3605" i="1" s="1"/>
  <c r="P3606" i="1" a="1"/>
  <c r="P3606" i="1" s="1"/>
  <c r="P3607" i="1" a="1"/>
  <c r="P3607" i="1" s="1"/>
  <c r="P3608" i="1" a="1"/>
  <c r="P3608" i="1"/>
  <c r="P3609" i="1" a="1"/>
  <c r="P3609" i="1" s="1"/>
  <c r="P3610" i="1" a="1"/>
  <c r="P3610" i="1" s="1"/>
  <c r="P3611" i="1" a="1"/>
  <c r="P3611" i="1"/>
  <c r="P3612" i="1" a="1"/>
  <c r="P3612" i="1"/>
  <c r="P3613" i="1" a="1"/>
  <c r="P3613" i="1" s="1"/>
  <c r="P3614" i="1" a="1"/>
  <c r="P3614" i="1" s="1"/>
  <c r="P3615" i="1" a="1"/>
  <c r="P3615" i="1" s="1"/>
  <c r="P3616" i="1" a="1"/>
  <c r="P3616" i="1" s="1"/>
  <c r="P3617" i="1" a="1"/>
  <c r="P3617" i="1" s="1"/>
  <c r="P3618" i="1" a="1"/>
  <c r="P3618" i="1"/>
  <c r="P3619" i="1" a="1"/>
  <c r="P3619" i="1" s="1"/>
  <c r="P3620" i="1" a="1"/>
  <c r="P3620" i="1"/>
  <c r="P3621" i="1" a="1"/>
  <c r="P3621" i="1" s="1"/>
  <c r="P3622" i="1" a="1"/>
  <c r="P3622" i="1" s="1"/>
  <c r="P3623" i="1" a="1"/>
  <c r="P3623" i="1"/>
  <c r="P3624" i="1" a="1"/>
  <c r="P3624" i="1" s="1"/>
  <c r="P3625" i="1" a="1"/>
  <c r="P3625" i="1" s="1"/>
  <c r="P3626" i="1" a="1"/>
  <c r="P3626" i="1"/>
  <c r="P3627" i="1" a="1"/>
  <c r="P3627" i="1" s="1"/>
  <c r="P3628" i="1" a="1"/>
  <c r="P3628" i="1" s="1"/>
  <c r="P3629" i="1" a="1"/>
  <c r="P3629" i="1" s="1"/>
  <c r="P3630" i="1" a="1"/>
  <c r="P3630" i="1" s="1"/>
  <c r="P3631" i="1" a="1"/>
  <c r="P3631" i="1" s="1"/>
  <c r="P3632" i="1" a="1"/>
  <c r="P3632" i="1"/>
  <c r="P3633" i="1" a="1"/>
  <c r="P3633" i="1" s="1"/>
  <c r="P3634" i="1" a="1"/>
  <c r="P3634" i="1"/>
  <c r="P3635" i="1" a="1"/>
  <c r="P3635" i="1"/>
  <c r="P3636" i="1" a="1"/>
  <c r="P3636" i="1" s="1"/>
  <c r="P3637" i="1" a="1"/>
  <c r="P3637" i="1" s="1"/>
  <c r="P3638" i="1" a="1"/>
  <c r="P3638" i="1" s="1"/>
  <c r="P3639" i="1" a="1"/>
  <c r="P3639" i="1" s="1"/>
  <c r="P3640" i="1" a="1"/>
  <c r="P3640" i="1"/>
  <c r="P3641" i="1" a="1"/>
  <c r="P3641" i="1" s="1"/>
  <c r="P3642" i="1" a="1"/>
  <c r="P3642" i="1" s="1"/>
  <c r="P3643" i="1" a="1"/>
  <c r="P3643" i="1"/>
  <c r="P3644" i="1" a="1"/>
  <c r="P3644" i="1"/>
  <c r="P3645" i="1" a="1"/>
  <c r="P3645" i="1" s="1"/>
  <c r="P3646" i="1" a="1"/>
  <c r="P3646" i="1"/>
  <c r="P3647" i="1" a="1"/>
  <c r="P3647" i="1" s="1"/>
  <c r="P3648" i="1" a="1"/>
  <c r="P3648" i="1" s="1"/>
  <c r="P3649" i="1" a="1"/>
  <c r="P3649" i="1" s="1"/>
  <c r="P3650" i="1" a="1"/>
  <c r="P3650" i="1" s="1"/>
  <c r="P3651" i="1" a="1"/>
  <c r="P3651" i="1" s="1"/>
  <c r="P3652" i="1" a="1"/>
  <c r="P3652" i="1"/>
  <c r="P3653" i="1" a="1"/>
  <c r="P3653" i="1" s="1"/>
  <c r="P3654" i="1" a="1"/>
  <c r="P3654" i="1"/>
  <c r="P3655" i="1" a="1"/>
  <c r="P3655" i="1" s="1"/>
  <c r="P3656" i="1" a="1"/>
  <c r="P3656" i="1" s="1"/>
  <c r="P3657" i="1" a="1"/>
  <c r="P3657" i="1" s="1"/>
  <c r="P3658" i="1" a="1"/>
  <c r="P3658" i="1"/>
  <c r="P3659" i="1" a="1"/>
  <c r="P3659" i="1"/>
  <c r="P3660" i="1" a="1"/>
  <c r="P3660" i="1" s="1"/>
  <c r="P3661" i="1" a="1"/>
  <c r="P3661" i="1" s="1"/>
  <c r="P3662" i="1" a="1"/>
  <c r="P3662" i="1" s="1"/>
  <c r="P3663" i="1" a="1"/>
  <c r="P3663" i="1"/>
  <c r="P3664" i="1" a="1"/>
  <c r="P3664" i="1" s="1"/>
  <c r="P3665" i="1" a="1"/>
  <c r="P3665" i="1" s="1"/>
  <c r="P3666" i="1" a="1"/>
  <c r="P3666" i="1"/>
  <c r="P3667" i="1" a="1"/>
  <c r="P3667" i="1"/>
  <c r="P3668" i="1" a="1"/>
  <c r="P3668" i="1" s="1"/>
  <c r="P3669" i="1" a="1"/>
  <c r="P3669" i="1" s="1"/>
  <c r="P3670" i="1" a="1"/>
  <c r="P3670" i="1" s="1"/>
  <c r="P3671" i="1" a="1"/>
  <c r="P3671" i="1" s="1"/>
  <c r="P3672" i="1" a="1"/>
  <c r="P3672" i="1"/>
  <c r="P3673" i="1" a="1"/>
  <c r="P3673" i="1" s="1"/>
  <c r="P3674" i="1" a="1"/>
  <c r="P3674" i="1" s="1"/>
  <c r="P3675" i="1" a="1"/>
  <c r="P3675" i="1"/>
  <c r="P3676" i="1" a="1"/>
  <c r="P3676" i="1"/>
  <c r="P3677" i="1" a="1"/>
  <c r="P3677" i="1" s="1"/>
  <c r="P3678" i="1" a="1"/>
  <c r="P3678" i="1"/>
  <c r="P3679" i="1" a="1"/>
  <c r="P3679" i="1" s="1"/>
  <c r="P3680" i="1" a="1"/>
  <c r="P3680" i="1" s="1"/>
  <c r="P3681" i="1" a="1"/>
  <c r="P3681" i="1" s="1"/>
  <c r="P3682" i="1" a="1"/>
  <c r="P3682" i="1" s="1"/>
  <c r="P3683" i="1" a="1"/>
  <c r="P3683" i="1" s="1"/>
  <c r="P3684" i="1" a="1"/>
  <c r="P3684" i="1"/>
  <c r="P3685" i="1" a="1"/>
  <c r="P3685" i="1" s="1"/>
  <c r="P3686" i="1" a="1"/>
  <c r="P3686" i="1" s="1"/>
  <c r="P3687" i="1" a="1"/>
  <c r="P3687" i="1" s="1"/>
  <c r="P3688" i="1" a="1"/>
  <c r="P3688" i="1" s="1"/>
  <c r="P3689" i="1" a="1"/>
  <c r="P3689" i="1" s="1"/>
  <c r="P3690" i="1" a="1"/>
  <c r="P3690" i="1"/>
  <c r="P3691" i="1" a="1"/>
  <c r="P3691" i="1" s="1"/>
  <c r="P3692" i="1" a="1"/>
  <c r="P3692" i="1" s="1"/>
  <c r="P3693" i="1" a="1"/>
  <c r="P3693" i="1" s="1"/>
  <c r="P3694" i="1" a="1"/>
  <c r="P3694" i="1" s="1"/>
  <c r="P3695" i="1" a="1"/>
  <c r="P3695" i="1"/>
  <c r="P3696" i="1" a="1"/>
  <c r="P3696" i="1" s="1"/>
  <c r="P3697" i="1" a="1"/>
  <c r="P3697" i="1" s="1"/>
  <c r="P3698" i="1" a="1"/>
  <c r="P3698" i="1"/>
  <c r="P3699" i="1" a="1"/>
  <c r="P3699" i="1"/>
  <c r="P3700" i="1" a="1"/>
  <c r="P3700" i="1"/>
  <c r="P3701" i="1" a="1"/>
  <c r="P3701" i="1" s="1"/>
  <c r="P3702" i="1" a="1"/>
  <c r="P3702" i="1" s="1"/>
  <c r="P3703" i="1" a="1"/>
  <c r="P3703" i="1" s="1"/>
  <c r="P3704" i="1" a="1"/>
  <c r="P3704" i="1" s="1"/>
  <c r="P3705" i="1" a="1"/>
  <c r="P3705" i="1" s="1"/>
  <c r="P3706" i="1" a="1"/>
  <c r="P3706" i="1" s="1"/>
  <c r="P3707" i="1" a="1"/>
  <c r="P3707" i="1"/>
  <c r="P3708" i="1" a="1"/>
  <c r="P3708" i="1"/>
  <c r="P3709" i="1" a="1"/>
  <c r="P3709" i="1" s="1"/>
  <c r="P3710" i="1" a="1"/>
  <c r="P3710" i="1"/>
  <c r="P3711" i="1" a="1"/>
  <c r="P3711" i="1" s="1"/>
  <c r="P3712" i="1" a="1"/>
  <c r="P3712" i="1" s="1"/>
  <c r="P3713" i="1" a="1"/>
  <c r="P3713" i="1" s="1"/>
  <c r="P3714" i="1" a="1"/>
  <c r="P3714" i="1"/>
  <c r="P3715" i="1" a="1"/>
  <c r="P3715" i="1" s="1"/>
  <c r="P3716" i="1" a="1"/>
  <c r="P3716" i="1"/>
  <c r="P3717" i="1" a="1"/>
  <c r="P3717" i="1" s="1"/>
  <c r="P3718" i="1" a="1"/>
  <c r="P3718" i="1" s="1"/>
  <c r="P3719" i="1" a="1"/>
  <c r="P3719" i="1"/>
  <c r="P3720" i="1" a="1"/>
  <c r="P3720" i="1"/>
  <c r="P3721" i="1" a="1"/>
  <c r="P3721" i="1" s="1"/>
  <c r="P3722" i="1" a="1"/>
  <c r="P3722" i="1"/>
  <c r="P3723" i="1" a="1"/>
  <c r="P3723" i="1" s="1"/>
  <c r="P3724" i="1" a="1"/>
  <c r="P3724" i="1" s="1"/>
  <c r="P3725" i="1" a="1"/>
  <c r="P3725" i="1" s="1"/>
  <c r="P3726" i="1" a="1"/>
  <c r="P3726" i="1" s="1"/>
  <c r="P3727" i="1" a="1"/>
  <c r="P3727" i="1"/>
  <c r="P3728" i="1" a="1"/>
  <c r="P3728" i="1" s="1"/>
  <c r="P3729" i="1" a="1"/>
  <c r="P3729" i="1" s="1"/>
  <c r="P3730" i="1" a="1"/>
  <c r="P3730" i="1"/>
  <c r="P3731" i="1" a="1"/>
  <c r="P3731" i="1"/>
  <c r="P3732" i="1" a="1"/>
  <c r="P3732" i="1"/>
  <c r="P3733" i="1" a="1"/>
  <c r="P3733" i="1" s="1"/>
  <c r="P3734" i="1" a="1"/>
  <c r="P3734" i="1" s="1"/>
  <c r="P3735" i="1" a="1"/>
  <c r="P3735" i="1" s="1"/>
  <c r="P3736" i="1" a="1"/>
  <c r="P3736" i="1" s="1"/>
  <c r="P3737" i="1" a="1"/>
  <c r="P3737" i="1" s="1"/>
  <c r="P3738" i="1" a="1"/>
  <c r="P3738" i="1" s="1"/>
  <c r="P3739" i="1" a="1"/>
  <c r="P3739" i="1"/>
  <c r="P3740" i="1" a="1"/>
  <c r="P3740" i="1"/>
  <c r="P3741" i="1" a="1"/>
  <c r="P3741" i="1" s="1"/>
  <c r="P3742" i="1" a="1"/>
  <c r="P3742" i="1"/>
  <c r="P3743" i="1" a="1"/>
  <c r="P3743" i="1" s="1"/>
  <c r="P3744" i="1" a="1"/>
  <c r="P3744" i="1" s="1"/>
  <c r="P3745" i="1" a="1"/>
  <c r="P3745" i="1" s="1"/>
  <c r="P3746" i="1" a="1"/>
  <c r="P3746" i="1"/>
  <c r="P3747" i="1" a="1"/>
  <c r="P3747" i="1" s="1"/>
  <c r="P3748" i="1" a="1"/>
  <c r="P3748" i="1"/>
  <c r="P3749" i="1" a="1"/>
  <c r="P3749" i="1" s="1"/>
  <c r="P3750" i="1" a="1"/>
  <c r="P3750" i="1" s="1"/>
  <c r="P3751" i="1" a="1"/>
  <c r="P3751" i="1"/>
  <c r="P3752" i="1" a="1"/>
  <c r="P3752" i="1" s="1"/>
  <c r="P3753" i="1" a="1"/>
  <c r="P3753" i="1" s="1"/>
  <c r="P3754" i="1" a="1"/>
  <c r="P3754" i="1"/>
  <c r="P3755" i="1" a="1"/>
  <c r="P3755" i="1" s="1"/>
  <c r="P3756" i="1" a="1"/>
  <c r="P3756" i="1" s="1"/>
  <c r="P3757" i="1" a="1"/>
  <c r="P3757" i="1" s="1"/>
  <c r="P3758" i="1" a="1"/>
  <c r="P3758" i="1" s="1"/>
  <c r="P3759" i="1" a="1"/>
  <c r="P3759" i="1"/>
  <c r="P3760" i="1" a="1"/>
  <c r="P3760" i="1"/>
  <c r="P3761" i="1" a="1"/>
  <c r="P3761" i="1" s="1"/>
  <c r="P3762" i="1" a="1"/>
  <c r="P3762" i="1"/>
  <c r="P3763" i="1" a="1"/>
  <c r="P3763" i="1"/>
  <c r="P3764" i="1" a="1"/>
  <c r="P3764" i="1"/>
  <c r="P3765" i="1" a="1"/>
  <c r="P3765" i="1" s="1"/>
  <c r="P3766" i="1" a="1"/>
  <c r="P3766" i="1" s="1"/>
  <c r="P3767" i="1" a="1"/>
  <c r="P3767" i="1" s="1"/>
  <c r="P3768" i="1" a="1"/>
  <c r="P3768" i="1" s="1"/>
  <c r="P3769" i="1" a="1"/>
  <c r="P3769" i="1" s="1"/>
  <c r="P3770" i="1" a="1"/>
  <c r="P3770" i="1" s="1"/>
  <c r="P3771" i="1" a="1"/>
  <c r="P3771" i="1"/>
  <c r="P3772" i="1" a="1"/>
  <c r="P3772" i="1"/>
  <c r="P3773" i="1" a="1"/>
  <c r="P3773" i="1" s="1"/>
  <c r="P3774" i="1" a="1"/>
  <c r="P3774" i="1" s="1"/>
  <c r="P3775" i="1" a="1"/>
  <c r="P3775" i="1" s="1"/>
  <c r="P3776" i="1" a="1"/>
  <c r="P3776" i="1" s="1"/>
  <c r="P3777" i="1" a="1"/>
  <c r="P3777" i="1" s="1"/>
  <c r="P3778" i="1" a="1"/>
  <c r="P3778" i="1" s="1"/>
  <c r="P3779" i="1" a="1"/>
  <c r="P3779" i="1" s="1"/>
  <c r="P3780" i="1" a="1"/>
  <c r="P3780" i="1"/>
  <c r="P3781" i="1" a="1"/>
  <c r="P3781" i="1" s="1"/>
  <c r="P3782" i="1" a="1"/>
  <c r="P3782" i="1"/>
  <c r="P3783" i="1" a="1"/>
  <c r="P3783" i="1" s="1"/>
  <c r="P3784" i="1" a="1"/>
  <c r="P3784" i="1"/>
  <c r="P3785" i="1" a="1"/>
  <c r="P3785" i="1" s="1"/>
  <c r="P3786" i="1" a="1"/>
  <c r="P3786" i="1"/>
  <c r="P3787" i="1" a="1"/>
  <c r="P3787" i="1" s="1"/>
  <c r="P3788" i="1" a="1"/>
  <c r="P3788" i="1" s="1"/>
  <c r="P3789" i="1" a="1"/>
  <c r="P3789" i="1" s="1"/>
  <c r="P3790" i="1" a="1"/>
  <c r="P3790" i="1" s="1"/>
  <c r="P3791" i="1" a="1"/>
  <c r="P3791" i="1"/>
  <c r="P3792" i="1" a="1"/>
  <c r="P3792" i="1"/>
  <c r="P3793" i="1" a="1"/>
  <c r="P3793" i="1" s="1"/>
  <c r="P3794" i="1" a="1"/>
  <c r="P3794" i="1"/>
  <c r="P3795" i="1" a="1"/>
  <c r="P3795" i="1"/>
  <c r="P3796" i="1" a="1"/>
  <c r="P3796" i="1"/>
  <c r="P3797" i="1" a="1"/>
  <c r="P3797" i="1" s="1"/>
  <c r="P3798" i="1" a="1"/>
  <c r="P3798" i="1" s="1"/>
  <c r="P3799" i="1" a="1"/>
  <c r="P3799" i="1" s="1"/>
  <c r="P3800" i="1" a="1"/>
  <c r="P3800" i="1" s="1"/>
  <c r="P3801" i="1" a="1"/>
  <c r="P3801" i="1" s="1"/>
  <c r="P3802" i="1" a="1"/>
  <c r="P3802" i="1" s="1"/>
  <c r="P3803" i="1" a="1"/>
  <c r="P3803" i="1"/>
  <c r="P3804" i="1" a="1"/>
  <c r="P3804" i="1"/>
  <c r="P3805" i="1" a="1"/>
  <c r="P3805" i="1" s="1"/>
  <c r="P3806" i="1" a="1"/>
  <c r="P3806" i="1" s="1"/>
  <c r="P3807" i="1" a="1"/>
  <c r="P3807" i="1" s="1"/>
  <c r="P3808" i="1" a="1"/>
  <c r="P3808" i="1" s="1"/>
  <c r="P3809" i="1" a="1"/>
  <c r="P3809" i="1" s="1"/>
  <c r="P3810" i="1" a="1"/>
  <c r="P3810" i="1" s="1"/>
  <c r="P3811" i="1" a="1"/>
  <c r="P3811" i="1" s="1"/>
  <c r="P3812" i="1" a="1"/>
  <c r="P3812" i="1"/>
  <c r="P3813" i="1" a="1"/>
  <c r="P3813" i="1" s="1"/>
  <c r="P3814" i="1" a="1"/>
  <c r="P3814" i="1"/>
  <c r="P3815" i="1" a="1"/>
  <c r="P3815" i="1" s="1"/>
  <c r="P3816" i="1" a="1"/>
  <c r="P3816" i="1" s="1"/>
  <c r="P3817" i="1" a="1"/>
  <c r="P3817" i="1" s="1"/>
  <c r="P3818" i="1" a="1"/>
  <c r="P3818" i="1"/>
  <c r="P3819" i="1" a="1"/>
  <c r="P3819" i="1"/>
  <c r="P3820" i="1" a="1"/>
  <c r="P3820" i="1" s="1"/>
  <c r="P3821" i="1" a="1"/>
  <c r="P3821" i="1" s="1"/>
  <c r="P3822" i="1" a="1"/>
  <c r="P3822" i="1" s="1"/>
  <c r="P3823" i="1" a="1"/>
  <c r="P3823" i="1" s="1"/>
  <c r="P3824" i="1" a="1"/>
  <c r="P3824" i="1"/>
  <c r="P3825" i="1" a="1"/>
  <c r="P3825" i="1" s="1"/>
  <c r="P3826" i="1" a="1"/>
  <c r="P3826" i="1" s="1"/>
  <c r="P3827" i="1" a="1"/>
  <c r="P3827" i="1"/>
  <c r="P3828" i="1" a="1"/>
  <c r="P3828" i="1" s="1"/>
  <c r="P3829" i="1" a="1"/>
  <c r="P3829" i="1" s="1"/>
  <c r="P3830" i="1" a="1"/>
  <c r="P3830" i="1" s="1"/>
  <c r="P3831" i="1" a="1"/>
  <c r="P3831" i="1" s="1"/>
  <c r="P3832" i="1" a="1"/>
  <c r="P3832" i="1"/>
  <c r="P3833" i="1" a="1"/>
  <c r="P3833" i="1" s="1"/>
  <c r="P3834" i="1" a="1"/>
  <c r="P3834" i="1" s="1"/>
  <c r="P3835" i="1" a="1"/>
  <c r="P3835" i="1"/>
  <c r="P3836" i="1" a="1"/>
  <c r="P3836" i="1" s="1"/>
  <c r="P3837" i="1" a="1"/>
  <c r="P3837" i="1" s="1"/>
  <c r="P3838" i="1" a="1"/>
  <c r="P3838" i="1" s="1"/>
  <c r="P3839" i="1" a="1"/>
  <c r="P3839" i="1" s="1"/>
  <c r="P3840" i="1" a="1"/>
  <c r="P3840" i="1"/>
  <c r="P3841" i="1" a="1"/>
  <c r="P3841" i="1" s="1"/>
  <c r="P3842" i="1" a="1"/>
  <c r="P3842" i="1" s="1"/>
  <c r="P3843" i="1" a="1"/>
  <c r="P3843" i="1"/>
  <c r="P3844" i="1" a="1"/>
  <c r="P3844" i="1" s="1"/>
  <c r="P3845" i="1" a="1"/>
  <c r="P3845" i="1" s="1"/>
  <c r="P3846" i="1" a="1"/>
  <c r="P3846" i="1" s="1"/>
  <c r="P3847" i="1" a="1"/>
  <c r="P3847" i="1" s="1"/>
  <c r="P3848" i="1" a="1"/>
  <c r="P3848" i="1"/>
  <c r="P3849" i="1" a="1"/>
  <c r="P3849" i="1" s="1"/>
  <c r="P3850" i="1" a="1"/>
  <c r="P3850" i="1" s="1"/>
  <c r="P3851" i="1" a="1"/>
  <c r="P3851" i="1"/>
  <c r="P3852" i="1" a="1"/>
  <c r="P3852" i="1" s="1"/>
  <c r="P3853" i="1" a="1"/>
  <c r="P3853" i="1" s="1"/>
  <c r="P3854" i="1" a="1"/>
  <c r="P3854" i="1" s="1"/>
  <c r="P3855" i="1" a="1"/>
  <c r="P3855" i="1" s="1"/>
  <c r="P3856" i="1" a="1"/>
  <c r="P3856" i="1"/>
  <c r="P3857" i="1" a="1"/>
  <c r="P3857" i="1" s="1"/>
  <c r="P3858" i="1" a="1"/>
  <c r="P3858" i="1" s="1"/>
  <c r="P3859" i="1" a="1"/>
  <c r="P3859" i="1"/>
  <c r="P3860" i="1" a="1"/>
  <c r="P3860" i="1" s="1"/>
  <c r="P3861" i="1" a="1"/>
  <c r="P3861" i="1" s="1"/>
  <c r="P3862" i="1" a="1"/>
  <c r="P3862" i="1" s="1"/>
  <c r="P3863" i="1" a="1"/>
  <c r="P3863" i="1" s="1"/>
  <c r="P3864" i="1" a="1"/>
  <c r="P3864" i="1"/>
  <c r="P3865" i="1" a="1"/>
  <c r="P3865" i="1" s="1"/>
  <c r="P3866" i="1" a="1"/>
  <c r="P3866" i="1" s="1"/>
  <c r="P3867" i="1" a="1"/>
  <c r="P3867" i="1"/>
  <c r="P3868" i="1" a="1"/>
  <c r="P3868" i="1" s="1"/>
  <c r="P3869" i="1" a="1"/>
  <c r="P3869" i="1" s="1"/>
  <c r="P3870" i="1" a="1"/>
  <c r="P3870" i="1" s="1"/>
  <c r="P3871" i="1" a="1"/>
  <c r="P3871" i="1" s="1"/>
  <c r="P3872" i="1" a="1"/>
  <c r="P3872" i="1"/>
  <c r="P3873" i="1" a="1"/>
  <c r="P3873" i="1" s="1"/>
  <c r="P3874" i="1" a="1"/>
  <c r="P3874" i="1" s="1"/>
  <c r="P3875" i="1" a="1"/>
  <c r="P3875" i="1"/>
  <c r="P3876" i="1" a="1"/>
  <c r="P3876" i="1" s="1"/>
  <c r="P3877" i="1" a="1"/>
  <c r="P3877" i="1" s="1"/>
  <c r="P3878" i="1" a="1"/>
  <c r="P3878" i="1" s="1"/>
  <c r="P3879" i="1" a="1"/>
  <c r="P3879" i="1" s="1"/>
  <c r="P3880" i="1" a="1"/>
  <c r="P3880" i="1"/>
  <c r="P3881" i="1" a="1"/>
  <c r="P3881" i="1" s="1"/>
  <c r="P3882" i="1" a="1"/>
  <c r="P3882" i="1" s="1"/>
  <c r="P3883" i="1" a="1"/>
  <c r="P3883" i="1"/>
  <c r="P3884" i="1" a="1"/>
  <c r="P3884" i="1" s="1"/>
  <c r="P3885" i="1" a="1"/>
  <c r="P3885" i="1" s="1"/>
  <c r="P3886" i="1" a="1"/>
  <c r="P3886" i="1" s="1"/>
  <c r="P3887" i="1" a="1"/>
  <c r="P3887" i="1" s="1"/>
  <c r="P3888" i="1" a="1"/>
  <c r="P3888" i="1"/>
  <c r="P3889" i="1" a="1"/>
  <c r="P3889" i="1" s="1"/>
  <c r="P3890" i="1" a="1"/>
  <c r="P3890" i="1" s="1"/>
  <c r="P3891" i="1" a="1"/>
  <c r="P3891" i="1"/>
  <c r="P3892" i="1" a="1"/>
  <c r="P3892" i="1" s="1"/>
  <c r="P3893" i="1" a="1"/>
  <c r="P3893" i="1" s="1"/>
  <c r="P3894" i="1" a="1"/>
  <c r="P3894" i="1" s="1"/>
  <c r="P3895" i="1" a="1"/>
  <c r="P3895" i="1" s="1"/>
  <c r="P3896" i="1" a="1"/>
  <c r="P3896" i="1"/>
  <c r="P3897" i="1" a="1"/>
  <c r="P3897" i="1" s="1"/>
  <c r="P3898" i="1" a="1"/>
  <c r="P3898" i="1" s="1"/>
  <c r="P3899" i="1" a="1"/>
  <c r="P3899" i="1"/>
  <c r="P3900" i="1" a="1"/>
  <c r="P3900" i="1" s="1"/>
  <c r="P3901" i="1" a="1"/>
  <c r="P3901" i="1" s="1"/>
  <c r="P3902" i="1" a="1"/>
  <c r="P3902" i="1" s="1"/>
  <c r="P3903" i="1" a="1"/>
  <c r="P3903" i="1" s="1"/>
  <c r="P3904" i="1" a="1"/>
  <c r="P3904" i="1"/>
  <c r="P3905" i="1" a="1"/>
  <c r="P3905" i="1" s="1"/>
  <c r="P3906" i="1" a="1"/>
  <c r="P3906" i="1" s="1"/>
  <c r="P3907" i="1" a="1"/>
  <c r="P3907" i="1"/>
  <c r="P3908" i="1" a="1"/>
  <c r="P3908" i="1" s="1"/>
  <c r="P3909" i="1" a="1"/>
  <c r="P3909" i="1" s="1"/>
  <c r="P3910" i="1" a="1"/>
  <c r="P3910" i="1" s="1"/>
  <c r="P3911" i="1" a="1"/>
  <c r="P3911" i="1" s="1"/>
  <c r="P3912" i="1" a="1"/>
  <c r="P3912" i="1"/>
  <c r="P3913" i="1" a="1"/>
  <c r="P3913" i="1" s="1"/>
  <c r="P3914" i="1" a="1"/>
  <c r="P3914" i="1" s="1"/>
  <c r="P3915" i="1" a="1"/>
  <c r="P3915" i="1"/>
  <c r="P3916" i="1" a="1"/>
  <c r="P3916" i="1" s="1"/>
  <c r="P3917" i="1" a="1"/>
  <c r="P3917" i="1" s="1"/>
  <c r="P3918" i="1" a="1"/>
  <c r="P3918" i="1" s="1"/>
  <c r="P3919" i="1" a="1"/>
  <c r="P3919" i="1" s="1"/>
  <c r="P3920" i="1" a="1"/>
  <c r="P3920" i="1"/>
  <c r="P3921" i="1" a="1"/>
  <c r="P3921" i="1" s="1"/>
  <c r="P3922" i="1" a="1"/>
  <c r="P3922" i="1" s="1"/>
  <c r="P3923" i="1" a="1"/>
  <c r="P3923" i="1"/>
  <c r="P3924" i="1" a="1"/>
  <c r="P3924" i="1" s="1"/>
  <c r="P3925" i="1" a="1"/>
  <c r="P3925" i="1" s="1"/>
  <c r="P3926" i="1" a="1"/>
  <c r="P3926" i="1" s="1"/>
  <c r="P3927" i="1" a="1"/>
  <c r="P3927" i="1" s="1"/>
  <c r="P3928" i="1" a="1"/>
  <c r="P3928" i="1"/>
  <c r="P3929" i="1" a="1"/>
  <c r="P3929" i="1" s="1"/>
  <c r="P3930" i="1" a="1"/>
  <c r="P3930" i="1" s="1"/>
  <c r="P3931" i="1" a="1"/>
  <c r="P3931" i="1"/>
  <c r="P3932" i="1" a="1"/>
  <c r="P3932" i="1" s="1"/>
  <c r="P3933" i="1" a="1"/>
  <c r="P3933" i="1" s="1"/>
  <c r="P3934" i="1" a="1"/>
  <c r="P3934" i="1" s="1"/>
  <c r="P3935" i="1" a="1"/>
  <c r="P3935" i="1" s="1"/>
  <c r="P3936" i="1" a="1"/>
  <c r="P3936" i="1"/>
  <c r="P3937" i="1" a="1"/>
  <c r="P3937" i="1" s="1"/>
  <c r="P3938" i="1" a="1"/>
  <c r="P3938" i="1" s="1"/>
  <c r="P3939" i="1" a="1"/>
  <c r="P3939" i="1"/>
  <c r="P3940" i="1" a="1"/>
  <c r="P3940" i="1" s="1"/>
  <c r="P3941" i="1" a="1"/>
  <c r="P3941" i="1" s="1"/>
  <c r="P3942" i="1" a="1"/>
  <c r="P3942" i="1" s="1"/>
  <c r="P3943" i="1" a="1"/>
  <c r="P3943" i="1" s="1"/>
  <c r="P3944" i="1" a="1"/>
  <c r="P3944" i="1"/>
  <c r="P3945" i="1" a="1"/>
  <c r="P3945" i="1" s="1"/>
  <c r="P3946" i="1" a="1"/>
  <c r="P3946" i="1" s="1"/>
  <c r="P3947" i="1" a="1"/>
  <c r="P3947" i="1"/>
  <c r="P3948" i="1" a="1"/>
  <c r="P3948" i="1" s="1"/>
  <c r="P3949" i="1" a="1"/>
  <c r="P3949" i="1" s="1"/>
  <c r="P3950" i="1" a="1"/>
  <c r="P3950" i="1" s="1"/>
  <c r="P3951" i="1" a="1"/>
  <c r="P3951" i="1" s="1"/>
  <c r="P3952" i="1" a="1"/>
  <c r="P3952" i="1"/>
  <c r="P3953" i="1" a="1"/>
  <c r="P3953" i="1" s="1"/>
  <c r="P3954" i="1" a="1"/>
  <c r="P3954" i="1" s="1"/>
  <c r="P3955" i="1" a="1"/>
  <c r="P3955" i="1"/>
  <c r="P3956" i="1" a="1"/>
  <c r="P3956" i="1" s="1"/>
  <c r="P3957" i="1" a="1"/>
  <c r="P3957" i="1" s="1"/>
  <c r="P3958" i="1" a="1"/>
  <c r="P3958" i="1" s="1"/>
  <c r="P3959" i="1" a="1"/>
  <c r="P3959" i="1" s="1"/>
  <c r="P3960" i="1" a="1"/>
  <c r="P3960" i="1"/>
  <c r="P3961" i="1" a="1"/>
  <c r="P3961" i="1" s="1"/>
  <c r="P3962" i="1" a="1"/>
  <c r="P3962" i="1" s="1"/>
  <c r="P3963" i="1" a="1"/>
  <c r="P3963" i="1"/>
  <c r="P3964" i="1" a="1"/>
  <c r="P3964" i="1" s="1"/>
  <c r="P3965" i="1" a="1"/>
  <c r="P3965" i="1" s="1"/>
  <c r="P3966" i="1" a="1"/>
  <c r="P3966" i="1" s="1"/>
  <c r="P3967" i="1" a="1"/>
  <c r="P3967" i="1" s="1"/>
  <c r="P3968" i="1" a="1"/>
  <c r="P3968" i="1"/>
  <c r="P3969" i="1" a="1"/>
  <c r="P3969" i="1" s="1"/>
  <c r="P3970" i="1" a="1"/>
  <c r="P3970" i="1" s="1"/>
  <c r="P3971" i="1" a="1"/>
  <c r="P3971" i="1"/>
  <c r="P3972" i="1" a="1"/>
  <c r="P3972" i="1" s="1"/>
  <c r="P3973" i="1" a="1"/>
  <c r="P3973" i="1" s="1"/>
  <c r="P3974" i="1" a="1"/>
  <c r="P3974" i="1" s="1"/>
  <c r="P3975" i="1" a="1"/>
  <c r="P3975" i="1" s="1"/>
  <c r="P3976" i="1" a="1"/>
  <c r="P3976" i="1"/>
  <c r="P3977" i="1" a="1"/>
  <c r="P3977" i="1" s="1"/>
  <c r="P3978" i="1" a="1"/>
  <c r="P3978" i="1" s="1"/>
  <c r="P3979" i="1" a="1"/>
  <c r="P3979" i="1"/>
  <c r="P3980" i="1" a="1"/>
  <c r="P3980" i="1" s="1"/>
  <c r="P3981" i="1" a="1"/>
  <c r="P3981" i="1" s="1"/>
  <c r="P3982" i="1" a="1"/>
  <c r="P3982" i="1" s="1"/>
  <c r="P3983" i="1" a="1"/>
  <c r="P3983" i="1" s="1"/>
  <c r="P3984" i="1" a="1"/>
  <c r="P3984" i="1"/>
  <c r="P3985" i="1" a="1"/>
  <c r="P3985" i="1" s="1"/>
  <c r="P3986" i="1" a="1"/>
  <c r="P3986" i="1" s="1"/>
  <c r="P3987" i="1" a="1"/>
  <c r="P3987" i="1"/>
  <c r="P3988" i="1" a="1"/>
  <c r="P3988" i="1" s="1"/>
  <c r="P3989" i="1" a="1"/>
  <c r="P3989" i="1" s="1"/>
  <c r="P3990" i="1" a="1"/>
  <c r="P3990" i="1" s="1"/>
  <c r="P3991" i="1" a="1"/>
  <c r="P3991" i="1" s="1"/>
  <c r="P3992" i="1" a="1"/>
  <c r="P3992" i="1"/>
  <c r="P3993" i="1" a="1"/>
  <c r="P3993" i="1" s="1"/>
  <c r="P3994" i="1" a="1"/>
  <c r="P3994" i="1" s="1"/>
  <c r="P3995" i="1" a="1"/>
  <c r="P3995" i="1"/>
  <c r="P3996" i="1" a="1"/>
  <c r="P3996" i="1" s="1"/>
  <c r="P3997" i="1" a="1"/>
  <c r="P3997" i="1" s="1"/>
  <c r="P3998" i="1" a="1"/>
  <c r="P3998" i="1" s="1"/>
  <c r="P3999" i="1" a="1"/>
  <c r="P3999" i="1" s="1"/>
  <c r="P4000" i="1" a="1"/>
  <c r="P4000" i="1"/>
  <c r="P4001" i="1" a="1"/>
  <c r="P4001"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<sst xmlns="http://schemas.openxmlformats.org/spreadsheetml/2006/main" count="12996" uniqueCount="53">
  <si>
    <t>user_id</t>
  </si>
  <si>
    <t>date</t>
  </si>
  <si>
    <t>age</t>
  </si>
  <si>
    <t>gender</t>
  </si>
  <si>
    <t>height_cm</t>
  </si>
  <si>
    <t>weight_kg</t>
  </si>
  <si>
    <t>steps</t>
  </si>
  <si>
    <t>calories_burned</t>
  </si>
  <si>
    <t>sleep_hours</t>
  </si>
  <si>
    <t>heart_rate_avg</t>
  </si>
  <si>
    <t>workout_type</t>
  </si>
  <si>
    <t>workout_duration_minutes</t>
  </si>
  <si>
    <t>water_intake_liters</t>
  </si>
  <si>
    <t>stress_level</t>
  </si>
  <si>
    <t>mood</t>
  </si>
  <si>
    <t>Female</t>
  </si>
  <si>
    <t>None</t>
  </si>
  <si>
    <t>Tired</t>
  </si>
  <si>
    <t>Running</t>
  </si>
  <si>
    <t>Neutral</t>
  </si>
  <si>
    <t>Male</t>
  </si>
  <si>
    <t>Happy</t>
  </si>
  <si>
    <t>Yoga</t>
  </si>
  <si>
    <t>Walking</t>
  </si>
  <si>
    <t>Cycling</t>
  </si>
  <si>
    <t>Gym</t>
  </si>
  <si>
    <t>Row Labels</t>
  </si>
  <si>
    <t>Column Labels</t>
  </si>
  <si>
    <t>Count of mood</t>
  </si>
  <si>
    <t>Average Mood</t>
  </si>
  <si>
    <t>Average Stress Level</t>
  </si>
  <si>
    <t>Mood (numbers)</t>
  </si>
  <si>
    <t>Average Sleep Hours</t>
  </si>
  <si>
    <t>3.1-4.1</t>
  </si>
  <si>
    <t>4.1-5.1</t>
  </si>
  <si>
    <t>5.1-6.1</t>
  </si>
  <si>
    <t>6.1-7.1</t>
  </si>
  <si>
    <t>7.1-8.1</t>
  </si>
  <si>
    <t>8.1-9.1</t>
  </si>
  <si>
    <t>9.1-10.1</t>
  </si>
  <si>
    <t>Average of Stress Level</t>
  </si>
  <si>
    <t>Average of Average Mood</t>
  </si>
  <si>
    <t>Sleep hours</t>
  </si>
  <si>
    <t>Average Water Intake</t>
  </si>
  <si>
    <t>Water Intake (liters</t>
  </si>
  <si>
    <t>1-1.5</t>
  </si>
  <si>
    <t>1.5-2</t>
  </si>
  <si>
    <t>2-2.5</t>
  </si>
  <si>
    <t>2.5-3</t>
  </si>
  <si>
    <t>3-3.5</t>
  </si>
  <si>
    <t>3.5-4</t>
  </si>
  <si>
    <t>4-4.5</t>
  </si>
  <si>
    <t>Gender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</si>
</sst>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0" formatCode="General"/>
    </dxf>
    <dxf>
      <numFmt numFmtId="2" formatCode="0.00"/>
    </dxf>
    <dxf>
      <numFmt numFmtId="2" formatCode="0.00"/>
    </dxf>
    <dxf>
      <numFmt numFmtId="0" formatCode="General"/>
    </dxf>
    <dxf>
      <numFmt numFmtId="2" formatCode="0.00"/>
    </dxf>
    <dxf>
      <numFmt numFmtId="2" formatCode="0.00"/>
    </dxf>
    <dxf>
      <numFmt numFmtId="2" formatCode="0.00"/>
    </dxf>
    <dxf>
      <numFmt numFmtId="2" formatCode="0.00"/>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[fitness_tracker.xlsx]Pivot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Mood and Stress</a:t>
            </a:r>
            <a:r>
              <a:rPr lang="en-PH" baseline="0"/>
              <a:t> Level per Sleep hour</a:t>
            </a:r>
            <a:endParaRPr lang="en-P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Table'!$B$15</c:f>
              <c:strCache>
                <c:ptCount val="1"/>
                <c:pt idx="0">
                  <c:v>Average of Stress Level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Table'!$A$16:$A$22</c:f>
              <c:strCache>
                <c:ptCount val="7"/>
                <c:pt idx="0">
                  <c:v>3.1-4.1</c:v>
                </c:pt>
                <c:pt idx="1">
                  <c:v>4.1-5.1</c:v>
                </c:pt>
                <c:pt idx="2">
                  <c:v>5.1-6.1</c:v>
                </c:pt>
                <c:pt idx="3">
                  <c:v>6.1-7.1</c:v>
                </c:pt>
                <c:pt idx="4">
                  <c:v>7.1-8.1</c:v>
                </c:pt>
                <c:pt idx="5">
                  <c:v>8.1-9.1</c:v>
                </c:pt>
                <c:pt idx="6">
                  <c:v>9.1-10.1</c:v>
                </c:pt>
              </c:strCache>
            </c:strRef>
          </c:cat>
          <c:val>
            <c:numRef>
              <c:f>'Pivot Table'!$B$16:$B$22</c:f>
              <c:numCache>
                <c:formatCode>0.00</c:formatCode>
                <c:ptCount val="7"/>
                <c:pt idx="0">
                  <c:v>4.5</c:v>
                </c:pt>
                <c:pt idx="1">
                  <c:v>5.2866666666666662</c:v>
                </c:pt>
                <c:pt idx="2">
                  <c:v>5.5149725274725272</c:v>
                </c:pt>
                <c:pt idx="3">
                  <c:v>5.4588862492521049</c:v>
                </c:pt>
                <c:pt idx="4">
                  <c:v>5.4225287444037429</c:v>
                </c:pt>
                <c:pt idx="5">
                  <c:v>5.5946875</c:v>
                </c:pt>
                <c:pt idx="6">
                  <c:v>4.7</c:v>
                </c:pt>
              </c:numCache>
            </c:numRef>
          </c:val>
          <c:smooth val="0"/>
          <c:extLst>
            <c:ext xmlns:c16="http://schemas.microsoft.com/office/drawing/2014/chart" uri="{C3380CC4-5D6E-409C-BE32-E72D297353CC}">
              <c16:uniqueId val="{00000000-65C2-42A1-A331-51B3388911EA}"/>
            </c:ext>
          </c:extLst>
        </c:ser>
        <c:ser>
          <c:idx val="1"/>
          <c:order val="1"/>
          <c:tx>
            <c:strRef>
              <c:f>'Pivot Table'!$C$15</c:f>
              <c:strCache>
                <c:ptCount val="1"/>
                <c:pt idx="0">
                  <c:v>Average of Average Mood</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Table'!$A$16:$A$22</c:f>
              <c:strCache>
                <c:ptCount val="7"/>
                <c:pt idx="0">
                  <c:v>3.1-4.1</c:v>
                </c:pt>
                <c:pt idx="1">
                  <c:v>4.1-5.1</c:v>
                </c:pt>
                <c:pt idx="2">
                  <c:v>5.1-6.1</c:v>
                </c:pt>
                <c:pt idx="3">
                  <c:v>6.1-7.1</c:v>
                </c:pt>
                <c:pt idx="4">
                  <c:v>7.1-8.1</c:v>
                </c:pt>
                <c:pt idx="5">
                  <c:v>8.1-9.1</c:v>
                </c:pt>
                <c:pt idx="6">
                  <c:v>9.1-10.1</c:v>
                </c:pt>
              </c:strCache>
            </c:strRef>
          </c:cat>
          <c:val>
            <c:numRef>
              <c:f>'Pivot Table'!$C$16:$C$22</c:f>
              <c:numCache>
                <c:formatCode>0.00</c:formatCode>
                <c:ptCount val="7"/>
                <c:pt idx="0">
                  <c:v>1.8333333333333333</c:v>
                </c:pt>
                <c:pt idx="1">
                  <c:v>1.9766666666666666</c:v>
                </c:pt>
                <c:pt idx="2">
                  <c:v>1.962030677655678</c:v>
                </c:pt>
                <c:pt idx="3">
                  <c:v>2.0058731038609086</c:v>
                </c:pt>
                <c:pt idx="4">
                  <c:v>1.9615181115181117</c:v>
                </c:pt>
                <c:pt idx="5">
                  <c:v>1.8906249999999996</c:v>
                </c:pt>
                <c:pt idx="6">
                  <c:v>2.3666666666666667</c:v>
                </c:pt>
              </c:numCache>
            </c:numRef>
          </c:val>
          <c:smooth val="0"/>
          <c:extLst>
            <c:ext xmlns:c16="http://schemas.microsoft.com/office/drawing/2014/chart" uri="{C3380CC4-5D6E-409C-BE32-E72D297353CC}">
              <c16:uniqueId val="{00000001-65C2-42A1-A331-51B3388911EA}"/>
            </c:ext>
          </c:extLst>
        </c:ser>
        <c:dLbls>
          <c:dLblPos val="t"/>
          <c:showLegendKey val="0"/>
          <c:showVal val="1"/>
          <c:showCatName val="0"/>
          <c:showSerName val="0"/>
          <c:showPercent val="0"/>
          <c:showBubbleSize val="0"/>
        </c:dLbls>
        <c:smooth val="0"/>
        <c:axId val="1828443872"/>
        <c:axId val="99085632"/>
      </c:lineChart>
      <c:catAx>
        <c:axId val="18284438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Hour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085632"/>
        <c:crosses val="autoZero"/>
        <c:auto val="1"/>
        <c:lblAlgn val="ctr"/>
        <c:lblOffset val="100"/>
        <c:noMultiLvlLbl val="0"/>
      </c:catAx>
      <c:valAx>
        <c:axId val="990856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4438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[fitness_tracker.xlsx]Pivot Table!PivotTable5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Mood</a:t>
            </a:r>
            <a:r>
              <a:rPr lang="en-PH" baseline="0"/>
              <a:t> &amp; Stress Level per Water Intake</a:t>
            </a:r>
            <a:endParaRPr lang="en-P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c:f>
              <c:strCache>
                <c:ptCount val="1"/>
                <c:pt idx="0">
                  <c:v>Average of Stress Level</c:v>
                </c:pt>
              </c:strCache>
            </c:strRef>
          </c:tx>
          <c:spPr>
            <a:ln w="28575" cap="rnd">
              <a:solidFill>
                <a:schemeClr val="accent1"/>
              </a:solidFill>
              <a:round/>
            </a:ln>
            <a:effectLst/>
          </c:spPr>
          <c:marker>
            <c:symbol val="none"/>
          </c:marker>
          <c:cat>
            <c:strRef>
              <c:f>'Pivot Table'!$A$38:$A$44</c:f>
              <c:strCache>
                <c:ptCount val="7"/>
                <c:pt idx="0">
                  <c:v>1-1.5</c:v>
                </c:pt>
                <c:pt idx="1">
                  <c:v>1.5-2</c:v>
                </c:pt>
                <c:pt idx="2">
                  <c:v>2-2.5</c:v>
                </c:pt>
                <c:pt idx="3">
                  <c:v>2.5-3</c:v>
                </c:pt>
                <c:pt idx="4">
                  <c:v>3-3.5</c:v>
                </c:pt>
                <c:pt idx="5">
                  <c:v>3.5-4</c:v>
                </c:pt>
                <c:pt idx="6">
                  <c:v>4-4.5</c:v>
                </c:pt>
              </c:strCache>
            </c:strRef>
          </c:cat>
          <c:val>
            <c:numRef>
              <c:f>'Pivot Table'!$B$38:$B$44</c:f>
              <c:numCache>
                <c:formatCode>0.00</c:formatCode>
                <c:ptCount val="7"/>
                <c:pt idx="0">
                  <c:v>5.8903508771929829</c:v>
                </c:pt>
                <c:pt idx="1">
                  <c:v>5.1018004722550181</c:v>
                </c:pt>
                <c:pt idx="2">
                  <c:v>5.4702847805788988</c:v>
                </c:pt>
                <c:pt idx="3">
                  <c:v>5.4193749439512153</c:v>
                </c:pt>
                <c:pt idx="4">
                  <c:v>5.7952393250688692</c:v>
                </c:pt>
                <c:pt idx="5">
                  <c:v>5.5677083333333339</c:v>
                </c:pt>
                <c:pt idx="6">
                  <c:v>5.3125</c:v>
                </c:pt>
              </c:numCache>
            </c:numRef>
          </c:val>
          <c:smooth val="0"/>
          <c:extLst>
            <c:ext xmlns:c16="http://schemas.microsoft.com/office/drawing/2014/chart" uri="{C3380CC4-5D6E-409C-BE32-E72D297353CC}">
              <c16:uniqueId val="{00000000-64B4-422E-AE6C-16F4105B9EDC}"/>
            </c:ext>
          </c:extLst>
        </c:ser>
        <c:ser>
          <c:idx val="1"/>
          <c:order val="1"/>
          <c:tx>
            <c:strRef>
              <c:f>'Pivot Table'!$C$37</c:f>
              <c:strCache>
                <c:ptCount val="1"/>
                <c:pt idx="0">
                  <c:v>Average of Average Mood</c:v>
                </c:pt>
              </c:strCache>
            </c:strRef>
          </c:tx>
          <c:spPr>
            <a:ln w="28575" cap="rnd">
              <a:solidFill>
                <a:schemeClr val="accent2"/>
              </a:solidFill>
              <a:round/>
            </a:ln>
            <a:effectLst/>
          </c:spPr>
          <c:marker>
            <c:symbol val="none"/>
          </c:marker>
          <c:cat>
            <c:strRef>
              <c:f>'Pivot Table'!$A$38:$A$44</c:f>
              <c:strCache>
                <c:ptCount val="7"/>
                <c:pt idx="0">
                  <c:v>1-1.5</c:v>
                </c:pt>
                <c:pt idx="1">
                  <c:v>1.5-2</c:v>
                </c:pt>
                <c:pt idx="2">
                  <c:v>2-2.5</c:v>
                </c:pt>
                <c:pt idx="3">
                  <c:v>2.5-3</c:v>
                </c:pt>
                <c:pt idx="4">
                  <c:v>3-3.5</c:v>
                </c:pt>
                <c:pt idx="5">
                  <c:v>3.5-4</c:v>
                </c:pt>
                <c:pt idx="6">
                  <c:v>4-4.5</c:v>
                </c:pt>
              </c:strCache>
            </c:strRef>
          </c:cat>
          <c:val>
            <c:numRef>
              <c:f>'Pivot Table'!$C$38:$C$44</c:f>
              <c:numCache>
                <c:formatCode>0.00</c:formatCode>
                <c:ptCount val="7"/>
                <c:pt idx="0">
                  <c:v>2.0482456140350878</c:v>
                </c:pt>
                <c:pt idx="1">
                  <c:v>2.0063262495080676</c:v>
                </c:pt>
                <c:pt idx="2">
                  <c:v>1.965320961718021</c:v>
                </c:pt>
                <c:pt idx="3">
                  <c:v>1.9954678952560319</c:v>
                </c:pt>
                <c:pt idx="4">
                  <c:v>1.9448777548209366</c:v>
                </c:pt>
                <c:pt idx="5">
                  <c:v>1.9166666666666665</c:v>
                </c:pt>
                <c:pt idx="6">
                  <c:v>1.9375</c:v>
                </c:pt>
              </c:numCache>
            </c:numRef>
          </c:val>
          <c:smooth val="0"/>
          <c:extLst>
            <c:ext xmlns:c16="http://schemas.microsoft.com/office/drawing/2014/chart" uri="{C3380CC4-5D6E-409C-BE32-E72D297353CC}">
              <c16:uniqueId val="{00000001-64B4-422E-AE6C-16F4105B9EDC}"/>
            </c:ext>
          </c:extLst>
        </c:ser>
        <c:dLbls>
          <c:showLegendKey val="0"/>
          <c:showVal val="0"/>
          <c:showCatName val="0"/>
          <c:showSerName val="0"/>
          <c:showPercent val="0"/>
          <c:showBubbleSize val="0"/>
        </c:dLbls>
        <c:smooth val="0"/>
        <c:axId val="318549744"/>
        <c:axId val="318551184"/>
      </c:lineChart>
      <c:catAx>
        <c:axId val="3185497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Water</a:t>
                </a:r>
                <a:r>
                  <a:rPr lang="en-PH" baseline="0"/>
                  <a:t> Intake (Liters)</a:t>
                </a:r>
                <a:endParaRPr lang="en-PH"/>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551184"/>
        <c:crosses val="autoZero"/>
        <c:auto val="1"/>
        <c:lblAlgn val="ctr"/>
        <c:lblOffset val="100"/>
        <c:noMultiLvlLbl val="0"/>
      </c:catAx>
      <c:valAx>
        <c:axId val="3185511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5497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[fitness_tracker.xlsx]Pivot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Mood and Stress</a:t>
            </a:r>
            <a:r>
              <a:rPr lang="en-PH" baseline="0"/>
              <a:t> Level per Sleep hour</a:t>
            </a:r>
            <a:endParaRPr lang="en-P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Table'!$B$15</c:f>
              <c:strCache>
                <c:ptCount val="1"/>
                <c:pt idx="0">
                  <c:v>Average of Stress Level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Table'!$A$16:$A$22</c:f>
              <c:strCache>
                <c:ptCount val="7"/>
                <c:pt idx="0">
                  <c:v>3.1-4.1</c:v>
                </c:pt>
                <c:pt idx="1">
                  <c:v>4.1-5.1</c:v>
                </c:pt>
                <c:pt idx="2">
                  <c:v>5.1-6.1</c:v>
                </c:pt>
                <c:pt idx="3">
                  <c:v>6.1-7.1</c:v>
                </c:pt>
                <c:pt idx="4">
                  <c:v>7.1-8.1</c:v>
                </c:pt>
                <c:pt idx="5">
                  <c:v>8.1-9.1</c:v>
                </c:pt>
                <c:pt idx="6">
                  <c:v>9.1-10.1</c:v>
                </c:pt>
              </c:strCache>
            </c:strRef>
          </c:cat>
          <c:val>
            <c:numRef>
              <c:f>'Pivot Table'!$B$16:$B$22</c:f>
              <c:numCache>
                <c:formatCode>0.00</c:formatCode>
                <c:ptCount val="7"/>
                <c:pt idx="0">
                  <c:v>4.5</c:v>
                </c:pt>
                <c:pt idx="1">
                  <c:v>5.2866666666666662</c:v>
                </c:pt>
                <c:pt idx="2">
                  <c:v>5.5149725274725272</c:v>
                </c:pt>
                <c:pt idx="3">
                  <c:v>5.4588862492521049</c:v>
                </c:pt>
                <c:pt idx="4">
                  <c:v>5.4225287444037429</c:v>
                </c:pt>
                <c:pt idx="5">
                  <c:v>5.5946875</c:v>
                </c:pt>
                <c:pt idx="6">
                  <c:v>4.7</c:v>
                </c:pt>
              </c:numCache>
            </c:numRef>
          </c:val>
          <c:smooth val="0"/>
          <c:extLst>
            <c:ext xmlns:c16="http://schemas.microsoft.com/office/drawing/2014/chart" uri="{C3380CC4-5D6E-409C-BE32-E72D297353CC}">
              <c16:uniqueId val="{00000000-6120-4B02-B019-C5F483260B20}"/>
            </c:ext>
          </c:extLst>
        </c:ser>
        <c:ser>
          <c:idx val="1"/>
          <c:order val="1"/>
          <c:tx>
            <c:strRef>
              <c:f>'Pivot Table'!$C$15</c:f>
              <c:strCache>
                <c:ptCount val="1"/>
                <c:pt idx="0">
                  <c:v>Average of Average Mood</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Table'!$A$16:$A$22</c:f>
              <c:strCache>
                <c:ptCount val="7"/>
                <c:pt idx="0">
                  <c:v>3.1-4.1</c:v>
                </c:pt>
                <c:pt idx="1">
                  <c:v>4.1-5.1</c:v>
                </c:pt>
                <c:pt idx="2">
                  <c:v>5.1-6.1</c:v>
                </c:pt>
                <c:pt idx="3">
                  <c:v>6.1-7.1</c:v>
                </c:pt>
                <c:pt idx="4">
                  <c:v>7.1-8.1</c:v>
                </c:pt>
                <c:pt idx="5">
                  <c:v>8.1-9.1</c:v>
                </c:pt>
                <c:pt idx="6">
                  <c:v>9.1-10.1</c:v>
                </c:pt>
              </c:strCache>
            </c:strRef>
          </c:cat>
          <c:val>
            <c:numRef>
              <c:f>'Pivot Table'!$C$16:$C$22</c:f>
              <c:numCache>
                <c:formatCode>0.00</c:formatCode>
                <c:ptCount val="7"/>
                <c:pt idx="0">
                  <c:v>1.8333333333333333</c:v>
                </c:pt>
                <c:pt idx="1">
                  <c:v>1.9766666666666666</c:v>
                </c:pt>
                <c:pt idx="2">
                  <c:v>1.962030677655678</c:v>
                </c:pt>
                <c:pt idx="3">
                  <c:v>2.0058731038609086</c:v>
                </c:pt>
                <c:pt idx="4">
                  <c:v>1.9615181115181117</c:v>
                </c:pt>
                <c:pt idx="5">
                  <c:v>1.8906249999999996</c:v>
                </c:pt>
                <c:pt idx="6">
                  <c:v>2.3666666666666667</c:v>
                </c:pt>
              </c:numCache>
            </c:numRef>
          </c:val>
          <c:smooth val="0"/>
          <c:extLst>
            <c:ext xmlns:c16="http://schemas.microsoft.com/office/drawing/2014/chart" uri="{C3380CC4-5D6E-409C-BE32-E72D297353CC}">
              <c16:uniqueId val="{00000001-6120-4B02-B019-C5F483260B20}"/>
            </c:ext>
          </c:extLst>
        </c:ser>
        <c:dLbls>
          <c:dLblPos val="t"/>
          <c:showLegendKey val="0"/>
          <c:showVal val="1"/>
          <c:showCatName val="0"/>
          <c:showSerName val="0"/>
          <c:showPercent val="0"/>
          <c:showBubbleSize val="0"/>
        </c:dLbls>
        <c:smooth val="0"/>
        <c:axId val="1828443872"/>
        <c:axId val="99085632"/>
      </c:lineChart>
      <c:catAx>
        <c:axId val="18284438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Hour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085632"/>
        <c:crosses val="autoZero"/>
        <c:auto val="1"/>
        <c:lblAlgn val="ctr"/>
        <c:lblOffset val="100"/>
        <c:noMultiLvlLbl val="0"/>
      </c:catAx>
      <c:valAx>
        <c:axId val="9908563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4438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[fitness_tracker.xlsx]Pivot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Mood</a:t>
            </a:r>
            <a:r>
              <a:rPr lang="en-PH" baseline="0"/>
              <a:t> &amp; Stress Level per Water Intake</a:t>
            </a:r>
            <a:endParaRPr lang="en-P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Table'!$B$37</c:f>
              <c:strCache>
                <c:ptCount val="1"/>
                <c:pt idx="0">
                  <c:v>Average of Stress Level</c:v>
                </c:pt>
              </c:strCache>
            </c:strRef>
          </c:tx>
          <c:spPr>
            <a:ln w="28575" cap="rnd">
              <a:solidFill>
                <a:schemeClr val="accent1"/>
              </a:solidFill>
              <a:round/>
            </a:ln>
            <a:effectLst/>
          </c:spPr>
          <c:marker>
            <c:symbol val="none"/>
          </c:marker>
          <c:cat>
            <c:strRef>
              <c:f>'Pivot Table'!$A$38:$A$44</c:f>
              <c:strCache>
                <c:ptCount val="7"/>
                <c:pt idx="0">
                  <c:v>1-1.5</c:v>
                </c:pt>
                <c:pt idx="1">
                  <c:v>1.5-2</c:v>
                </c:pt>
                <c:pt idx="2">
                  <c:v>2-2.5</c:v>
                </c:pt>
                <c:pt idx="3">
                  <c:v>2.5-3</c:v>
                </c:pt>
                <c:pt idx="4">
                  <c:v>3-3.5</c:v>
                </c:pt>
                <c:pt idx="5">
                  <c:v>3.5-4</c:v>
                </c:pt>
                <c:pt idx="6">
                  <c:v>4-4.5</c:v>
                </c:pt>
              </c:strCache>
            </c:strRef>
          </c:cat>
          <c:val>
            <c:numRef>
              <c:f>'Pivot Table'!$B$38:$B$44</c:f>
              <c:numCache>
                <c:formatCode>0.00</c:formatCode>
                <c:ptCount val="7"/>
                <c:pt idx="0">
                  <c:v>5.8903508771929829</c:v>
                </c:pt>
                <c:pt idx="1">
                  <c:v>5.1018004722550181</c:v>
                </c:pt>
                <c:pt idx="2">
                  <c:v>5.4702847805788988</c:v>
                </c:pt>
                <c:pt idx="3">
                  <c:v>5.4193749439512153</c:v>
                </c:pt>
                <c:pt idx="4">
                  <c:v>5.7952393250688692</c:v>
                </c:pt>
                <c:pt idx="5">
                  <c:v>5.5677083333333339</c:v>
                </c:pt>
                <c:pt idx="6">
                  <c:v>5.3125</c:v>
                </c:pt>
              </c:numCache>
            </c:numRef>
          </c:val>
          <c:smooth val="0"/>
          <c:extLst>
            <c:ext xmlns:c16="http://schemas.microsoft.com/office/drawing/2014/chart" uri="{C3380CC4-5D6E-409C-BE32-E72D297353CC}">
              <c16:uniqueId val="{00000000-1C7C-42D1-B908-49DFB653089B}"/>
            </c:ext>
          </c:extLst>
        </c:ser>
        <c:ser>
          <c:idx val="1"/>
          <c:order val="1"/>
          <c:tx>
            <c:strRef>
              <c:f>'Pivot Table'!$C$37</c:f>
              <c:strCache>
                <c:ptCount val="1"/>
                <c:pt idx="0">
                  <c:v>Average of Average Mood</c:v>
                </c:pt>
              </c:strCache>
            </c:strRef>
          </c:tx>
          <c:spPr>
            <a:ln w="28575" cap="rnd">
              <a:solidFill>
                <a:schemeClr val="accent2"/>
              </a:solidFill>
              <a:round/>
            </a:ln>
            <a:effectLst/>
          </c:spPr>
          <c:marker>
            <c:symbol val="none"/>
          </c:marker>
          <c:cat>
            <c:strRef>
              <c:f>'Pivot Table'!$A$38:$A$44</c:f>
              <c:strCache>
                <c:ptCount val="7"/>
                <c:pt idx="0">
                  <c:v>1-1.5</c:v>
                </c:pt>
                <c:pt idx="1">
                  <c:v>1.5-2</c:v>
                </c:pt>
                <c:pt idx="2">
                  <c:v>2-2.5</c:v>
                </c:pt>
                <c:pt idx="3">
                  <c:v>2.5-3</c:v>
                </c:pt>
                <c:pt idx="4">
                  <c:v>3-3.5</c:v>
                </c:pt>
                <c:pt idx="5">
                  <c:v>3.5-4</c:v>
                </c:pt>
                <c:pt idx="6">
                  <c:v>4-4.5</c:v>
                </c:pt>
              </c:strCache>
            </c:strRef>
          </c:cat>
          <c:val>
            <c:numRef>
              <c:f>'Pivot Table'!$C$38:$C$44</c:f>
              <c:numCache>
                <c:formatCode>0.00</c:formatCode>
                <c:ptCount val="7"/>
                <c:pt idx="0">
                  <c:v>2.0482456140350878</c:v>
                </c:pt>
                <c:pt idx="1">
                  <c:v>2.0063262495080676</c:v>
                </c:pt>
                <c:pt idx="2">
                  <c:v>1.965320961718021</c:v>
                </c:pt>
                <c:pt idx="3">
                  <c:v>1.9954678952560319</c:v>
                </c:pt>
                <c:pt idx="4">
                  <c:v>1.9448777548209366</c:v>
                </c:pt>
                <c:pt idx="5">
                  <c:v>1.9166666666666665</c:v>
                </c:pt>
                <c:pt idx="6">
                  <c:v>1.9375</c:v>
                </c:pt>
              </c:numCache>
            </c:numRef>
          </c:val>
          <c:smooth val="0"/>
          <c:extLst>
            <c:ext xmlns:c16="http://schemas.microsoft.com/office/drawing/2014/chart" uri="{C3380CC4-5D6E-409C-BE32-E72D297353CC}">
              <c16:uniqueId val="{00000001-1C7C-42D1-B908-49DFB653089B}"/>
            </c:ext>
          </c:extLst>
        </c:ser>
        <c:dLbls>
          <c:showLegendKey val="0"/>
          <c:showVal val="0"/>
          <c:showCatName val="0"/>
          <c:showSerName val="0"/>
          <c:showPercent val="0"/>
          <c:showBubbleSize val="0"/>
        </c:dLbls>
        <c:smooth val="0"/>
        <c:axId val="318549744"/>
        <c:axId val="318551184"/>
      </c:lineChart>
      <c:catAx>
        <c:axId val="3185497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Water</a:t>
                </a:r>
                <a:r>
                  <a:rPr lang="en-PH" baseline="0"/>
                  <a:t> Intake (Liters)</a:t>
                </a:r>
                <a:endParaRPr lang="en-PH"/>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H"/>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551184"/>
        <c:crosses val="autoZero"/>
        <c:auto val="1"/>
        <c:lblAlgn val="ctr"/>
        <c:lblOffset val="100"/>
        <c:noMultiLvlLbl val="0"/>
      </c:catAx>
      <c:valAx>
        <c:axId val="3185511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85497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xdr:col>
      <xdr:colOff>999566</xdr:colOff>
      <xdr:row>14</xdr:row>
      <xdr:rowOff>80683</xdr:rowOff>
    </xdr:from>
    <xdr:to>
      <xdr:col>5</xdr:col>
      <xdr:colOff>1555378</xdr:colOff>
      <xdr:row>29</xdr:row>
      <xdr:rowOff>134472</xdr:rowOff>
    </xdr:to>
    <xdr:graphicFrame macro="">
      <xdr:nvGraphicFramePr>
        <xdr:cNvPr id="2" name="Chart 1">
          <a:extLst>
            <a:ext uri="{FF2B5EF4-FFF2-40B4-BE49-F238E27FC236}">
              <a16:creationId xmlns:a16="http://schemas.microsoft.com/office/drawing/2014/main" id="{3358D10B-9704-A0EF-2C27-975A6A1F93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981635</xdr:colOff>
      <xdr:row>31</xdr:row>
      <xdr:rowOff>44823</xdr:rowOff>
    </xdr:from>
    <xdr:to>
      <xdr:col>7</xdr:col>
      <xdr:colOff>147918</xdr:colOff>
      <xdr:row>46</xdr:row>
      <xdr:rowOff>98612</xdr:rowOff>
    </xdr:to>
    <xdr:graphicFrame macro="">
      <xdr:nvGraphicFramePr>
        <xdr:cNvPr id="3" name="Chart 2">
          <a:extLst>
            <a:ext uri="{FF2B5EF4-FFF2-40B4-BE49-F238E27FC236}">
              <a16:creationId xmlns:a16="http://schemas.microsoft.com/office/drawing/2014/main" id="{6A1EB7FC-C9B9-25DF-0E80-0250AACC6A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4</xdr:row>
      <xdr:rowOff>0</xdr:rowOff>
    </xdr:from>
    <xdr:to>
      <xdr:col>6</xdr:col>
      <xdr:colOff>311076</xdr:colOff>
      <xdr:row>19</xdr:row>
      <xdr:rowOff>0</xdr:rowOff>
    </xdr:to>
    <xdr:graphicFrame macro="">
      <xdr:nvGraphicFramePr>
        <xdr:cNvPr id="2" name="Chart 1">
          <a:extLst>
            <a:ext uri="{FF2B5EF4-FFF2-40B4-BE49-F238E27FC236}">
              <a16:creationId xmlns:a16="http://schemas.microsoft.com/office/drawing/2014/main" id="{AA681FCB-AC33-4C27-888F-D83AEB701F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175260</xdr:colOff>
      <xdr:row>3</xdr:row>
      <xdr:rowOff>121920</xdr:rowOff>
    </xdr:from>
    <xdr:to>
      <xdr:col>14</xdr:col>
      <xdr:colOff>480060</xdr:colOff>
      <xdr:row>18</xdr:row>
      <xdr:rowOff>121920</xdr:rowOff>
    </xdr:to>
    <xdr:graphicFrame macro="">
      <xdr:nvGraphicFramePr>
        <xdr:cNvPr id="3" name="Chart 2">
          <a:extLst>
            <a:ext uri="{FF2B5EF4-FFF2-40B4-BE49-F238E27FC236}">
              <a16:creationId xmlns:a16="http://schemas.microsoft.com/office/drawing/2014/main" id="{0512AE3A-8807-49B6-952D-1588066096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16</xdr:col>
      <xdr:colOff>129540</xdr:colOff>
      <xdr:row>5</xdr:row>
      <xdr:rowOff>137160</xdr:rowOff>
    </xdr:from>
    <xdr:to>
      <xdr:col>19</xdr:col>
      <xdr:colOff>129540</xdr:colOff>
      <xdr:row>19</xdr:row>
      <xdr:rowOff>43815</xdr:rowOff>
    </xdr:to>
    <mc:AlternateContent xmlns:mc="http://schemas.openxmlformats.org/markup-compatibility/2006">
      <mc:Choice xmlns:a14="http://schemas.microsoft.com/office/drawing/2010/main" Requires="a14">
        <xdr:graphicFrame macro="">
          <xdr:nvGraphicFramePr>
            <xdr:cNvPr id="4" name="Gender">
              <a:extLst>
                <a:ext uri="{FF2B5EF4-FFF2-40B4-BE49-F238E27FC236}">
                  <a16:creationId xmlns:a16="http://schemas.microsoft.com/office/drawing/2014/main" id="{A8CA481C-3034-6B37-08A3-C3A6A52F873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9883140" y="1051560"/>
              <a:ext cx="1828800" cy="246697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86.679118865737" createdVersion="8" refreshedVersion="8" minRefreshableVersion="3" recordCount="942" xr:uid="{ABDD6DE9-23A1-4A56-AC88-C24091419962}">
  <cacheSource type="worksheet">
    <worksheetSource name="Table1"/>
  </cacheSource>
  <cacheFields count="6">
    <cacheField name="user_id" numFmtId="0">
      <sharedItems containsSemiMixedTypes="0" containsString="0" containsNumber="1" containsInteger="1" minValue="1000" maxValue="1999"/>
    </cacheField>
    <cacheField name="Average Stress Level" numFmtId="2">
      <sharedItems containsSemiMixedTypes="0" containsString="0" containsNumber="1" minValue="1" maxValue="10"/>
    </cacheField>
    <cacheField name="Average Mood" numFmtId="2">
      <sharedItems containsSemiMixedTypes="0" containsString="0" containsNumber="1" minValue="1" maxValue="3"/>
    </cacheField>
    <cacheField name="Average Sleep Hours" numFmtId="2">
      <sharedItems containsSemiMixedTypes="0" containsString="0" containsNumber="1" minValue="3.1" maxValue="10" count="438">
        <n v="3.1"/>
        <n v="3.3"/>
        <n v="3.5"/>
        <n v="3.6"/>
        <n v="3.8"/>
        <n v="4.0999999999999996"/>
        <n v="4.3"/>
        <n v="4.5"/>
        <n v="4.5500000000000007"/>
        <n v="4.5999999999999996"/>
        <n v="4.68"/>
        <n v="4.7"/>
        <n v="4.7249999999999996"/>
        <n v="4.75"/>
        <n v="4.8"/>
        <n v="4.8249999999999993"/>
        <n v="4.9000000000000004"/>
        <n v="5"/>
        <n v="5.0749999999999993"/>
        <n v="5.0999999999999996"/>
        <n v="5.15"/>
        <n v="5.1999999999999993"/>
        <n v="5.25"/>
        <n v="5.2666666666666666"/>
        <n v="5.3"/>
        <n v="5.333333333333333"/>
        <n v="5.35"/>
        <n v="5.3999999999999995"/>
        <n v="5.4"/>
        <n v="5.45"/>
        <n v="5.4666666666666659"/>
        <n v="5.4666666666666677"/>
        <n v="5.5"/>
        <n v="5.5333333333333341"/>
        <n v="5.55"/>
        <n v="5.5600000000000005"/>
        <n v="5.5666666666666673"/>
        <n v="5.5999999999999988"/>
        <n v="5.6"/>
        <n v="5.6000000000000005"/>
        <n v="5.6333333333333329"/>
        <n v="5.65"/>
        <n v="5.666666666666667"/>
        <n v="5.6749999999999989"/>
        <n v="5.6750000000000007"/>
        <n v="5.6999999999999993"/>
        <n v="5.7"/>
        <n v="5.7200000000000006"/>
        <n v="5.7250000000000005"/>
        <n v="5.7333333333333334"/>
        <n v="5.75"/>
        <n v="5.7666666666666666"/>
        <n v="5.8"/>
        <n v="5.8000000000000007"/>
        <n v="5.833333333333333"/>
        <n v="5.85"/>
        <n v="5.8666666666666671"/>
        <n v="5.8800000000000008"/>
        <n v="5.8999999999999995"/>
        <n v="5.9"/>
        <n v="5.9000000000000012"/>
        <n v="5.9250000000000007"/>
        <n v="5.9333333333333336"/>
        <n v="5.9499999999999993"/>
        <n v="5.95"/>
        <n v="5.9599999999999991"/>
        <n v="5.9799999999999995"/>
        <n v="6"/>
        <n v="6.02"/>
        <n v="6.0249999999999995"/>
        <n v="6.0333333333333341"/>
        <n v="6.04"/>
        <n v="6.05"/>
        <n v="6.0600000000000005"/>
        <n v="6.0666666666666664"/>
        <n v="6.0999999999999988"/>
        <n v="6.1"/>
        <n v="6.1000000000000005"/>
        <n v="6.1166666666666671"/>
        <n v="6.12"/>
        <n v="6.125"/>
        <n v="6.15"/>
        <n v="6.166666666666667"/>
        <n v="6.1749999999999998"/>
        <n v="6.1750000000000007"/>
        <n v="6.1833333333333336"/>
        <n v="6.1999999999999993"/>
        <n v="6.2"/>
        <n v="6.2166666666666677"/>
        <n v="6.2249999999999996"/>
        <n v="6.2250000000000005"/>
        <n v="6.2333333333333334"/>
        <n v="6.2333333333333343"/>
        <n v="6.25"/>
        <n v="6.26"/>
        <n v="6.2666666666666666"/>
        <n v="6.2749999999999995"/>
        <n v="6.2750000000000004"/>
        <n v="6.3"/>
        <n v="6.3199999999999994"/>
        <n v="6.32"/>
        <n v="6.3250000000000002"/>
        <n v="6.333333333333333"/>
        <n v="6.339999999999999"/>
        <n v="6.34"/>
        <n v="6.3400000000000007"/>
        <n v="6.3499999999999988"/>
        <n v="6.35"/>
        <n v="6.3599999999999994"/>
        <n v="6.3666666666666671"/>
        <n v="6.371428571428571"/>
        <n v="6.375"/>
        <n v="6.38"/>
        <n v="6.3833333333333329"/>
        <n v="6.3999999999999995"/>
        <n v="6.4"/>
        <n v="6.4000000000000012"/>
        <n v="6.4142857142857137"/>
        <n v="6.416666666666667"/>
        <n v="6.419999999999999"/>
        <n v="6.4333333333333336"/>
        <n v="6.4399999999999995"/>
        <n v="6.4499999999999993"/>
        <n v="6.45"/>
        <n v="6.4599999999999991"/>
        <n v="6.4600000000000009"/>
        <n v="6.4666666666666659"/>
        <n v="6.4714285714285724"/>
        <n v="6.4749999999999996"/>
        <n v="6.4750000000000005"/>
        <n v="6.4799999999999995"/>
        <n v="6.4857142857142858"/>
        <n v="6.5"/>
        <n v="6.5090909090909097"/>
        <n v="6.5166666666666657"/>
        <n v="6.5250000000000004"/>
        <n v="6.5333333333333341"/>
        <n v="6.5400000000000009"/>
        <n v="6.5499999999999989"/>
        <n v="6.55"/>
        <n v="6.5500000000000007"/>
        <n v="6.56"/>
        <n v="6.5666666666666664"/>
        <n v="6.5666666666666673"/>
        <n v="6.5750000000000002"/>
        <n v="6.58"/>
        <n v="6.583333333333333"/>
        <n v="6.5857142857142863"/>
        <n v="6.5999999999999988"/>
        <n v="6.6"/>
        <n v="6.6000000000000005"/>
        <n v="6.6142857142857139"/>
        <n v="6.62"/>
        <n v="6.625"/>
        <n v="6.628571428571429"/>
        <n v="6.6333333333333329"/>
        <n v="6.6333333333333337"/>
        <n v="6.6428571428571432"/>
        <n v="6.6499999999999995"/>
        <n v="6.65"/>
        <n v="6.6599999999999993"/>
        <n v="6.660000000000001"/>
        <n v="6.6624999999999996"/>
        <n v="6.666666666666667"/>
        <n v="6.6714285714285699"/>
        <n v="6.6749999999999998"/>
        <n v="6.68"/>
        <n v="6.6800000000000015"/>
        <n v="6.6999999999999993"/>
        <n v="6.7"/>
        <n v="6.7200000000000006"/>
        <n v="6.7333333333333334"/>
        <n v="6.7399999999999993"/>
        <n v="6.74"/>
        <n v="6.742857142857142"/>
        <n v="6.75"/>
        <n v="6.7500000000000009"/>
        <n v="6.7666666666666657"/>
        <n v="6.7666666666666666"/>
        <n v="6.7749999999999995"/>
        <n v="6.7750000000000004"/>
        <n v="6.7777777777777777"/>
        <n v="6.7799999999999985"/>
        <n v="6.7857142857142856"/>
        <n v="6.8"/>
        <n v="6.8125"/>
        <n v="6.8249999999999993"/>
        <n v="6.8250000000000002"/>
        <n v="6.833333333333333"/>
        <n v="6.839999999999999"/>
        <n v="6.8499999999999988"/>
        <n v="6.85"/>
        <n v="6.8500000000000005"/>
        <n v="6.8571428571428568"/>
        <n v="6.8599999999999994"/>
        <n v="6.8666666666666663"/>
        <n v="6.8666666666666671"/>
        <n v="6.8749999999999991"/>
        <n v="6.875"/>
        <n v="6.8777777777777764"/>
        <n v="6.88"/>
        <n v="6.8800000000000008"/>
        <n v="6.8833333333333329"/>
        <n v="6.8833333333333337"/>
        <n v="6.8999999999999995"/>
        <n v="6.9"/>
        <n v="6.9000000000000012"/>
        <n v="6.9142857142857155"/>
        <n v="6.92"/>
        <n v="6.9249999999999998"/>
        <n v="6.9333333333333327"/>
        <n v="6.9333333333333336"/>
        <n v="6.9428571428571431"/>
        <n v="6.9499999999999984"/>
        <n v="6.9499999999999993"/>
        <n v="6.95"/>
        <n v="6.9600000000000009"/>
        <n v="6.9666666666666659"/>
        <n v="6.9749999999999996"/>
        <n v="6.9800000000000013"/>
        <n v="6.9833333333333343"/>
        <n v="6.9857142857142858"/>
        <n v="6.9999999999999991"/>
        <n v="7"/>
        <n v="7.0166666666666666"/>
        <n v="7.0250000000000004"/>
        <n v="7.0285714285714276"/>
        <n v="7.0333333333333341"/>
        <n v="7.0400000000000009"/>
        <n v="7.0428571428571436"/>
        <n v="7.05"/>
        <n v="7.0500000000000007"/>
        <n v="7.0555555555555562"/>
        <n v="7.0666666666666655"/>
        <n v="7.0666666666666664"/>
        <n v="7.0666666666666673"/>
        <n v="7.0749999999999993"/>
        <n v="7.0750000000000002"/>
        <n v="7.08"/>
        <n v="7.083333333333333"/>
        <n v="7.0857142857142863"/>
        <n v="7.0999999999999988"/>
        <n v="7.1"/>
        <n v="7.1000000000000005"/>
        <n v="7.1125000000000007"/>
        <n v="7.1166666666666671"/>
        <n v="7.12"/>
        <n v="7.128571428571429"/>
        <n v="7.1333333333333329"/>
        <n v="7.1374999999999993"/>
        <n v="7.1400000000000006"/>
        <n v="7.1499999999999995"/>
        <n v="7.15"/>
        <n v="7.1571428571428584"/>
        <n v="7.1599999999999993"/>
        <n v="7.1624999999999996"/>
        <n v="7.166666666666667"/>
        <n v="7.1749999999999998"/>
        <n v="7.1750000000000007"/>
        <n v="7.18"/>
        <n v="7.1857142857142851"/>
        <n v="7.1999999999999993"/>
        <n v="7.2"/>
        <n v="7.2000000000000011"/>
        <n v="7.2166666666666659"/>
        <n v="7.2199999999999989"/>
        <n v="7.2249999999999996"/>
        <n v="7.2250000000000005"/>
        <n v="7.2333333333333343"/>
        <n v="7.2399999999999993"/>
        <n v="7.24"/>
        <n v="7.25"/>
        <n v="7.2666666666666666"/>
        <n v="7.2714285714285714"/>
        <n v="7.2714285714285722"/>
        <n v="7.2749999999999995"/>
        <n v="7.2799999999999994"/>
        <n v="7.2833333333333341"/>
        <n v="7.3"/>
        <n v="7.3000000000000007"/>
        <n v="7.3249999999999993"/>
        <n v="7.3250000000000002"/>
        <n v="7.3285714285714283"/>
        <n v="7.333333333333333"/>
        <n v="7.339999999999999"/>
        <n v="7.3400000000000007"/>
        <n v="7.35"/>
        <n v="7.3624999999999998"/>
        <n v="7.3666666666666671"/>
        <n v="7.3749999999999991"/>
        <n v="7.375"/>
        <n v="7.3875000000000011"/>
        <n v="7.3999999999999995"/>
        <n v="7.4"/>
        <n v="7.4000000000000012"/>
        <n v="7.416666666666667"/>
        <n v="7.4250000000000007"/>
        <n v="7.4285714285714288"/>
        <n v="7.4333333333333327"/>
        <n v="7.4333333333333336"/>
        <n v="7.44"/>
        <n v="7.4428571428571422"/>
        <n v="7.4444444444444446"/>
        <n v="7.4499999999999993"/>
        <n v="7.45"/>
        <n v="7.4599999999999991"/>
        <n v="7.4666666666666659"/>
        <n v="7.4666666666666677"/>
        <n v="7.4749999999999996"/>
        <n v="7.4750000000000005"/>
        <n v="7.4800000000000013"/>
        <n v="7.4833333333333334"/>
        <n v="7.4833333333333343"/>
        <n v="7.4857142857142858"/>
        <n v="7.4874999999999998"/>
        <n v="7.4999999999999991"/>
        <n v="7.5"/>
        <n v="7.5200000000000005"/>
        <n v="7.5249999999999995"/>
        <n v="7.5250000000000004"/>
        <n v="7.5285714285714294"/>
        <n v="7.5333333333333323"/>
        <n v="7.55"/>
        <n v="7.5500000000000007"/>
        <n v="7.5555555555555554"/>
        <n v="7.5666666666666664"/>
        <n v="7.5666666666666673"/>
        <n v="7.5750000000000002"/>
        <n v="7.6"/>
        <n v="7.6000000000000005"/>
        <n v="7.6142857142857148"/>
        <n v="7.62"/>
        <n v="7.6333333333333329"/>
        <n v="7.6333333333333337"/>
        <n v="7.65"/>
        <n v="7.666666666666667"/>
        <n v="7.6749999999999989"/>
        <n v="7.6749999999999998"/>
        <n v="7.6750000000000007"/>
        <n v="7.68"/>
        <n v="7.6875"/>
        <n v="7.6999999999999993"/>
        <n v="7.7"/>
        <n v="7.7166666666666659"/>
        <n v="7.7250000000000005"/>
        <n v="7.7285714285714286"/>
        <n v="7.7333333333333334"/>
        <n v="7.7333333333333343"/>
        <n v="7.75"/>
        <n v="7.76"/>
        <n v="7.7666666666666657"/>
        <n v="7.7750000000000004"/>
        <n v="7.7800000000000011"/>
        <n v="7.7999999999999989"/>
        <n v="7.8"/>
        <n v="7.8000000000000007"/>
        <n v="7.8142857142857141"/>
        <n v="7.8250000000000011"/>
        <n v="7.833333333333333"/>
        <n v="7.8333333333333348"/>
        <n v="7.8428571428571425"/>
        <n v="7.8500000000000005"/>
        <n v="7.8666666666666663"/>
        <n v="7.8666666666666671"/>
        <n v="7.875"/>
        <n v="7.8833333333333329"/>
        <n v="7.8999999999999995"/>
        <n v="7.9"/>
        <n v="7.9000000000000012"/>
        <n v="7.92"/>
        <n v="7.9250000000000007"/>
        <n v="7.9333333333333336"/>
        <n v="7.9428571428571431"/>
        <n v="7.9500000000000011"/>
        <n v="7.9749999999999996"/>
        <n v="7.9750000000000005"/>
        <n v="7.9799999999999995"/>
        <n v="7.9999999999999991"/>
        <n v="8"/>
        <n v="8.0250000000000004"/>
        <n v="8.0333333333333332"/>
        <n v="8.0399999999999991"/>
        <n v="8.0500000000000007"/>
        <n v="8.06"/>
        <n v="8.0666666666666664"/>
        <n v="8.0799999999999983"/>
        <n v="8.08"/>
        <n v="8.1"/>
        <n v="8.1000000000000014"/>
        <n v="8.1199999999999992"/>
        <n v="8.1333333333333329"/>
        <n v="8.14"/>
        <n v="8.15"/>
        <n v="8.1624999999999996"/>
        <n v="8.1666666666666661"/>
        <n v="8.18"/>
        <n v="8.1999999999999993"/>
        <n v="8.2333333333333343"/>
        <n v="8.24"/>
        <n v="8.25"/>
        <n v="8.2999999999999989"/>
        <n v="8.3000000000000007"/>
        <n v="8.3333333333333339"/>
        <n v="8.35"/>
        <n v="8.3666666666666671"/>
        <n v="8.375"/>
        <n v="8.379999999999999"/>
        <n v="8.4"/>
        <n v="8.4333333333333318"/>
        <n v="8.4499999999999993"/>
        <n v="8.4500000000000011"/>
        <n v="8.5"/>
        <n v="8.5333333333333332"/>
        <n v="8.5499999999999989"/>
        <n v="8.5500000000000007"/>
        <n v="8.5666666666666664"/>
        <n v="8.6"/>
        <n v="8.65"/>
        <n v="8.6999999999999993"/>
        <n v="8.7333333333333325"/>
        <n v="8.7333333333333343"/>
        <n v="8.75"/>
        <n v="8.7666666666666657"/>
        <n v="8.8000000000000007"/>
        <n v="8.86"/>
        <n v="8.8999999999999986"/>
        <n v="8.9"/>
        <n v="8.9499999999999993"/>
        <n v="9"/>
        <n v="9.1"/>
        <n v="9.1999999999999993"/>
        <n v="9.2333333333333343"/>
        <n v="9.4"/>
        <n v="9.4499999999999993"/>
        <n v="9.5"/>
        <n v="9.5500000000000007"/>
        <n v="9.8000000000000007"/>
        <n v="10"/>
      </sharedItems>
      <fieldGroup base="3">
        <rangePr startNum="3.1" endNum="10"/>
        <groupItems count="9">
          <s v="&lt;3.1"/>
          <s v="3.1-4.1"/>
          <s v="4.1-5.1"/>
          <s v="5.1-6.1"/>
          <s v="6.1-7.1"/>
          <s v="7.1-8.1"/>
          <s v="8.1-9.1"/>
          <s v="9.1-10.1"/>
          <s v="&gt;10.1"/>
        </groupItems>
      </fieldGroup>
    </cacheField>
    <cacheField name="Average Water Intake" numFmtId="2">
      <sharedItems containsSemiMixedTypes="0" containsString="0" containsNumber="1" minValue="1" maxValue="4.28" count="691">
        <n v="2.59"/>
        <n v="2.76"/>
        <n v="2.35"/>
        <n v="2.11"/>
        <n v="1.73"/>
        <n v="2.92"/>
        <n v="3.2"/>
        <n v="2.09"/>
        <n v="2.27"/>
        <n v="2.4"/>
        <n v="1.4649999999999999"/>
        <n v="2.8180000000000001"/>
        <n v="1.58"/>
        <n v="2.0659999999999998"/>
        <n v="2.1800000000000002"/>
        <n v="2.1399999999999997"/>
        <n v="2.5"/>
        <n v="2.8975000000000004"/>
        <n v="2.5099999999999998"/>
        <n v="3.65"/>
        <n v="2.48"/>
        <n v="1.0900000000000001"/>
        <n v="1.94"/>
        <n v="2.915"/>
        <n v="2.355"/>
        <n v="2.38"/>
        <n v="2.6150000000000002"/>
        <n v="1.77"/>
        <n v="3.145"/>
        <n v="3.33"/>
        <n v="2.2866666666666666"/>
        <n v="1.8"/>
        <n v="2.6233333333333335"/>
        <n v="2.0100000000000002"/>
        <n v="4.2"/>
        <n v="1.7149999999999999"/>
        <n v="1.4650000000000001"/>
        <n v="3.1733333333333333"/>
        <n v="2.4033333333333333"/>
        <n v="1.6824999999999999"/>
        <n v="2.2999999999999998"/>
        <n v="1.982"/>
        <n v="2.2000000000000002"/>
        <n v="2.5033333333333334"/>
        <n v="4.28"/>
        <n v="2.69"/>
        <n v="2.33"/>
        <n v="2.6"/>
        <n v="2.65"/>
        <n v="2.3966666666666665"/>
        <n v="2.6833333333333336"/>
        <n v="2.4925000000000002"/>
        <n v="2.5150000000000001"/>
        <n v="1.8149999999999999"/>
        <n v="2.3374999999999999"/>
        <n v="2.8233333333333337"/>
        <n v="2.4766666666666666"/>
        <n v="2.9050000000000002"/>
        <n v="1.7599999999999998"/>
        <n v="2.2450000000000001"/>
        <n v="3.0150000000000001"/>
        <n v="1.9833333333333332"/>
        <n v="2.75"/>
        <n v="2.4250000000000003"/>
        <n v="2.8325"/>
        <n v="2.7119999999999997"/>
        <n v="1.5866666666666667"/>
        <n v="2.5974999999999997"/>
        <n v="2.25"/>
        <n v="1.7233333333333334"/>
        <n v="2.585"/>
        <n v="1.55"/>
        <n v="2.77"/>
        <n v="2.91"/>
        <n v="3.11"/>
        <n v="2.63"/>
        <n v="2.29"/>
        <n v="2.5466666666666664"/>
        <n v="1.4000000000000001"/>
        <n v="1.3733333333333333"/>
        <n v="2.9750000000000001"/>
        <n v="3.0316666666666663"/>
        <n v="2.4933333333333336"/>
        <n v="2.1260000000000003"/>
        <n v="2.82"/>
        <n v="2.956666666666667"/>
        <n v="3.19"/>
        <n v="2.2200000000000002"/>
        <n v="2.1266666666666665"/>
        <n v="2.7666666666666671"/>
        <n v="2.64"/>
        <n v="3.64"/>
        <n v="2.0766666666666667"/>
        <n v="3.1150000000000002"/>
        <n v="1.9350000000000001"/>
        <n v="2.898333333333333"/>
        <n v="1.8980000000000001"/>
        <n v="1.8539999999999999"/>
        <n v="1.31"/>
        <n v="2.15"/>
        <n v="2.42"/>
        <n v="2.5300000000000002"/>
        <n v="2.72"/>
        <n v="2.16"/>
        <n v="2.6366666666666667"/>
        <n v="2.9849999999999999"/>
        <n v="3.17"/>
        <n v="2.9416666666666664"/>
        <n v="1.87"/>
        <n v="2.1619999999999999"/>
        <n v="3.0766666666666667"/>
        <n v="2.766"/>
        <n v="2.8049999999999997"/>
        <n v="2.2320000000000002"/>
        <n v="2.6533333333333338"/>
        <n v="2.3033333333333332"/>
        <n v="2.5499999999999998"/>
        <n v="1.8166666666666664"/>
        <n v="1.9900000000000002"/>
        <n v="2.5166666666666671"/>
        <n v="2.7749999999999999"/>
        <n v="2.8616666666666668"/>
        <n v="2.1875"/>
        <n v="2.7859999999999996"/>
        <n v="2.5420000000000003"/>
        <n v="2.813333333333333"/>
        <n v="2.62"/>
        <n v="1.81"/>
        <n v="2.3450000000000002"/>
        <n v="1.8466666666666665"/>
        <n v="2.665"/>
        <n v="2.5500000000000003"/>
        <n v="2.7516666666666669"/>
        <n v="2.4883333333333333"/>
        <n v="2.4266666666666663"/>
        <n v="2.4325000000000001"/>
        <n v="2.8575000000000004"/>
        <n v="3.03"/>
        <n v="2.1999999999999997"/>
        <n v="1.79"/>
        <n v="3.82"/>
        <n v="2.95"/>
        <n v="1"/>
        <n v="2.94"/>
        <n v="2.3433333333333333"/>
        <n v="1.5"/>
        <n v="1.9119999999999997"/>
        <n v="1.6233333333333333"/>
        <n v="3.415"/>
        <n v="2.1724999999999999"/>
        <n v="2.3449999999999998"/>
        <n v="2.5100000000000002"/>
        <n v="2.14"/>
        <n v="3.5166666666666671"/>
        <n v="2.266"/>
        <n v="2.8433333333333337"/>
        <n v="2.9133333333333336"/>
        <n v="2.2266666666666666"/>
        <n v="2.645"/>
        <n v="2.6850000000000001"/>
        <n v="3.1420000000000003"/>
        <n v="1.89"/>
        <n v="2.19"/>
        <n v="2.31"/>
        <n v="2.3737499999999998"/>
        <n v="1.53"/>
        <n v="1.7249999999999999"/>
        <n v="2.3519999999999994"/>
        <n v="2.3120000000000003"/>
        <n v="2.6024999999999996"/>
        <n v="3.2033333333333331"/>
        <n v="2.06"/>
        <n v="2.5333333333333332"/>
        <n v="2.4299999999999997"/>
        <n v="2.1166666666666667"/>
        <n v="1.6799999999999997"/>
        <n v="1.7220000000000002"/>
        <n v="2.6060000000000003"/>
        <n v="2.4300000000000002"/>
        <n v="2.4539999999999997"/>
        <n v="2.2050000000000001"/>
        <n v="3.085"/>
        <n v="3.0250000000000004"/>
        <n v="2.2175000000000002"/>
        <n v="2.7020000000000004"/>
        <n v="2.253333333333333"/>
        <n v="2.8000000000000003"/>
        <n v="2.4428571428571431"/>
        <n v="2.8824999999999998"/>
        <n v="2.3775000000000004"/>
        <n v="2.5950000000000002"/>
        <n v="2.286"/>
        <n v="2.5916666666666668"/>
        <n v="2.9474999999999998"/>
        <n v="2.4950000000000001"/>
        <n v="3.3150000000000004"/>
        <n v="2.2174999999999998"/>
        <n v="1.61"/>
        <n v="2.7199999999999998"/>
        <n v="3.1666666666666665"/>
        <n v="3.53"/>
        <n v="2.87"/>
        <n v="1.76"/>
        <n v="1.9799999999999998"/>
        <n v="2.9499999999999997"/>
        <n v="2.4385714285714286"/>
        <n v="2.1350000000000002"/>
        <n v="2.7919999999999994"/>
        <n v="2.5733333333333337"/>
        <n v="2.4016666666666668"/>
        <n v="2.2275"/>
        <n v="2.96"/>
        <n v="1.925"/>
        <n v="2.6633333333333336"/>
        <n v="2.0566666666666666"/>
        <n v="1.8625"/>
        <n v="2.4750000000000001"/>
        <n v="2.9649999999999999"/>
        <n v="2.7233333333333332"/>
        <n v="2.2679999999999998"/>
        <n v="2.6220000000000003"/>
        <n v="1.8133333333333332"/>
        <n v="2.3066666666666666"/>
        <n v="2.5385714285714287"/>
        <n v="2.6375000000000002"/>
        <n v="2.8274999999999997"/>
        <n v="2.23"/>
        <n v="2.1285714285714286"/>
        <n v="2.9466666666666668"/>
        <n v="3.0166666666666671"/>
        <n v="2.8250000000000002"/>
        <n v="2.6733333333333333"/>
        <n v="2.7666666666666662"/>
        <n v="3.02"/>
        <n v="2.4579999999999997"/>
        <n v="3.2249999999999996"/>
        <n v="2.5249999999999999"/>
        <n v="2.476666666666667"/>
        <n v="2.3499999999999996"/>
        <n v="2.6725000000000003"/>
        <n v="3.0416666666666665"/>
        <n v="2.5659999999999998"/>
        <n v="2.7224999999999997"/>
        <n v="2.5925000000000002"/>
        <n v="2.0499999999999998"/>
        <n v="2.3319999999999999"/>
        <n v="2.4780000000000002"/>
        <n v="2.2599999999999998"/>
        <n v="2.6066666666666669"/>
        <n v="2.4716666666666671"/>
        <n v="2.9"/>
        <n v="3.0125000000000002"/>
        <n v="2.13"/>
        <n v="2.7350000000000003"/>
        <n v="2.83"/>
        <n v="3.1199999999999997"/>
        <n v="3.5666666666666664"/>
        <n v="2.3733333333333335"/>
        <n v="2.2533333333333334"/>
        <n v="2.9180000000000001"/>
        <n v="2.3159999999999998"/>
        <n v="2.9859999999999998"/>
        <n v="2.0840000000000001"/>
        <n v="2.6440000000000001"/>
        <n v="2.5133333333333332"/>
        <n v="2.8149999999999999"/>
        <n v="2.41"/>
        <n v="2.5724999999999998"/>
        <n v="2.67"/>
        <n v="2.4420000000000002"/>
        <n v="2.2019999999999995"/>
        <n v="2.8933333333333331"/>
        <n v="2.5457142857142858"/>
        <n v="1.9439999999999997"/>
        <n v="2.4940000000000002"/>
        <n v="3.12"/>
        <n v="2.4524999999999997"/>
        <n v="2.3624999999999998"/>
        <n v="2.4516666666666667"/>
        <n v="2.5166666666666666"/>
        <n v="2.3666666666666667"/>
        <n v="1.8066666666666666"/>
        <n v="2.7649999999999997"/>
        <n v="2.3157142857142858"/>
        <n v="2.0966666666666667"/>
        <n v="3.85"/>
        <n v="2.6033333333333335"/>
        <n v="2.6550000000000002"/>
        <n v="2.5225"/>
        <n v="2.274"/>
        <n v="2.5633333333333335"/>
        <n v="2.4699999999999998"/>
        <n v="3.5333333333333332"/>
        <n v="2.8"/>
        <n v="2.3299999999999996"/>
        <n v="1.9359999999999999"/>
        <n v="2.6219999999999999"/>
        <n v="1.918333333333333"/>
        <n v="2.9350000000000001"/>
        <n v="2.0733333333333337"/>
        <n v="1.71"/>
        <n v="1.9440000000000002"/>
        <n v="2.9940000000000007"/>
        <n v="2.7050000000000001"/>
        <n v="2.8733333333333335"/>
        <n v="3.0650000000000004"/>
        <n v="2.5539999999999998"/>
        <n v="2.536"/>
        <n v="1.6600000000000001"/>
        <n v="1.9633333333333336"/>
        <n v="2.2766666666666664"/>
        <n v="1.8900000000000001"/>
        <n v="2.4914285714285711"/>
        <n v="3.0449999999999999"/>
        <n v="2.9279999999999999"/>
        <n v="2.46"/>
        <n v="2.2349999999999999"/>
        <n v="3.2350000000000003"/>
        <n v="2.4449999999999998"/>
        <n v="1.6566666666666665"/>
        <n v="1.7966666666666669"/>
        <n v="2.3128571428571432"/>
        <n v="2.8079999999999998"/>
        <n v="2.293333333333333"/>
        <n v="2.875"/>
        <n v="2.2225000000000001"/>
        <n v="2.7755555555555556"/>
        <n v="2.4059999999999997"/>
        <n v="2.1514285714285712"/>
        <n v="2.3285714285714287"/>
        <n v="1.9249999999999998"/>
        <n v="1.82"/>
        <n v="2.4500000000000002"/>
        <n v="2.8650000000000002"/>
        <n v="2.12"/>
        <n v="2.3766666666666669"/>
        <n v="2.52"/>
        <n v="3.0066666666666664"/>
        <n v="2.6025000000000005"/>
        <n v="2.5775000000000001"/>
        <n v="2.1033333333333331"/>
        <n v="2.3016666666666663"/>
        <n v="3.08"/>
        <n v="2.8533333333333331"/>
        <n v="1.86"/>
        <n v="2.2966666666666664"/>
        <n v="1.6166666666666665"/>
        <n v="2.5140000000000002"/>
        <n v="3.0220000000000002"/>
        <n v="1.21"/>
        <n v="1.59"/>
        <n v="3.125"/>
        <n v="2.7"/>
        <n v="2.8200000000000003"/>
        <n v="2.9714285714285715"/>
        <n v="2.9550000000000001"/>
        <n v="2.58"/>
        <n v="2.7733333333333334"/>
        <n v="2.436666666666667"/>
        <n v="2.3333333333333335"/>
        <n v="2.5049999999999999"/>
        <n v="2.54"/>
        <n v="2.936666666666667"/>
        <n v="1.8074999999999999"/>
        <n v="2.5949999999999998"/>
        <n v="2.6616666666666666"/>
        <n v="2.855"/>
        <n v="2.8020000000000005"/>
        <n v="2.6583333333333332"/>
        <n v="2.6666666666666665"/>
        <n v="3.1500000000000004"/>
        <n v="2.3359999999999999"/>
        <n v="2.9650000000000003"/>
        <n v="1.9966666666666668"/>
        <n v="2.2624999999999997"/>
        <n v="2.66"/>
        <n v="2.4740000000000002"/>
        <n v="2.5760000000000001"/>
        <n v="3.7050000000000001"/>
        <n v="2.5649999999999999"/>
        <n v="1.9750000000000001"/>
        <n v="2.74"/>
        <n v="2.8774999999999999"/>
        <n v="2.2250000000000001"/>
        <n v="2.4233333333333333"/>
        <n v="2.3485714285714283"/>
        <n v="2.415"/>
        <n v="1.736"/>
        <n v="2.7774999999999999"/>
        <n v="3.0959999999999996"/>
        <n v="2.8679999999999999"/>
        <n v="2.2649999999999997"/>
        <n v="3.07"/>
        <n v="2.3485714285714288"/>
        <n v="2.9866666666666664"/>
        <n v="2.0024999999999999"/>
        <n v="2.7149999999999999"/>
        <n v="2.6283333333333334"/>
        <n v="3.1533333333333338"/>
        <n v="2.1933333333333334"/>
        <n v="2.3957142857142855"/>
        <n v="2.4969999999999999"/>
        <n v="2.5533333333333332"/>
        <n v="2.1280000000000001"/>
        <n v="1.895"/>
        <n v="2.9049999999999998"/>
        <n v="4.0199999999999996"/>
        <n v="2.71"/>
        <n v="2.6074999999999999"/>
        <n v="2.8459999999999996"/>
        <n v="2.1833333333333331"/>
        <n v="2.2766666666666668"/>
        <n v="3.3460000000000001"/>
        <n v="3.4449999999999998"/>
        <n v="2.3650000000000002"/>
        <n v="2.8757142857142854"/>
        <n v="3.2466666666666666"/>
        <n v="2.5233333333333334"/>
        <n v="1.615"/>
        <n v="2.7900000000000005"/>
        <n v="2.9166666666666665"/>
        <n v="1.95"/>
        <n v="2.4000000000000004"/>
        <n v="2.5266666666666668"/>
        <n v="1.8599999999999999"/>
        <n v="1.7349999999999999"/>
        <n v="2.2400000000000002"/>
        <n v="3.0949999999999998"/>
        <n v="2.2774999999999999"/>
        <n v="1.9349999999999998"/>
        <n v="2.2524999999999999"/>
        <n v="2.73"/>
        <n v="1.3900000000000001"/>
        <n v="2.504"/>
        <n v="2.3442857142857143"/>
        <n v="2.8499999999999996"/>
        <n v="2.2983333333333333"/>
        <n v="1.48"/>
        <n v="2.8183333333333334"/>
        <n v="2.1075000000000004"/>
        <n v="3.06"/>
        <n v="3.09"/>
        <n v="1.7575000000000001"/>
        <n v="2.5983333333333332"/>
        <n v="2.5662499999999997"/>
        <n v="2.7874999999999996"/>
        <n v="2.3899999999999997"/>
        <n v="2.8833333333333333"/>
        <n v="3.0400000000000005"/>
        <n v="2.5833333333333335"/>
        <n v="2.9800000000000004"/>
        <n v="2.8366666666666664"/>
        <n v="2.7714285714285718"/>
        <n v="2.6479999999999997"/>
        <n v="2.4975000000000001"/>
        <n v="2.5674999999999999"/>
        <n v="2.7242857142857142"/>
        <n v="2.4949999999999997"/>
        <n v="1.6400000000000001"/>
        <n v="2.6125000000000003"/>
        <n v="3.1549999999999998"/>
        <n v="2.8166666666666664"/>
        <n v="1.75"/>
        <n v="2.2114285714285717"/>
        <n v="2.9666666666666668"/>
        <n v="2.125"/>
        <n v="2.4166666666666665"/>
        <n v="2.8266666666666667"/>
        <n v="2.98"/>
        <n v="2.3516666666666666"/>
        <n v="3.5933333333333337"/>
        <n v="2.2462499999999999"/>
        <n v="2.3280000000000003"/>
        <n v="2.5840000000000001"/>
        <n v="2.8457142857142861"/>
        <n v="2.4542857142857142"/>
        <n v="3.0666666666666664"/>
        <n v="3.2833333333333332"/>
        <n v="1.72"/>
        <n v="2.8449999999999998"/>
        <n v="2.3949999999999996"/>
        <n v="2.6940000000000004"/>
        <n v="2.3457142857142856"/>
        <n v="2.8849999999999998"/>
        <n v="2.2066666666666666"/>
        <n v="3.1300000000000003"/>
        <n v="2.8125"/>
        <n v="2.3675000000000002"/>
        <n v="1.8440000000000001"/>
        <n v="1.9366666666666668"/>
        <n v="2.4200000000000004"/>
        <n v="2.8850000000000002"/>
        <n v="2.1160000000000001"/>
        <n v="1.7733333333333334"/>
        <n v="2.4833333333333334"/>
        <n v="1.88"/>
        <n v="1.9550000000000001"/>
        <n v="2.0666666666666669"/>
        <n v="3.14"/>
        <n v="2.84"/>
        <n v="3.4324999999999997"/>
        <n v="2.4216666666666669"/>
        <n v="2.6840000000000002"/>
        <n v="2.7333333333333338"/>
        <n v="2.4612500000000002"/>
        <n v="2.9333333333333336"/>
        <n v="2.3259999999999996"/>
        <n v="2.3166666666666664"/>
        <n v="2.6439999999999997"/>
        <n v="2.17"/>
        <n v="2.1150000000000002"/>
        <n v="2.0550000000000002"/>
        <n v="2.5700000000000003"/>
        <n v="2.7328571428571427"/>
        <n v="2.1475"/>
        <n v="2.5059999999999998"/>
        <n v="3.1949999999999998"/>
        <n v="1.49"/>
        <n v="2.0350000000000001"/>
        <n v="2.1633333333333336"/>
        <n v="2.1"/>
        <n v="2.0500000000000003"/>
        <n v="1.6199999999999999"/>
        <n v="2.3600000000000003"/>
        <n v="2.085"/>
        <n v="1.9666666666666666"/>
        <n v="3.1349999999999998"/>
        <n v="2.7249999999999996"/>
        <n v="2.335"/>
        <n v="2.0699999999999998"/>
        <n v="1.7999999999999998"/>
        <n v="2.6680000000000001"/>
        <n v="3.24"/>
        <n v="2.563333333333333"/>
        <n v="2.3825000000000003"/>
        <n v="1.8624999999999998"/>
        <n v="2.4966666666666666"/>
        <n v="2.2549999999999999"/>
        <n v="1.44"/>
        <n v="2.5425"/>
        <n v="1.83"/>
        <n v="3.42"/>
        <n v="3.21"/>
        <n v="2.9925000000000002"/>
        <n v="1.9825000000000004"/>
        <n v="1.5779999999999998"/>
        <n v="1.8780000000000001"/>
        <n v="2.1814285714285715"/>
        <n v="2.9249999999999998"/>
        <n v="2.81"/>
        <n v="2.1666666666666665"/>
        <n v="2.4983333333333331"/>
        <n v="2.6257142857142859"/>
        <n v="2.7133333333333334"/>
        <n v="2.3274999999999997"/>
        <n v="1.84"/>
        <n v="2.3233333333333328"/>
        <n v="2.5666666666666664"/>
        <n v="2.9020000000000001"/>
        <n v="1.6949999999999998"/>
        <n v="2.2799999999999998"/>
        <n v="2.8099999999999996"/>
        <n v="2.1749999999999998"/>
        <n v="2.0175000000000001"/>
        <n v="2.5416666666666665"/>
        <n v="2.0333333333333332"/>
        <n v="2.2716666666666669"/>
        <n v="2.5125000000000002"/>
        <n v="2.3199999999999998"/>
        <n v="2.44"/>
        <n v="1.98"/>
        <n v="2.0149999999999997"/>
        <n v="2.4066666666666667"/>
        <n v="2.4799999999999995"/>
        <n v="2.3925000000000001"/>
        <n v="2.6675000000000004"/>
        <n v="3.43"/>
        <n v="2.9449999999999998"/>
        <n v="2.6037500000000002"/>
        <n v="2.4150000000000005"/>
        <n v="2.6480000000000001"/>
        <n v="2.5299999999999998"/>
        <n v="2.57"/>
        <n v="2.4033333333333338"/>
        <n v="2.2650000000000001"/>
        <n v="3.186666666666667"/>
        <n v="2.5914285714285712"/>
        <n v="2.8619999999999997"/>
        <n v="2.39"/>
        <n v="2.778"/>
        <n v="3.3"/>
        <n v="2.4775"/>
        <n v="2.4566666666666666"/>
        <n v="2.4224999999999999"/>
        <n v="2.5433333333333334"/>
        <n v="2.6471428571428568"/>
        <n v="2.7750000000000004"/>
        <n v="3.01"/>
        <n v="2.61"/>
        <n v="1.1499999999999999"/>
        <n v="2.1116666666666668"/>
        <n v="2.7039999999999997"/>
        <n v="1.96"/>
        <n v="2.4900000000000002"/>
        <n v="3.1633333333333336"/>
        <n v="2.2350000000000003"/>
        <n v="2.37"/>
        <n v="2.6300000000000003"/>
        <n v="2.4339999999999997"/>
        <n v="3.0375000000000001"/>
        <n v="2.1719999999999997"/>
        <n v="1.78"/>
        <n v="2.7366666666666668"/>
        <n v="2"/>
        <n v="2.97"/>
        <n v="2.4866666666666668"/>
        <n v="2.5325000000000002"/>
        <n v="2.6259999999999999"/>
        <n v="2.2949999999999999"/>
        <n v="1.9299999999999997"/>
        <n v="2.3783333333333334"/>
        <n v="2.4633333333333334"/>
        <n v="2.214"/>
        <n v="2.7450000000000001"/>
        <n v="2.4066666666666663"/>
        <n v="1.9400000000000002"/>
        <n v="3.375"/>
        <n v="2.5116666666666667"/>
        <n v="2.4350000000000001"/>
        <n v="1.54"/>
        <n v="2.0233333333333334"/>
        <n v="3.15"/>
        <n v="2.9933333333333336"/>
        <n v="2.895"/>
        <n v="2.2633333333333336"/>
        <n v="3.66"/>
        <n v="1.6074999999999999"/>
        <n v="2.3819999999999997"/>
        <n v="1.7866666666666664"/>
        <n v="1.7250000000000001"/>
        <n v="3.1200000000000006"/>
        <n v="3.3650000000000002"/>
        <n v="2.02"/>
        <n v="2.04"/>
        <n v="1.38"/>
        <n v="2.375"/>
        <n v="3.2600000000000002"/>
        <n v="2.4359999999999999"/>
        <n v="3.87"/>
        <n v="2.1866666666666665"/>
        <n v="3.13"/>
        <n v="2.7466666666666666"/>
        <n v="3.1799999999999997"/>
        <n v="2.4333333333333331"/>
        <n v="2.2137499999999997"/>
        <n v="2.7633333333333332"/>
        <n v="2.2474999999999996"/>
        <n v="2.7075000000000005"/>
        <n v="2.99"/>
        <n v="1.7466666666666668"/>
        <n v="2.5275000000000003"/>
        <n v="3.0533333333333332"/>
        <n v="3.39"/>
        <n v="2.4733333333333332"/>
        <n v="1.3099999999999998"/>
        <n v="4.046666666666666"/>
        <n v="3.61"/>
        <n v="2.6166666666666667"/>
        <n v="2.1175000000000002"/>
        <n v="2.6425000000000001"/>
        <n v="2.4050000000000002"/>
        <n v="2.5750000000000002"/>
        <n v="2.3400000000000003"/>
        <n v="2.3200000000000003"/>
        <n v="1.65"/>
        <n v="1.9233333333333331"/>
        <n v="2.9624999999999995"/>
        <n v="2.1433333333333331"/>
        <n v="2.625"/>
        <n v="2.4079999999999999"/>
        <n v="2.6100000000000003"/>
        <n v="1.51"/>
        <n v="1.41"/>
        <n v="2.68"/>
        <n v="1.91"/>
        <n v="1.22"/>
        <n v="2.3099999999999996"/>
        <n v="3.8"/>
        <n v="1.39"/>
        <n v="3.04"/>
        <n v="2.93"/>
      </sharedItems>
      <fieldGroup base="4">
        <rangePr startNum="1" endNum="4.28" groupInterval="0.5"/>
        <groupItems count="9">
          <s v="&lt;1"/>
          <s v="1-1.5"/>
          <s v="1.5-2"/>
          <s v="2-2.5"/>
          <s v="2.5-3"/>
          <s v="3-3.5"/>
          <s v="3.5-4"/>
          <s v="4-4.5"/>
          <s v="&gt;4.5"/>
        </groupItems>
      </fieldGroup>
    </cacheField>
    <cacheField name="Gender" numFmtId="0">
      <sharedItems count="2">
        <s v="Male"/>
        <s v="Female"/>
      </sharedItems>
    </cacheField>
  </cacheFields>
  <extLst>
    <ext xmlns:x14="http://schemas.microsoft.com/office/spreadsheetml/2009/9/main" uri="{725AE2AE-9491-48be-B2B4-4EB974FC3084}">
      <x14:pivotCacheDefinition pivotCacheId="155600947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86.679119560184" createdVersion="8" refreshedVersion="8" minRefreshableVersion="3" recordCount="4000" xr:uid="{3F6026D5-886D-4E9C-81AE-CE0E1227F61C}">
  <cacheSource type="worksheet">
    <worksheetSource ref="A1:O4001" sheet="Original dataset"/>
  </cacheSource>
  <cacheFields count="15">
    <cacheField name="user_id" numFmtId="0">
      <sharedItems containsSemiMixedTypes="0" containsString="0" containsNumber="1" containsInteger="1" minValue="1000" maxValue="1999"/>
    </cacheField>
    <cacheField name="date" numFmtId="14">
      <sharedItems containsSemiMixedTypes="0" containsNonDate="0" containsDate="1" containsString="0" minDate="2015-01-01T00:00:00" maxDate="2025-12-14T00:00:00"/>
    </cacheField>
    <cacheField name="age" numFmtId="0">
      <sharedItems containsSemiMixedTypes="0" containsString="0" containsNumber="1" containsInteger="1" minValue="18" maxValue="59" count="42">
        <n v="38"/>
        <n v="21"/>
        <n v="24"/>
        <n v="43"/>
        <n v="29"/>
        <n v="48"/>
        <n v="34"/>
        <n v="50"/>
        <n v="28"/>
        <n v="45"/>
        <n v="49"/>
        <n v="18"/>
        <n v="59"/>
        <n v="19"/>
        <n v="41"/>
        <n v="36"/>
        <n v="57"/>
        <n v="20"/>
        <n v="44"/>
        <n v="33"/>
        <n v="47"/>
        <n v="37"/>
        <n v="55"/>
        <n v="42"/>
        <n v="27"/>
        <n v="30"/>
        <n v="58"/>
        <n v="54"/>
        <n v="39"/>
        <n v="51"/>
        <n v="26"/>
        <n v="56"/>
        <n v="53"/>
        <n v="31"/>
        <n v="46"/>
        <n v="32"/>
        <n v="35"/>
        <n v="23"/>
        <n v="40"/>
        <n v="22"/>
        <n v="52"/>
        <n v="25"/>
      </sharedItems>
      <fieldGroup base="2">
        <rangePr startNum="18" endNum="59" groupInterval="10"/>
        <groupItems count="7">
          <s v="&lt;18"/>
          <s v="18-27"/>
          <s v="28-37"/>
          <s v="38-47"/>
          <s v="48-57"/>
          <s v="58-67"/>
          <s v="&gt;68"/>
        </groupItems>
      </fieldGroup>
    </cacheField>
    <cacheField name="gender" numFmtId="0">
      <sharedItems/>
    </cacheField>
    <cacheField name="height_cm" numFmtId="0">
      <sharedItems containsSemiMixedTypes="0" containsString="0" containsNumber="1" minValue="150" maxValue="200"/>
    </cacheField>
    <cacheField name="weight_kg" numFmtId="0">
      <sharedItems containsSemiMixedTypes="0" containsString="0" containsNumber="1" minValue="45" maxValue="116.6"/>
    </cacheField>
    <cacheField name="steps" numFmtId="0">
      <sharedItems containsSemiMixedTypes="0" containsString="0" containsNumber="1" containsInteger="1" minValue="1003" maxValue="19993"/>
    </cacheField>
    <cacheField name="calories_burned" numFmtId="0">
      <sharedItems containsSemiMixedTypes="0" containsString="0" containsNumber="1" minValue="120" maxValue="900"/>
    </cacheField>
    <cacheField name="sleep_hours" numFmtId="0">
      <sharedItems containsSemiMixedTypes="0" containsString="0" containsNumber="1" minValue="3" maxValue="10"/>
    </cacheField>
    <cacheField name="heart_rate_avg" numFmtId="0">
      <sharedItems containsSemiMixedTypes="0" containsString="0" containsNumber="1" containsInteger="1" minValue="50" maxValue="110"/>
    </cacheField>
    <cacheField name="workout_type" numFmtId="0">
      <sharedItems count="6">
        <s v="None"/>
        <s v="Running"/>
        <s v="Yoga"/>
        <s v="Walking"/>
        <s v="Cycling"/>
        <s v="Gym"/>
      </sharedItems>
    </cacheField>
    <cacheField name="workout_duration_minutes" numFmtId="0">
      <sharedItems containsSemiMixedTypes="0" containsString="0" containsNumber="1" containsInteger="1" minValue="0" maxValue="89"/>
    </cacheField>
    <cacheField name="water_intake_liters" numFmtId="0">
      <sharedItems containsSemiMixedTypes="0" containsString="0" containsNumber="1" minValue="0.5" maxValue="5"/>
    </cacheField>
    <cacheField name="stress_level" numFmtId="0">
      <sharedItems containsSemiMixedTypes="0" containsString="0" containsNumber="1" containsInteger="1" minValue="1" maxValue="10"/>
    </cacheField>
    <cacheField name="mood" numFmtId="0">
      <sharedItems count="3">
        <s v="Tired"/>
        <s v="Neutral"/>
        <s v="Happy"/>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2">
  <r>
    <n v="1408"/>
    <n v="1"/>
    <n v="1"/>
    <x v="0"/>
    <x v="0"/>
    <x v="0"/>
  </r>
  <r>
    <n v="1897"/>
    <n v="10"/>
    <n v="1"/>
    <x v="0"/>
    <x v="1"/>
    <x v="0"/>
  </r>
  <r>
    <n v="1721"/>
    <n v="1"/>
    <n v="3"/>
    <x v="1"/>
    <x v="2"/>
    <x v="1"/>
  </r>
  <r>
    <n v="1727"/>
    <n v="3"/>
    <n v="1"/>
    <x v="2"/>
    <x v="3"/>
    <x v="1"/>
  </r>
  <r>
    <n v="1382"/>
    <n v="4"/>
    <n v="2"/>
    <x v="3"/>
    <x v="4"/>
    <x v="0"/>
  </r>
  <r>
    <n v="1736"/>
    <n v="8"/>
    <n v="3"/>
    <x v="4"/>
    <x v="5"/>
    <x v="0"/>
  </r>
  <r>
    <n v="1240"/>
    <n v="6"/>
    <n v="1"/>
    <x v="5"/>
    <x v="6"/>
    <x v="0"/>
  </r>
  <r>
    <n v="1753"/>
    <n v="5"/>
    <n v="3"/>
    <x v="6"/>
    <x v="7"/>
    <x v="0"/>
  </r>
  <r>
    <n v="1650"/>
    <n v="5"/>
    <n v="1"/>
    <x v="7"/>
    <x v="8"/>
    <x v="1"/>
  </r>
  <r>
    <n v="1694"/>
    <n v="7"/>
    <n v="1.5"/>
    <x v="8"/>
    <x v="9"/>
    <x v="1"/>
  </r>
  <r>
    <n v="1966"/>
    <n v="7.5"/>
    <n v="2.5"/>
    <x v="9"/>
    <x v="10"/>
    <x v="1"/>
  </r>
  <r>
    <n v="1448"/>
    <n v="6.8"/>
    <n v="1.4"/>
    <x v="10"/>
    <x v="11"/>
    <x v="0"/>
  </r>
  <r>
    <n v="1544"/>
    <n v="1"/>
    <n v="3"/>
    <x v="11"/>
    <x v="12"/>
    <x v="0"/>
  </r>
  <r>
    <n v="1606"/>
    <n v="4.5"/>
    <n v="2.5"/>
    <x v="12"/>
    <x v="13"/>
    <x v="1"/>
  </r>
  <r>
    <n v="1749"/>
    <n v="4"/>
    <n v="2"/>
    <x v="13"/>
    <x v="14"/>
    <x v="0"/>
  </r>
  <r>
    <n v="1508"/>
    <n v="8"/>
    <n v="2"/>
    <x v="14"/>
    <x v="15"/>
    <x v="1"/>
  </r>
  <r>
    <n v="1903"/>
    <n v="5"/>
    <n v="2"/>
    <x v="14"/>
    <x v="16"/>
    <x v="0"/>
  </r>
  <r>
    <n v="1695"/>
    <n v="6"/>
    <n v="1.5"/>
    <x v="15"/>
    <x v="17"/>
    <x v="1"/>
  </r>
  <r>
    <n v="1937"/>
    <n v="5.5"/>
    <n v="2"/>
    <x v="16"/>
    <x v="18"/>
    <x v="0"/>
  </r>
  <r>
    <n v="1438"/>
    <n v="4"/>
    <n v="2"/>
    <x v="17"/>
    <x v="19"/>
    <x v="1"/>
  </r>
  <r>
    <n v="1490"/>
    <n v="4"/>
    <n v="2.25"/>
    <x v="18"/>
    <x v="20"/>
    <x v="0"/>
  </r>
  <r>
    <n v="1586"/>
    <n v="9"/>
    <n v="1"/>
    <x v="19"/>
    <x v="21"/>
    <x v="0"/>
  </r>
  <r>
    <n v="1818"/>
    <n v="5"/>
    <n v="2"/>
    <x v="19"/>
    <x v="22"/>
    <x v="1"/>
  </r>
  <r>
    <n v="1700"/>
    <n v="6.5"/>
    <n v="1.5"/>
    <x v="20"/>
    <x v="23"/>
    <x v="1"/>
  </r>
  <r>
    <n v="1729"/>
    <n v="4"/>
    <n v="1.5"/>
    <x v="20"/>
    <x v="24"/>
    <x v="1"/>
  </r>
  <r>
    <n v="1174"/>
    <n v="6.5"/>
    <n v="3"/>
    <x v="21"/>
    <x v="3"/>
    <x v="1"/>
  </r>
  <r>
    <n v="1388"/>
    <n v="6"/>
    <n v="2.5"/>
    <x v="22"/>
    <x v="25"/>
    <x v="0"/>
  </r>
  <r>
    <n v="1747"/>
    <n v="4"/>
    <n v="2"/>
    <x v="22"/>
    <x v="26"/>
    <x v="0"/>
  </r>
  <r>
    <n v="1795"/>
    <n v="8"/>
    <n v="3"/>
    <x v="22"/>
    <x v="27"/>
    <x v="1"/>
  </r>
  <r>
    <n v="1186"/>
    <n v="5.666666666666667"/>
    <n v="1.6666666666666667"/>
    <x v="23"/>
    <x v="28"/>
    <x v="1"/>
  </r>
  <r>
    <n v="1798"/>
    <n v="6"/>
    <n v="2"/>
    <x v="24"/>
    <x v="29"/>
    <x v="1"/>
  </r>
  <r>
    <n v="1704"/>
    <n v="5"/>
    <n v="2.3333333333333335"/>
    <x v="25"/>
    <x v="30"/>
    <x v="0"/>
  </r>
  <r>
    <n v="1141"/>
    <n v="6"/>
    <n v="3"/>
    <x v="26"/>
    <x v="22"/>
    <x v="1"/>
  </r>
  <r>
    <n v="1503"/>
    <n v="4.5"/>
    <n v="2"/>
    <x v="26"/>
    <x v="31"/>
    <x v="0"/>
  </r>
  <r>
    <n v="1308"/>
    <n v="5"/>
    <n v="1.3333333333333333"/>
    <x v="27"/>
    <x v="32"/>
    <x v="1"/>
  </r>
  <r>
    <n v="1558"/>
    <n v="8.3333333333333339"/>
    <n v="2.3333333333333335"/>
    <x v="27"/>
    <x v="33"/>
    <x v="1"/>
  </r>
  <r>
    <n v="1090"/>
    <n v="5"/>
    <n v="2"/>
    <x v="28"/>
    <x v="34"/>
    <x v="1"/>
  </r>
  <r>
    <n v="1991"/>
    <n v="3"/>
    <n v="1"/>
    <x v="28"/>
    <x v="35"/>
    <x v="0"/>
  </r>
  <r>
    <n v="1104"/>
    <n v="7.5"/>
    <n v="2.5"/>
    <x v="29"/>
    <x v="36"/>
    <x v="1"/>
  </r>
  <r>
    <n v="1199"/>
    <n v="4.666666666666667"/>
    <n v="1"/>
    <x v="30"/>
    <x v="37"/>
    <x v="1"/>
  </r>
  <r>
    <n v="1273"/>
    <n v="6.666666666666667"/>
    <n v="2"/>
    <x v="30"/>
    <x v="38"/>
    <x v="0"/>
  </r>
  <r>
    <n v="1828"/>
    <n v="7"/>
    <n v="2.3333333333333335"/>
    <x v="31"/>
    <x v="39"/>
    <x v="0"/>
  </r>
  <r>
    <n v="1028"/>
    <n v="4.8571428571428568"/>
    <n v="2.1428571428571428"/>
    <x v="32"/>
    <x v="40"/>
    <x v="1"/>
  </r>
  <r>
    <n v="1362"/>
    <n v="6.4"/>
    <n v="2.2000000000000002"/>
    <x v="32"/>
    <x v="41"/>
    <x v="1"/>
  </r>
  <r>
    <n v="1596"/>
    <n v="4"/>
    <n v="2"/>
    <x v="32"/>
    <x v="42"/>
    <x v="0"/>
  </r>
  <r>
    <n v="1617"/>
    <n v="5.666666666666667"/>
    <n v="2"/>
    <x v="32"/>
    <x v="43"/>
    <x v="1"/>
  </r>
  <r>
    <n v="1646"/>
    <n v="5"/>
    <n v="1"/>
    <x v="32"/>
    <x v="44"/>
    <x v="1"/>
  </r>
  <r>
    <n v="1862"/>
    <n v="8"/>
    <n v="1"/>
    <x v="32"/>
    <x v="45"/>
    <x v="0"/>
  </r>
  <r>
    <n v="1999"/>
    <n v="3"/>
    <n v="1"/>
    <x v="32"/>
    <x v="46"/>
    <x v="0"/>
  </r>
  <r>
    <n v="1521"/>
    <n v="6.666666666666667"/>
    <n v="2.3333333333333335"/>
    <x v="33"/>
    <x v="47"/>
    <x v="1"/>
  </r>
  <r>
    <n v="1981"/>
    <n v="5.5"/>
    <n v="2.5"/>
    <x v="34"/>
    <x v="48"/>
    <x v="1"/>
  </r>
  <r>
    <n v="1865"/>
    <n v="4.2"/>
    <n v="2.2000000000000002"/>
    <x v="35"/>
    <x v="41"/>
    <x v="1"/>
  </r>
  <r>
    <n v="1668"/>
    <n v="7.333333333333333"/>
    <n v="2.3333333333333335"/>
    <x v="36"/>
    <x v="49"/>
    <x v="1"/>
  </r>
  <r>
    <n v="1592"/>
    <n v="4.333333333333333"/>
    <n v="2"/>
    <x v="37"/>
    <x v="50"/>
    <x v="0"/>
  </r>
  <r>
    <n v="1786"/>
    <n v="4"/>
    <n v="2"/>
    <x v="37"/>
    <x v="51"/>
    <x v="1"/>
  </r>
  <r>
    <n v="1139"/>
    <n v="5.5"/>
    <n v="2.5"/>
    <x v="38"/>
    <x v="52"/>
    <x v="0"/>
  </r>
  <r>
    <n v="1833"/>
    <n v="3"/>
    <n v="3"/>
    <x v="38"/>
    <x v="53"/>
    <x v="1"/>
  </r>
  <r>
    <n v="1907"/>
    <n v="4"/>
    <n v="2.5"/>
    <x v="38"/>
    <x v="54"/>
    <x v="0"/>
  </r>
  <r>
    <n v="1976"/>
    <n v="6.333333333333333"/>
    <n v="2"/>
    <x v="39"/>
    <x v="55"/>
    <x v="0"/>
  </r>
  <r>
    <n v="1932"/>
    <n v="6.666666666666667"/>
    <n v="1"/>
    <x v="40"/>
    <x v="56"/>
    <x v="1"/>
  </r>
  <r>
    <n v="1483"/>
    <n v="5"/>
    <n v="1.5"/>
    <x v="41"/>
    <x v="57"/>
    <x v="0"/>
  </r>
  <r>
    <n v="1498"/>
    <n v="3"/>
    <n v="1.5"/>
    <x v="41"/>
    <x v="58"/>
    <x v="0"/>
  </r>
  <r>
    <n v="1835"/>
    <n v="6"/>
    <n v="2.5"/>
    <x v="41"/>
    <x v="59"/>
    <x v="1"/>
  </r>
  <r>
    <n v="1834"/>
    <n v="6"/>
    <n v="1.3333333333333333"/>
    <x v="42"/>
    <x v="60"/>
    <x v="1"/>
  </r>
  <r>
    <n v="1910"/>
    <n v="4"/>
    <n v="2.3333333333333335"/>
    <x v="42"/>
    <x v="61"/>
    <x v="0"/>
  </r>
  <r>
    <n v="1652"/>
    <n v="5.25"/>
    <n v="1.75"/>
    <x v="43"/>
    <x v="62"/>
    <x v="1"/>
  </r>
  <r>
    <n v="1730"/>
    <n v="4.25"/>
    <n v="2.5"/>
    <x v="44"/>
    <x v="63"/>
    <x v="1"/>
  </r>
  <r>
    <n v="1374"/>
    <n v="5.666666666666667"/>
    <n v="1.3333333333333333"/>
    <x v="45"/>
    <x v="52"/>
    <x v="1"/>
  </r>
  <r>
    <n v="1588"/>
    <n v="5"/>
    <n v="2"/>
    <x v="46"/>
    <x v="64"/>
    <x v="0"/>
  </r>
  <r>
    <n v="1803"/>
    <n v="7"/>
    <n v="2.2000000000000002"/>
    <x v="47"/>
    <x v="65"/>
    <x v="1"/>
  </r>
  <r>
    <n v="1034"/>
    <n v="6.75"/>
    <n v="2"/>
    <x v="48"/>
    <x v="66"/>
    <x v="1"/>
  </r>
  <r>
    <n v="1315"/>
    <n v="2"/>
    <n v="2"/>
    <x v="49"/>
    <x v="43"/>
    <x v="1"/>
  </r>
  <r>
    <n v="1516"/>
    <n v="5.75"/>
    <n v="2.375"/>
    <x v="50"/>
    <x v="67"/>
    <x v="0"/>
  </r>
  <r>
    <n v="1863"/>
    <n v="4.5"/>
    <n v="2.5"/>
    <x v="50"/>
    <x v="68"/>
    <x v="1"/>
  </r>
  <r>
    <n v="1494"/>
    <n v="4"/>
    <n v="1.6666666666666667"/>
    <x v="51"/>
    <x v="69"/>
    <x v="0"/>
  </r>
  <r>
    <n v="1983"/>
    <n v="5.5"/>
    <n v="2"/>
    <x v="51"/>
    <x v="70"/>
    <x v="1"/>
  </r>
  <r>
    <n v="1268"/>
    <n v="8"/>
    <n v="2"/>
    <x v="52"/>
    <x v="71"/>
    <x v="1"/>
  </r>
  <r>
    <n v="1766"/>
    <n v="5.333333333333333"/>
    <n v="1.6666666666666667"/>
    <x v="52"/>
    <x v="72"/>
    <x v="1"/>
  </r>
  <r>
    <n v="1948"/>
    <n v="3"/>
    <n v="1"/>
    <x v="52"/>
    <x v="73"/>
    <x v="1"/>
  </r>
  <r>
    <n v="1959"/>
    <n v="10"/>
    <n v="1"/>
    <x v="52"/>
    <x v="74"/>
    <x v="0"/>
  </r>
  <r>
    <n v="1405"/>
    <n v="6.5"/>
    <n v="2"/>
    <x v="53"/>
    <x v="75"/>
    <x v="0"/>
  </r>
  <r>
    <n v="1540"/>
    <n v="5.5"/>
    <n v="2"/>
    <x v="53"/>
    <x v="76"/>
    <x v="0"/>
  </r>
  <r>
    <n v="1365"/>
    <n v="3.3333333333333335"/>
    <n v="2.3333333333333335"/>
    <x v="54"/>
    <x v="77"/>
    <x v="0"/>
  </r>
  <r>
    <n v="1542"/>
    <n v="6.666666666666667"/>
    <n v="2.3333333333333335"/>
    <x v="54"/>
    <x v="78"/>
    <x v="1"/>
  </r>
  <r>
    <n v="1584"/>
    <n v="6.333333333333333"/>
    <n v="2.6666666666666665"/>
    <x v="54"/>
    <x v="79"/>
    <x v="0"/>
  </r>
  <r>
    <n v="1206"/>
    <n v="5.5"/>
    <n v="2"/>
    <x v="55"/>
    <x v="3"/>
    <x v="0"/>
  </r>
  <r>
    <n v="1715"/>
    <n v="6.5"/>
    <n v="2.5"/>
    <x v="55"/>
    <x v="29"/>
    <x v="1"/>
  </r>
  <r>
    <n v="1986"/>
    <n v="5"/>
    <n v="1.5"/>
    <x v="55"/>
    <x v="80"/>
    <x v="1"/>
  </r>
  <r>
    <n v="1195"/>
    <n v="4"/>
    <n v="2.5"/>
    <x v="56"/>
    <x v="81"/>
    <x v="0"/>
  </r>
  <r>
    <n v="1931"/>
    <n v="4.333333333333333"/>
    <n v="2"/>
    <x v="56"/>
    <x v="82"/>
    <x v="0"/>
  </r>
  <r>
    <n v="1263"/>
    <n v="6.6"/>
    <n v="1.8"/>
    <x v="57"/>
    <x v="83"/>
    <x v="0"/>
  </r>
  <r>
    <n v="1624"/>
    <n v="4.666666666666667"/>
    <n v="1.6666666666666667"/>
    <x v="58"/>
    <x v="84"/>
    <x v="0"/>
  </r>
  <r>
    <n v="1918"/>
    <n v="5.666666666666667"/>
    <n v="1.6666666666666667"/>
    <x v="58"/>
    <x v="85"/>
    <x v="1"/>
  </r>
  <r>
    <n v="1138"/>
    <n v="7.5"/>
    <n v="1"/>
    <x v="59"/>
    <x v="86"/>
    <x v="0"/>
  </r>
  <r>
    <n v="1443"/>
    <n v="6"/>
    <n v="1"/>
    <x v="59"/>
    <x v="87"/>
    <x v="1"/>
  </r>
  <r>
    <n v="1594"/>
    <n v="3"/>
    <n v="2"/>
    <x v="59"/>
    <x v="1"/>
    <x v="0"/>
  </r>
  <r>
    <n v="1757"/>
    <n v="3.5"/>
    <n v="2"/>
    <x v="59"/>
    <x v="88"/>
    <x v="1"/>
  </r>
  <r>
    <n v="1126"/>
    <n v="5.666666666666667"/>
    <n v="2.3333333333333335"/>
    <x v="60"/>
    <x v="89"/>
    <x v="1"/>
  </r>
  <r>
    <n v="1672"/>
    <n v="6.25"/>
    <n v="2"/>
    <x v="61"/>
    <x v="90"/>
    <x v="1"/>
  </r>
  <r>
    <n v="1137"/>
    <n v="6.666666666666667"/>
    <n v="2"/>
    <x v="62"/>
    <x v="91"/>
    <x v="1"/>
  </r>
  <r>
    <n v="1208"/>
    <n v="4.333333333333333"/>
    <n v="1.3333333333333333"/>
    <x v="62"/>
    <x v="92"/>
    <x v="0"/>
  </r>
  <r>
    <n v="1336"/>
    <n v="6.5"/>
    <n v="2.5"/>
    <x v="63"/>
    <x v="93"/>
    <x v="0"/>
  </r>
  <r>
    <n v="1502"/>
    <n v="3"/>
    <n v="2.5"/>
    <x v="64"/>
    <x v="94"/>
    <x v="0"/>
  </r>
  <r>
    <n v="1735"/>
    <n v="5.833333333333333"/>
    <n v="2"/>
    <x v="64"/>
    <x v="95"/>
    <x v="1"/>
  </r>
  <r>
    <n v="1164"/>
    <n v="2.4"/>
    <n v="1.6"/>
    <x v="65"/>
    <x v="96"/>
    <x v="1"/>
  </r>
  <r>
    <n v="1762"/>
    <n v="5.6"/>
    <n v="1.6"/>
    <x v="66"/>
    <x v="97"/>
    <x v="0"/>
  </r>
  <r>
    <n v="1005"/>
    <n v="7"/>
    <n v="2"/>
    <x v="67"/>
    <x v="98"/>
    <x v="1"/>
  </r>
  <r>
    <n v="1047"/>
    <n v="5.5"/>
    <n v="2.5"/>
    <x v="67"/>
    <x v="99"/>
    <x v="1"/>
  </r>
  <r>
    <n v="1109"/>
    <n v="9"/>
    <n v="3"/>
    <x v="67"/>
    <x v="27"/>
    <x v="1"/>
  </r>
  <r>
    <n v="1368"/>
    <n v="6.666666666666667"/>
    <n v="1.6666666666666667"/>
    <x v="67"/>
    <x v="100"/>
    <x v="1"/>
  </r>
  <r>
    <n v="1457"/>
    <n v="3"/>
    <n v="2.5"/>
    <x v="67"/>
    <x v="101"/>
    <x v="0"/>
  </r>
  <r>
    <n v="1534"/>
    <n v="10"/>
    <n v="1"/>
    <x v="67"/>
    <x v="102"/>
    <x v="0"/>
  </r>
  <r>
    <n v="1548"/>
    <n v="3"/>
    <n v="2"/>
    <x v="67"/>
    <x v="103"/>
    <x v="1"/>
  </r>
  <r>
    <n v="1649"/>
    <n v="5.666666666666667"/>
    <n v="2.3333333333333335"/>
    <x v="67"/>
    <x v="104"/>
    <x v="0"/>
  </r>
  <r>
    <n v="1745"/>
    <n v="3.5"/>
    <n v="2"/>
    <x v="67"/>
    <x v="105"/>
    <x v="1"/>
  </r>
  <r>
    <n v="1869"/>
    <n v="9"/>
    <n v="2"/>
    <x v="67"/>
    <x v="106"/>
    <x v="0"/>
  </r>
  <r>
    <n v="1876"/>
    <n v="6.2"/>
    <n v="2"/>
    <x v="67"/>
    <x v="107"/>
    <x v="1"/>
  </r>
  <r>
    <n v="1934"/>
    <n v="4"/>
    <n v="1"/>
    <x v="67"/>
    <x v="108"/>
    <x v="1"/>
  </r>
  <r>
    <n v="1466"/>
    <n v="7"/>
    <n v="1.6"/>
    <x v="68"/>
    <x v="109"/>
    <x v="0"/>
  </r>
  <r>
    <n v="1150"/>
    <n v="7.25"/>
    <n v="2.25"/>
    <x v="69"/>
    <x v="110"/>
    <x v="1"/>
  </r>
  <r>
    <n v="1376"/>
    <n v="6.666666666666667"/>
    <n v="2.3333333333333335"/>
    <x v="70"/>
    <x v="74"/>
    <x v="0"/>
  </r>
  <r>
    <n v="1022"/>
    <n v="6.4"/>
    <n v="2.6"/>
    <x v="71"/>
    <x v="111"/>
    <x v="0"/>
  </r>
  <r>
    <n v="1414"/>
    <n v="3.5"/>
    <n v="1"/>
    <x v="72"/>
    <x v="112"/>
    <x v="0"/>
  </r>
  <r>
    <n v="1292"/>
    <n v="5.4"/>
    <n v="2.4"/>
    <x v="73"/>
    <x v="113"/>
    <x v="0"/>
  </r>
  <r>
    <n v="1158"/>
    <n v="4.166666666666667"/>
    <n v="2.1666666666666665"/>
    <x v="74"/>
    <x v="114"/>
    <x v="1"/>
  </r>
  <r>
    <n v="1708"/>
    <n v="6.333333333333333"/>
    <n v="2.6666666666666665"/>
    <x v="75"/>
    <x v="115"/>
    <x v="1"/>
  </r>
  <r>
    <n v="1338"/>
    <n v="8"/>
    <n v="2.5"/>
    <x v="76"/>
    <x v="116"/>
    <x v="1"/>
  </r>
  <r>
    <n v="1391"/>
    <n v="6.5"/>
    <n v="1.75"/>
    <x v="76"/>
    <x v="117"/>
    <x v="1"/>
  </r>
  <r>
    <n v="1621"/>
    <n v="3"/>
    <n v="2"/>
    <x v="76"/>
    <x v="118"/>
    <x v="0"/>
  </r>
  <r>
    <n v="1860"/>
    <n v="5.5"/>
    <n v="2"/>
    <x v="76"/>
    <x v="119"/>
    <x v="0"/>
  </r>
  <r>
    <n v="1883"/>
    <n v="9"/>
    <n v="3"/>
    <x v="76"/>
    <x v="120"/>
    <x v="1"/>
  </r>
  <r>
    <n v="1272"/>
    <n v="4.5"/>
    <n v="1.6666666666666667"/>
    <x v="77"/>
    <x v="121"/>
    <x v="1"/>
  </r>
  <r>
    <n v="1345"/>
    <n v="7"/>
    <n v="2.5"/>
    <x v="78"/>
    <x v="122"/>
    <x v="1"/>
  </r>
  <r>
    <n v="1018"/>
    <n v="7"/>
    <n v="1.6"/>
    <x v="79"/>
    <x v="123"/>
    <x v="1"/>
  </r>
  <r>
    <n v="1057"/>
    <n v="6.8"/>
    <n v="2.8"/>
    <x v="79"/>
    <x v="124"/>
    <x v="0"/>
  </r>
  <r>
    <n v="1325"/>
    <n v="4.5"/>
    <n v="2.5"/>
    <x v="80"/>
    <x v="125"/>
    <x v="0"/>
  </r>
  <r>
    <n v="1844"/>
    <n v="4.75"/>
    <n v="1.75"/>
    <x v="80"/>
    <x v="126"/>
    <x v="1"/>
  </r>
  <r>
    <n v="1311"/>
    <n v="3.25"/>
    <n v="2"/>
    <x v="81"/>
    <x v="127"/>
    <x v="0"/>
  </r>
  <r>
    <n v="1397"/>
    <n v="2"/>
    <n v="1.5"/>
    <x v="81"/>
    <x v="45"/>
    <x v="0"/>
  </r>
  <r>
    <n v="1545"/>
    <n v="6.5"/>
    <n v="1.5"/>
    <x v="81"/>
    <x v="128"/>
    <x v="1"/>
  </r>
  <r>
    <n v="1866"/>
    <n v="4.5"/>
    <n v="2.5"/>
    <x v="81"/>
    <x v="52"/>
    <x v="0"/>
  </r>
  <r>
    <n v="1640"/>
    <n v="4.333333333333333"/>
    <n v="2.3333333333333335"/>
    <x v="82"/>
    <x v="100"/>
    <x v="0"/>
  </r>
  <r>
    <n v="1982"/>
    <n v="5.666666666666667"/>
    <n v="2.6666666666666665"/>
    <x v="82"/>
    <x v="129"/>
    <x v="0"/>
  </r>
  <r>
    <n v="1337"/>
    <n v="6.75"/>
    <n v="1.75"/>
    <x v="83"/>
    <x v="130"/>
    <x v="1"/>
  </r>
  <r>
    <n v="1800"/>
    <n v="6.25"/>
    <n v="2"/>
    <x v="84"/>
    <x v="131"/>
    <x v="1"/>
  </r>
  <r>
    <n v="1475"/>
    <n v="5.166666666666667"/>
    <n v="2"/>
    <x v="85"/>
    <x v="132"/>
    <x v="1"/>
  </r>
  <r>
    <n v="1523"/>
    <n v="4.666666666666667"/>
    <n v="2.1666666666666665"/>
    <x v="85"/>
    <x v="133"/>
    <x v="0"/>
  </r>
  <r>
    <n v="1060"/>
    <n v="6.666666666666667"/>
    <n v="2"/>
    <x v="86"/>
    <x v="134"/>
    <x v="0"/>
  </r>
  <r>
    <n v="1484"/>
    <n v="5"/>
    <n v="1.75"/>
    <x v="86"/>
    <x v="135"/>
    <x v="0"/>
  </r>
  <r>
    <n v="1563"/>
    <n v="7.75"/>
    <n v="3"/>
    <x v="86"/>
    <x v="136"/>
    <x v="1"/>
  </r>
  <r>
    <n v="1179"/>
    <n v="5"/>
    <n v="1.6666666666666667"/>
    <x v="87"/>
    <x v="137"/>
    <x v="1"/>
  </r>
  <r>
    <n v="1234"/>
    <n v="3.3333333333333335"/>
    <n v="2.3333333333333335"/>
    <x v="87"/>
    <x v="138"/>
    <x v="0"/>
  </r>
  <r>
    <n v="1264"/>
    <n v="4"/>
    <n v="3"/>
    <x v="87"/>
    <x v="139"/>
    <x v="0"/>
  </r>
  <r>
    <n v="1314"/>
    <n v="4"/>
    <n v="3"/>
    <x v="87"/>
    <x v="140"/>
    <x v="1"/>
  </r>
  <r>
    <n v="1324"/>
    <n v="6"/>
    <n v="2"/>
    <x v="87"/>
    <x v="141"/>
    <x v="0"/>
  </r>
  <r>
    <n v="1450"/>
    <n v="1"/>
    <n v="1"/>
    <x v="87"/>
    <x v="142"/>
    <x v="0"/>
  </r>
  <r>
    <n v="1467"/>
    <n v="10"/>
    <n v="2"/>
    <x v="87"/>
    <x v="143"/>
    <x v="0"/>
  </r>
  <r>
    <n v="1600"/>
    <n v="5"/>
    <n v="2"/>
    <x v="87"/>
    <x v="144"/>
    <x v="0"/>
  </r>
  <r>
    <n v="1964"/>
    <n v="1"/>
    <n v="1"/>
    <x v="87"/>
    <x v="145"/>
    <x v="1"/>
  </r>
  <r>
    <n v="1230"/>
    <n v="5.333333333333333"/>
    <n v="1.5"/>
    <x v="88"/>
    <x v="146"/>
    <x v="0"/>
  </r>
  <r>
    <n v="1130"/>
    <n v="4.5"/>
    <n v="2.75"/>
    <x v="89"/>
    <x v="147"/>
    <x v="1"/>
  </r>
  <r>
    <n v="1155"/>
    <n v="4.5"/>
    <n v="2"/>
    <x v="89"/>
    <x v="148"/>
    <x v="1"/>
  </r>
  <r>
    <n v="1519"/>
    <n v="5"/>
    <n v="2.5"/>
    <x v="89"/>
    <x v="149"/>
    <x v="0"/>
  </r>
  <r>
    <n v="1561"/>
    <n v="6"/>
    <n v="2.25"/>
    <x v="90"/>
    <x v="150"/>
    <x v="0"/>
  </r>
  <r>
    <n v="1568"/>
    <n v="7"/>
    <n v="1.6666666666666667"/>
    <x v="91"/>
    <x v="151"/>
    <x v="1"/>
  </r>
  <r>
    <n v="1591"/>
    <n v="9.6666666666666661"/>
    <n v="2.3333333333333335"/>
    <x v="91"/>
    <x v="152"/>
    <x v="0"/>
  </r>
  <r>
    <n v="1326"/>
    <n v="4.333333333333333"/>
    <n v="2.6666666666666665"/>
    <x v="92"/>
    <x v="153"/>
    <x v="1"/>
  </r>
  <r>
    <n v="1620"/>
    <n v="5"/>
    <n v="2"/>
    <x v="93"/>
    <x v="116"/>
    <x v="1"/>
  </r>
  <r>
    <n v="1493"/>
    <n v="5"/>
    <n v="2.8"/>
    <x v="94"/>
    <x v="154"/>
    <x v="0"/>
  </r>
  <r>
    <n v="1221"/>
    <n v="6"/>
    <n v="2.6666666666666665"/>
    <x v="95"/>
    <x v="155"/>
    <x v="0"/>
  </r>
  <r>
    <n v="1409"/>
    <n v="5.333333333333333"/>
    <n v="1.3333333333333333"/>
    <x v="95"/>
    <x v="156"/>
    <x v="0"/>
  </r>
  <r>
    <n v="1480"/>
    <n v="5.333333333333333"/>
    <n v="1.6666666666666667"/>
    <x v="95"/>
    <x v="157"/>
    <x v="1"/>
  </r>
  <r>
    <n v="1645"/>
    <n v="7"/>
    <n v="1.75"/>
    <x v="96"/>
    <x v="158"/>
    <x v="1"/>
  </r>
  <r>
    <n v="1045"/>
    <n v="3.75"/>
    <n v="2.25"/>
    <x v="97"/>
    <x v="14"/>
    <x v="0"/>
  </r>
  <r>
    <n v="1004"/>
    <n v="6.2"/>
    <n v="2.2000000000000002"/>
    <x v="98"/>
    <x v="159"/>
    <x v="1"/>
  </r>
  <r>
    <n v="1107"/>
    <n v="3.6"/>
    <n v="2"/>
    <x v="98"/>
    <x v="160"/>
    <x v="1"/>
  </r>
  <r>
    <n v="1184"/>
    <n v="6"/>
    <n v="3"/>
    <x v="98"/>
    <x v="76"/>
    <x v="1"/>
  </r>
  <r>
    <n v="1188"/>
    <n v="5"/>
    <n v="1"/>
    <x v="98"/>
    <x v="102"/>
    <x v="0"/>
  </r>
  <r>
    <n v="1244"/>
    <n v="3"/>
    <n v="1"/>
    <x v="98"/>
    <x v="161"/>
    <x v="1"/>
  </r>
  <r>
    <n v="1247"/>
    <n v="7"/>
    <n v="3"/>
    <x v="98"/>
    <x v="75"/>
    <x v="1"/>
  </r>
  <r>
    <n v="1269"/>
    <n v="5.25"/>
    <n v="2.75"/>
    <x v="98"/>
    <x v="162"/>
    <x v="0"/>
  </r>
  <r>
    <n v="1290"/>
    <n v="4.333333333333333"/>
    <n v="2.3333333333333335"/>
    <x v="98"/>
    <x v="90"/>
    <x v="1"/>
  </r>
  <r>
    <n v="1350"/>
    <n v="5.5"/>
    <n v="1.5"/>
    <x v="98"/>
    <x v="163"/>
    <x v="1"/>
  </r>
  <r>
    <n v="1353"/>
    <n v="6.333333333333333"/>
    <n v="1.6666666666666667"/>
    <x v="98"/>
    <x v="60"/>
    <x v="0"/>
  </r>
  <r>
    <n v="1647"/>
    <n v="5.5"/>
    <n v="2.375"/>
    <x v="98"/>
    <x v="164"/>
    <x v="0"/>
  </r>
  <r>
    <n v="1716"/>
    <n v="6"/>
    <n v="1.5"/>
    <x v="98"/>
    <x v="165"/>
    <x v="0"/>
  </r>
  <r>
    <n v="1927"/>
    <n v="4"/>
    <n v="3"/>
    <x v="98"/>
    <x v="166"/>
    <x v="1"/>
  </r>
  <r>
    <n v="1136"/>
    <n v="4.4000000000000004"/>
    <n v="1.4"/>
    <x v="99"/>
    <x v="167"/>
    <x v="0"/>
  </r>
  <r>
    <n v="1525"/>
    <n v="5"/>
    <n v="2"/>
    <x v="100"/>
    <x v="168"/>
    <x v="1"/>
  </r>
  <r>
    <n v="1500"/>
    <n v="6"/>
    <n v="2.25"/>
    <x v="101"/>
    <x v="169"/>
    <x v="0"/>
  </r>
  <r>
    <n v="1106"/>
    <n v="4.666666666666667"/>
    <n v="1.6666666666666667"/>
    <x v="102"/>
    <x v="170"/>
    <x v="1"/>
  </r>
  <r>
    <n v="1161"/>
    <n v="2.6666666666666665"/>
    <n v="1"/>
    <x v="102"/>
    <x v="102"/>
    <x v="1"/>
  </r>
  <r>
    <n v="1256"/>
    <n v="7.333333333333333"/>
    <n v="2.3333333333333335"/>
    <x v="102"/>
    <x v="171"/>
    <x v="0"/>
  </r>
  <r>
    <n v="1488"/>
    <n v="4.333333333333333"/>
    <n v="2.3333333333333335"/>
    <x v="102"/>
    <x v="172"/>
    <x v="0"/>
  </r>
  <r>
    <n v="1631"/>
    <n v="5.666666666666667"/>
    <n v="2.6666666666666665"/>
    <x v="102"/>
    <x v="173"/>
    <x v="1"/>
  </r>
  <r>
    <n v="1710"/>
    <n v="4.666666666666667"/>
    <n v="2"/>
    <x v="102"/>
    <x v="162"/>
    <x v="0"/>
  </r>
  <r>
    <n v="1881"/>
    <n v="6"/>
    <n v="2"/>
    <x v="102"/>
    <x v="174"/>
    <x v="0"/>
  </r>
  <r>
    <n v="1965"/>
    <n v="5.6"/>
    <n v="2.2000000000000002"/>
    <x v="103"/>
    <x v="75"/>
    <x v="0"/>
  </r>
  <r>
    <n v="1824"/>
    <n v="4"/>
    <n v="2"/>
    <x v="104"/>
    <x v="175"/>
    <x v="0"/>
  </r>
  <r>
    <n v="1968"/>
    <n v="5"/>
    <n v="1.4"/>
    <x v="104"/>
    <x v="176"/>
    <x v="0"/>
  </r>
  <r>
    <n v="1440"/>
    <n v="6.8"/>
    <n v="2.2000000000000002"/>
    <x v="105"/>
    <x v="177"/>
    <x v="1"/>
  </r>
  <r>
    <n v="1118"/>
    <n v="4.166666666666667"/>
    <n v="2.1666666666666665"/>
    <x v="106"/>
    <x v="178"/>
    <x v="0"/>
  </r>
  <r>
    <n v="1011"/>
    <n v="4.5999999999999996"/>
    <n v="2"/>
    <x v="107"/>
    <x v="179"/>
    <x v="1"/>
  </r>
  <r>
    <n v="1291"/>
    <n v="5"/>
    <n v="2.5"/>
    <x v="107"/>
    <x v="180"/>
    <x v="0"/>
  </r>
  <r>
    <n v="1481"/>
    <n v="4.5"/>
    <n v="2.25"/>
    <x v="107"/>
    <x v="181"/>
    <x v="1"/>
  </r>
  <r>
    <n v="1585"/>
    <n v="6.5"/>
    <n v="2.5"/>
    <x v="107"/>
    <x v="182"/>
    <x v="1"/>
  </r>
  <r>
    <n v="1763"/>
    <n v="6"/>
    <n v="1.75"/>
    <x v="107"/>
    <x v="183"/>
    <x v="0"/>
  </r>
  <r>
    <n v="1870"/>
    <n v="3.5"/>
    <n v="1"/>
    <x v="107"/>
    <x v="42"/>
    <x v="1"/>
  </r>
  <r>
    <n v="1644"/>
    <n v="4.2"/>
    <n v="1.8"/>
    <x v="108"/>
    <x v="184"/>
    <x v="1"/>
  </r>
  <r>
    <n v="1707"/>
    <n v="3.3333333333333335"/>
    <n v="2"/>
    <x v="109"/>
    <x v="185"/>
    <x v="1"/>
  </r>
  <r>
    <n v="1826"/>
    <n v="2.6666666666666665"/>
    <n v="2.6666666666666665"/>
    <x v="109"/>
    <x v="186"/>
    <x v="0"/>
  </r>
  <r>
    <n v="1969"/>
    <n v="6"/>
    <n v="1.6666666666666667"/>
    <x v="109"/>
    <x v="20"/>
    <x v="0"/>
  </r>
  <r>
    <n v="1117"/>
    <n v="6.2857142857142856"/>
    <n v="2.1428571428571428"/>
    <x v="110"/>
    <x v="187"/>
    <x v="0"/>
  </r>
  <r>
    <n v="1347"/>
    <n v="6.5"/>
    <n v="2.25"/>
    <x v="111"/>
    <x v="188"/>
    <x v="1"/>
  </r>
  <r>
    <n v="1657"/>
    <n v="5"/>
    <n v="1.25"/>
    <x v="111"/>
    <x v="189"/>
    <x v="1"/>
  </r>
  <r>
    <n v="1811"/>
    <n v="7.75"/>
    <n v="2"/>
    <x v="111"/>
    <x v="190"/>
    <x v="1"/>
  </r>
  <r>
    <n v="1007"/>
    <n v="3"/>
    <n v="2"/>
    <x v="112"/>
    <x v="191"/>
    <x v="0"/>
  </r>
  <r>
    <n v="1089"/>
    <n v="4.2"/>
    <n v="2.4"/>
    <x v="112"/>
    <x v="137"/>
    <x v="1"/>
  </r>
  <r>
    <n v="1778"/>
    <n v="6.5"/>
    <n v="2"/>
    <x v="113"/>
    <x v="192"/>
    <x v="0"/>
  </r>
  <r>
    <n v="1399"/>
    <n v="5.6"/>
    <n v="2.2000000000000002"/>
    <x v="114"/>
    <x v="193"/>
    <x v="1"/>
  </r>
  <r>
    <n v="1178"/>
    <n v="6.5"/>
    <n v="2"/>
    <x v="115"/>
    <x v="194"/>
    <x v="0"/>
  </r>
  <r>
    <n v="1270"/>
    <n v="7"/>
    <n v="1.5"/>
    <x v="115"/>
    <x v="195"/>
    <x v="1"/>
  </r>
  <r>
    <n v="1294"/>
    <n v="6.5"/>
    <n v="1.75"/>
    <x v="115"/>
    <x v="196"/>
    <x v="1"/>
  </r>
  <r>
    <n v="1346"/>
    <n v="6"/>
    <n v="2"/>
    <x v="115"/>
    <x v="197"/>
    <x v="0"/>
  </r>
  <r>
    <n v="1559"/>
    <n v="1"/>
    <n v="1.5"/>
    <x v="115"/>
    <x v="198"/>
    <x v="1"/>
  </r>
  <r>
    <n v="1761"/>
    <n v="9"/>
    <n v="2"/>
    <x v="115"/>
    <x v="199"/>
    <x v="1"/>
  </r>
  <r>
    <n v="1765"/>
    <n v="8"/>
    <n v="2"/>
    <x v="115"/>
    <x v="200"/>
    <x v="1"/>
  </r>
  <r>
    <n v="1906"/>
    <n v="2"/>
    <n v="2"/>
    <x v="115"/>
    <x v="201"/>
    <x v="1"/>
  </r>
  <r>
    <n v="1929"/>
    <n v="6.5"/>
    <n v="1.5"/>
    <x v="115"/>
    <x v="202"/>
    <x v="0"/>
  </r>
  <r>
    <n v="1453"/>
    <n v="4"/>
    <n v="2.3333333333333335"/>
    <x v="116"/>
    <x v="203"/>
    <x v="0"/>
  </r>
  <r>
    <n v="1550"/>
    <n v="3.6666666666666665"/>
    <n v="1.6666666666666667"/>
    <x v="116"/>
    <x v="204"/>
    <x v="1"/>
  </r>
  <r>
    <n v="1396"/>
    <n v="6.5714285714285712"/>
    <n v="1.7142857142857142"/>
    <x v="117"/>
    <x v="205"/>
    <x v="0"/>
  </r>
  <r>
    <n v="1355"/>
    <n v="4.166666666666667"/>
    <n v="1.8333333333333333"/>
    <x v="118"/>
    <x v="206"/>
    <x v="0"/>
  </r>
  <r>
    <n v="1773"/>
    <n v="4.2"/>
    <n v="2.6"/>
    <x v="119"/>
    <x v="207"/>
    <x v="0"/>
  </r>
  <r>
    <n v="1526"/>
    <n v="4"/>
    <n v="1.6666666666666667"/>
    <x v="120"/>
    <x v="208"/>
    <x v="1"/>
  </r>
  <r>
    <n v="1802"/>
    <n v="6.5"/>
    <n v="1.6666666666666667"/>
    <x v="120"/>
    <x v="209"/>
    <x v="1"/>
  </r>
  <r>
    <n v="1091"/>
    <n v="3.2"/>
    <n v="2"/>
    <x v="121"/>
    <x v="210"/>
    <x v="0"/>
  </r>
  <r>
    <n v="1449"/>
    <n v="6"/>
    <n v="1.6"/>
    <x v="121"/>
    <x v="211"/>
    <x v="1"/>
  </r>
  <r>
    <n v="1212"/>
    <n v="6"/>
    <n v="1.75"/>
    <x v="122"/>
    <x v="212"/>
    <x v="0"/>
  </r>
  <r>
    <n v="1236"/>
    <n v="3.25"/>
    <n v="1"/>
    <x v="122"/>
    <x v="213"/>
    <x v="1"/>
  </r>
  <r>
    <n v="1421"/>
    <n v="4.833333333333333"/>
    <n v="1.3333333333333333"/>
    <x v="122"/>
    <x v="214"/>
    <x v="0"/>
  </r>
  <r>
    <n v="1743"/>
    <n v="5"/>
    <n v="2"/>
    <x v="122"/>
    <x v="215"/>
    <x v="1"/>
  </r>
  <r>
    <n v="1111"/>
    <n v="5.5"/>
    <n v="1"/>
    <x v="123"/>
    <x v="20"/>
    <x v="0"/>
  </r>
  <r>
    <n v="1331"/>
    <n v="5.5"/>
    <n v="3"/>
    <x v="123"/>
    <x v="216"/>
    <x v="1"/>
  </r>
  <r>
    <n v="1718"/>
    <n v="8.5"/>
    <n v="2.5"/>
    <x v="123"/>
    <x v="217"/>
    <x v="0"/>
  </r>
  <r>
    <n v="1895"/>
    <n v="6.5"/>
    <n v="2.5"/>
    <x v="123"/>
    <x v="218"/>
    <x v="0"/>
  </r>
  <r>
    <n v="1737"/>
    <n v="3.4"/>
    <n v="1.4"/>
    <x v="124"/>
    <x v="219"/>
    <x v="1"/>
  </r>
  <r>
    <n v="1628"/>
    <n v="4.4000000000000004"/>
    <n v="2.4"/>
    <x v="125"/>
    <x v="220"/>
    <x v="1"/>
  </r>
  <r>
    <n v="1445"/>
    <n v="4.666666666666667"/>
    <n v="2"/>
    <x v="126"/>
    <x v="221"/>
    <x v="0"/>
  </r>
  <r>
    <n v="1535"/>
    <n v="5.333333333333333"/>
    <n v="1.6666666666666667"/>
    <x v="126"/>
    <x v="222"/>
    <x v="1"/>
  </r>
  <r>
    <n v="1541"/>
    <n v="7.666666666666667"/>
    <n v="1.6666666666666667"/>
    <x v="126"/>
    <x v="73"/>
    <x v="1"/>
  </r>
  <r>
    <n v="1182"/>
    <n v="7.1428571428571432"/>
    <n v="1.8571428571428572"/>
    <x v="127"/>
    <x v="223"/>
    <x v="0"/>
  </r>
  <r>
    <n v="1823"/>
    <n v="4.75"/>
    <n v="2.25"/>
    <x v="128"/>
    <x v="224"/>
    <x v="0"/>
  </r>
  <r>
    <n v="1002"/>
    <n v="2.75"/>
    <n v="2"/>
    <x v="129"/>
    <x v="225"/>
    <x v="0"/>
  </r>
  <r>
    <n v="1425"/>
    <n v="3.5"/>
    <n v="2.25"/>
    <x v="129"/>
    <x v="14"/>
    <x v="0"/>
  </r>
  <r>
    <n v="1989"/>
    <n v="4.8"/>
    <n v="1.6"/>
    <x v="130"/>
    <x v="226"/>
    <x v="1"/>
  </r>
  <r>
    <n v="1961"/>
    <n v="5.4285714285714288"/>
    <n v="1.8571428571428572"/>
    <x v="131"/>
    <x v="227"/>
    <x v="1"/>
  </r>
  <r>
    <n v="1015"/>
    <n v="6.333333333333333"/>
    <n v="2"/>
    <x v="132"/>
    <x v="228"/>
    <x v="0"/>
  </r>
  <r>
    <n v="1185"/>
    <n v="4"/>
    <n v="1"/>
    <x v="132"/>
    <x v="229"/>
    <x v="1"/>
  </r>
  <r>
    <n v="1416"/>
    <n v="5.5"/>
    <n v="2"/>
    <x v="132"/>
    <x v="230"/>
    <x v="1"/>
  </r>
  <r>
    <n v="1423"/>
    <n v="5.5"/>
    <n v="1.5"/>
    <x v="132"/>
    <x v="105"/>
    <x v="0"/>
  </r>
  <r>
    <n v="1456"/>
    <n v="3.3333333333333335"/>
    <n v="2.3333333333333335"/>
    <x v="132"/>
    <x v="231"/>
    <x v="0"/>
  </r>
  <r>
    <n v="1597"/>
    <n v="4.166666666666667"/>
    <n v="2.1666666666666665"/>
    <x v="132"/>
    <x v="232"/>
    <x v="1"/>
  </r>
  <r>
    <n v="1682"/>
    <n v="7.333333333333333"/>
    <n v="1.6666666666666667"/>
    <x v="132"/>
    <x v="233"/>
    <x v="0"/>
  </r>
  <r>
    <n v="1769"/>
    <n v="8"/>
    <n v="2.2000000000000002"/>
    <x v="132"/>
    <x v="234"/>
    <x v="0"/>
  </r>
  <r>
    <n v="1779"/>
    <n v="4"/>
    <n v="1"/>
    <x v="132"/>
    <x v="235"/>
    <x v="0"/>
  </r>
  <r>
    <n v="1788"/>
    <n v="2.75"/>
    <n v="2"/>
    <x v="132"/>
    <x v="122"/>
    <x v="0"/>
  </r>
  <r>
    <n v="1846"/>
    <n v="6"/>
    <n v="1.5"/>
    <x v="132"/>
    <x v="236"/>
    <x v="0"/>
  </r>
  <r>
    <n v="1868"/>
    <n v="9"/>
    <n v="1"/>
    <x v="132"/>
    <x v="237"/>
    <x v="0"/>
  </r>
  <r>
    <n v="1896"/>
    <n v="5.5"/>
    <n v="2.5"/>
    <x v="132"/>
    <x v="238"/>
    <x v="0"/>
  </r>
  <r>
    <n v="1988"/>
    <n v="2.5"/>
    <n v="2.25"/>
    <x v="132"/>
    <x v="239"/>
    <x v="1"/>
  </r>
  <r>
    <n v="1098"/>
    <n v="6.2727272727272725"/>
    <n v="2.0909090909090908"/>
    <x v="133"/>
    <x v="240"/>
    <x v="1"/>
  </r>
  <r>
    <n v="1171"/>
    <n v="6.833333333333333"/>
    <n v="2"/>
    <x v="134"/>
    <x v="241"/>
    <x v="0"/>
  </r>
  <r>
    <n v="1452"/>
    <n v="4"/>
    <n v="2.5"/>
    <x v="135"/>
    <x v="6"/>
    <x v="1"/>
  </r>
  <r>
    <n v="1654"/>
    <n v="5.25"/>
    <n v="2.25"/>
    <x v="135"/>
    <x v="242"/>
    <x v="1"/>
  </r>
  <r>
    <n v="1987"/>
    <n v="7"/>
    <n v="2.6666666666666665"/>
    <x v="136"/>
    <x v="243"/>
    <x v="0"/>
  </r>
  <r>
    <n v="1312"/>
    <n v="3.4"/>
    <n v="1.6"/>
    <x v="137"/>
    <x v="244"/>
    <x v="0"/>
  </r>
  <r>
    <n v="1424"/>
    <n v="6"/>
    <n v="2.2000000000000002"/>
    <x v="137"/>
    <x v="245"/>
    <x v="0"/>
  </r>
  <r>
    <n v="1813"/>
    <n v="4.5999999999999996"/>
    <n v="2"/>
    <x v="137"/>
    <x v="246"/>
    <x v="1"/>
  </r>
  <r>
    <n v="1957"/>
    <n v="4.8"/>
    <n v="1.8"/>
    <x v="137"/>
    <x v="247"/>
    <x v="1"/>
  </r>
  <r>
    <n v="1151"/>
    <n v="6"/>
    <n v="2"/>
    <x v="138"/>
    <x v="248"/>
    <x v="0"/>
  </r>
  <r>
    <n v="1009"/>
    <n v="4.666666666666667"/>
    <n v="2.8333333333333335"/>
    <x v="139"/>
    <x v="249"/>
    <x v="0"/>
  </r>
  <r>
    <n v="1255"/>
    <n v="6.25"/>
    <n v="3"/>
    <x v="139"/>
    <x v="250"/>
    <x v="0"/>
  </r>
  <r>
    <n v="1604"/>
    <n v="6.25"/>
    <n v="2.5"/>
    <x v="139"/>
    <x v="251"/>
    <x v="1"/>
  </r>
  <r>
    <n v="1213"/>
    <n v="7.5"/>
    <n v="3"/>
    <x v="140"/>
    <x v="252"/>
    <x v="1"/>
  </r>
  <r>
    <n v="1717"/>
    <n v="6.5"/>
    <n v="2"/>
    <x v="140"/>
    <x v="253"/>
    <x v="1"/>
  </r>
  <r>
    <n v="1754"/>
    <n v="5.5"/>
    <n v="1.75"/>
    <x v="140"/>
    <x v="254"/>
    <x v="1"/>
  </r>
  <r>
    <n v="1313"/>
    <n v="4.4000000000000004"/>
    <n v="1.8"/>
    <x v="141"/>
    <x v="255"/>
    <x v="1"/>
  </r>
  <r>
    <n v="1183"/>
    <n v="7.333333333333333"/>
    <n v="2"/>
    <x v="142"/>
    <x v="247"/>
    <x v="1"/>
  </r>
  <r>
    <n v="1309"/>
    <n v="3.3333333333333335"/>
    <n v="3"/>
    <x v="142"/>
    <x v="151"/>
    <x v="1"/>
  </r>
  <r>
    <n v="1386"/>
    <n v="6.666666666666667"/>
    <n v="2.6666666666666665"/>
    <x v="142"/>
    <x v="256"/>
    <x v="1"/>
  </r>
  <r>
    <n v="1132"/>
    <n v="6.5"/>
    <n v="2.1666666666666665"/>
    <x v="143"/>
    <x v="257"/>
    <x v="0"/>
  </r>
  <r>
    <n v="1152"/>
    <n v="6.5"/>
    <n v="2.25"/>
    <x v="144"/>
    <x v="258"/>
    <x v="1"/>
  </r>
  <r>
    <n v="1945"/>
    <n v="3.5"/>
    <n v="2.25"/>
    <x v="144"/>
    <x v="259"/>
    <x v="0"/>
  </r>
  <r>
    <n v="1140"/>
    <n v="4.2"/>
    <n v="1.8"/>
    <x v="145"/>
    <x v="260"/>
    <x v="0"/>
  </r>
  <r>
    <n v="1352"/>
    <n v="6.2"/>
    <n v="1.8"/>
    <x v="145"/>
    <x v="261"/>
    <x v="1"/>
  </r>
  <r>
    <n v="1933"/>
    <n v="4.4000000000000004"/>
    <n v="2.2000000000000002"/>
    <x v="145"/>
    <x v="262"/>
    <x v="0"/>
  </r>
  <r>
    <n v="1153"/>
    <n v="5.333333333333333"/>
    <n v="2.1666666666666665"/>
    <x v="146"/>
    <x v="263"/>
    <x v="1"/>
  </r>
  <r>
    <n v="1549"/>
    <n v="4.166666666666667"/>
    <n v="1.3333333333333333"/>
    <x v="146"/>
    <x v="264"/>
    <x v="0"/>
  </r>
  <r>
    <n v="1689"/>
    <n v="4.2857142857142856"/>
    <n v="2.1428571428571428"/>
    <x v="147"/>
    <x v="265"/>
    <x v="1"/>
  </r>
  <r>
    <n v="1847"/>
    <n v="4"/>
    <n v="2.6666666666666665"/>
    <x v="148"/>
    <x v="266"/>
    <x v="0"/>
  </r>
  <r>
    <n v="1156"/>
    <n v="5.5"/>
    <n v="1.75"/>
    <x v="149"/>
    <x v="62"/>
    <x v="1"/>
  </r>
  <r>
    <n v="1343"/>
    <n v="6"/>
    <n v="2.5"/>
    <x v="149"/>
    <x v="267"/>
    <x v="0"/>
  </r>
  <r>
    <n v="1539"/>
    <n v="9"/>
    <n v="1"/>
    <x v="149"/>
    <x v="268"/>
    <x v="0"/>
  </r>
  <r>
    <n v="1567"/>
    <n v="2"/>
    <n v="1"/>
    <x v="149"/>
    <x v="91"/>
    <x v="1"/>
  </r>
  <r>
    <n v="1612"/>
    <n v="4.4000000000000004"/>
    <n v="2"/>
    <x v="149"/>
    <x v="269"/>
    <x v="1"/>
  </r>
  <r>
    <n v="1951"/>
    <n v="7.2"/>
    <n v="1.8"/>
    <x v="149"/>
    <x v="8"/>
    <x v="0"/>
  </r>
  <r>
    <n v="1996"/>
    <n v="7"/>
    <n v="1.6"/>
    <x v="149"/>
    <x v="270"/>
    <x v="1"/>
  </r>
  <r>
    <n v="1278"/>
    <n v="5.333333333333333"/>
    <n v="2"/>
    <x v="150"/>
    <x v="271"/>
    <x v="0"/>
  </r>
  <r>
    <n v="1454"/>
    <n v="6.2857142857142856"/>
    <n v="2.1428571428571428"/>
    <x v="150"/>
    <x v="272"/>
    <x v="1"/>
  </r>
  <r>
    <n v="1348"/>
    <n v="6.8571428571428568"/>
    <n v="2.7142857142857144"/>
    <x v="151"/>
    <x v="70"/>
    <x v="1"/>
  </r>
  <r>
    <n v="1660"/>
    <n v="6.8"/>
    <n v="2"/>
    <x v="152"/>
    <x v="273"/>
    <x v="1"/>
  </r>
  <r>
    <n v="1979"/>
    <n v="5.4"/>
    <n v="2.4"/>
    <x v="152"/>
    <x v="274"/>
    <x v="0"/>
  </r>
  <r>
    <n v="1016"/>
    <n v="7.625"/>
    <n v="2.125"/>
    <x v="153"/>
    <x v="275"/>
    <x v="1"/>
  </r>
  <r>
    <n v="1510"/>
    <n v="5"/>
    <n v="2.25"/>
    <x v="153"/>
    <x v="276"/>
    <x v="1"/>
  </r>
  <r>
    <n v="1731"/>
    <n v="5.5"/>
    <n v="1.75"/>
    <x v="153"/>
    <x v="277"/>
    <x v="0"/>
  </r>
  <r>
    <n v="1304"/>
    <n v="7.5714285714285712"/>
    <n v="2.1428571428571428"/>
    <x v="154"/>
    <x v="278"/>
    <x v="0"/>
  </r>
  <r>
    <n v="1066"/>
    <n v="3.3333333333333335"/>
    <n v="1.3333333333333333"/>
    <x v="155"/>
    <x v="279"/>
    <x v="0"/>
  </r>
  <r>
    <n v="1201"/>
    <n v="8"/>
    <n v="2.3333333333333335"/>
    <x v="155"/>
    <x v="280"/>
    <x v="1"/>
  </r>
  <r>
    <n v="1634"/>
    <n v="7.666666666666667"/>
    <n v="1.6666666666666667"/>
    <x v="155"/>
    <x v="281"/>
    <x v="0"/>
  </r>
  <r>
    <n v="1880"/>
    <n v="5"/>
    <n v="3"/>
    <x v="156"/>
    <x v="282"/>
    <x v="1"/>
  </r>
  <r>
    <n v="1692"/>
    <n v="3.5714285714285716"/>
    <n v="1.8571428571428572"/>
    <x v="157"/>
    <x v="283"/>
    <x v="1"/>
  </r>
  <r>
    <n v="1128"/>
    <n v="7.5"/>
    <n v="2.25"/>
    <x v="158"/>
    <x v="284"/>
    <x v="1"/>
  </r>
  <r>
    <n v="1099"/>
    <n v="3.5"/>
    <n v="2.5"/>
    <x v="159"/>
    <x v="285"/>
    <x v="1"/>
  </r>
  <r>
    <n v="1537"/>
    <n v="5.25"/>
    <n v="2.25"/>
    <x v="159"/>
    <x v="286"/>
    <x v="0"/>
  </r>
  <r>
    <n v="1147"/>
    <n v="3.6"/>
    <n v="2"/>
    <x v="160"/>
    <x v="287"/>
    <x v="0"/>
  </r>
  <r>
    <n v="1197"/>
    <n v="5"/>
    <n v="1.4"/>
    <x v="160"/>
    <x v="288"/>
    <x v="0"/>
  </r>
  <r>
    <n v="1760"/>
    <n v="4.5999999999999996"/>
    <n v="1.2"/>
    <x v="161"/>
    <x v="289"/>
    <x v="1"/>
  </r>
  <r>
    <n v="1890"/>
    <n v="4.875"/>
    <n v="1.75"/>
    <x v="162"/>
    <x v="290"/>
    <x v="0"/>
  </r>
  <r>
    <n v="1026"/>
    <n v="4"/>
    <n v="2"/>
    <x v="163"/>
    <x v="291"/>
    <x v="0"/>
  </r>
  <r>
    <n v="1491"/>
    <n v="2.3333333333333335"/>
    <n v="2.3333333333333335"/>
    <x v="163"/>
    <x v="292"/>
    <x v="0"/>
  </r>
  <r>
    <n v="1404"/>
    <n v="4.2857142857142856"/>
    <n v="2.1428571428571428"/>
    <x v="164"/>
    <x v="293"/>
    <x v="1"/>
  </r>
  <r>
    <n v="1301"/>
    <n v="5.5"/>
    <n v="2"/>
    <x v="165"/>
    <x v="294"/>
    <x v="0"/>
  </r>
  <r>
    <n v="1295"/>
    <n v="5.4"/>
    <n v="1.4"/>
    <x v="166"/>
    <x v="295"/>
    <x v="1"/>
  </r>
  <r>
    <n v="1579"/>
    <n v="3.8"/>
    <n v="1.6"/>
    <x v="167"/>
    <x v="296"/>
    <x v="0"/>
  </r>
  <r>
    <n v="1193"/>
    <n v="4.25"/>
    <n v="2.25"/>
    <x v="168"/>
    <x v="276"/>
    <x v="0"/>
  </r>
  <r>
    <n v="1553"/>
    <n v="5.166666666666667"/>
    <n v="2.1666666666666665"/>
    <x v="168"/>
    <x v="297"/>
    <x v="1"/>
  </r>
  <r>
    <n v="1913"/>
    <n v="4"/>
    <n v="2"/>
    <x v="168"/>
    <x v="298"/>
    <x v="1"/>
  </r>
  <r>
    <n v="1050"/>
    <n v="5.833333333333333"/>
    <n v="2.1666666666666665"/>
    <x v="169"/>
    <x v="126"/>
    <x v="0"/>
  </r>
  <r>
    <n v="1393"/>
    <n v="5.666666666666667"/>
    <n v="2"/>
    <x v="169"/>
    <x v="299"/>
    <x v="0"/>
  </r>
  <r>
    <n v="1509"/>
    <n v="2.5"/>
    <n v="2"/>
    <x v="169"/>
    <x v="112"/>
    <x v="1"/>
  </r>
  <r>
    <n v="1532"/>
    <n v="1"/>
    <n v="1"/>
    <x v="169"/>
    <x v="300"/>
    <x v="0"/>
  </r>
  <r>
    <n v="1777"/>
    <n v="4.4000000000000004"/>
    <n v="2.4"/>
    <x v="169"/>
    <x v="301"/>
    <x v="0"/>
  </r>
  <r>
    <n v="1816"/>
    <n v="4.4000000000000004"/>
    <n v="1.8"/>
    <x v="169"/>
    <x v="302"/>
    <x v="1"/>
  </r>
  <r>
    <n v="1831"/>
    <n v="5.75"/>
    <n v="1.25"/>
    <x v="169"/>
    <x v="303"/>
    <x v="0"/>
  </r>
  <r>
    <n v="1884"/>
    <n v="3"/>
    <n v="2.5"/>
    <x v="169"/>
    <x v="304"/>
    <x v="0"/>
  </r>
  <r>
    <n v="1923"/>
    <n v="5.5"/>
    <n v="1.5"/>
    <x v="169"/>
    <x v="305"/>
    <x v="0"/>
  </r>
  <r>
    <n v="1300"/>
    <n v="5.2"/>
    <n v="1.8"/>
    <x v="170"/>
    <x v="31"/>
    <x v="1"/>
  </r>
  <r>
    <n v="1482"/>
    <n v="7.4"/>
    <n v="2.4"/>
    <x v="170"/>
    <x v="306"/>
    <x v="1"/>
  </r>
  <r>
    <n v="1123"/>
    <n v="4.833333333333333"/>
    <n v="2.5"/>
    <x v="171"/>
    <x v="307"/>
    <x v="0"/>
  </r>
  <r>
    <n v="1165"/>
    <n v="7.333333333333333"/>
    <n v="2"/>
    <x v="171"/>
    <x v="308"/>
    <x v="0"/>
  </r>
  <r>
    <n v="1497"/>
    <n v="3"/>
    <n v="1.6666666666666667"/>
    <x v="171"/>
    <x v="309"/>
    <x v="0"/>
  </r>
  <r>
    <n v="1504"/>
    <n v="4.333333333333333"/>
    <n v="2"/>
    <x v="171"/>
    <x v="55"/>
    <x v="1"/>
  </r>
  <r>
    <n v="1958"/>
    <n v="4.333333333333333"/>
    <n v="1"/>
    <x v="171"/>
    <x v="62"/>
    <x v="0"/>
  </r>
  <r>
    <n v="1036"/>
    <n v="6.2"/>
    <n v="2"/>
    <x v="172"/>
    <x v="310"/>
    <x v="0"/>
  </r>
  <r>
    <n v="1936"/>
    <n v="5.2"/>
    <n v="2.2000000000000002"/>
    <x v="173"/>
    <x v="311"/>
    <x v="0"/>
  </r>
  <r>
    <n v="1684"/>
    <n v="4.8571428571428568"/>
    <n v="1.5714285714285714"/>
    <x v="174"/>
    <x v="312"/>
    <x v="1"/>
  </r>
  <r>
    <n v="1113"/>
    <n v="7.25"/>
    <n v="1.75"/>
    <x v="175"/>
    <x v="313"/>
    <x v="0"/>
  </r>
  <r>
    <n v="1142"/>
    <n v="5"/>
    <n v="1.8333333333333333"/>
    <x v="175"/>
    <x v="314"/>
    <x v="1"/>
  </r>
  <r>
    <n v="1170"/>
    <n v="10"/>
    <n v="3"/>
    <x v="175"/>
    <x v="315"/>
    <x v="0"/>
  </r>
  <r>
    <n v="1447"/>
    <n v="5"/>
    <n v="2"/>
    <x v="175"/>
    <x v="194"/>
    <x v="1"/>
  </r>
  <r>
    <n v="1529"/>
    <n v="4.5"/>
    <n v="2"/>
    <x v="175"/>
    <x v="316"/>
    <x v="1"/>
  </r>
  <r>
    <n v="1904"/>
    <n v="5.5"/>
    <n v="2"/>
    <x v="175"/>
    <x v="277"/>
    <x v="0"/>
  </r>
  <r>
    <n v="1949"/>
    <n v="4"/>
    <n v="2"/>
    <x v="175"/>
    <x v="317"/>
    <x v="1"/>
  </r>
  <r>
    <n v="1317"/>
    <n v="6"/>
    <n v="2.625"/>
    <x v="176"/>
    <x v="318"/>
    <x v="0"/>
  </r>
  <r>
    <n v="1552"/>
    <n v="6.333333333333333"/>
    <n v="3"/>
    <x v="177"/>
    <x v="319"/>
    <x v="1"/>
  </r>
  <r>
    <n v="1078"/>
    <n v="4.333333333333333"/>
    <n v="1.6666666666666667"/>
    <x v="178"/>
    <x v="320"/>
    <x v="1"/>
  </r>
  <r>
    <n v="1232"/>
    <n v="5.4444444444444446"/>
    <n v="1.5555555555555556"/>
    <x v="178"/>
    <x v="321"/>
    <x v="1"/>
  </r>
  <r>
    <n v="1335"/>
    <n v="5.166666666666667"/>
    <n v="2.1666666666666665"/>
    <x v="178"/>
    <x v="322"/>
    <x v="0"/>
  </r>
  <r>
    <n v="1427"/>
    <n v="4.666666666666667"/>
    <n v="2.3333333333333335"/>
    <x v="178"/>
    <x v="323"/>
    <x v="1"/>
  </r>
  <r>
    <n v="1908"/>
    <n v="5.75"/>
    <n v="2.25"/>
    <x v="179"/>
    <x v="324"/>
    <x v="0"/>
  </r>
  <r>
    <n v="1926"/>
    <n v="4"/>
    <n v="1.75"/>
    <x v="180"/>
    <x v="325"/>
    <x v="1"/>
  </r>
  <r>
    <n v="1804"/>
    <n v="6"/>
    <n v="1.7777777777777777"/>
    <x v="181"/>
    <x v="326"/>
    <x v="1"/>
  </r>
  <r>
    <n v="1520"/>
    <n v="6"/>
    <n v="2"/>
    <x v="182"/>
    <x v="327"/>
    <x v="1"/>
  </r>
  <r>
    <n v="1302"/>
    <n v="6.5714285714285712"/>
    <n v="1.8571428571428572"/>
    <x v="183"/>
    <x v="328"/>
    <x v="1"/>
  </r>
  <r>
    <n v="1380"/>
    <n v="7.4285714285714288"/>
    <n v="1.7142857142857142"/>
    <x v="183"/>
    <x v="329"/>
    <x v="0"/>
  </r>
  <r>
    <n v="1092"/>
    <n v="4.5"/>
    <n v="2.5"/>
    <x v="184"/>
    <x v="330"/>
    <x v="0"/>
  </r>
  <r>
    <n v="1192"/>
    <n v="1"/>
    <n v="1"/>
    <x v="184"/>
    <x v="331"/>
    <x v="1"/>
  </r>
  <r>
    <n v="1339"/>
    <n v="6"/>
    <n v="2"/>
    <x v="184"/>
    <x v="332"/>
    <x v="0"/>
  </r>
  <r>
    <n v="1471"/>
    <n v="6"/>
    <n v="3"/>
    <x v="184"/>
    <x v="20"/>
    <x v="0"/>
  </r>
  <r>
    <n v="1528"/>
    <n v="5.5"/>
    <n v="2"/>
    <x v="184"/>
    <x v="333"/>
    <x v="0"/>
  </r>
  <r>
    <n v="1701"/>
    <n v="5.5"/>
    <n v="2.5"/>
    <x v="184"/>
    <x v="334"/>
    <x v="0"/>
  </r>
  <r>
    <n v="1742"/>
    <n v="9"/>
    <n v="1.6666666666666667"/>
    <x v="184"/>
    <x v="335"/>
    <x v="1"/>
  </r>
  <r>
    <n v="1857"/>
    <n v="8"/>
    <n v="2"/>
    <x v="184"/>
    <x v="42"/>
    <x v="1"/>
  </r>
  <r>
    <n v="1867"/>
    <n v="2"/>
    <n v="2"/>
    <x v="184"/>
    <x v="72"/>
    <x v="1"/>
  </r>
  <r>
    <n v="1909"/>
    <n v="5"/>
    <n v="1.6666666666666667"/>
    <x v="184"/>
    <x v="336"/>
    <x v="1"/>
  </r>
  <r>
    <n v="1975"/>
    <n v="7"/>
    <n v="1.6666666666666667"/>
    <x v="184"/>
    <x v="337"/>
    <x v="0"/>
  </r>
  <r>
    <n v="1970"/>
    <n v="6.125"/>
    <n v="2.125"/>
    <x v="185"/>
    <x v="338"/>
    <x v="1"/>
  </r>
  <r>
    <n v="1379"/>
    <n v="8.25"/>
    <n v="1.5"/>
    <x v="186"/>
    <x v="18"/>
    <x v="1"/>
  </r>
  <r>
    <n v="1406"/>
    <n v="5.5"/>
    <n v="1.5"/>
    <x v="186"/>
    <x v="339"/>
    <x v="1"/>
  </r>
  <r>
    <n v="1431"/>
    <n v="2.75"/>
    <n v="2"/>
    <x v="187"/>
    <x v="340"/>
    <x v="0"/>
  </r>
  <r>
    <n v="1363"/>
    <n v="6"/>
    <n v="2"/>
    <x v="188"/>
    <x v="341"/>
    <x v="0"/>
  </r>
  <r>
    <n v="1677"/>
    <n v="6.666666666666667"/>
    <n v="1.6666666666666667"/>
    <x v="188"/>
    <x v="342"/>
    <x v="0"/>
  </r>
  <r>
    <n v="1842"/>
    <n v="8"/>
    <n v="1.3333333333333333"/>
    <x v="188"/>
    <x v="343"/>
    <x v="0"/>
  </r>
  <r>
    <n v="1849"/>
    <n v="4.666666666666667"/>
    <n v="2"/>
    <x v="188"/>
    <x v="344"/>
    <x v="0"/>
  </r>
  <r>
    <n v="1851"/>
    <n v="6"/>
    <n v="1.6666666666666667"/>
    <x v="188"/>
    <x v="345"/>
    <x v="0"/>
  </r>
  <r>
    <n v="1952"/>
    <n v="3.6666666666666665"/>
    <n v="3"/>
    <x v="188"/>
    <x v="346"/>
    <x v="0"/>
  </r>
  <r>
    <n v="1994"/>
    <n v="5.8"/>
    <n v="2"/>
    <x v="189"/>
    <x v="347"/>
    <x v="0"/>
  </r>
  <r>
    <n v="1580"/>
    <n v="6.5"/>
    <n v="1.6666666666666667"/>
    <x v="190"/>
    <x v="348"/>
    <x v="1"/>
  </r>
  <r>
    <n v="1203"/>
    <n v="5"/>
    <n v="2"/>
    <x v="191"/>
    <x v="349"/>
    <x v="1"/>
  </r>
  <r>
    <n v="1231"/>
    <n v="4"/>
    <n v="1.5"/>
    <x v="191"/>
    <x v="350"/>
    <x v="0"/>
  </r>
  <r>
    <n v="1265"/>
    <n v="8.5"/>
    <n v="3"/>
    <x v="191"/>
    <x v="351"/>
    <x v="0"/>
  </r>
  <r>
    <n v="1461"/>
    <n v="8.5"/>
    <n v="2"/>
    <x v="191"/>
    <x v="352"/>
    <x v="0"/>
  </r>
  <r>
    <n v="1772"/>
    <n v="1.5"/>
    <n v="2"/>
    <x v="191"/>
    <x v="353"/>
    <x v="1"/>
  </r>
  <r>
    <n v="1100"/>
    <n v="5"/>
    <n v="2.5"/>
    <x v="192"/>
    <x v="344"/>
    <x v="1"/>
  </r>
  <r>
    <n v="1474"/>
    <n v="6"/>
    <n v="2"/>
    <x v="192"/>
    <x v="22"/>
    <x v="0"/>
  </r>
  <r>
    <n v="1793"/>
    <n v="6.1428571428571432"/>
    <n v="2.5714285714285716"/>
    <x v="193"/>
    <x v="354"/>
    <x v="0"/>
  </r>
  <r>
    <n v="1146"/>
    <n v="4.2"/>
    <n v="2.2000000000000002"/>
    <x v="194"/>
    <x v="355"/>
    <x v="1"/>
  </r>
  <r>
    <n v="1217"/>
    <n v="7.2"/>
    <n v="2.2000000000000002"/>
    <x v="194"/>
    <x v="356"/>
    <x v="0"/>
  </r>
  <r>
    <n v="1752"/>
    <n v="8"/>
    <n v="1.6666666666666667"/>
    <x v="195"/>
    <x v="87"/>
    <x v="1"/>
  </r>
  <r>
    <n v="1055"/>
    <n v="3.6666666666666665"/>
    <n v="2.3333333333333335"/>
    <x v="196"/>
    <x v="357"/>
    <x v="0"/>
  </r>
  <r>
    <n v="1220"/>
    <n v="7"/>
    <n v="2"/>
    <x v="196"/>
    <x v="358"/>
    <x v="0"/>
  </r>
  <r>
    <n v="1307"/>
    <n v="6.333333333333333"/>
    <n v="2.3333333333333335"/>
    <x v="196"/>
    <x v="359"/>
    <x v="1"/>
  </r>
  <r>
    <n v="1369"/>
    <n v="9.3333333333333339"/>
    <n v="2.3333333333333335"/>
    <x v="196"/>
    <x v="360"/>
    <x v="1"/>
  </r>
  <r>
    <n v="1375"/>
    <n v="5"/>
    <n v="2"/>
    <x v="197"/>
    <x v="361"/>
    <x v="0"/>
  </r>
  <r>
    <n v="1407"/>
    <n v="6"/>
    <n v="1.5"/>
    <x v="198"/>
    <x v="362"/>
    <x v="0"/>
  </r>
  <r>
    <n v="1611"/>
    <n v="4.5"/>
    <n v="1.5"/>
    <x v="198"/>
    <x v="194"/>
    <x v="0"/>
  </r>
  <r>
    <n v="1685"/>
    <n v="3.75"/>
    <n v="1.5"/>
    <x v="198"/>
    <x v="363"/>
    <x v="0"/>
  </r>
  <r>
    <n v="1748"/>
    <n v="6.75"/>
    <n v="2"/>
    <x v="198"/>
    <x v="364"/>
    <x v="1"/>
  </r>
  <r>
    <n v="1219"/>
    <n v="4.2222222222222223"/>
    <n v="1.8888888888888888"/>
    <x v="199"/>
    <x v="365"/>
    <x v="1"/>
  </r>
  <r>
    <n v="1812"/>
    <n v="6.2"/>
    <n v="2.2000000000000002"/>
    <x v="200"/>
    <x v="90"/>
    <x v="1"/>
  </r>
  <r>
    <n v="1094"/>
    <n v="4.2"/>
    <n v="1.6"/>
    <x v="201"/>
    <x v="41"/>
    <x v="1"/>
  </r>
  <r>
    <n v="1458"/>
    <n v="3.6666666666666665"/>
    <n v="1.6666666666666667"/>
    <x v="202"/>
    <x v="366"/>
    <x v="1"/>
  </r>
  <r>
    <n v="1738"/>
    <n v="4.5"/>
    <n v="2"/>
    <x v="202"/>
    <x v="367"/>
    <x v="1"/>
  </r>
  <r>
    <n v="1882"/>
    <n v="6.833333333333333"/>
    <n v="2.8333333333333335"/>
    <x v="202"/>
    <x v="368"/>
    <x v="1"/>
  </r>
  <r>
    <n v="1821"/>
    <n v="7.166666666666667"/>
    <n v="2.3333333333333335"/>
    <x v="203"/>
    <x v="369"/>
    <x v="1"/>
  </r>
  <r>
    <n v="1032"/>
    <n v="5.333333333333333"/>
    <n v="2.3333333333333335"/>
    <x v="204"/>
    <x v="361"/>
    <x v="0"/>
  </r>
  <r>
    <n v="1366"/>
    <n v="8"/>
    <n v="2.3333333333333335"/>
    <x v="204"/>
    <x v="370"/>
    <x v="0"/>
  </r>
  <r>
    <n v="1489"/>
    <n v="5.833333333333333"/>
    <n v="2.1666666666666665"/>
    <x v="204"/>
    <x v="371"/>
    <x v="1"/>
  </r>
  <r>
    <n v="1898"/>
    <n v="6.75"/>
    <n v="1.75"/>
    <x v="204"/>
    <x v="372"/>
    <x v="0"/>
  </r>
  <r>
    <n v="1014"/>
    <n v="4.2"/>
    <n v="1.8"/>
    <x v="205"/>
    <x v="373"/>
    <x v="0"/>
  </r>
  <r>
    <n v="1049"/>
    <n v="5"/>
    <n v="3"/>
    <x v="205"/>
    <x v="48"/>
    <x v="1"/>
  </r>
  <r>
    <n v="1167"/>
    <n v="7"/>
    <n v="2.8"/>
    <x v="205"/>
    <x v="374"/>
    <x v="1"/>
  </r>
  <r>
    <n v="1187"/>
    <n v="4.75"/>
    <n v="1.75"/>
    <x v="205"/>
    <x v="52"/>
    <x v="1"/>
  </r>
  <r>
    <n v="1271"/>
    <n v="3"/>
    <n v="2"/>
    <x v="205"/>
    <x v="375"/>
    <x v="0"/>
  </r>
  <r>
    <n v="1274"/>
    <n v="8"/>
    <n v="1"/>
    <x v="205"/>
    <x v="178"/>
    <x v="0"/>
  </r>
  <r>
    <n v="1344"/>
    <n v="6.8"/>
    <n v="1.6"/>
    <x v="205"/>
    <x v="234"/>
    <x v="0"/>
  </r>
  <r>
    <n v="1370"/>
    <n v="6.2"/>
    <n v="2"/>
    <x v="205"/>
    <x v="376"/>
    <x v="1"/>
  </r>
  <r>
    <n v="1373"/>
    <n v="6.4"/>
    <n v="2"/>
    <x v="205"/>
    <x v="377"/>
    <x v="1"/>
  </r>
  <r>
    <n v="1395"/>
    <n v="9.25"/>
    <n v="1.5"/>
    <x v="205"/>
    <x v="378"/>
    <x v="0"/>
  </r>
  <r>
    <n v="1605"/>
    <n v="3"/>
    <n v="3"/>
    <x v="205"/>
    <x v="379"/>
    <x v="0"/>
  </r>
  <r>
    <n v="1623"/>
    <n v="5.25"/>
    <n v="1.75"/>
    <x v="205"/>
    <x v="380"/>
    <x v="1"/>
  </r>
  <r>
    <n v="1676"/>
    <n v="5.5"/>
    <n v="2.5"/>
    <x v="205"/>
    <x v="380"/>
    <x v="1"/>
  </r>
  <r>
    <n v="1698"/>
    <n v="7"/>
    <n v="1.5"/>
    <x v="205"/>
    <x v="381"/>
    <x v="0"/>
  </r>
  <r>
    <n v="1740"/>
    <n v="7.75"/>
    <n v="2.25"/>
    <x v="205"/>
    <x v="382"/>
    <x v="0"/>
  </r>
  <r>
    <n v="1930"/>
    <n v="10"/>
    <n v="1.5"/>
    <x v="205"/>
    <x v="383"/>
    <x v="0"/>
  </r>
  <r>
    <n v="1990"/>
    <n v="2.5"/>
    <n v="2"/>
    <x v="205"/>
    <x v="40"/>
    <x v="0"/>
  </r>
  <r>
    <n v="1661"/>
    <n v="4.833333333333333"/>
    <n v="2"/>
    <x v="206"/>
    <x v="384"/>
    <x v="0"/>
  </r>
  <r>
    <n v="1899"/>
    <n v="5.666666666666667"/>
    <n v="2.3333333333333335"/>
    <x v="206"/>
    <x v="258"/>
    <x v="1"/>
  </r>
  <r>
    <n v="1669"/>
    <n v="5.4285714285714288"/>
    <n v="2.2857142857142856"/>
    <x v="207"/>
    <x v="385"/>
    <x v="0"/>
  </r>
  <r>
    <n v="1105"/>
    <n v="4.8"/>
    <n v="2.4"/>
    <x v="208"/>
    <x v="386"/>
    <x v="1"/>
  </r>
  <r>
    <n v="1377"/>
    <n v="6.4"/>
    <n v="1.6"/>
    <x v="208"/>
    <x v="387"/>
    <x v="0"/>
  </r>
  <r>
    <n v="1637"/>
    <n v="6.4"/>
    <n v="2"/>
    <x v="208"/>
    <x v="388"/>
    <x v="0"/>
  </r>
  <r>
    <n v="1659"/>
    <n v="6.8"/>
    <n v="1.8"/>
    <x v="208"/>
    <x v="389"/>
    <x v="0"/>
  </r>
  <r>
    <n v="1935"/>
    <n v="7.8"/>
    <n v="2"/>
    <x v="208"/>
    <x v="390"/>
    <x v="1"/>
  </r>
  <r>
    <n v="1040"/>
    <n v="4.75"/>
    <n v="2.5"/>
    <x v="209"/>
    <x v="391"/>
    <x v="1"/>
  </r>
  <r>
    <n v="1169"/>
    <n v="4.75"/>
    <n v="1.5"/>
    <x v="209"/>
    <x v="392"/>
    <x v="0"/>
  </r>
  <r>
    <n v="1434"/>
    <n v="6.125"/>
    <n v="2.375"/>
    <x v="209"/>
    <x v="393"/>
    <x v="0"/>
  </r>
  <r>
    <n v="1616"/>
    <n v="5"/>
    <n v="2.5"/>
    <x v="209"/>
    <x v="394"/>
    <x v="0"/>
  </r>
  <r>
    <n v="1027"/>
    <n v="4.833333333333333"/>
    <n v="1.5"/>
    <x v="210"/>
    <x v="395"/>
    <x v="0"/>
  </r>
  <r>
    <n v="1364"/>
    <n v="5.666666666666667"/>
    <n v="1.1666666666666667"/>
    <x v="210"/>
    <x v="396"/>
    <x v="1"/>
  </r>
  <r>
    <n v="1501"/>
    <n v="4.666666666666667"/>
    <n v="1.6666666666666667"/>
    <x v="210"/>
    <x v="2"/>
    <x v="1"/>
  </r>
  <r>
    <n v="1006"/>
    <n v="5.833333333333333"/>
    <n v="1.3333333333333333"/>
    <x v="211"/>
    <x v="397"/>
    <x v="1"/>
  </r>
  <r>
    <n v="1058"/>
    <n v="6.666666666666667"/>
    <n v="2.6666666666666665"/>
    <x v="211"/>
    <x v="398"/>
    <x v="0"/>
  </r>
  <r>
    <n v="1598"/>
    <n v="6.333333333333333"/>
    <n v="1.3333333333333333"/>
    <x v="211"/>
    <x v="399"/>
    <x v="1"/>
  </r>
  <r>
    <n v="1671"/>
    <n v="6"/>
    <n v="2.1428571428571428"/>
    <x v="212"/>
    <x v="400"/>
    <x v="1"/>
  </r>
  <r>
    <n v="1038"/>
    <n v="5"/>
    <n v="1.9166666666666667"/>
    <x v="213"/>
    <x v="401"/>
    <x v="0"/>
  </r>
  <r>
    <n v="1713"/>
    <n v="6"/>
    <n v="1.5"/>
    <x v="214"/>
    <x v="402"/>
    <x v="0"/>
  </r>
  <r>
    <n v="1020"/>
    <n v="6.5"/>
    <n v="2"/>
    <x v="215"/>
    <x v="403"/>
    <x v="1"/>
  </r>
  <r>
    <n v="1082"/>
    <n v="8"/>
    <n v="3"/>
    <x v="215"/>
    <x v="404"/>
    <x v="0"/>
  </r>
  <r>
    <n v="1163"/>
    <n v="6.5"/>
    <n v="1.5"/>
    <x v="215"/>
    <x v="62"/>
    <x v="0"/>
  </r>
  <r>
    <n v="1177"/>
    <n v="4.75"/>
    <n v="1.75"/>
    <x v="215"/>
    <x v="405"/>
    <x v="0"/>
  </r>
  <r>
    <n v="1214"/>
    <n v="7"/>
    <n v="3"/>
    <x v="215"/>
    <x v="406"/>
    <x v="1"/>
  </r>
  <r>
    <n v="1469"/>
    <n v="6"/>
    <n v="2.5"/>
    <x v="215"/>
    <x v="126"/>
    <x v="1"/>
  </r>
  <r>
    <n v="1728"/>
    <n v="6"/>
    <n v="1.5"/>
    <x v="215"/>
    <x v="407"/>
    <x v="0"/>
  </r>
  <r>
    <n v="1810"/>
    <n v="6"/>
    <n v="1.5"/>
    <x v="215"/>
    <x v="407"/>
    <x v="0"/>
  </r>
  <r>
    <n v="1963"/>
    <n v="4.75"/>
    <n v="2.25"/>
    <x v="215"/>
    <x v="408"/>
    <x v="0"/>
  </r>
  <r>
    <n v="1110"/>
    <n v="7"/>
    <n v="1.8"/>
    <x v="216"/>
    <x v="409"/>
    <x v="1"/>
  </r>
  <r>
    <n v="1714"/>
    <n v="8"/>
    <n v="2"/>
    <x v="217"/>
    <x v="410"/>
    <x v="1"/>
  </r>
  <r>
    <n v="1571"/>
    <n v="5.5"/>
    <n v="2"/>
    <x v="218"/>
    <x v="411"/>
    <x v="0"/>
  </r>
  <r>
    <n v="1724"/>
    <n v="4.4000000000000004"/>
    <n v="1.8"/>
    <x v="219"/>
    <x v="412"/>
    <x v="0"/>
  </r>
  <r>
    <n v="1143"/>
    <n v="5.5"/>
    <n v="2.1666666666666665"/>
    <x v="220"/>
    <x v="413"/>
    <x v="1"/>
  </r>
  <r>
    <n v="1250"/>
    <n v="3.8333333333333335"/>
    <n v="2.1666666666666665"/>
    <x v="220"/>
    <x v="414"/>
    <x v="0"/>
  </r>
  <r>
    <n v="1780"/>
    <n v="4.8571428571428568"/>
    <n v="1.7142857142857142"/>
    <x v="221"/>
    <x v="415"/>
    <x v="1"/>
  </r>
  <r>
    <n v="1372"/>
    <n v="6"/>
    <n v="2.25"/>
    <x v="222"/>
    <x v="416"/>
    <x v="1"/>
  </r>
  <r>
    <n v="1013"/>
    <n v="3.5"/>
    <n v="1.5"/>
    <x v="223"/>
    <x v="417"/>
    <x v="0"/>
  </r>
  <r>
    <n v="1037"/>
    <n v="5.333333333333333"/>
    <n v="1.6666666666666667"/>
    <x v="223"/>
    <x v="418"/>
    <x v="1"/>
  </r>
  <r>
    <n v="1112"/>
    <n v="5.4"/>
    <n v="1.9"/>
    <x v="223"/>
    <x v="42"/>
    <x v="0"/>
  </r>
  <r>
    <n v="1131"/>
    <n v="7.5"/>
    <n v="2.25"/>
    <x v="223"/>
    <x v="419"/>
    <x v="1"/>
  </r>
  <r>
    <n v="1166"/>
    <n v="5"/>
    <n v="2"/>
    <x v="223"/>
    <x v="420"/>
    <x v="1"/>
  </r>
  <r>
    <n v="1252"/>
    <n v="4.5714285714285712"/>
    <n v="2.1428571428571428"/>
    <x v="223"/>
    <x v="421"/>
    <x v="1"/>
  </r>
  <r>
    <n v="1392"/>
    <n v="5.8"/>
    <n v="2.4"/>
    <x v="223"/>
    <x v="422"/>
    <x v="0"/>
  </r>
  <r>
    <n v="1412"/>
    <n v="4"/>
    <n v="1"/>
    <x v="223"/>
    <x v="247"/>
    <x v="1"/>
  </r>
  <r>
    <n v="1415"/>
    <n v="3.6666666666666665"/>
    <n v="2"/>
    <x v="223"/>
    <x v="423"/>
    <x v="1"/>
  </r>
  <r>
    <n v="1575"/>
    <n v="2.5"/>
    <n v="2"/>
    <x v="223"/>
    <x v="424"/>
    <x v="0"/>
  </r>
  <r>
    <n v="1576"/>
    <n v="3.6666666666666665"/>
    <n v="2"/>
    <x v="223"/>
    <x v="425"/>
    <x v="1"/>
  </r>
  <r>
    <n v="1663"/>
    <n v="5.9"/>
    <n v="1.5"/>
    <x v="223"/>
    <x v="2"/>
    <x v="0"/>
  </r>
  <r>
    <n v="1734"/>
    <n v="6"/>
    <n v="1.6666666666666667"/>
    <x v="223"/>
    <x v="426"/>
    <x v="1"/>
  </r>
  <r>
    <n v="1872"/>
    <n v="7.5"/>
    <n v="1.5"/>
    <x v="223"/>
    <x v="427"/>
    <x v="0"/>
  </r>
  <r>
    <n v="1476"/>
    <n v="6"/>
    <n v="2"/>
    <x v="224"/>
    <x v="428"/>
    <x v="1"/>
  </r>
  <r>
    <n v="1235"/>
    <n v="5.5"/>
    <n v="2.5"/>
    <x v="225"/>
    <x v="429"/>
    <x v="1"/>
  </r>
  <r>
    <n v="1901"/>
    <n v="4.5"/>
    <n v="1.75"/>
    <x v="225"/>
    <x v="430"/>
    <x v="1"/>
  </r>
  <r>
    <n v="1601"/>
    <n v="7.2857142857142856"/>
    <n v="1.1428571428571428"/>
    <x v="226"/>
    <x v="431"/>
    <x v="1"/>
  </r>
  <r>
    <n v="1008"/>
    <n v="8.6666666666666661"/>
    <n v="2.3333333333333335"/>
    <x v="227"/>
    <x v="2"/>
    <x v="1"/>
  </r>
  <r>
    <n v="1190"/>
    <n v="5.333333333333333"/>
    <n v="1"/>
    <x v="227"/>
    <x v="432"/>
    <x v="1"/>
  </r>
  <r>
    <n v="1303"/>
    <n v="5.666666666666667"/>
    <n v="2"/>
    <x v="227"/>
    <x v="60"/>
    <x v="0"/>
  </r>
  <r>
    <n v="1562"/>
    <n v="8.3333333333333339"/>
    <n v="2.3333333333333335"/>
    <x v="227"/>
    <x v="72"/>
    <x v="1"/>
  </r>
  <r>
    <n v="1603"/>
    <n v="5.6"/>
    <n v="2"/>
    <x v="228"/>
    <x v="59"/>
    <x v="1"/>
  </r>
  <r>
    <n v="1885"/>
    <n v="9"/>
    <n v="2.2000000000000002"/>
    <x v="228"/>
    <x v="433"/>
    <x v="1"/>
  </r>
  <r>
    <n v="1609"/>
    <n v="7.5714285714285712"/>
    <n v="2"/>
    <x v="229"/>
    <x v="434"/>
    <x v="0"/>
  </r>
  <r>
    <n v="1003"/>
    <n v="7"/>
    <n v="3"/>
    <x v="230"/>
    <x v="435"/>
    <x v="0"/>
  </r>
  <r>
    <n v="1145"/>
    <n v="5.666666666666667"/>
    <n v="2.3333333333333335"/>
    <x v="230"/>
    <x v="436"/>
    <x v="1"/>
  </r>
  <r>
    <n v="1299"/>
    <n v="9.5"/>
    <n v="2.5"/>
    <x v="230"/>
    <x v="437"/>
    <x v="1"/>
  </r>
  <r>
    <n v="1496"/>
    <n v="5.25"/>
    <n v="2.25"/>
    <x v="230"/>
    <x v="438"/>
    <x v="0"/>
  </r>
  <r>
    <n v="1577"/>
    <n v="3.75"/>
    <n v="2.25"/>
    <x v="230"/>
    <x v="439"/>
    <x v="1"/>
  </r>
  <r>
    <n v="1919"/>
    <n v="4.5"/>
    <n v="2"/>
    <x v="230"/>
    <x v="440"/>
    <x v="1"/>
  </r>
  <r>
    <n v="1071"/>
    <n v="9"/>
    <n v="2"/>
    <x v="231"/>
    <x v="441"/>
    <x v="1"/>
  </r>
  <r>
    <n v="1088"/>
    <n v="5.5"/>
    <n v="1.75"/>
    <x v="231"/>
    <x v="442"/>
    <x v="1"/>
  </r>
  <r>
    <n v="1249"/>
    <n v="5"/>
    <n v="1.5"/>
    <x v="231"/>
    <x v="233"/>
    <x v="1"/>
  </r>
  <r>
    <n v="1398"/>
    <n v="4.666666666666667"/>
    <n v="1.5"/>
    <x v="231"/>
    <x v="443"/>
    <x v="1"/>
  </r>
  <r>
    <n v="1675"/>
    <n v="5.7777777777777777"/>
    <n v="2.2222222222222223"/>
    <x v="232"/>
    <x v="444"/>
    <x v="1"/>
  </r>
  <r>
    <n v="1085"/>
    <n v="4"/>
    <n v="1.5"/>
    <x v="233"/>
    <x v="445"/>
    <x v="1"/>
  </r>
  <r>
    <n v="1042"/>
    <n v="4.833333333333333"/>
    <n v="2.1666666666666665"/>
    <x v="234"/>
    <x v="446"/>
    <x v="0"/>
  </r>
  <r>
    <n v="1439"/>
    <n v="7"/>
    <n v="1.6666666666666667"/>
    <x v="234"/>
    <x v="447"/>
    <x v="0"/>
  </r>
  <r>
    <n v="1792"/>
    <n v="6.333333333333333"/>
    <n v="2.3333333333333335"/>
    <x v="234"/>
    <x v="448"/>
    <x v="1"/>
  </r>
  <r>
    <n v="1871"/>
    <n v="4"/>
    <n v="2.3333333333333335"/>
    <x v="234"/>
    <x v="449"/>
    <x v="1"/>
  </r>
  <r>
    <n v="1891"/>
    <n v="3.3333333333333335"/>
    <n v="1.6666666666666667"/>
    <x v="234"/>
    <x v="102"/>
    <x v="0"/>
  </r>
  <r>
    <n v="1980"/>
    <n v="3.6666666666666665"/>
    <n v="3"/>
    <x v="234"/>
    <x v="450"/>
    <x v="1"/>
  </r>
  <r>
    <n v="1756"/>
    <n v="5.666666666666667"/>
    <n v="2"/>
    <x v="235"/>
    <x v="451"/>
    <x v="1"/>
  </r>
  <r>
    <n v="1697"/>
    <n v="5"/>
    <n v="1.5"/>
    <x v="236"/>
    <x v="408"/>
    <x v="0"/>
  </r>
  <r>
    <n v="1499"/>
    <n v="7.25"/>
    <n v="1.75"/>
    <x v="237"/>
    <x v="452"/>
    <x v="0"/>
  </r>
  <r>
    <n v="1286"/>
    <n v="4.8"/>
    <n v="2.2000000000000002"/>
    <x v="238"/>
    <x v="453"/>
    <x v="1"/>
  </r>
  <r>
    <n v="1531"/>
    <n v="6.4"/>
    <n v="2.2000000000000002"/>
    <x v="238"/>
    <x v="454"/>
    <x v="0"/>
  </r>
  <r>
    <n v="1216"/>
    <n v="4.166666666666667"/>
    <n v="2.1666666666666665"/>
    <x v="239"/>
    <x v="455"/>
    <x v="0"/>
  </r>
  <r>
    <n v="1144"/>
    <n v="5.1428571428571432"/>
    <n v="1.8571428571428572"/>
    <x v="240"/>
    <x v="456"/>
    <x v="0"/>
  </r>
  <r>
    <n v="1830"/>
    <n v="5.166666666666667"/>
    <n v="1.8333333333333333"/>
    <x v="241"/>
    <x v="457"/>
    <x v="0"/>
  </r>
  <r>
    <n v="1053"/>
    <n v="5"/>
    <n v="1.8"/>
    <x v="242"/>
    <x v="42"/>
    <x v="0"/>
  </r>
  <r>
    <n v="1202"/>
    <n v="7.25"/>
    <n v="2"/>
    <x v="242"/>
    <x v="458"/>
    <x v="0"/>
  </r>
  <r>
    <n v="1321"/>
    <n v="3"/>
    <n v="2"/>
    <x v="242"/>
    <x v="0"/>
    <x v="1"/>
  </r>
  <r>
    <n v="1328"/>
    <n v="6.5"/>
    <n v="1.75"/>
    <x v="242"/>
    <x v="459"/>
    <x v="0"/>
  </r>
  <r>
    <n v="1435"/>
    <n v="3.4"/>
    <n v="1.8"/>
    <x v="242"/>
    <x v="356"/>
    <x v="1"/>
  </r>
  <r>
    <n v="1556"/>
    <n v="6.5"/>
    <n v="1.5"/>
    <x v="242"/>
    <x v="460"/>
    <x v="0"/>
  </r>
  <r>
    <n v="1607"/>
    <n v="5"/>
    <n v="2.25"/>
    <x v="242"/>
    <x v="461"/>
    <x v="1"/>
  </r>
  <r>
    <n v="1619"/>
    <n v="3.5"/>
    <n v="1.5"/>
    <x v="242"/>
    <x v="24"/>
    <x v="0"/>
  </r>
  <r>
    <n v="1746"/>
    <n v="7.5"/>
    <n v="1.5"/>
    <x v="242"/>
    <x v="250"/>
    <x v="0"/>
  </r>
  <r>
    <n v="1942"/>
    <n v="2"/>
    <n v="2"/>
    <x v="242"/>
    <x v="462"/>
    <x v="1"/>
  </r>
  <r>
    <n v="1955"/>
    <n v="5.2857142857142856"/>
    <n v="1.8571428571428572"/>
    <x v="242"/>
    <x v="463"/>
    <x v="1"/>
  </r>
  <r>
    <n v="1033"/>
    <n v="4"/>
    <n v="1.6666666666666667"/>
    <x v="243"/>
    <x v="464"/>
    <x v="1"/>
  </r>
  <r>
    <n v="1114"/>
    <n v="5.666666666666667"/>
    <n v="1.3333333333333333"/>
    <x v="243"/>
    <x v="465"/>
    <x v="1"/>
  </r>
  <r>
    <n v="1276"/>
    <n v="7.5"/>
    <n v="1.6666666666666667"/>
    <x v="243"/>
    <x v="466"/>
    <x v="1"/>
  </r>
  <r>
    <n v="1280"/>
    <n v="4"/>
    <n v="1.6666666666666667"/>
    <x v="243"/>
    <x v="467"/>
    <x v="0"/>
  </r>
  <r>
    <n v="1283"/>
    <n v="7.666666666666667"/>
    <n v="1.3333333333333333"/>
    <x v="243"/>
    <x v="468"/>
    <x v="1"/>
  </r>
  <r>
    <n v="1319"/>
    <n v="2.6666666666666665"/>
    <n v="2"/>
    <x v="243"/>
    <x v="469"/>
    <x v="1"/>
  </r>
  <r>
    <n v="1751"/>
    <n v="5.25"/>
    <n v="1.75"/>
    <x v="243"/>
    <x v="178"/>
    <x v="0"/>
  </r>
  <r>
    <n v="1825"/>
    <n v="3.5"/>
    <n v="2.25"/>
    <x v="243"/>
    <x v="48"/>
    <x v="0"/>
  </r>
  <r>
    <n v="1893"/>
    <n v="5.333333333333333"/>
    <n v="2"/>
    <x v="243"/>
    <x v="470"/>
    <x v="0"/>
  </r>
  <r>
    <n v="1622"/>
    <n v="4.125"/>
    <n v="1.75"/>
    <x v="244"/>
    <x v="471"/>
    <x v="1"/>
  </r>
  <r>
    <n v="1019"/>
    <n v="6.166666666666667"/>
    <n v="2"/>
    <x v="245"/>
    <x v="472"/>
    <x v="0"/>
  </r>
  <r>
    <n v="1560"/>
    <n v="4.5999999999999996"/>
    <n v="2"/>
    <x v="246"/>
    <x v="473"/>
    <x v="1"/>
  </r>
  <r>
    <n v="1536"/>
    <n v="5.4285714285714288"/>
    <n v="2.1428571428571428"/>
    <x v="247"/>
    <x v="474"/>
    <x v="1"/>
  </r>
  <r>
    <n v="1428"/>
    <n v="2.6666666666666665"/>
    <n v="1.6666666666666667"/>
    <x v="248"/>
    <x v="373"/>
    <x v="1"/>
  </r>
  <r>
    <n v="1400"/>
    <n v="5.75"/>
    <n v="2.25"/>
    <x v="249"/>
    <x v="475"/>
    <x v="0"/>
  </r>
  <r>
    <n v="1572"/>
    <n v="5"/>
    <n v="1.8"/>
    <x v="250"/>
    <x v="289"/>
    <x v="0"/>
  </r>
  <r>
    <n v="1116"/>
    <n v="4.625"/>
    <n v="1.875"/>
    <x v="251"/>
    <x v="280"/>
    <x v="0"/>
  </r>
  <r>
    <n v="1775"/>
    <n v="6"/>
    <n v="1.8333333333333333"/>
    <x v="251"/>
    <x v="476"/>
    <x v="1"/>
  </r>
  <r>
    <n v="1073"/>
    <n v="6"/>
    <n v="2"/>
    <x v="252"/>
    <x v="25"/>
    <x v="1"/>
  </r>
  <r>
    <n v="1108"/>
    <n v="3.5"/>
    <n v="2"/>
    <x v="252"/>
    <x v="477"/>
    <x v="1"/>
  </r>
  <r>
    <n v="1233"/>
    <n v="10"/>
    <n v="2.5"/>
    <x v="252"/>
    <x v="478"/>
    <x v="0"/>
  </r>
  <r>
    <n v="1429"/>
    <n v="5.5"/>
    <n v="2"/>
    <x v="252"/>
    <x v="479"/>
    <x v="1"/>
  </r>
  <r>
    <n v="1543"/>
    <n v="4.5"/>
    <n v="1.5"/>
    <x v="252"/>
    <x v="178"/>
    <x v="1"/>
  </r>
  <r>
    <n v="1148"/>
    <n v="5.7142857142857144"/>
    <n v="2"/>
    <x v="253"/>
    <x v="480"/>
    <x v="0"/>
  </r>
  <r>
    <n v="1725"/>
    <n v="6.2"/>
    <n v="1.8"/>
    <x v="254"/>
    <x v="481"/>
    <x v="0"/>
  </r>
  <r>
    <n v="1228"/>
    <n v="5.25"/>
    <n v="2"/>
    <x v="255"/>
    <x v="101"/>
    <x v="1"/>
  </r>
  <r>
    <n v="1287"/>
    <n v="4.625"/>
    <n v="2"/>
    <x v="255"/>
    <x v="482"/>
    <x v="0"/>
  </r>
  <r>
    <n v="1061"/>
    <n v="5"/>
    <n v="2.3333333333333335"/>
    <x v="256"/>
    <x v="483"/>
    <x v="1"/>
  </r>
  <r>
    <n v="1618"/>
    <n v="4"/>
    <n v="1.6666666666666667"/>
    <x v="256"/>
    <x v="143"/>
    <x v="0"/>
  </r>
  <r>
    <n v="1768"/>
    <n v="4"/>
    <n v="2.3333333333333335"/>
    <x v="256"/>
    <x v="484"/>
    <x v="1"/>
  </r>
  <r>
    <n v="1262"/>
    <n v="7"/>
    <n v="1.75"/>
    <x v="257"/>
    <x v="485"/>
    <x v="1"/>
  </r>
  <r>
    <n v="1390"/>
    <n v="2.25"/>
    <n v="1.75"/>
    <x v="258"/>
    <x v="486"/>
    <x v="1"/>
  </r>
  <r>
    <n v="1841"/>
    <n v="6.75"/>
    <n v="2"/>
    <x v="258"/>
    <x v="487"/>
    <x v="0"/>
  </r>
  <r>
    <n v="1101"/>
    <n v="4.8"/>
    <n v="2"/>
    <x v="259"/>
    <x v="488"/>
    <x v="1"/>
  </r>
  <r>
    <n v="1726"/>
    <n v="5.5714285714285712"/>
    <n v="1.7142857142857142"/>
    <x v="260"/>
    <x v="489"/>
    <x v="1"/>
  </r>
  <r>
    <n v="1068"/>
    <n v="6"/>
    <n v="2"/>
    <x v="261"/>
    <x v="490"/>
    <x v="1"/>
  </r>
  <r>
    <n v="1024"/>
    <n v="6.6"/>
    <n v="1.8"/>
    <x v="262"/>
    <x v="491"/>
    <x v="0"/>
  </r>
  <r>
    <n v="1025"/>
    <n v="6.333333333333333"/>
    <n v="1.3333333333333333"/>
    <x v="262"/>
    <x v="7"/>
    <x v="1"/>
  </r>
  <r>
    <n v="1046"/>
    <n v="3.5"/>
    <n v="2"/>
    <x v="262"/>
    <x v="492"/>
    <x v="1"/>
  </r>
  <r>
    <n v="1048"/>
    <n v="4.5"/>
    <n v="2"/>
    <x v="262"/>
    <x v="357"/>
    <x v="0"/>
  </r>
  <r>
    <n v="1062"/>
    <n v="6.2"/>
    <n v="1.4"/>
    <x v="262"/>
    <x v="51"/>
    <x v="0"/>
  </r>
  <r>
    <n v="1229"/>
    <n v="6.333333333333333"/>
    <n v="1.6666666666666667"/>
    <x v="262"/>
    <x v="0"/>
    <x v="1"/>
  </r>
  <r>
    <n v="1277"/>
    <n v="4"/>
    <n v="1.3333333333333333"/>
    <x v="262"/>
    <x v="493"/>
    <x v="0"/>
  </r>
  <r>
    <n v="1342"/>
    <n v="7"/>
    <n v="3"/>
    <x v="262"/>
    <x v="20"/>
    <x v="1"/>
  </r>
  <r>
    <n v="1349"/>
    <n v="4.8571428571428568"/>
    <n v="2.4285714285714284"/>
    <x v="262"/>
    <x v="494"/>
    <x v="0"/>
  </r>
  <r>
    <n v="1578"/>
    <n v="8"/>
    <n v="2"/>
    <x v="262"/>
    <x v="495"/>
    <x v="1"/>
  </r>
  <r>
    <n v="1633"/>
    <n v="6.6"/>
    <n v="2"/>
    <x v="262"/>
    <x v="496"/>
    <x v="1"/>
  </r>
  <r>
    <n v="1801"/>
    <n v="6"/>
    <n v="2.3333333333333335"/>
    <x v="262"/>
    <x v="497"/>
    <x v="0"/>
  </r>
  <r>
    <n v="1854"/>
    <n v="1"/>
    <n v="2"/>
    <x v="262"/>
    <x v="498"/>
    <x v="0"/>
  </r>
  <r>
    <n v="1928"/>
    <n v="3.8"/>
    <n v="2.2000000000000002"/>
    <x v="262"/>
    <x v="499"/>
    <x v="1"/>
  </r>
  <r>
    <n v="1086"/>
    <n v="4.5"/>
    <n v="2.25"/>
    <x v="263"/>
    <x v="500"/>
    <x v="0"/>
  </r>
  <r>
    <n v="1077"/>
    <n v="6.833333333333333"/>
    <n v="1.6666666666666667"/>
    <x v="264"/>
    <x v="501"/>
    <x v="0"/>
  </r>
  <r>
    <n v="1796"/>
    <n v="6.4"/>
    <n v="1.6"/>
    <x v="265"/>
    <x v="502"/>
    <x v="1"/>
  </r>
  <r>
    <n v="1518"/>
    <n v="8.75"/>
    <n v="2"/>
    <x v="266"/>
    <x v="503"/>
    <x v="0"/>
  </r>
  <r>
    <n v="1260"/>
    <n v="5.875"/>
    <n v="1.25"/>
    <x v="267"/>
    <x v="504"/>
    <x v="0"/>
  </r>
  <r>
    <n v="1245"/>
    <n v="3.6666666666666665"/>
    <n v="2"/>
    <x v="268"/>
    <x v="72"/>
    <x v="1"/>
  </r>
  <r>
    <n v="1687"/>
    <n v="4.333333333333333"/>
    <n v="2"/>
    <x v="268"/>
    <x v="505"/>
    <x v="0"/>
  </r>
  <r>
    <n v="1688"/>
    <n v="7.166666666666667"/>
    <n v="2"/>
    <x v="268"/>
    <x v="506"/>
    <x v="1"/>
  </r>
  <r>
    <n v="1784"/>
    <n v="4.333333333333333"/>
    <n v="1.6666666666666667"/>
    <x v="268"/>
    <x v="264"/>
    <x v="0"/>
  </r>
  <r>
    <n v="1470"/>
    <n v="3"/>
    <n v="2.2000000000000002"/>
    <x v="269"/>
    <x v="507"/>
    <x v="0"/>
  </r>
  <r>
    <n v="1359"/>
    <n v="5.4"/>
    <n v="2"/>
    <x v="270"/>
    <x v="508"/>
    <x v="0"/>
  </r>
  <r>
    <n v="1069"/>
    <n v="4.5"/>
    <n v="1.75"/>
    <x v="271"/>
    <x v="467"/>
    <x v="0"/>
  </r>
  <r>
    <n v="1204"/>
    <n v="5.5"/>
    <n v="2"/>
    <x v="271"/>
    <x v="509"/>
    <x v="0"/>
  </r>
  <r>
    <n v="1237"/>
    <n v="4"/>
    <n v="2"/>
    <x v="271"/>
    <x v="381"/>
    <x v="1"/>
  </r>
  <r>
    <n v="1781"/>
    <n v="5.5"/>
    <n v="2.5"/>
    <x v="271"/>
    <x v="510"/>
    <x v="0"/>
  </r>
  <r>
    <n v="1850"/>
    <n v="7.5"/>
    <n v="2"/>
    <x v="271"/>
    <x v="511"/>
    <x v="0"/>
  </r>
  <r>
    <n v="1941"/>
    <n v="9"/>
    <n v="1.5"/>
    <x v="271"/>
    <x v="512"/>
    <x v="1"/>
  </r>
  <r>
    <n v="1507"/>
    <n v="6.333333333333333"/>
    <n v="1.6666666666666667"/>
    <x v="272"/>
    <x v="130"/>
    <x v="1"/>
  </r>
  <r>
    <n v="1873"/>
    <n v="4"/>
    <n v="2.3333333333333335"/>
    <x v="272"/>
    <x v="56"/>
    <x v="0"/>
  </r>
  <r>
    <n v="1241"/>
    <n v="6.4285714285714288"/>
    <n v="1.8571428571428572"/>
    <x v="273"/>
    <x v="422"/>
    <x v="0"/>
  </r>
  <r>
    <n v="1887"/>
    <n v="3.5714285714285716"/>
    <n v="2.1428571428571428"/>
    <x v="274"/>
    <x v="513"/>
    <x v="1"/>
  </r>
  <r>
    <n v="1782"/>
    <n v="3.25"/>
    <n v="2"/>
    <x v="275"/>
    <x v="514"/>
    <x v="0"/>
  </r>
  <r>
    <n v="1329"/>
    <n v="3.8"/>
    <n v="2"/>
    <x v="276"/>
    <x v="512"/>
    <x v="1"/>
  </r>
  <r>
    <n v="1181"/>
    <n v="5.333333333333333"/>
    <n v="1.5"/>
    <x v="277"/>
    <x v="515"/>
    <x v="0"/>
  </r>
  <r>
    <n v="1916"/>
    <n v="6.666666666666667"/>
    <n v="1.5"/>
    <x v="277"/>
    <x v="131"/>
    <x v="1"/>
  </r>
  <r>
    <n v="1340"/>
    <n v="2.6666666666666665"/>
    <n v="1.3333333333333333"/>
    <x v="278"/>
    <x v="332"/>
    <x v="0"/>
  </r>
  <r>
    <n v="1517"/>
    <n v="3.5"/>
    <n v="1.5"/>
    <x v="278"/>
    <x v="352"/>
    <x v="1"/>
  </r>
  <r>
    <n v="1565"/>
    <n v="7.5"/>
    <n v="2.5"/>
    <x v="278"/>
    <x v="431"/>
    <x v="0"/>
  </r>
  <r>
    <n v="1673"/>
    <n v="8"/>
    <n v="1"/>
    <x v="278"/>
    <x v="84"/>
    <x v="1"/>
  </r>
  <r>
    <n v="1791"/>
    <n v="1"/>
    <n v="3"/>
    <x v="278"/>
    <x v="516"/>
    <x v="1"/>
  </r>
  <r>
    <n v="1940"/>
    <n v="6"/>
    <n v="1"/>
    <x v="278"/>
    <x v="517"/>
    <x v="1"/>
  </r>
  <r>
    <n v="1985"/>
    <n v="7"/>
    <n v="2.3333333333333335"/>
    <x v="278"/>
    <x v="304"/>
    <x v="0"/>
  </r>
  <r>
    <n v="1655"/>
    <n v="6.25"/>
    <n v="2"/>
    <x v="279"/>
    <x v="518"/>
    <x v="1"/>
  </r>
  <r>
    <n v="1861"/>
    <n v="5"/>
    <n v="2.6666666666666665"/>
    <x v="279"/>
    <x v="519"/>
    <x v="0"/>
  </r>
  <r>
    <n v="1200"/>
    <n v="4.5"/>
    <n v="1.25"/>
    <x v="280"/>
    <x v="520"/>
    <x v="0"/>
  </r>
  <r>
    <n v="1394"/>
    <n v="3.5"/>
    <n v="1.75"/>
    <x v="280"/>
    <x v="521"/>
    <x v="1"/>
  </r>
  <r>
    <n v="1401"/>
    <n v="5.5"/>
    <n v="2.25"/>
    <x v="281"/>
    <x v="522"/>
    <x v="1"/>
  </r>
  <r>
    <n v="1284"/>
    <n v="4.7142857142857144"/>
    <n v="2.2857142857142856"/>
    <x v="282"/>
    <x v="523"/>
    <x v="1"/>
  </r>
  <r>
    <n v="1205"/>
    <n v="5.666666666666667"/>
    <n v="1.3333333333333333"/>
    <x v="283"/>
    <x v="345"/>
    <x v="0"/>
  </r>
  <r>
    <n v="1297"/>
    <n v="5.666666666666667"/>
    <n v="1.3333333333333333"/>
    <x v="283"/>
    <x v="524"/>
    <x v="1"/>
  </r>
  <r>
    <n v="1886"/>
    <n v="7.666666666666667"/>
    <n v="2"/>
    <x v="283"/>
    <x v="525"/>
    <x v="1"/>
  </r>
  <r>
    <n v="1894"/>
    <n v="7.333333333333333"/>
    <n v="1.6666666666666667"/>
    <x v="283"/>
    <x v="526"/>
    <x v="0"/>
  </r>
  <r>
    <n v="1946"/>
    <n v="4"/>
    <n v="1.6666666666666667"/>
    <x v="283"/>
    <x v="527"/>
    <x v="1"/>
  </r>
  <r>
    <n v="1739"/>
    <n v="5.2"/>
    <n v="2"/>
    <x v="284"/>
    <x v="528"/>
    <x v="1"/>
  </r>
  <r>
    <n v="1512"/>
    <n v="4.4000000000000004"/>
    <n v="2.2000000000000002"/>
    <x v="285"/>
    <x v="529"/>
    <x v="0"/>
  </r>
  <r>
    <n v="1322"/>
    <n v="6.75"/>
    <n v="2.75"/>
    <x v="286"/>
    <x v="10"/>
    <x v="0"/>
  </r>
  <r>
    <n v="1381"/>
    <n v="4.5"/>
    <n v="1.75"/>
    <x v="286"/>
    <x v="458"/>
    <x v="1"/>
  </r>
  <r>
    <n v="1614"/>
    <n v="6"/>
    <n v="2"/>
    <x v="286"/>
    <x v="31"/>
    <x v="0"/>
  </r>
  <r>
    <n v="1888"/>
    <n v="2"/>
    <n v="1.5"/>
    <x v="286"/>
    <x v="530"/>
    <x v="0"/>
  </r>
  <r>
    <n v="1341"/>
    <n v="6"/>
    <n v="2.25"/>
    <x v="287"/>
    <x v="531"/>
    <x v="0"/>
  </r>
  <r>
    <n v="1282"/>
    <n v="4"/>
    <n v="2"/>
    <x v="288"/>
    <x v="532"/>
    <x v="1"/>
  </r>
  <r>
    <n v="1557"/>
    <n v="4"/>
    <n v="2"/>
    <x v="288"/>
    <x v="48"/>
    <x v="1"/>
  </r>
  <r>
    <n v="1680"/>
    <n v="6"/>
    <n v="1"/>
    <x v="288"/>
    <x v="156"/>
    <x v="0"/>
  </r>
  <r>
    <n v="1856"/>
    <n v="4"/>
    <n v="1.6666666666666667"/>
    <x v="288"/>
    <x v="533"/>
    <x v="1"/>
  </r>
  <r>
    <n v="1310"/>
    <n v="8.25"/>
    <n v="1.25"/>
    <x v="289"/>
    <x v="534"/>
    <x v="1"/>
  </r>
  <r>
    <n v="1848"/>
    <n v="6.25"/>
    <n v="1.75"/>
    <x v="290"/>
    <x v="535"/>
    <x v="1"/>
  </r>
  <r>
    <n v="1222"/>
    <n v="6.25"/>
    <n v="1.875"/>
    <x v="291"/>
    <x v="536"/>
    <x v="1"/>
  </r>
  <r>
    <n v="1115"/>
    <n v="7"/>
    <n v="2.3333333333333335"/>
    <x v="292"/>
    <x v="355"/>
    <x v="1"/>
  </r>
  <r>
    <n v="1709"/>
    <n v="7.666666666666667"/>
    <n v="2.1666666666666665"/>
    <x v="292"/>
    <x v="3"/>
    <x v="0"/>
  </r>
  <r>
    <n v="1924"/>
    <n v="2.6666666666666665"/>
    <n v="2.3333333333333335"/>
    <x v="292"/>
    <x v="537"/>
    <x v="0"/>
  </r>
  <r>
    <n v="1023"/>
    <n v="2"/>
    <n v="1"/>
    <x v="293"/>
    <x v="538"/>
    <x v="0"/>
  </r>
  <r>
    <n v="1076"/>
    <n v="4"/>
    <n v="3"/>
    <x v="293"/>
    <x v="293"/>
    <x v="1"/>
  </r>
  <r>
    <n v="1357"/>
    <n v="6.5"/>
    <n v="1"/>
    <x v="293"/>
    <x v="361"/>
    <x v="1"/>
  </r>
  <r>
    <n v="1418"/>
    <n v="5.75"/>
    <n v="2"/>
    <x v="293"/>
    <x v="539"/>
    <x v="1"/>
  </r>
  <r>
    <n v="1473"/>
    <n v="6.2"/>
    <n v="1.6"/>
    <x v="293"/>
    <x v="222"/>
    <x v="1"/>
  </r>
  <r>
    <n v="1638"/>
    <n v="1.5"/>
    <n v="2"/>
    <x v="293"/>
    <x v="342"/>
    <x v="0"/>
  </r>
  <r>
    <n v="1651"/>
    <n v="5"/>
    <n v="1"/>
    <x v="293"/>
    <x v="540"/>
    <x v="0"/>
  </r>
  <r>
    <n v="1712"/>
    <n v="10"/>
    <n v="1"/>
    <x v="293"/>
    <x v="541"/>
    <x v="1"/>
  </r>
  <r>
    <n v="1815"/>
    <n v="4.5"/>
    <n v="3"/>
    <x v="293"/>
    <x v="396"/>
    <x v="0"/>
  </r>
  <r>
    <n v="1819"/>
    <n v="6.5"/>
    <n v="2"/>
    <x v="293"/>
    <x v="542"/>
    <x v="1"/>
  </r>
  <r>
    <n v="1172"/>
    <n v="7.333333333333333"/>
    <n v="1.8333333333333333"/>
    <x v="294"/>
    <x v="543"/>
    <x v="0"/>
  </r>
  <r>
    <n v="1226"/>
    <n v="7.5"/>
    <n v="1.8333333333333333"/>
    <x v="295"/>
    <x v="544"/>
    <x v="1"/>
  </r>
  <r>
    <n v="1419"/>
    <n v="6.166666666666667"/>
    <n v="1.5"/>
    <x v="295"/>
    <x v="545"/>
    <x v="0"/>
  </r>
  <r>
    <n v="1253"/>
    <n v="4.375"/>
    <n v="1.875"/>
    <x v="296"/>
    <x v="546"/>
    <x v="1"/>
  </r>
  <r>
    <n v="1914"/>
    <n v="5.7142857142857144"/>
    <n v="1.8571428571428572"/>
    <x v="297"/>
    <x v="547"/>
    <x v="0"/>
  </r>
  <r>
    <n v="1656"/>
    <n v="7.333333333333333"/>
    <n v="2"/>
    <x v="298"/>
    <x v="548"/>
    <x v="0"/>
  </r>
  <r>
    <n v="1832"/>
    <n v="7.333333333333333"/>
    <n v="2.3333333333333335"/>
    <x v="298"/>
    <x v="150"/>
    <x v="0"/>
  </r>
  <r>
    <n v="1460"/>
    <n v="5"/>
    <n v="2.6666666666666665"/>
    <x v="299"/>
    <x v="549"/>
    <x v="1"/>
  </r>
  <r>
    <n v="1902"/>
    <n v="6.666666666666667"/>
    <n v="1.3333333333333333"/>
    <x v="299"/>
    <x v="550"/>
    <x v="0"/>
  </r>
  <r>
    <n v="1191"/>
    <n v="4.8"/>
    <n v="2"/>
    <x v="300"/>
    <x v="280"/>
    <x v="0"/>
  </r>
  <r>
    <n v="1593"/>
    <n v="5.7142857142857144"/>
    <n v="2"/>
    <x v="301"/>
    <x v="551"/>
    <x v="1"/>
  </r>
  <r>
    <n v="1160"/>
    <n v="6.7777777777777777"/>
    <n v="2.4444444444444446"/>
    <x v="302"/>
    <x v="552"/>
    <x v="0"/>
  </r>
  <r>
    <n v="1207"/>
    <n v="5.25"/>
    <n v="1.5"/>
    <x v="303"/>
    <x v="257"/>
    <x v="1"/>
  </r>
  <r>
    <n v="1258"/>
    <n v="5.5"/>
    <n v="2.25"/>
    <x v="303"/>
    <x v="553"/>
    <x v="1"/>
  </r>
  <r>
    <n v="1459"/>
    <n v="4"/>
    <n v="2.25"/>
    <x v="303"/>
    <x v="554"/>
    <x v="1"/>
  </r>
  <r>
    <n v="1524"/>
    <n v="7.5"/>
    <n v="1.75"/>
    <x v="303"/>
    <x v="308"/>
    <x v="1"/>
  </r>
  <r>
    <n v="1853"/>
    <n v="5.5"/>
    <n v="2.5"/>
    <x v="303"/>
    <x v="29"/>
    <x v="0"/>
  </r>
  <r>
    <n v="1175"/>
    <n v="1.5"/>
    <n v="3"/>
    <x v="304"/>
    <x v="555"/>
    <x v="0"/>
  </r>
  <r>
    <n v="1021"/>
    <n v="6.6"/>
    <n v="2.8"/>
    <x v="305"/>
    <x v="536"/>
    <x v="1"/>
  </r>
  <r>
    <n v="1267"/>
    <n v="4.833333333333333"/>
    <n v="1.6666666666666667"/>
    <x v="306"/>
    <x v="556"/>
    <x v="0"/>
  </r>
  <r>
    <n v="1477"/>
    <n v="4.666666666666667"/>
    <n v="2.3333333333333335"/>
    <x v="306"/>
    <x v="557"/>
    <x v="1"/>
  </r>
  <r>
    <n v="1877"/>
    <n v="5.666666666666667"/>
    <n v="2.3333333333333335"/>
    <x v="306"/>
    <x v="427"/>
    <x v="0"/>
  </r>
  <r>
    <n v="1925"/>
    <n v="5"/>
    <n v="2.3333333333333335"/>
    <x v="306"/>
    <x v="31"/>
    <x v="0"/>
  </r>
  <r>
    <n v="1974"/>
    <n v="4"/>
    <n v="1.6666666666666667"/>
    <x v="306"/>
    <x v="335"/>
    <x v="0"/>
  </r>
  <r>
    <n v="1920"/>
    <n v="6.833333333333333"/>
    <n v="2.1666666666666665"/>
    <x v="307"/>
    <x v="558"/>
    <x v="1"/>
  </r>
  <r>
    <n v="1279"/>
    <n v="6"/>
    <n v="2.25"/>
    <x v="308"/>
    <x v="559"/>
    <x v="0"/>
  </r>
  <r>
    <n v="1358"/>
    <n v="4.75"/>
    <n v="2.25"/>
    <x v="308"/>
    <x v="560"/>
    <x v="0"/>
  </r>
  <r>
    <n v="1555"/>
    <n v="5.5"/>
    <n v="1.5"/>
    <x v="309"/>
    <x v="561"/>
    <x v="1"/>
  </r>
  <r>
    <n v="1041"/>
    <n v="6.6"/>
    <n v="2.2000000000000002"/>
    <x v="310"/>
    <x v="562"/>
    <x v="0"/>
  </r>
  <r>
    <n v="1703"/>
    <n v="5.5"/>
    <n v="1.6666666666666667"/>
    <x v="311"/>
    <x v="563"/>
    <x v="1"/>
  </r>
  <r>
    <n v="1977"/>
    <n v="8.3333333333333339"/>
    <n v="2.3333333333333335"/>
    <x v="311"/>
    <x v="564"/>
    <x v="0"/>
  </r>
  <r>
    <n v="1001"/>
    <n v="6.166666666666667"/>
    <n v="2.1666666666666665"/>
    <x v="312"/>
    <x v="565"/>
    <x v="0"/>
  </r>
  <r>
    <n v="1799"/>
    <n v="6"/>
    <n v="1.5714285714285714"/>
    <x v="313"/>
    <x v="566"/>
    <x v="0"/>
  </r>
  <r>
    <n v="1083"/>
    <n v="5.375"/>
    <n v="1.75"/>
    <x v="314"/>
    <x v="567"/>
    <x v="1"/>
  </r>
  <r>
    <n v="1227"/>
    <n v="4.75"/>
    <n v="2.25"/>
    <x v="315"/>
    <x v="120"/>
    <x v="0"/>
  </r>
  <r>
    <n v="1135"/>
    <n v="4"/>
    <n v="2"/>
    <x v="316"/>
    <x v="568"/>
    <x v="1"/>
  </r>
  <r>
    <n v="1266"/>
    <n v="3"/>
    <n v="2"/>
    <x v="316"/>
    <x v="569"/>
    <x v="0"/>
  </r>
  <r>
    <n v="1330"/>
    <n v="9"/>
    <n v="3"/>
    <x v="316"/>
    <x v="163"/>
    <x v="1"/>
  </r>
  <r>
    <n v="1446"/>
    <n v="4"/>
    <n v="2.6666666666666665"/>
    <x v="316"/>
    <x v="570"/>
    <x v="0"/>
  </r>
  <r>
    <n v="1587"/>
    <n v="7.2"/>
    <n v="2.6"/>
    <x v="316"/>
    <x v="571"/>
    <x v="0"/>
  </r>
  <r>
    <n v="1630"/>
    <n v="5.25"/>
    <n v="1.75"/>
    <x v="316"/>
    <x v="20"/>
    <x v="0"/>
  </r>
  <r>
    <n v="1643"/>
    <n v="6.333333333333333"/>
    <n v="1.3333333333333333"/>
    <x v="316"/>
    <x v="572"/>
    <x v="0"/>
  </r>
  <r>
    <n v="1836"/>
    <n v="8"/>
    <n v="1.3333333333333333"/>
    <x v="316"/>
    <x v="248"/>
    <x v="0"/>
  </r>
  <r>
    <n v="1039"/>
    <n v="4"/>
    <n v="1.6"/>
    <x v="317"/>
    <x v="573"/>
    <x v="0"/>
  </r>
  <r>
    <n v="1915"/>
    <n v="4.5"/>
    <n v="1.75"/>
    <x v="318"/>
    <x v="574"/>
    <x v="1"/>
  </r>
  <r>
    <n v="1570"/>
    <n v="2.75"/>
    <n v="2"/>
    <x v="319"/>
    <x v="575"/>
    <x v="1"/>
  </r>
  <r>
    <n v="1917"/>
    <n v="7"/>
    <n v="2"/>
    <x v="319"/>
    <x v="158"/>
    <x v="0"/>
  </r>
  <r>
    <n v="1159"/>
    <n v="6.1428571428571432"/>
    <n v="2"/>
    <x v="320"/>
    <x v="316"/>
    <x v="1"/>
  </r>
  <r>
    <n v="1699"/>
    <n v="6.333333333333333"/>
    <n v="2.1666666666666665"/>
    <x v="321"/>
    <x v="38"/>
    <x v="1"/>
  </r>
  <r>
    <n v="1257"/>
    <n v="4.5"/>
    <n v="1.5"/>
    <x v="322"/>
    <x v="576"/>
    <x v="1"/>
  </r>
  <r>
    <n v="1783"/>
    <n v="8"/>
    <n v="1.5"/>
    <x v="322"/>
    <x v="103"/>
    <x v="0"/>
  </r>
  <r>
    <n v="1805"/>
    <n v="5.5"/>
    <n v="1.5"/>
    <x v="322"/>
    <x v="0"/>
    <x v="1"/>
  </r>
  <r>
    <n v="1998"/>
    <n v="6"/>
    <n v="3"/>
    <x v="322"/>
    <x v="380"/>
    <x v="0"/>
  </r>
  <r>
    <n v="1189"/>
    <n v="6.333333333333333"/>
    <n v="2"/>
    <x v="323"/>
    <x v="577"/>
    <x v="0"/>
  </r>
  <r>
    <n v="1361"/>
    <n v="4.5"/>
    <n v="1.5"/>
    <x v="323"/>
    <x v="391"/>
    <x v="0"/>
  </r>
  <r>
    <n v="1776"/>
    <n v="5"/>
    <n v="2"/>
    <x v="323"/>
    <x v="194"/>
    <x v="0"/>
  </r>
  <r>
    <n v="1129"/>
    <n v="5"/>
    <n v="2.1111111111111112"/>
    <x v="324"/>
    <x v="578"/>
    <x v="1"/>
  </r>
  <r>
    <n v="1320"/>
    <n v="4.333333333333333"/>
    <n v="1.3333333333333333"/>
    <x v="325"/>
    <x v="298"/>
    <x v="1"/>
  </r>
  <r>
    <n v="1462"/>
    <n v="5.5"/>
    <n v="2"/>
    <x v="325"/>
    <x v="579"/>
    <x v="1"/>
  </r>
  <r>
    <n v="1547"/>
    <n v="4.166666666666667"/>
    <n v="2.3333333333333335"/>
    <x v="325"/>
    <x v="580"/>
    <x v="0"/>
  </r>
  <r>
    <n v="1658"/>
    <n v="2"/>
    <n v="1.6666666666666667"/>
    <x v="325"/>
    <x v="22"/>
    <x v="0"/>
  </r>
  <r>
    <n v="1944"/>
    <n v="4.666666666666667"/>
    <n v="2.3333333333333335"/>
    <x v="326"/>
    <x v="581"/>
    <x v="1"/>
  </r>
  <r>
    <n v="1690"/>
    <n v="6.5"/>
    <n v="2"/>
    <x v="327"/>
    <x v="266"/>
    <x v="1"/>
  </r>
  <r>
    <n v="1154"/>
    <n v="6"/>
    <n v="2.5"/>
    <x v="328"/>
    <x v="582"/>
    <x v="0"/>
  </r>
  <r>
    <n v="1194"/>
    <n v="5.25"/>
    <n v="1.75"/>
    <x v="328"/>
    <x v="583"/>
    <x v="0"/>
  </r>
  <r>
    <n v="1248"/>
    <n v="4.5"/>
    <n v="1.5"/>
    <x v="328"/>
    <x v="102"/>
    <x v="1"/>
  </r>
  <r>
    <n v="1464"/>
    <n v="2"/>
    <n v="2"/>
    <x v="328"/>
    <x v="87"/>
    <x v="1"/>
  </r>
  <r>
    <n v="1513"/>
    <n v="5.5"/>
    <n v="2"/>
    <x v="328"/>
    <x v="483"/>
    <x v="1"/>
  </r>
  <r>
    <n v="1538"/>
    <n v="4.25"/>
    <n v="2.25"/>
    <x v="328"/>
    <x v="454"/>
    <x v="0"/>
  </r>
  <r>
    <n v="1741"/>
    <n v="7"/>
    <n v="3"/>
    <x v="328"/>
    <x v="532"/>
    <x v="1"/>
  </r>
  <r>
    <n v="1892"/>
    <n v="8"/>
    <n v="1.5"/>
    <x v="328"/>
    <x v="584"/>
    <x v="1"/>
  </r>
  <r>
    <n v="1581"/>
    <n v="5.333333333333333"/>
    <n v="2"/>
    <x v="329"/>
    <x v="585"/>
    <x v="0"/>
  </r>
  <r>
    <n v="1215"/>
    <n v="5.4285714285714288"/>
    <n v="2.1428571428571428"/>
    <x v="330"/>
    <x v="586"/>
    <x v="0"/>
  </r>
  <r>
    <n v="1514"/>
    <n v="6"/>
    <n v="2.4"/>
    <x v="331"/>
    <x v="587"/>
    <x v="1"/>
  </r>
  <r>
    <n v="1733"/>
    <n v="6.666666666666667"/>
    <n v="2"/>
    <x v="332"/>
    <x v="529"/>
    <x v="1"/>
  </r>
  <r>
    <n v="1242"/>
    <n v="7.333333333333333"/>
    <n v="2.3333333333333335"/>
    <x v="333"/>
    <x v="588"/>
    <x v="0"/>
  </r>
  <r>
    <n v="1993"/>
    <n v="5.166666666666667"/>
    <n v="2"/>
    <x v="333"/>
    <x v="589"/>
    <x v="1"/>
  </r>
  <r>
    <n v="1043"/>
    <n v="6"/>
    <n v="2.5"/>
    <x v="334"/>
    <x v="5"/>
    <x v="0"/>
  </r>
  <r>
    <n v="1095"/>
    <n v="5.75"/>
    <n v="2"/>
    <x v="334"/>
    <x v="590"/>
    <x v="1"/>
  </r>
  <r>
    <n v="1176"/>
    <n v="8.25"/>
    <n v="2"/>
    <x v="334"/>
    <x v="150"/>
    <x v="1"/>
  </r>
  <r>
    <n v="1938"/>
    <n v="8.25"/>
    <n v="2.25"/>
    <x v="334"/>
    <x v="591"/>
    <x v="1"/>
  </r>
  <r>
    <n v="1921"/>
    <n v="5"/>
    <n v="2.6666666666666665"/>
    <x v="335"/>
    <x v="592"/>
    <x v="1"/>
  </r>
  <r>
    <n v="1010"/>
    <n v="7"/>
    <n v="1.75"/>
    <x v="336"/>
    <x v="593"/>
    <x v="1"/>
  </r>
  <r>
    <n v="1080"/>
    <n v="4.75"/>
    <n v="1.75"/>
    <x v="337"/>
    <x v="103"/>
    <x v="1"/>
  </r>
  <r>
    <n v="1922"/>
    <n v="7.5"/>
    <n v="1.5"/>
    <x v="338"/>
    <x v="594"/>
    <x v="1"/>
  </r>
  <r>
    <n v="1444"/>
    <n v="5"/>
    <n v="2"/>
    <x v="339"/>
    <x v="247"/>
    <x v="1"/>
  </r>
  <r>
    <n v="1288"/>
    <n v="6.125"/>
    <n v="2.125"/>
    <x v="340"/>
    <x v="595"/>
    <x v="1"/>
  </r>
  <r>
    <n v="1075"/>
    <n v="6.25"/>
    <n v="2"/>
    <x v="341"/>
    <x v="596"/>
    <x v="1"/>
  </r>
  <r>
    <n v="1750"/>
    <n v="4.5"/>
    <n v="1.25"/>
    <x v="341"/>
    <x v="46"/>
    <x v="0"/>
  </r>
  <r>
    <n v="1973"/>
    <n v="4.5"/>
    <n v="1.5"/>
    <x v="341"/>
    <x v="2"/>
    <x v="1"/>
  </r>
  <r>
    <n v="1017"/>
    <n v="5.5"/>
    <n v="1"/>
    <x v="342"/>
    <x v="597"/>
    <x v="0"/>
  </r>
  <r>
    <n v="1261"/>
    <n v="4"/>
    <n v="3"/>
    <x v="342"/>
    <x v="332"/>
    <x v="1"/>
  </r>
  <r>
    <n v="1422"/>
    <n v="5"/>
    <n v="2"/>
    <x v="342"/>
    <x v="99"/>
    <x v="0"/>
  </r>
  <r>
    <n v="1629"/>
    <n v="4.2"/>
    <n v="2"/>
    <x v="342"/>
    <x v="598"/>
    <x v="1"/>
  </r>
  <r>
    <n v="1829"/>
    <n v="9"/>
    <n v="2"/>
    <x v="342"/>
    <x v="599"/>
    <x v="0"/>
  </r>
  <r>
    <n v="1984"/>
    <n v="6.833333333333333"/>
    <n v="2"/>
    <x v="343"/>
    <x v="600"/>
    <x v="0"/>
  </r>
  <r>
    <n v="1035"/>
    <n v="4.25"/>
    <n v="2"/>
    <x v="344"/>
    <x v="23"/>
    <x v="0"/>
  </r>
  <r>
    <n v="1771"/>
    <n v="6.75"/>
    <n v="2.5"/>
    <x v="344"/>
    <x v="568"/>
    <x v="1"/>
  </r>
  <r>
    <n v="1814"/>
    <n v="5.1428571428571432"/>
    <n v="2.2857142857142856"/>
    <x v="345"/>
    <x v="601"/>
    <x v="0"/>
  </r>
  <r>
    <n v="1084"/>
    <n v="6"/>
    <n v="2.3333333333333335"/>
    <x v="346"/>
    <x v="602"/>
    <x v="0"/>
  </r>
  <r>
    <n v="1097"/>
    <n v="4"/>
    <n v="1.6666666666666667"/>
    <x v="347"/>
    <x v="603"/>
    <x v="0"/>
  </r>
  <r>
    <n v="1442"/>
    <n v="7.333333333333333"/>
    <n v="2"/>
    <x v="347"/>
    <x v="604"/>
    <x v="1"/>
  </r>
  <r>
    <n v="1706"/>
    <n v="8"/>
    <n v="2"/>
    <x v="347"/>
    <x v="369"/>
    <x v="1"/>
  </r>
  <r>
    <n v="1079"/>
    <n v="5"/>
    <n v="2.5"/>
    <x v="348"/>
    <x v="541"/>
    <x v="0"/>
  </r>
  <r>
    <n v="1506"/>
    <n v="4.5"/>
    <n v="2"/>
    <x v="348"/>
    <x v="605"/>
    <x v="1"/>
  </r>
  <r>
    <n v="1608"/>
    <n v="5.5"/>
    <n v="2"/>
    <x v="348"/>
    <x v="606"/>
    <x v="0"/>
  </r>
  <r>
    <n v="1744"/>
    <n v="5"/>
    <n v="2"/>
    <x v="348"/>
    <x v="465"/>
    <x v="0"/>
  </r>
  <r>
    <n v="1822"/>
    <n v="5.75"/>
    <n v="2.5"/>
    <x v="348"/>
    <x v="607"/>
    <x v="0"/>
  </r>
  <r>
    <n v="1054"/>
    <n v="6.6"/>
    <n v="1.6"/>
    <x v="349"/>
    <x v="608"/>
    <x v="1"/>
  </r>
  <r>
    <n v="1127"/>
    <n v="7.8"/>
    <n v="2"/>
    <x v="349"/>
    <x v="126"/>
    <x v="0"/>
  </r>
  <r>
    <n v="1465"/>
    <n v="7.2"/>
    <n v="1.4"/>
    <x v="349"/>
    <x v="609"/>
    <x v="1"/>
  </r>
  <r>
    <n v="1954"/>
    <n v="5.8"/>
    <n v="2"/>
    <x v="349"/>
    <x v="610"/>
    <x v="1"/>
  </r>
  <r>
    <n v="1157"/>
    <n v="3.3333333333333335"/>
    <n v="1.6666666666666667"/>
    <x v="350"/>
    <x v="611"/>
    <x v="0"/>
  </r>
  <r>
    <n v="1125"/>
    <n v="6.75"/>
    <n v="2.5"/>
    <x v="351"/>
    <x v="431"/>
    <x v="1"/>
  </r>
  <r>
    <n v="1436"/>
    <n v="4.25"/>
    <n v="2"/>
    <x v="351"/>
    <x v="612"/>
    <x v="1"/>
  </r>
  <r>
    <n v="1072"/>
    <n v="4.8"/>
    <n v="1.4"/>
    <x v="352"/>
    <x v="613"/>
    <x v="0"/>
  </r>
  <r>
    <n v="1573"/>
    <n v="5.5"/>
    <n v="1.5"/>
    <x v="353"/>
    <x v="178"/>
    <x v="1"/>
  </r>
  <r>
    <n v="1029"/>
    <n v="10"/>
    <n v="3"/>
    <x v="354"/>
    <x v="108"/>
    <x v="1"/>
  </r>
  <r>
    <n v="1031"/>
    <n v="2"/>
    <n v="3"/>
    <x v="354"/>
    <x v="614"/>
    <x v="0"/>
  </r>
  <r>
    <n v="1120"/>
    <n v="2"/>
    <n v="1.5"/>
    <x v="354"/>
    <x v="0"/>
    <x v="1"/>
  </r>
  <r>
    <n v="1318"/>
    <n v="9"/>
    <n v="2"/>
    <x v="354"/>
    <x v="221"/>
    <x v="1"/>
  </r>
  <r>
    <n v="1420"/>
    <n v="8"/>
    <n v="2"/>
    <x v="354"/>
    <x v="375"/>
    <x v="0"/>
  </r>
  <r>
    <n v="1522"/>
    <n v="6.333333333333333"/>
    <n v="1"/>
    <x v="354"/>
    <x v="615"/>
    <x v="0"/>
  </r>
  <r>
    <n v="1758"/>
    <n v="4.2"/>
    <n v="1.4"/>
    <x v="354"/>
    <x v="616"/>
    <x v="1"/>
  </r>
  <r>
    <n v="1858"/>
    <n v="2.2000000000000002"/>
    <n v="2"/>
    <x v="354"/>
    <x v="298"/>
    <x v="0"/>
  </r>
  <r>
    <n v="1451"/>
    <n v="7"/>
    <n v="1"/>
    <x v="355"/>
    <x v="247"/>
    <x v="0"/>
  </r>
  <r>
    <n v="1767"/>
    <n v="3.5"/>
    <n v="2.5"/>
    <x v="355"/>
    <x v="267"/>
    <x v="1"/>
  </r>
  <r>
    <n v="1074"/>
    <n v="6.4285714285714288"/>
    <n v="2.2857142857142856"/>
    <x v="356"/>
    <x v="617"/>
    <x v="1"/>
  </r>
  <r>
    <n v="1487"/>
    <n v="4.5"/>
    <n v="2"/>
    <x v="357"/>
    <x v="618"/>
    <x v="0"/>
  </r>
  <r>
    <n v="1569"/>
    <n v="5"/>
    <n v="1.3333333333333333"/>
    <x v="358"/>
    <x v="47"/>
    <x v="0"/>
  </r>
  <r>
    <n v="1589"/>
    <n v="4.666666666666667"/>
    <n v="2"/>
    <x v="358"/>
    <x v="619"/>
    <x v="1"/>
  </r>
  <r>
    <n v="1323"/>
    <n v="5.5"/>
    <n v="2"/>
    <x v="359"/>
    <x v="620"/>
    <x v="0"/>
  </r>
  <r>
    <n v="1225"/>
    <n v="4.5714285714285712"/>
    <n v="2.1428571428571428"/>
    <x v="360"/>
    <x v="621"/>
    <x v="0"/>
  </r>
  <r>
    <n v="1385"/>
    <n v="5.5"/>
    <n v="2.3333333333333335"/>
    <x v="361"/>
    <x v="622"/>
    <x v="0"/>
  </r>
  <r>
    <n v="1774"/>
    <n v="3.5"/>
    <n v="3"/>
    <x v="361"/>
    <x v="623"/>
    <x v="1"/>
  </r>
  <r>
    <n v="1327"/>
    <n v="5.666666666666667"/>
    <n v="2.3333333333333335"/>
    <x v="362"/>
    <x v="624"/>
    <x v="1"/>
  </r>
  <r>
    <n v="1081"/>
    <n v="2"/>
    <n v="1"/>
    <x v="363"/>
    <x v="151"/>
    <x v="0"/>
  </r>
  <r>
    <n v="1243"/>
    <n v="5"/>
    <n v="2"/>
    <x v="363"/>
    <x v="625"/>
    <x v="1"/>
  </r>
  <r>
    <n v="1546"/>
    <n v="4.333333333333333"/>
    <n v="2"/>
    <x v="363"/>
    <x v="626"/>
    <x v="0"/>
  </r>
  <r>
    <n v="1839"/>
    <n v="3.3333333333333335"/>
    <n v="2.5"/>
    <x v="363"/>
    <x v="627"/>
    <x v="0"/>
  </r>
  <r>
    <n v="1992"/>
    <n v="6.25"/>
    <n v="2"/>
    <x v="364"/>
    <x v="20"/>
    <x v="0"/>
  </r>
  <r>
    <n v="1052"/>
    <n v="6.166666666666667"/>
    <n v="2"/>
    <x v="365"/>
    <x v="628"/>
    <x v="1"/>
  </r>
  <r>
    <n v="1947"/>
    <n v="4.666666666666667"/>
    <n v="2.3333333333333335"/>
    <x v="366"/>
    <x v="82"/>
    <x v="1"/>
  </r>
  <r>
    <n v="1065"/>
    <n v="9"/>
    <n v="2.5"/>
    <x v="367"/>
    <x v="268"/>
    <x v="1"/>
  </r>
  <r>
    <n v="1533"/>
    <n v="8.5"/>
    <n v="3"/>
    <x v="367"/>
    <x v="29"/>
    <x v="0"/>
  </r>
  <r>
    <n v="1566"/>
    <n v="2.5"/>
    <n v="1.5"/>
    <x v="367"/>
    <x v="230"/>
    <x v="0"/>
  </r>
  <r>
    <n v="1582"/>
    <n v="5.5"/>
    <n v="1.5"/>
    <x v="367"/>
    <x v="2"/>
    <x v="1"/>
  </r>
  <r>
    <n v="1874"/>
    <n v="6"/>
    <n v="3"/>
    <x v="367"/>
    <x v="629"/>
    <x v="1"/>
  </r>
  <r>
    <n v="1515"/>
    <n v="5.333333333333333"/>
    <n v="1.5"/>
    <x v="368"/>
    <x v="515"/>
    <x v="1"/>
  </r>
  <r>
    <n v="1662"/>
    <n v="5.4"/>
    <n v="2.6"/>
    <x v="369"/>
    <x v="630"/>
    <x v="0"/>
  </r>
  <r>
    <n v="1064"/>
    <n v="6"/>
    <n v="2.5"/>
    <x v="370"/>
    <x v="380"/>
    <x v="0"/>
  </r>
  <r>
    <n v="1732"/>
    <n v="7.666666666666667"/>
    <n v="3"/>
    <x v="371"/>
    <x v="631"/>
    <x v="0"/>
  </r>
  <r>
    <n v="1864"/>
    <n v="4.666666666666667"/>
    <n v="1.6666666666666667"/>
    <x v="371"/>
    <x v="632"/>
    <x v="1"/>
  </r>
  <r>
    <n v="1665"/>
    <n v="5.4285714285714288"/>
    <n v="1.8571428571428572"/>
    <x v="372"/>
    <x v="254"/>
    <x v="0"/>
  </r>
  <r>
    <n v="1305"/>
    <n v="3.5"/>
    <n v="1.75"/>
    <x v="373"/>
    <x v="633"/>
    <x v="1"/>
  </r>
  <r>
    <n v="1905"/>
    <n v="3"/>
    <n v="1.75"/>
    <x v="374"/>
    <x v="431"/>
    <x v="1"/>
  </r>
  <r>
    <n v="1636"/>
    <n v="6.75"/>
    <n v="1.25"/>
    <x v="375"/>
    <x v="569"/>
    <x v="0"/>
  </r>
  <r>
    <n v="1103"/>
    <n v="4.5999999999999996"/>
    <n v="1.4"/>
    <x v="376"/>
    <x v="634"/>
    <x v="0"/>
  </r>
  <r>
    <n v="1492"/>
    <n v="7"/>
    <n v="2.5"/>
    <x v="377"/>
    <x v="222"/>
    <x v="1"/>
  </r>
  <r>
    <n v="1198"/>
    <n v="8"/>
    <n v="2"/>
    <x v="378"/>
    <x v="112"/>
    <x v="0"/>
  </r>
  <r>
    <n v="1223"/>
    <n v="5"/>
    <n v="1.6"/>
    <x v="378"/>
    <x v="573"/>
    <x v="1"/>
  </r>
  <r>
    <n v="1296"/>
    <n v="6"/>
    <n v="2"/>
    <x v="378"/>
    <x v="635"/>
    <x v="0"/>
  </r>
  <r>
    <n v="1360"/>
    <n v="4.8"/>
    <n v="2.2000000000000002"/>
    <x v="378"/>
    <x v="636"/>
    <x v="0"/>
  </r>
  <r>
    <n v="1413"/>
    <n v="5.6"/>
    <n v="1.4"/>
    <x v="378"/>
    <x v="637"/>
    <x v="1"/>
  </r>
  <r>
    <n v="1441"/>
    <n v="3"/>
    <n v="2"/>
    <x v="378"/>
    <x v="638"/>
    <x v="1"/>
  </r>
  <r>
    <n v="1595"/>
    <n v="6.75"/>
    <n v="2.5"/>
    <x v="378"/>
    <x v="134"/>
    <x v="0"/>
  </r>
  <r>
    <n v="1820"/>
    <n v="9"/>
    <n v="2.5"/>
    <x v="378"/>
    <x v="639"/>
    <x v="0"/>
  </r>
  <r>
    <n v="1971"/>
    <n v="3"/>
    <n v="2.5"/>
    <x v="378"/>
    <x v="293"/>
    <x v="1"/>
  </r>
  <r>
    <n v="1632"/>
    <n v="4.25"/>
    <n v="2.25"/>
    <x v="379"/>
    <x v="640"/>
    <x v="0"/>
  </r>
  <r>
    <n v="1281"/>
    <n v="4"/>
    <n v="1.3333333333333333"/>
    <x v="380"/>
    <x v="641"/>
    <x v="1"/>
  </r>
  <r>
    <n v="1852"/>
    <n v="3"/>
    <n v="2.2000000000000002"/>
    <x v="381"/>
    <x v="642"/>
    <x v="0"/>
  </r>
  <r>
    <n v="1590"/>
    <n v="6.5"/>
    <n v="3"/>
    <x v="382"/>
    <x v="479"/>
    <x v="0"/>
  </r>
  <r>
    <n v="1686"/>
    <n v="6.5"/>
    <n v="1.75"/>
    <x v="382"/>
    <x v="643"/>
    <x v="1"/>
  </r>
  <r>
    <n v="1722"/>
    <n v="2"/>
    <n v="1.5"/>
    <x v="382"/>
    <x v="644"/>
    <x v="0"/>
  </r>
  <r>
    <n v="1997"/>
    <n v="6.5"/>
    <n v="2.5"/>
    <x v="382"/>
    <x v="407"/>
    <x v="0"/>
  </r>
  <r>
    <n v="1972"/>
    <n v="6.4"/>
    <n v="1.8"/>
    <x v="383"/>
    <x v="446"/>
    <x v="0"/>
  </r>
  <r>
    <n v="1383"/>
    <n v="7"/>
    <n v="1"/>
    <x v="384"/>
    <x v="645"/>
    <x v="0"/>
  </r>
  <r>
    <n v="1653"/>
    <n v="6"/>
    <n v="1.6666666666666667"/>
    <x v="384"/>
    <x v="646"/>
    <x v="0"/>
  </r>
  <r>
    <n v="1505"/>
    <n v="3.2"/>
    <n v="2.2000000000000002"/>
    <x v="385"/>
    <x v="105"/>
    <x v="0"/>
  </r>
  <r>
    <n v="1939"/>
    <n v="6.6"/>
    <n v="2.2000000000000002"/>
    <x v="386"/>
    <x v="647"/>
    <x v="0"/>
  </r>
  <r>
    <n v="1168"/>
    <n v="6"/>
    <n v="2"/>
    <x v="387"/>
    <x v="606"/>
    <x v="0"/>
  </r>
  <r>
    <n v="1238"/>
    <n v="9.1999999999999993"/>
    <n v="1.6"/>
    <x v="387"/>
    <x v="89"/>
    <x v="1"/>
  </r>
  <r>
    <n v="1384"/>
    <n v="6.666666666666667"/>
    <n v="1.6666666666666667"/>
    <x v="387"/>
    <x v="18"/>
    <x v="1"/>
  </r>
  <r>
    <n v="1840"/>
    <n v="2"/>
    <n v="3"/>
    <x v="387"/>
    <x v="342"/>
    <x v="1"/>
  </r>
  <r>
    <n v="1723"/>
    <n v="5"/>
    <n v="2"/>
    <x v="388"/>
    <x v="648"/>
    <x v="0"/>
  </r>
  <r>
    <n v="1797"/>
    <n v="5.8"/>
    <n v="2.2000000000000002"/>
    <x v="389"/>
    <x v="42"/>
    <x v="0"/>
  </r>
  <r>
    <n v="1000"/>
    <n v="5.5"/>
    <n v="2.1666666666666665"/>
    <x v="390"/>
    <x v="101"/>
    <x v="1"/>
  </r>
  <r>
    <n v="1087"/>
    <n v="4.666666666666667"/>
    <n v="2.3333333333333335"/>
    <x v="390"/>
    <x v="649"/>
    <x v="0"/>
  </r>
  <r>
    <n v="1389"/>
    <n v="5.333333333333333"/>
    <n v="1.6666666666666667"/>
    <x v="390"/>
    <x v="650"/>
    <x v="0"/>
  </r>
  <r>
    <n v="1334"/>
    <n v="6"/>
    <n v="2.2000000000000002"/>
    <x v="391"/>
    <x v="651"/>
    <x v="1"/>
  </r>
  <r>
    <n v="1096"/>
    <n v="8"/>
    <n v="2"/>
    <x v="392"/>
    <x v="652"/>
    <x v="0"/>
  </r>
  <r>
    <n v="1468"/>
    <n v="4.25"/>
    <n v="1.25"/>
    <x v="392"/>
    <x v="653"/>
    <x v="1"/>
  </r>
  <r>
    <n v="1827"/>
    <n v="5.625"/>
    <n v="2"/>
    <x v="393"/>
    <x v="654"/>
    <x v="1"/>
  </r>
  <r>
    <n v="1551"/>
    <n v="6.333333333333333"/>
    <n v="2"/>
    <x v="394"/>
    <x v="655"/>
    <x v="0"/>
  </r>
  <r>
    <n v="1574"/>
    <n v="4.4000000000000004"/>
    <n v="1.4"/>
    <x v="395"/>
    <x v="392"/>
    <x v="1"/>
  </r>
  <r>
    <n v="1837"/>
    <n v="4.2"/>
    <n v="2.2000000000000002"/>
    <x v="395"/>
    <x v="656"/>
    <x v="0"/>
  </r>
  <r>
    <n v="1411"/>
    <n v="2"/>
    <n v="1"/>
    <x v="396"/>
    <x v="244"/>
    <x v="0"/>
  </r>
  <r>
    <n v="1417"/>
    <n v="3.4"/>
    <n v="2.4"/>
    <x v="396"/>
    <x v="657"/>
    <x v="0"/>
  </r>
  <r>
    <n v="1625"/>
    <n v="6.5"/>
    <n v="2.5"/>
    <x v="396"/>
    <x v="598"/>
    <x v="1"/>
  </r>
  <r>
    <n v="1911"/>
    <n v="5.6"/>
    <n v="1.6"/>
    <x v="396"/>
    <x v="658"/>
    <x v="1"/>
  </r>
  <r>
    <n v="1530"/>
    <n v="8"/>
    <n v="2"/>
    <x v="397"/>
    <x v="431"/>
    <x v="0"/>
  </r>
  <r>
    <n v="1162"/>
    <n v="5.2"/>
    <n v="2.2000000000000002"/>
    <x v="398"/>
    <x v="659"/>
    <x v="1"/>
  </r>
  <r>
    <n v="1059"/>
    <n v="6"/>
    <n v="2.25"/>
    <x v="399"/>
    <x v="660"/>
    <x v="1"/>
  </r>
  <r>
    <n v="1121"/>
    <n v="5.75"/>
    <n v="2.75"/>
    <x v="399"/>
    <x v="661"/>
    <x v="0"/>
  </r>
  <r>
    <n v="1210"/>
    <n v="9.3333333333333339"/>
    <n v="1.3333333333333333"/>
    <x v="400"/>
    <x v="662"/>
    <x v="0"/>
  </r>
  <r>
    <n v="1367"/>
    <n v="6"/>
    <n v="1"/>
    <x v="401"/>
    <x v="268"/>
    <x v="1"/>
  </r>
  <r>
    <n v="1691"/>
    <n v="5.5"/>
    <n v="1.5"/>
    <x v="401"/>
    <x v="598"/>
    <x v="0"/>
  </r>
  <r>
    <n v="1956"/>
    <n v="5.75"/>
    <n v="1.75"/>
    <x v="401"/>
    <x v="3"/>
    <x v="1"/>
  </r>
  <r>
    <n v="1012"/>
    <n v="6.666666666666667"/>
    <n v="2.6666666666666665"/>
    <x v="402"/>
    <x v="139"/>
    <x v="0"/>
  </r>
  <r>
    <n v="1293"/>
    <n v="1"/>
    <n v="2"/>
    <x v="403"/>
    <x v="392"/>
    <x v="1"/>
  </r>
  <r>
    <n v="1875"/>
    <n v="6.25"/>
    <n v="1.75"/>
    <x v="403"/>
    <x v="663"/>
    <x v="0"/>
  </r>
  <r>
    <n v="1953"/>
    <n v="7.5"/>
    <n v="1.5"/>
    <x v="403"/>
    <x v="528"/>
    <x v="0"/>
  </r>
  <r>
    <n v="1102"/>
    <n v="3.3333333333333335"/>
    <n v="2"/>
    <x v="404"/>
    <x v="116"/>
    <x v="1"/>
  </r>
  <r>
    <n v="1511"/>
    <n v="9.3333333333333339"/>
    <n v="2.6666666666666665"/>
    <x v="404"/>
    <x v="664"/>
    <x v="1"/>
  </r>
  <r>
    <n v="1642"/>
    <n v="6.333333333333333"/>
    <n v="2"/>
    <x v="404"/>
    <x v="440"/>
    <x v="0"/>
  </r>
  <r>
    <n v="1770"/>
    <n v="10"/>
    <n v="1"/>
    <x v="404"/>
    <x v="495"/>
    <x v="0"/>
  </r>
  <r>
    <n v="1426"/>
    <n v="4.25"/>
    <n v="1.75"/>
    <x v="405"/>
    <x v="665"/>
    <x v="1"/>
  </r>
  <r>
    <n v="1943"/>
    <n v="6.25"/>
    <n v="2.25"/>
    <x v="405"/>
    <x v="588"/>
    <x v="1"/>
  </r>
  <r>
    <n v="1615"/>
    <n v="4.4000000000000004"/>
    <n v="2"/>
    <x v="406"/>
    <x v="16"/>
    <x v="1"/>
  </r>
  <r>
    <n v="1430"/>
    <n v="9"/>
    <n v="1"/>
    <x v="407"/>
    <x v="666"/>
    <x v="1"/>
  </r>
  <r>
    <n v="1472"/>
    <n v="3.5"/>
    <n v="2.5"/>
    <x v="407"/>
    <x v="101"/>
    <x v="1"/>
  </r>
  <r>
    <n v="1674"/>
    <n v="7"/>
    <n v="2.3333333333333335"/>
    <x v="407"/>
    <x v="18"/>
    <x v="0"/>
  </r>
  <r>
    <n v="1759"/>
    <n v="3"/>
    <n v="3"/>
    <x v="407"/>
    <x v="606"/>
    <x v="1"/>
  </r>
  <r>
    <n v="1224"/>
    <n v="3.3333333333333335"/>
    <n v="2"/>
    <x v="408"/>
    <x v="100"/>
    <x v="0"/>
  </r>
  <r>
    <n v="1351"/>
    <n v="3.6666666666666665"/>
    <n v="1.3333333333333333"/>
    <x v="408"/>
    <x v="667"/>
    <x v="1"/>
  </r>
  <r>
    <n v="1455"/>
    <n v="4.5"/>
    <n v="2"/>
    <x v="409"/>
    <x v="468"/>
    <x v="1"/>
  </r>
  <r>
    <n v="1900"/>
    <n v="6"/>
    <n v="1"/>
    <x v="409"/>
    <x v="94"/>
    <x v="1"/>
  </r>
  <r>
    <n v="1641"/>
    <n v="7.5"/>
    <n v="2.5"/>
    <x v="410"/>
    <x v="668"/>
    <x v="1"/>
  </r>
  <r>
    <n v="1333"/>
    <n v="7.5"/>
    <n v="1.75"/>
    <x v="411"/>
    <x v="669"/>
    <x v="1"/>
  </r>
  <r>
    <n v="1627"/>
    <n v="8.5"/>
    <n v="1"/>
    <x v="411"/>
    <x v="33"/>
    <x v="1"/>
  </r>
  <r>
    <n v="1785"/>
    <n v="8"/>
    <n v="1"/>
    <x v="411"/>
    <x v="103"/>
    <x v="0"/>
  </r>
  <r>
    <n v="1859"/>
    <n v="6"/>
    <n v="2"/>
    <x v="411"/>
    <x v="143"/>
    <x v="1"/>
  </r>
  <r>
    <n v="1133"/>
    <n v="6.333333333333333"/>
    <n v="1"/>
    <x v="412"/>
    <x v="643"/>
    <x v="1"/>
  </r>
  <r>
    <n v="1259"/>
    <n v="5.333333333333333"/>
    <n v="2"/>
    <x v="412"/>
    <x v="336"/>
    <x v="1"/>
  </r>
  <r>
    <n v="1664"/>
    <n v="4.75"/>
    <n v="2.25"/>
    <x v="413"/>
    <x v="569"/>
    <x v="0"/>
  </r>
  <r>
    <n v="1356"/>
    <n v="5"/>
    <n v="2"/>
    <x v="414"/>
    <x v="76"/>
    <x v="0"/>
  </r>
  <r>
    <n v="1720"/>
    <n v="6"/>
    <n v="2"/>
    <x v="414"/>
    <x v="528"/>
    <x v="1"/>
  </r>
  <r>
    <n v="1843"/>
    <n v="2"/>
    <n v="1.5"/>
    <x v="414"/>
    <x v="670"/>
    <x v="0"/>
  </r>
  <r>
    <n v="1666"/>
    <n v="3.6666666666666665"/>
    <n v="2.6666666666666665"/>
    <x v="415"/>
    <x v="671"/>
    <x v="0"/>
  </r>
  <r>
    <n v="1702"/>
    <n v="2.3333333333333335"/>
    <n v="2.3333333333333335"/>
    <x v="416"/>
    <x v="672"/>
    <x v="1"/>
  </r>
  <r>
    <n v="1410"/>
    <n v="4.5"/>
    <n v="1"/>
    <x v="417"/>
    <x v="266"/>
    <x v="1"/>
  </r>
  <r>
    <n v="1808"/>
    <n v="9"/>
    <n v="1.5"/>
    <x v="417"/>
    <x v="421"/>
    <x v="0"/>
  </r>
  <r>
    <n v="1275"/>
    <n v="4"/>
    <n v="1.5"/>
    <x v="418"/>
    <x v="673"/>
    <x v="0"/>
  </r>
  <r>
    <n v="1613"/>
    <n v="5.5"/>
    <n v="2.5"/>
    <x v="418"/>
    <x v="674"/>
    <x v="1"/>
  </r>
  <r>
    <n v="1855"/>
    <n v="6"/>
    <n v="2"/>
    <x v="419"/>
    <x v="675"/>
    <x v="0"/>
  </r>
  <r>
    <n v="1119"/>
    <n v="4.5"/>
    <n v="1.8333333333333333"/>
    <x v="420"/>
    <x v="676"/>
    <x v="0"/>
  </r>
  <r>
    <n v="1950"/>
    <n v="6"/>
    <n v="1"/>
    <x v="421"/>
    <x v="293"/>
    <x v="0"/>
  </r>
  <r>
    <n v="1209"/>
    <n v="3"/>
    <n v="1.6666666666666667"/>
    <x v="422"/>
    <x v="677"/>
    <x v="0"/>
  </r>
  <r>
    <n v="1806"/>
    <n v="9.3333333333333339"/>
    <n v="2.3333333333333335"/>
    <x v="422"/>
    <x v="100"/>
    <x v="0"/>
  </r>
  <r>
    <n v="1056"/>
    <n v="9"/>
    <n v="3"/>
    <x v="423"/>
    <x v="361"/>
    <x v="0"/>
  </r>
  <r>
    <n v="1063"/>
    <n v="3"/>
    <n v="1"/>
    <x v="423"/>
    <x v="76"/>
    <x v="0"/>
  </r>
  <r>
    <n v="1845"/>
    <n v="7"/>
    <n v="2.5"/>
    <x v="423"/>
    <x v="678"/>
    <x v="1"/>
  </r>
  <r>
    <n v="1583"/>
    <n v="6"/>
    <n v="2.2000000000000002"/>
    <x v="424"/>
    <x v="679"/>
    <x v="0"/>
  </r>
  <r>
    <n v="1711"/>
    <n v="2.5"/>
    <n v="2"/>
    <x v="425"/>
    <x v="680"/>
    <x v="0"/>
  </r>
  <r>
    <n v="1030"/>
    <n v="6"/>
    <n v="1"/>
    <x v="426"/>
    <x v="100"/>
    <x v="1"/>
  </r>
  <r>
    <n v="1403"/>
    <n v="2"/>
    <n v="1"/>
    <x v="426"/>
    <x v="681"/>
    <x v="0"/>
  </r>
  <r>
    <n v="1648"/>
    <n v="5"/>
    <n v="1"/>
    <x v="426"/>
    <x v="344"/>
    <x v="0"/>
  </r>
  <r>
    <n v="1681"/>
    <n v="4"/>
    <n v="2.5"/>
    <x v="427"/>
    <x v="682"/>
    <x v="1"/>
  </r>
  <r>
    <n v="1639"/>
    <n v="8"/>
    <n v="3"/>
    <x v="428"/>
    <x v="683"/>
    <x v="1"/>
  </r>
  <r>
    <n v="1962"/>
    <n v="7"/>
    <n v="2"/>
    <x v="428"/>
    <x v="684"/>
    <x v="0"/>
  </r>
  <r>
    <n v="1912"/>
    <n v="6"/>
    <n v="3"/>
    <x v="429"/>
    <x v="116"/>
    <x v="1"/>
  </r>
  <r>
    <n v="1978"/>
    <n v="3"/>
    <n v="3"/>
    <x v="430"/>
    <x v="25"/>
    <x v="0"/>
  </r>
  <r>
    <n v="1967"/>
    <n v="6"/>
    <n v="2"/>
    <x v="431"/>
    <x v="353"/>
    <x v="0"/>
  </r>
  <r>
    <n v="1889"/>
    <n v="4"/>
    <n v="3"/>
    <x v="432"/>
    <x v="22"/>
    <x v="0"/>
  </r>
  <r>
    <n v="1285"/>
    <n v="2.5"/>
    <n v="3"/>
    <x v="433"/>
    <x v="658"/>
    <x v="1"/>
  </r>
  <r>
    <n v="1789"/>
    <n v="1"/>
    <n v="3"/>
    <x v="434"/>
    <x v="685"/>
    <x v="1"/>
  </r>
  <r>
    <n v="1626"/>
    <n v="5"/>
    <n v="2.5"/>
    <x v="435"/>
    <x v="686"/>
    <x v="1"/>
  </r>
  <r>
    <n v="1371"/>
    <n v="2"/>
    <n v="3"/>
    <x v="436"/>
    <x v="9"/>
    <x v="1"/>
  </r>
  <r>
    <n v="1696"/>
    <n v="5"/>
    <n v="3"/>
    <x v="436"/>
    <x v="72"/>
    <x v="0"/>
  </r>
  <r>
    <n v="1306"/>
    <n v="9"/>
    <n v="1"/>
    <x v="437"/>
    <x v="200"/>
    <x v="1"/>
  </r>
  <r>
    <n v="1316"/>
    <n v="4"/>
    <n v="1"/>
    <x v="437"/>
    <x v="687"/>
    <x v="0"/>
  </r>
  <r>
    <n v="1378"/>
    <n v="7"/>
    <n v="3"/>
    <x v="437"/>
    <x v="688"/>
    <x v="1"/>
  </r>
  <r>
    <n v="1719"/>
    <n v="2"/>
    <n v="1"/>
    <x v="437"/>
    <x v="161"/>
    <x v="0"/>
  </r>
  <r>
    <n v="1787"/>
    <n v="5"/>
    <n v="2"/>
    <x v="437"/>
    <x v="689"/>
    <x v="0"/>
  </r>
  <r>
    <n v="1878"/>
    <n v="9"/>
    <n v="2"/>
    <x v="437"/>
    <x v="690"/>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0">
  <r>
    <n v="1102"/>
    <d v="2015-01-01T00:00:00"/>
    <x v="0"/>
    <s v="Female"/>
    <n v="165.5"/>
    <n v="59.6"/>
    <n v="2713"/>
    <n v="372.5"/>
    <n v="7.8"/>
    <n v="74"/>
    <x v="0"/>
    <n v="0"/>
    <n v="1.0900000000000001"/>
    <n v="2"/>
    <x v="0"/>
  </r>
  <r>
    <n v="1435"/>
    <d v="2015-01-02T00:00:00"/>
    <x v="1"/>
    <s v="Female"/>
    <n v="173.4"/>
    <n v="52.1"/>
    <n v="1635"/>
    <n v="245.4"/>
    <n v="7.8"/>
    <n v="96"/>
    <x v="1"/>
    <n v="20"/>
    <n v="2.93"/>
    <n v="3"/>
    <x v="1"/>
  </r>
  <r>
    <n v="1860"/>
    <d v="2015-01-03T00:00:00"/>
    <x v="2"/>
    <s v="Male"/>
    <n v="165.7"/>
    <n v="85.1"/>
    <n v="16193"/>
    <n v="900"/>
    <n v="10"/>
    <n v="60"/>
    <x v="1"/>
    <n v="43"/>
    <n v="2.2400000000000002"/>
    <n v="1"/>
    <x v="0"/>
  </r>
  <r>
    <n v="1270"/>
    <d v="2015-01-04T00:00:00"/>
    <x v="3"/>
    <s v="Female"/>
    <n v="170.9"/>
    <n v="74.8"/>
    <n v="15633"/>
    <n v="819.5"/>
    <n v="6.5"/>
    <n v="66"/>
    <x v="1"/>
    <n v="62"/>
    <n v="2.61"/>
    <n v="1"/>
    <x v="2"/>
  </r>
  <r>
    <n v="1106"/>
    <d v="2015-01-05T00:00:00"/>
    <x v="4"/>
    <s v="Female"/>
    <n v="157.80000000000001"/>
    <n v="75"/>
    <n v="10309"/>
    <n v="629.29999999999995"/>
    <n v="7.1"/>
    <n v="75"/>
    <x v="0"/>
    <n v="0"/>
    <n v="3.59"/>
    <n v="2"/>
    <x v="1"/>
  </r>
  <r>
    <n v="1071"/>
    <d v="2015-01-06T00:00:00"/>
    <x v="5"/>
    <s v="Female"/>
    <n v="169.9"/>
    <n v="93.8"/>
    <n v="16778"/>
    <n v="865.3"/>
    <n v="9.9"/>
    <n v="82"/>
    <x v="0"/>
    <n v="0"/>
    <n v="2.41"/>
    <n v="2"/>
    <x v="1"/>
  </r>
  <r>
    <n v="1700"/>
    <d v="2015-01-07T00:00:00"/>
    <x v="6"/>
    <s v="Female"/>
    <n v="165.2"/>
    <n v="49.5"/>
    <n v="8445"/>
    <n v="556"/>
    <n v="7.4"/>
    <n v="81"/>
    <x v="2"/>
    <n v="36"/>
    <n v="2.94"/>
    <n v="6"/>
    <x v="1"/>
  </r>
  <r>
    <n v="1020"/>
    <d v="2015-01-08T00:00:00"/>
    <x v="7"/>
    <s v="Female"/>
    <n v="158.80000000000001"/>
    <n v="49.1"/>
    <n v="13415"/>
    <n v="763.5"/>
    <n v="5.4"/>
    <n v="76"/>
    <x v="1"/>
    <n v="58"/>
    <n v="2.54"/>
    <n v="8"/>
    <x v="2"/>
  </r>
  <r>
    <n v="1614"/>
    <d v="2015-01-09T00:00:00"/>
    <x v="8"/>
    <s v="Male"/>
    <n v="189.8"/>
    <n v="67.599999999999994"/>
    <n v="15281"/>
    <n v="843.3"/>
    <n v="7.5"/>
    <n v="79"/>
    <x v="3"/>
    <n v="74"/>
    <n v="2.42"/>
    <n v="4"/>
    <x v="0"/>
  </r>
  <r>
    <n v="1121"/>
    <d v="2015-01-10T00:00:00"/>
    <x v="9"/>
    <s v="Male"/>
    <n v="159.19999999999999"/>
    <n v="71"/>
    <n v="7602"/>
    <n v="504.2"/>
    <n v="8.1"/>
    <n v="76"/>
    <x v="1"/>
    <n v="87"/>
    <n v="2.34"/>
    <n v="3"/>
    <x v="0"/>
  </r>
  <r>
    <n v="1466"/>
    <d v="2015-01-11T00:00:00"/>
    <x v="10"/>
    <s v="Male"/>
    <n v="170.1"/>
    <n v="64.7"/>
    <n v="1037"/>
    <n v="120"/>
    <n v="6.5"/>
    <n v="85"/>
    <x v="3"/>
    <n v="64"/>
    <n v="2.99"/>
    <n v="2"/>
    <x v="0"/>
  </r>
  <r>
    <n v="1214"/>
    <d v="2015-01-12T00:00:00"/>
    <x v="11"/>
    <s v="Female"/>
    <n v="162"/>
    <n v="106.9"/>
    <n v="10824"/>
    <n v="662.7"/>
    <n v="8.1999999999999993"/>
    <n v="69"/>
    <x v="2"/>
    <n v="47"/>
    <n v="1.99"/>
    <n v="1"/>
    <x v="2"/>
  </r>
  <r>
    <n v="1330"/>
    <d v="2015-01-13T00:00:00"/>
    <x v="9"/>
    <s v="Female"/>
    <n v="173"/>
    <n v="65.3"/>
    <n v="4775"/>
    <n v="292.5"/>
    <n v="8.1"/>
    <n v="71"/>
    <x v="2"/>
    <n v="75"/>
    <n v="1.71"/>
    <n v="8"/>
    <x v="0"/>
  </r>
  <r>
    <n v="1458"/>
    <d v="2015-01-14T00:00:00"/>
    <x v="12"/>
    <s v="Female"/>
    <n v="157.30000000000001"/>
    <n v="61.7"/>
    <n v="11555"/>
    <n v="631.9"/>
    <n v="6.3"/>
    <n v="82"/>
    <x v="1"/>
    <n v="48"/>
    <n v="2.5499999999999998"/>
    <n v="7"/>
    <x v="0"/>
  </r>
  <r>
    <n v="1087"/>
    <d v="2015-01-15T00:00:00"/>
    <x v="2"/>
    <s v="Male"/>
    <n v="178.4"/>
    <n v="71.900000000000006"/>
    <n v="6120"/>
    <n v="325.2"/>
    <n v="9.3000000000000007"/>
    <n v="91"/>
    <x v="0"/>
    <n v="0"/>
    <n v="2.63"/>
    <n v="2"/>
    <x v="2"/>
  </r>
  <r>
    <n v="1372"/>
    <d v="2015-01-16T00:00:00"/>
    <x v="13"/>
    <s v="Female"/>
    <n v="190.4"/>
    <n v="84.6"/>
    <n v="15678"/>
    <n v="900"/>
    <n v="5.8"/>
    <n v="69"/>
    <x v="3"/>
    <n v="88"/>
    <n v="1.22"/>
    <n v="7"/>
    <x v="2"/>
  </r>
  <r>
    <n v="1099"/>
    <d v="2015-01-17T00:00:00"/>
    <x v="12"/>
    <s v="Female"/>
    <n v="161.6"/>
    <n v="59.1"/>
    <n v="18425"/>
    <n v="900"/>
    <n v="7.7"/>
    <n v="77"/>
    <x v="3"/>
    <n v="30"/>
    <n v="2.4900000000000002"/>
    <n v="6"/>
    <x v="0"/>
  </r>
  <r>
    <n v="1871"/>
    <d v="2015-01-18T00:00:00"/>
    <x v="14"/>
    <s v="Female"/>
    <n v="182.2"/>
    <n v="67.8"/>
    <n v="5715"/>
    <n v="412.3"/>
    <n v="6.1"/>
    <n v="71"/>
    <x v="3"/>
    <n v="21"/>
    <n v="1.64"/>
    <n v="8"/>
    <x v="2"/>
  </r>
  <r>
    <n v="1663"/>
    <d v="2015-01-19T00:00:00"/>
    <x v="1"/>
    <s v="Male"/>
    <n v="166.2"/>
    <n v="85"/>
    <n v="2394"/>
    <n v="366.7"/>
    <n v="4.5"/>
    <n v="81"/>
    <x v="3"/>
    <n v="87"/>
    <n v="2.94"/>
    <n v="6"/>
    <x v="2"/>
  </r>
  <r>
    <n v="1130"/>
    <d v="2015-01-20T00:00:00"/>
    <x v="15"/>
    <s v="Female"/>
    <n v="185.1"/>
    <n v="85.8"/>
    <n v="3869"/>
    <n v="381.4"/>
    <n v="7.5"/>
    <n v="59"/>
    <x v="4"/>
    <n v="29"/>
    <n v="1.24"/>
    <n v="4"/>
    <x v="2"/>
  </r>
  <r>
    <n v="1661"/>
    <d v="2015-01-21T00:00:00"/>
    <x v="3"/>
    <s v="Male"/>
    <n v="191.9"/>
    <n v="73.3"/>
    <n v="4676"/>
    <n v="393.3"/>
    <n v="9.9"/>
    <n v="72"/>
    <x v="2"/>
    <n v="46"/>
    <n v="3.85"/>
    <n v="8"/>
    <x v="1"/>
  </r>
  <r>
    <n v="1308"/>
    <d v="2015-01-22T00:00:00"/>
    <x v="8"/>
    <s v="Female"/>
    <n v="167.7"/>
    <n v="106.3"/>
    <n v="4721"/>
    <n v="408.6"/>
    <n v="6.9"/>
    <n v="69"/>
    <x v="3"/>
    <n v="54"/>
    <n v="2.2599999999999998"/>
    <n v="1"/>
    <x v="1"/>
  </r>
  <r>
    <n v="1769"/>
    <d v="2015-01-23T00:00:00"/>
    <x v="16"/>
    <s v="Male"/>
    <n v="154.80000000000001"/>
    <n v="99.7"/>
    <n v="6690"/>
    <n v="448.5"/>
    <n v="4.8"/>
    <n v="72"/>
    <x v="4"/>
    <n v="69"/>
    <n v="1.89"/>
    <n v="10"/>
    <x v="0"/>
  </r>
  <r>
    <n v="1343"/>
    <d v="2015-01-24T00:00:00"/>
    <x v="8"/>
    <s v="Male"/>
    <n v="179.5"/>
    <n v="48.9"/>
    <n v="6818"/>
    <n v="410.7"/>
    <n v="7.3"/>
    <n v="50"/>
    <x v="4"/>
    <n v="21"/>
    <n v="2.2999999999999998"/>
    <n v="1"/>
    <x v="0"/>
  </r>
  <r>
    <n v="1491"/>
    <d v="2015-01-25T00:00:00"/>
    <x v="17"/>
    <s v="Male"/>
    <n v="172.2"/>
    <n v="45"/>
    <n v="1234"/>
    <n v="297.39999999999998"/>
    <n v="5.8"/>
    <n v="95"/>
    <x v="2"/>
    <n v="36"/>
    <n v="2.89"/>
    <n v="4"/>
    <x v="2"/>
  </r>
  <r>
    <n v="1413"/>
    <d v="2015-01-26T00:00:00"/>
    <x v="4"/>
    <s v="Female"/>
    <n v="175"/>
    <n v="81.900000000000006"/>
    <n v="4140"/>
    <n v="362.1"/>
    <n v="8.6"/>
    <n v="50"/>
    <x v="5"/>
    <n v="43"/>
    <n v="3.12"/>
    <n v="1"/>
    <x v="0"/>
  </r>
  <r>
    <n v="1805"/>
    <d v="2015-01-27T00:00:00"/>
    <x v="17"/>
    <s v="Female"/>
    <n v="166.6"/>
    <n v="90.5"/>
    <n v="9638"/>
    <n v="497.6"/>
    <n v="6.7"/>
    <n v="80"/>
    <x v="1"/>
    <n v="76"/>
    <n v="2.31"/>
    <n v="5"/>
    <x v="1"/>
  </r>
  <r>
    <n v="1385"/>
    <d v="2015-01-28T00:00:00"/>
    <x v="12"/>
    <s v="Male"/>
    <n v="161.19999999999999"/>
    <n v="66.599999999999994"/>
    <n v="13897"/>
    <n v="781.2"/>
    <n v="4.3"/>
    <n v="62"/>
    <x v="2"/>
    <n v="35"/>
    <n v="1.49"/>
    <n v="9"/>
    <x v="0"/>
  </r>
  <r>
    <n v="1191"/>
    <d v="2015-01-29T00:00:00"/>
    <x v="18"/>
    <s v="Male"/>
    <n v="181.6"/>
    <n v="62.5"/>
    <n v="18383"/>
    <n v="900"/>
    <n v="7.8"/>
    <n v="63"/>
    <x v="5"/>
    <n v="55"/>
    <n v="1.65"/>
    <n v="9"/>
    <x v="0"/>
  </r>
  <r>
    <n v="1955"/>
    <d v="2015-01-30T00:00:00"/>
    <x v="13"/>
    <s v="Female"/>
    <n v="173.2"/>
    <n v="57.7"/>
    <n v="18718"/>
    <n v="900"/>
    <n v="7.3"/>
    <n v="76"/>
    <x v="0"/>
    <n v="0"/>
    <n v="2.7"/>
    <n v="9"/>
    <x v="1"/>
  </r>
  <r>
    <n v="1276"/>
    <d v="2015-01-31T00:00:00"/>
    <x v="19"/>
    <s v="Female"/>
    <n v="155.6"/>
    <n v="52.5"/>
    <n v="9325"/>
    <n v="586.4"/>
    <n v="6.6"/>
    <n v="82"/>
    <x v="1"/>
    <n v="29"/>
    <n v="3.19"/>
    <n v="6"/>
    <x v="1"/>
  </r>
  <r>
    <n v="1160"/>
    <d v="2015-02-01T00:00:00"/>
    <x v="13"/>
    <s v="Male"/>
    <n v="176.9"/>
    <n v="87"/>
    <n v="11624"/>
    <n v="605.9"/>
    <n v="5.4"/>
    <n v="64"/>
    <x v="1"/>
    <n v="82"/>
    <n v="3.28"/>
    <n v="1"/>
    <x v="2"/>
  </r>
  <r>
    <n v="1459"/>
    <d v="2015-02-02T00:00:00"/>
    <x v="20"/>
    <s v="Female"/>
    <n v="174.9"/>
    <n v="64.3"/>
    <n v="7090"/>
    <n v="394.1"/>
    <n v="9.6999999999999993"/>
    <n v="64"/>
    <x v="1"/>
    <n v="62"/>
    <n v="2.62"/>
    <n v="10"/>
    <x v="2"/>
  </r>
  <r>
    <n v="1313"/>
    <d v="2015-02-03T00:00:00"/>
    <x v="21"/>
    <s v="Female"/>
    <n v="166.7"/>
    <n v="74.5"/>
    <n v="12377"/>
    <n v="758.3"/>
    <n v="6.3"/>
    <n v="62"/>
    <x v="4"/>
    <n v="70"/>
    <n v="3.18"/>
    <n v="5"/>
    <x v="2"/>
  </r>
  <r>
    <n v="1021"/>
    <d v="2015-02-04T00:00:00"/>
    <x v="22"/>
    <s v="Female"/>
    <n v="186.2"/>
    <n v="45"/>
    <n v="18495"/>
    <n v="900"/>
    <n v="8.3000000000000007"/>
    <n v="77"/>
    <x v="3"/>
    <n v="22"/>
    <n v="3.84"/>
    <n v="10"/>
    <x v="0"/>
  </r>
  <r>
    <n v="1252"/>
    <d v="2015-02-05T00:00:00"/>
    <x v="9"/>
    <s v="Female"/>
    <n v="163.80000000000001"/>
    <n v="85"/>
    <n v="15870"/>
    <n v="791.5"/>
    <n v="6.3"/>
    <n v="65"/>
    <x v="1"/>
    <n v="85"/>
    <n v="3.33"/>
    <n v="2"/>
    <x v="0"/>
  </r>
  <r>
    <n v="1747"/>
    <d v="2015-02-06T00:00:00"/>
    <x v="23"/>
    <s v="Male"/>
    <n v="168.3"/>
    <n v="78.8"/>
    <n v="3103"/>
    <n v="288.10000000000002"/>
    <n v="8"/>
    <n v="88"/>
    <x v="3"/>
    <n v="54"/>
    <n v="3.15"/>
    <n v="1"/>
    <x v="0"/>
  </r>
  <r>
    <n v="1856"/>
    <d v="2015-02-07T00:00:00"/>
    <x v="10"/>
    <s v="Female"/>
    <n v="177.7"/>
    <n v="49.8"/>
    <n v="6125"/>
    <n v="509.9"/>
    <n v="7.1"/>
    <n v="63"/>
    <x v="1"/>
    <n v="88"/>
    <n v="1.94"/>
    <n v="5"/>
    <x v="1"/>
  </r>
  <r>
    <n v="1560"/>
    <d v="2015-02-08T00:00:00"/>
    <x v="24"/>
    <s v="Female"/>
    <n v="170.8"/>
    <n v="73.900000000000006"/>
    <n v="7590"/>
    <n v="527.20000000000005"/>
    <n v="7"/>
    <n v="80"/>
    <x v="4"/>
    <n v="55"/>
    <n v="3.17"/>
    <n v="5"/>
    <x v="0"/>
  </r>
  <r>
    <n v="1474"/>
    <d v="2015-02-09T00:00:00"/>
    <x v="12"/>
    <s v="Male"/>
    <n v="156.19999999999999"/>
    <n v="70.099999999999994"/>
    <n v="11212"/>
    <n v="703.3"/>
    <n v="5.8"/>
    <n v="90"/>
    <x v="0"/>
    <n v="0"/>
    <n v="2.82"/>
    <n v="1"/>
    <x v="1"/>
  </r>
  <r>
    <n v="1058"/>
    <d v="2015-02-10T00:00:00"/>
    <x v="16"/>
    <s v="Male"/>
    <n v="171.8"/>
    <n v="63.2"/>
    <n v="10600"/>
    <n v="636.29999999999995"/>
    <n v="7.8"/>
    <n v="76"/>
    <x v="1"/>
    <n v="20"/>
    <n v="2.96"/>
    <n v="7"/>
    <x v="0"/>
  </r>
  <r>
    <n v="1510"/>
    <d v="2015-02-11T00:00:00"/>
    <x v="7"/>
    <s v="Female"/>
    <n v="165.9"/>
    <n v="45"/>
    <n v="3921"/>
    <n v="315"/>
    <n v="9.1"/>
    <n v="57"/>
    <x v="2"/>
    <n v="61"/>
    <n v="3.38"/>
    <n v="3"/>
    <x v="0"/>
  </r>
  <r>
    <n v="1681"/>
    <d v="2015-02-12T00:00:00"/>
    <x v="25"/>
    <s v="Female"/>
    <n v="178.6"/>
    <n v="60.1"/>
    <n v="5734"/>
    <n v="518.70000000000005"/>
    <n v="5.4"/>
    <n v="79"/>
    <x v="5"/>
    <n v="60"/>
    <n v="2.75"/>
    <n v="6"/>
    <x v="1"/>
  </r>
  <r>
    <n v="1475"/>
    <d v="2015-02-13T00:00:00"/>
    <x v="26"/>
    <s v="Female"/>
    <n v="171.5"/>
    <n v="74.5"/>
    <n v="17037"/>
    <n v="861.9"/>
    <n v="5.8"/>
    <n v="73"/>
    <x v="1"/>
    <n v="76"/>
    <n v="2.4300000000000002"/>
    <n v="2"/>
    <x v="1"/>
  </r>
  <r>
    <n v="1699"/>
    <d v="2015-02-14T00:00:00"/>
    <x v="12"/>
    <s v="Female"/>
    <n v="170.9"/>
    <n v="61.8"/>
    <n v="1836"/>
    <n v="313.7"/>
    <n v="10"/>
    <n v="75"/>
    <x v="5"/>
    <n v="39"/>
    <n v="1.75"/>
    <n v="9"/>
    <x v="1"/>
  </r>
  <r>
    <n v="1975"/>
    <d v="2015-02-15T00:00:00"/>
    <x v="27"/>
    <s v="Male"/>
    <n v="159.5"/>
    <n v="66.7"/>
    <n v="13094"/>
    <n v="778"/>
    <n v="5.5"/>
    <n v="91"/>
    <x v="5"/>
    <n v="33"/>
    <n v="2.29"/>
    <n v="2"/>
    <x v="2"/>
  </r>
  <r>
    <n v="1782"/>
    <d v="2015-02-16T00:00:00"/>
    <x v="19"/>
    <s v="Male"/>
    <n v="167.7"/>
    <n v="92.5"/>
    <n v="10028"/>
    <n v="601.4"/>
    <n v="6.2"/>
    <n v="76"/>
    <x v="4"/>
    <n v="71"/>
    <n v="2.65"/>
    <n v="2"/>
    <x v="2"/>
  </r>
  <r>
    <n v="1189"/>
    <d v="2015-02-17T00:00:00"/>
    <x v="28"/>
    <s v="Male"/>
    <n v="179.7"/>
    <n v="68.8"/>
    <n v="11749"/>
    <n v="614.29999999999995"/>
    <n v="9.1"/>
    <n v="80"/>
    <x v="0"/>
    <n v="0"/>
    <n v="2.69"/>
    <n v="1"/>
    <x v="0"/>
  </r>
  <r>
    <n v="1957"/>
    <d v="2015-02-18T00:00:00"/>
    <x v="21"/>
    <s v="Female"/>
    <n v="162.19999999999999"/>
    <n v="45"/>
    <n v="16432"/>
    <n v="823.4"/>
    <n v="9.1"/>
    <n v="68"/>
    <x v="5"/>
    <n v="68"/>
    <n v="2.67"/>
    <n v="1"/>
    <x v="0"/>
  </r>
  <r>
    <n v="1686"/>
    <d v="2015-02-19T00:00:00"/>
    <x v="18"/>
    <s v="Female"/>
    <n v="169.7"/>
    <n v="67.2"/>
    <n v="12051"/>
    <n v="715.9"/>
    <n v="3.4"/>
    <n v="72"/>
    <x v="4"/>
    <n v="49"/>
    <n v="3.17"/>
    <n v="4"/>
    <x v="0"/>
  </r>
  <r>
    <n v="1957"/>
    <d v="2015-02-20T00:00:00"/>
    <x v="26"/>
    <s v="Female"/>
    <n v="160.6"/>
    <n v="71.5"/>
    <n v="16586"/>
    <n v="890.1"/>
    <n v="8.1"/>
    <n v="86"/>
    <x v="0"/>
    <n v="0"/>
    <n v="3.11"/>
    <n v="7"/>
    <x v="2"/>
  </r>
  <r>
    <n v="1562"/>
    <d v="2015-02-21T00:00:00"/>
    <x v="19"/>
    <s v="Female"/>
    <n v="158.19999999999999"/>
    <n v="57.6"/>
    <n v="6312"/>
    <n v="517.5"/>
    <n v="6.7"/>
    <n v="76"/>
    <x v="1"/>
    <n v="31"/>
    <n v="2.46"/>
    <n v="4"/>
    <x v="0"/>
  </r>
  <r>
    <n v="1875"/>
    <d v="2015-02-22T00:00:00"/>
    <x v="29"/>
    <s v="Male"/>
    <n v="169.2"/>
    <n v="81"/>
    <n v="4822"/>
    <n v="449.8"/>
    <n v="6.8"/>
    <n v="78"/>
    <x v="3"/>
    <n v="50"/>
    <n v="1.91"/>
    <n v="5"/>
    <x v="1"/>
  </r>
  <r>
    <n v="1566"/>
    <d v="2015-02-23T00:00:00"/>
    <x v="10"/>
    <s v="Male"/>
    <n v="171.7"/>
    <n v="48.1"/>
    <n v="12622"/>
    <n v="657.2"/>
    <n v="8.6999999999999993"/>
    <n v="85"/>
    <x v="4"/>
    <n v="56"/>
    <n v="2.77"/>
    <n v="6"/>
    <x v="1"/>
  </r>
  <r>
    <n v="1243"/>
    <d v="2015-02-24T00:00:00"/>
    <x v="3"/>
    <s v="Female"/>
    <n v="189.9"/>
    <n v="67.900000000000006"/>
    <n v="17099"/>
    <n v="900"/>
    <n v="6.5"/>
    <n v="91"/>
    <x v="5"/>
    <n v="46"/>
    <n v="4.07"/>
    <n v="5"/>
    <x v="2"/>
  </r>
  <r>
    <n v="1831"/>
    <d v="2015-02-25T00:00:00"/>
    <x v="23"/>
    <s v="Male"/>
    <n v="165.4"/>
    <n v="47.9"/>
    <n v="18188"/>
    <n v="876.2"/>
    <n v="6.2"/>
    <n v="63"/>
    <x v="5"/>
    <n v="43"/>
    <n v="2.72"/>
    <n v="5"/>
    <x v="1"/>
  </r>
  <r>
    <n v="1504"/>
    <d v="2015-02-26T00:00:00"/>
    <x v="13"/>
    <s v="Female"/>
    <n v="169.5"/>
    <n v="65.599999999999994"/>
    <n v="2075"/>
    <n v="312.7"/>
    <n v="6.5"/>
    <n v="70"/>
    <x v="1"/>
    <n v="60"/>
    <n v="2.29"/>
    <n v="4"/>
    <x v="1"/>
  </r>
  <r>
    <n v="1130"/>
    <d v="2015-02-27T00:00:00"/>
    <x v="4"/>
    <s v="Female"/>
    <n v="157.5"/>
    <n v="80.599999999999994"/>
    <n v="15063"/>
    <n v="900"/>
    <n v="6.5"/>
    <n v="90"/>
    <x v="4"/>
    <n v="83"/>
    <n v="2.88"/>
    <n v="9"/>
    <x v="0"/>
  </r>
  <r>
    <n v="1484"/>
    <d v="2015-02-28T00:00:00"/>
    <x v="16"/>
    <s v="Male"/>
    <n v="176.1"/>
    <n v="67.599999999999994"/>
    <n v="17383"/>
    <n v="900"/>
    <n v="7.5"/>
    <n v="95"/>
    <x v="1"/>
    <n v="30"/>
    <n v="2.92"/>
    <n v="5"/>
    <x v="1"/>
  </r>
  <r>
    <n v="1818"/>
    <d v="2015-03-01T00:00:00"/>
    <x v="30"/>
    <s v="Female"/>
    <n v="174"/>
    <n v="66.7"/>
    <n v="10605"/>
    <n v="535.29999999999995"/>
    <n v="9"/>
    <n v="72"/>
    <x v="4"/>
    <n v="35"/>
    <n v="2.91"/>
    <n v="9"/>
    <x v="1"/>
  </r>
  <r>
    <n v="1646"/>
    <d v="2015-03-02T00:00:00"/>
    <x v="4"/>
    <s v="Female"/>
    <n v="184.9"/>
    <n v="70.400000000000006"/>
    <n v="5452"/>
    <n v="401.8"/>
    <n v="7.6"/>
    <n v="78"/>
    <x v="3"/>
    <n v="33"/>
    <n v="3.46"/>
    <n v="4"/>
    <x v="2"/>
  </r>
  <r>
    <n v="1020"/>
    <d v="2015-03-03T00:00:00"/>
    <x v="3"/>
    <s v="Male"/>
    <n v="181.1"/>
    <n v="71.2"/>
    <n v="19047"/>
    <n v="900"/>
    <n v="7"/>
    <n v="79"/>
    <x v="2"/>
    <n v="66"/>
    <n v="2.77"/>
    <n v="9"/>
    <x v="1"/>
  </r>
  <r>
    <n v="1840"/>
    <d v="2015-03-04T00:00:00"/>
    <x v="30"/>
    <s v="Female"/>
    <n v="173.5"/>
    <n v="80.400000000000006"/>
    <n v="13298"/>
    <n v="721.6"/>
    <n v="7.8"/>
    <n v="77"/>
    <x v="1"/>
    <n v="49"/>
    <n v="3.43"/>
    <n v="5"/>
    <x v="1"/>
  </r>
  <r>
    <n v="1166"/>
    <d v="2015-03-05T00:00:00"/>
    <x v="24"/>
    <s v="Female"/>
    <n v="165.3"/>
    <n v="80.5"/>
    <n v="13368"/>
    <n v="801.1"/>
    <n v="8.1999999999999993"/>
    <n v="77"/>
    <x v="5"/>
    <n v="43"/>
    <n v="2.66"/>
    <n v="8"/>
    <x v="0"/>
  </r>
  <r>
    <n v="1273"/>
    <d v="2015-03-06T00:00:00"/>
    <x v="10"/>
    <s v="Male"/>
    <n v="172"/>
    <n v="91.3"/>
    <n v="8428"/>
    <n v="489.3"/>
    <n v="7.9"/>
    <n v="89"/>
    <x v="1"/>
    <n v="32"/>
    <n v="3.56"/>
    <n v="1"/>
    <x v="0"/>
  </r>
  <r>
    <n v="1387"/>
    <d v="2015-03-07T00:00:00"/>
    <x v="29"/>
    <s v="Female"/>
    <n v="168.9"/>
    <n v="72.5"/>
    <n v="19437"/>
    <n v="900"/>
    <n v="6"/>
    <n v="57"/>
    <x v="4"/>
    <n v="28"/>
    <n v="3.34"/>
    <n v="4"/>
    <x v="0"/>
  </r>
  <r>
    <n v="1600"/>
    <d v="2015-03-08T00:00:00"/>
    <x v="21"/>
    <s v="Male"/>
    <n v="179.5"/>
    <n v="45.1"/>
    <n v="16817"/>
    <n v="861.9"/>
    <n v="7.6"/>
    <n v="68"/>
    <x v="1"/>
    <n v="68"/>
    <n v="3.15"/>
    <n v="4"/>
    <x v="2"/>
  </r>
  <r>
    <n v="1315"/>
    <d v="2015-03-09T00:00:00"/>
    <x v="31"/>
    <s v="Female"/>
    <n v="178.3"/>
    <n v="82.9"/>
    <n v="3420"/>
    <n v="434.3"/>
    <n v="3.8"/>
    <n v="81"/>
    <x v="3"/>
    <n v="45"/>
    <n v="3.05"/>
    <n v="2"/>
    <x v="0"/>
  </r>
  <r>
    <n v="1013"/>
    <d v="2015-03-10T00:00:00"/>
    <x v="13"/>
    <s v="Male"/>
    <n v="167"/>
    <n v="90.2"/>
    <n v="19912"/>
    <n v="900"/>
    <n v="9.3000000000000007"/>
    <n v="70"/>
    <x v="4"/>
    <n v="68"/>
    <n v="4.1100000000000003"/>
    <n v="3"/>
    <x v="1"/>
  </r>
  <r>
    <n v="1241"/>
    <d v="2015-03-11T00:00:00"/>
    <x v="11"/>
    <s v="Male"/>
    <n v="155.4"/>
    <n v="106.9"/>
    <n v="5317"/>
    <n v="318.39999999999998"/>
    <n v="9.3000000000000007"/>
    <n v="78"/>
    <x v="0"/>
    <n v="0"/>
    <n v="3.25"/>
    <n v="8"/>
    <x v="2"/>
  </r>
  <r>
    <n v="1776"/>
    <d v="2015-03-12T00:00:00"/>
    <x v="32"/>
    <s v="Male"/>
    <n v="183.3"/>
    <n v="91.8"/>
    <n v="9412"/>
    <n v="695.6"/>
    <n v="8.3000000000000007"/>
    <n v="86"/>
    <x v="5"/>
    <n v="64"/>
    <n v="1.91"/>
    <n v="8"/>
    <x v="1"/>
  </r>
  <r>
    <n v="1345"/>
    <d v="2015-03-13T00:00:00"/>
    <x v="14"/>
    <s v="Female"/>
    <n v="175.8"/>
    <n v="62.6"/>
    <n v="17321"/>
    <n v="900"/>
    <n v="8.9"/>
    <n v="91"/>
    <x v="5"/>
    <n v="40"/>
    <n v="2.67"/>
    <n v="1"/>
    <x v="1"/>
  </r>
  <r>
    <n v="1564"/>
    <d v="2015-03-14T00:00:00"/>
    <x v="18"/>
    <s v="Male"/>
    <n v="166.8"/>
    <n v="72.8"/>
    <n v="1227"/>
    <n v="281.8"/>
    <n v="6.9"/>
    <n v="78"/>
    <x v="4"/>
    <n v="48"/>
    <n v="2.31"/>
    <n v="2"/>
    <x v="0"/>
  </r>
  <r>
    <n v="1897"/>
    <d v="2015-03-15T00:00:00"/>
    <x v="13"/>
    <s v="Male"/>
    <n v="175.4"/>
    <n v="65.900000000000006"/>
    <n v="19721"/>
    <n v="900"/>
    <n v="5.9"/>
    <n v="90"/>
    <x v="0"/>
    <n v="0"/>
    <n v="3.95"/>
    <n v="4"/>
    <x v="2"/>
  </r>
  <r>
    <n v="1339"/>
    <d v="2015-03-16T00:00:00"/>
    <x v="5"/>
    <s v="Male"/>
    <n v="170.7"/>
    <n v="63.9"/>
    <n v="12456"/>
    <n v="711.1"/>
    <n v="5.0999999999999996"/>
    <n v="76"/>
    <x v="3"/>
    <n v="61"/>
    <n v="3.38"/>
    <n v="6"/>
    <x v="2"/>
  </r>
  <r>
    <n v="1091"/>
    <d v="2015-03-17T00:00:00"/>
    <x v="33"/>
    <s v="Male"/>
    <n v="183.2"/>
    <n v="68.3"/>
    <n v="1955"/>
    <n v="279.2"/>
    <n v="8.5"/>
    <n v="72"/>
    <x v="1"/>
    <n v="60"/>
    <n v="3.92"/>
    <n v="3"/>
    <x v="0"/>
  </r>
  <r>
    <n v="1366"/>
    <d v="2015-03-18T00:00:00"/>
    <x v="13"/>
    <s v="Male"/>
    <n v="150.69999999999999"/>
    <n v="89.3"/>
    <n v="18881"/>
    <n v="900"/>
    <n v="5.9"/>
    <n v="60"/>
    <x v="2"/>
    <n v="67"/>
    <n v="1.97"/>
    <n v="7"/>
    <x v="2"/>
  </r>
  <r>
    <n v="1955"/>
    <d v="2015-03-19T00:00:00"/>
    <x v="34"/>
    <s v="Female"/>
    <n v="166"/>
    <n v="46.2"/>
    <n v="10472"/>
    <n v="652.29999999999995"/>
    <n v="6.4"/>
    <n v="65"/>
    <x v="5"/>
    <n v="62"/>
    <n v="3.27"/>
    <n v="3"/>
    <x v="1"/>
  </r>
  <r>
    <n v="1454"/>
    <d v="2015-03-20T00:00:00"/>
    <x v="35"/>
    <s v="Female"/>
    <n v="186"/>
    <n v="55"/>
    <n v="2978"/>
    <n v="233.8"/>
    <n v="7.3"/>
    <n v="75"/>
    <x v="3"/>
    <n v="27"/>
    <n v="1.54"/>
    <n v="8"/>
    <x v="2"/>
  </r>
  <r>
    <n v="1427"/>
    <d v="2015-03-21T00:00:00"/>
    <x v="4"/>
    <s v="Female"/>
    <n v="175.6"/>
    <n v="88.3"/>
    <n v="18913"/>
    <n v="900"/>
    <n v="6.9"/>
    <n v="75"/>
    <x v="3"/>
    <n v="82"/>
    <n v="1.39"/>
    <n v="6"/>
    <x v="1"/>
  </r>
  <r>
    <n v="1508"/>
    <d v="2015-03-22T00:00:00"/>
    <x v="27"/>
    <s v="Female"/>
    <n v="187.7"/>
    <n v="91.8"/>
    <n v="13675"/>
    <n v="807.6"/>
    <n v="7.4"/>
    <n v="77"/>
    <x v="3"/>
    <n v="82"/>
    <n v="2.2200000000000002"/>
    <n v="8"/>
    <x v="2"/>
  </r>
  <r>
    <n v="1775"/>
    <d v="2015-03-23T00:00:00"/>
    <x v="9"/>
    <s v="Female"/>
    <n v="157.80000000000001"/>
    <n v="60.1"/>
    <n v="17128"/>
    <n v="848.8"/>
    <n v="4.3"/>
    <n v="93"/>
    <x v="1"/>
    <n v="25"/>
    <n v="3.56"/>
    <n v="7"/>
    <x v="2"/>
  </r>
  <r>
    <n v="1942"/>
    <d v="2015-03-24T00:00:00"/>
    <x v="21"/>
    <s v="Female"/>
    <n v="180.7"/>
    <n v="94.8"/>
    <n v="16668"/>
    <n v="842.1"/>
    <n v="6.6"/>
    <n v="83"/>
    <x v="3"/>
    <n v="71"/>
    <n v="1.81"/>
    <n v="5"/>
    <x v="0"/>
  </r>
  <r>
    <n v="1034"/>
    <d v="2015-03-25T00:00:00"/>
    <x v="31"/>
    <s v="Female"/>
    <n v="180.1"/>
    <n v="84.6"/>
    <n v="8445"/>
    <n v="542.29999999999995"/>
    <n v="8.1999999999999993"/>
    <n v="83"/>
    <x v="3"/>
    <n v="40"/>
    <n v="2.4900000000000002"/>
    <n v="5"/>
    <x v="0"/>
  </r>
  <r>
    <n v="1205"/>
    <d v="2015-03-26T00:00:00"/>
    <x v="14"/>
    <s v="Male"/>
    <n v="153.19999999999999"/>
    <n v="66"/>
    <n v="5284"/>
    <n v="392.8"/>
    <n v="6.4"/>
    <n v="93"/>
    <x v="4"/>
    <n v="33"/>
    <n v="3.33"/>
    <n v="3"/>
    <x v="2"/>
  </r>
  <r>
    <n v="1080"/>
    <d v="2015-03-27T00:00:00"/>
    <x v="0"/>
    <s v="Female"/>
    <n v="167"/>
    <n v="45"/>
    <n v="18585"/>
    <n v="900"/>
    <n v="5.7"/>
    <n v="71"/>
    <x v="4"/>
    <n v="77"/>
    <n v="3.09"/>
    <n v="4"/>
    <x v="1"/>
  </r>
  <r>
    <n v="1931"/>
    <d v="2015-03-28T00:00:00"/>
    <x v="24"/>
    <s v="Male"/>
    <n v="168.9"/>
    <n v="45"/>
    <n v="8131"/>
    <n v="534"/>
    <n v="8.4"/>
    <n v="70"/>
    <x v="3"/>
    <n v="44"/>
    <n v="4.05"/>
    <n v="8"/>
    <x v="0"/>
  </r>
  <r>
    <n v="1561"/>
    <d v="2015-03-29T00:00:00"/>
    <x v="33"/>
    <s v="Male"/>
    <n v="153.80000000000001"/>
    <n v="60.1"/>
    <n v="11614"/>
    <n v="589.20000000000005"/>
    <n v="6.4"/>
    <n v="87"/>
    <x v="3"/>
    <n v="75"/>
    <n v="2.5"/>
    <n v="5"/>
    <x v="0"/>
  </r>
  <r>
    <n v="1871"/>
    <d v="2015-03-30T00:00:00"/>
    <x v="27"/>
    <s v="Female"/>
    <n v="167.3"/>
    <n v="81.400000000000006"/>
    <n v="1759"/>
    <n v="233.6"/>
    <n v="7.3"/>
    <n v="80"/>
    <x v="4"/>
    <n v="28"/>
    <n v="2.19"/>
    <n v="9"/>
    <x v="0"/>
  </r>
  <r>
    <n v="1387"/>
    <d v="2015-03-31T00:00:00"/>
    <x v="36"/>
    <s v="Male"/>
    <n v="178.7"/>
    <n v="81.400000000000006"/>
    <n v="14684"/>
    <n v="745.2"/>
    <n v="6.7"/>
    <n v="75"/>
    <x v="1"/>
    <n v="55"/>
    <n v="1.73"/>
    <n v="3"/>
    <x v="2"/>
  </r>
  <r>
    <n v="1001"/>
    <d v="2015-04-01T00:00:00"/>
    <x v="14"/>
    <s v="Male"/>
    <n v="166.1"/>
    <n v="63"/>
    <n v="10680"/>
    <n v="604"/>
    <n v="7"/>
    <n v="74"/>
    <x v="4"/>
    <n v="76"/>
    <n v="2.2400000000000002"/>
    <n v="10"/>
    <x v="1"/>
  </r>
  <r>
    <n v="1389"/>
    <d v="2015-04-02T00:00:00"/>
    <x v="33"/>
    <s v="Male"/>
    <n v="172.4"/>
    <n v="66.5"/>
    <n v="5371"/>
    <n v="420.4"/>
    <n v="9.3000000000000007"/>
    <n v="73"/>
    <x v="4"/>
    <n v="24"/>
    <n v="1.73"/>
    <n v="3"/>
    <x v="1"/>
  </r>
  <r>
    <n v="1565"/>
    <d v="2015-04-03T00:00:00"/>
    <x v="29"/>
    <s v="Male"/>
    <n v="172.5"/>
    <n v="69.5"/>
    <n v="13651"/>
    <n v="761.4"/>
    <n v="7.9"/>
    <n v="74"/>
    <x v="4"/>
    <n v="26"/>
    <n v="1.24"/>
    <n v="8"/>
    <x v="2"/>
  </r>
  <r>
    <n v="1105"/>
    <d v="2015-04-04T00:00:00"/>
    <x v="4"/>
    <s v="Female"/>
    <n v="169.9"/>
    <n v="66.7"/>
    <n v="2665"/>
    <n v="188.2"/>
    <n v="5.2"/>
    <n v="75"/>
    <x v="4"/>
    <n v="25"/>
    <n v="3.87"/>
    <n v="8"/>
    <x v="1"/>
  </r>
  <r>
    <n v="1771"/>
    <d v="2015-04-05T00:00:00"/>
    <x v="28"/>
    <s v="Female"/>
    <n v="162.9"/>
    <n v="72.5"/>
    <n v="7918"/>
    <n v="568"/>
    <n v="6.4"/>
    <n v="72"/>
    <x v="2"/>
    <n v="71"/>
    <n v="2.5299999999999998"/>
    <n v="7"/>
    <x v="0"/>
  </r>
  <r>
    <n v="1821"/>
    <d v="2015-04-06T00:00:00"/>
    <x v="37"/>
    <s v="Female"/>
    <n v="176.6"/>
    <n v="69.5"/>
    <n v="11194"/>
    <n v="643.20000000000005"/>
    <n v="6.4"/>
    <n v="81"/>
    <x v="5"/>
    <n v="89"/>
    <n v="4.3099999999999996"/>
    <n v="6"/>
    <x v="1"/>
  </r>
  <r>
    <n v="1476"/>
    <d v="2015-04-07T00:00:00"/>
    <x v="32"/>
    <s v="Female"/>
    <n v="154.1"/>
    <n v="45"/>
    <n v="12213"/>
    <n v="632.5"/>
    <n v="7.3"/>
    <n v="82"/>
    <x v="1"/>
    <n v="74"/>
    <n v="1.91"/>
    <n v="7"/>
    <x v="0"/>
  </r>
  <r>
    <n v="1702"/>
    <d v="2015-04-08T00:00:00"/>
    <x v="32"/>
    <s v="Female"/>
    <n v="170.1"/>
    <n v="66.900000000000006"/>
    <n v="16745"/>
    <n v="900"/>
    <n v="8.4"/>
    <n v="69"/>
    <x v="0"/>
    <n v="0"/>
    <n v="2.2000000000000002"/>
    <n v="7"/>
    <x v="0"/>
  </r>
  <r>
    <n v="1401"/>
    <d v="2015-04-09T00:00:00"/>
    <x v="28"/>
    <s v="Female"/>
    <n v="183.9"/>
    <n v="69.7"/>
    <n v="8636"/>
    <n v="440.2"/>
    <n v="7"/>
    <n v="84"/>
    <x v="1"/>
    <n v="20"/>
    <n v="1.96"/>
    <n v="6"/>
    <x v="2"/>
  </r>
  <r>
    <n v="1729"/>
    <d v="2015-04-10T00:00:00"/>
    <x v="33"/>
    <s v="Female"/>
    <n v="165.5"/>
    <n v="84.8"/>
    <n v="18749"/>
    <n v="871.2"/>
    <n v="7"/>
    <n v="62"/>
    <x v="3"/>
    <n v="56"/>
    <n v="2.0499999999999998"/>
    <n v="9"/>
    <x v="0"/>
  </r>
  <r>
    <n v="1555"/>
    <d v="2015-04-11T00:00:00"/>
    <x v="19"/>
    <s v="Female"/>
    <n v="162.69999999999999"/>
    <n v="57.5"/>
    <n v="8344"/>
    <n v="640.20000000000005"/>
    <n v="3.7"/>
    <n v="80"/>
    <x v="2"/>
    <n v="68"/>
    <n v="3.11"/>
    <n v="5"/>
    <x v="1"/>
  </r>
  <r>
    <n v="1161"/>
    <d v="2015-04-12T00:00:00"/>
    <x v="32"/>
    <s v="Female"/>
    <n v="177.3"/>
    <n v="73.099999999999994"/>
    <n v="4201"/>
    <n v="375.4"/>
    <n v="9"/>
    <n v="81"/>
    <x v="3"/>
    <n v="31"/>
    <n v="2.9"/>
    <n v="5"/>
    <x v="1"/>
  </r>
  <r>
    <n v="1201"/>
    <d v="2015-04-13T00:00:00"/>
    <x v="23"/>
    <s v="Female"/>
    <n v="171.6"/>
    <n v="78.400000000000006"/>
    <n v="5752"/>
    <n v="393.2"/>
    <n v="6.7"/>
    <n v="74"/>
    <x v="1"/>
    <n v="24"/>
    <n v="3.11"/>
    <n v="6"/>
    <x v="1"/>
  </r>
  <r>
    <n v="1957"/>
    <d v="2015-04-14T00:00:00"/>
    <x v="10"/>
    <s v="Male"/>
    <n v="177.5"/>
    <n v="67.8"/>
    <n v="10575"/>
    <n v="628.4"/>
    <n v="7.4"/>
    <n v="76"/>
    <x v="1"/>
    <n v="89"/>
    <n v="3.44"/>
    <n v="10"/>
    <x v="1"/>
  </r>
  <r>
    <n v="1995"/>
    <d v="2015-04-15T00:00:00"/>
    <x v="7"/>
    <s v="Female"/>
    <n v="170.4"/>
    <n v="45"/>
    <n v="11327"/>
    <n v="644"/>
    <n v="7.4"/>
    <n v="73"/>
    <x v="0"/>
    <n v="0"/>
    <n v="3.28"/>
    <n v="4"/>
    <x v="1"/>
  </r>
  <r>
    <n v="1269"/>
    <d v="2015-04-16T00:00:00"/>
    <x v="32"/>
    <s v="Male"/>
    <n v="150"/>
    <n v="85.2"/>
    <n v="16891"/>
    <n v="877.4"/>
    <n v="5.8"/>
    <n v="70"/>
    <x v="0"/>
    <n v="0"/>
    <n v="1.79"/>
    <n v="10"/>
    <x v="0"/>
  </r>
  <r>
    <n v="1862"/>
    <d v="2015-04-17T00:00:00"/>
    <x v="21"/>
    <s v="Male"/>
    <n v="181.8"/>
    <n v="81.2"/>
    <n v="14029"/>
    <n v="785.6"/>
    <n v="6.6"/>
    <n v="75"/>
    <x v="3"/>
    <n v="74"/>
    <n v="2.13"/>
    <n v="10"/>
    <x v="2"/>
  </r>
  <r>
    <n v="1815"/>
    <d v="2015-04-18T00:00:00"/>
    <x v="36"/>
    <s v="Male"/>
    <n v="190.7"/>
    <n v="73.400000000000006"/>
    <n v="7091"/>
    <n v="473.7"/>
    <n v="5.8"/>
    <n v="70"/>
    <x v="5"/>
    <n v="69"/>
    <n v="2.59"/>
    <n v="9"/>
    <x v="2"/>
  </r>
  <r>
    <n v="1270"/>
    <d v="2015-04-19T00:00:00"/>
    <x v="22"/>
    <s v="Male"/>
    <n v="182.8"/>
    <n v="70.599999999999994"/>
    <n v="18905"/>
    <n v="900"/>
    <n v="9.1"/>
    <n v="86"/>
    <x v="3"/>
    <n v="72"/>
    <n v="5"/>
    <n v="2"/>
    <x v="1"/>
  </r>
  <r>
    <n v="1455"/>
    <d v="2015-04-20T00:00:00"/>
    <x v="17"/>
    <s v="Female"/>
    <n v="150"/>
    <n v="45"/>
    <n v="16866"/>
    <n v="866.7"/>
    <n v="3.7"/>
    <n v="54"/>
    <x v="5"/>
    <n v="74"/>
    <n v="3.04"/>
    <n v="3"/>
    <x v="0"/>
  </r>
  <r>
    <n v="1461"/>
    <d v="2015-04-21T00:00:00"/>
    <x v="38"/>
    <s v="Male"/>
    <n v="174.5"/>
    <n v="81.599999999999994"/>
    <n v="8521"/>
    <n v="499.8"/>
    <n v="5.6"/>
    <n v="74"/>
    <x v="5"/>
    <n v="22"/>
    <n v="2.57"/>
    <n v="9"/>
    <x v="2"/>
  </r>
  <r>
    <n v="1726"/>
    <d v="2015-04-22T00:00:00"/>
    <x v="10"/>
    <s v="Female"/>
    <n v="165.3"/>
    <n v="92.3"/>
    <n v="16410"/>
    <n v="801.1"/>
    <n v="6.5"/>
    <n v="56"/>
    <x v="4"/>
    <n v="35"/>
    <n v="2.97"/>
    <n v="1"/>
    <x v="1"/>
  </r>
  <r>
    <n v="1251"/>
    <d v="2015-04-23T00:00:00"/>
    <x v="19"/>
    <s v="Female"/>
    <n v="159.19999999999999"/>
    <n v="53.3"/>
    <n v="19007"/>
    <n v="900"/>
    <n v="9.1999999999999993"/>
    <n v="64"/>
    <x v="1"/>
    <n v="64"/>
    <n v="2.08"/>
    <n v="5"/>
    <x v="0"/>
  </r>
  <r>
    <n v="1701"/>
    <d v="2015-04-24T00:00:00"/>
    <x v="39"/>
    <s v="Male"/>
    <n v="171.2"/>
    <n v="90.2"/>
    <n v="6820"/>
    <n v="505.2"/>
    <n v="8.1"/>
    <n v="69"/>
    <x v="4"/>
    <n v="55"/>
    <n v="2.68"/>
    <n v="3"/>
    <x v="2"/>
  </r>
  <r>
    <n v="1295"/>
    <d v="2015-04-25T00:00:00"/>
    <x v="1"/>
    <s v="Female"/>
    <n v="168.5"/>
    <n v="87"/>
    <n v="12453"/>
    <n v="750"/>
    <n v="4.5"/>
    <n v="88"/>
    <x v="1"/>
    <n v="38"/>
    <n v="3.17"/>
    <n v="3"/>
    <x v="0"/>
  </r>
  <r>
    <n v="1724"/>
    <d v="2015-04-26T00:00:00"/>
    <x v="0"/>
    <s v="Male"/>
    <n v="175.1"/>
    <n v="52.9"/>
    <n v="5696"/>
    <n v="428"/>
    <n v="6.8"/>
    <n v="87"/>
    <x v="4"/>
    <n v="23"/>
    <n v="2.48"/>
    <n v="1"/>
    <x v="1"/>
  </r>
  <r>
    <n v="1719"/>
    <d v="2015-04-27T00:00:00"/>
    <x v="16"/>
    <s v="Male"/>
    <n v="170.6"/>
    <n v="64.099999999999994"/>
    <n v="2867"/>
    <n v="326"/>
    <n v="8.1"/>
    <n v="76"/>
    <x v="5"/>
    <n v="78"/>
    <n v="1.97"/>
    <n v="8"/>
    <x v="0"/>
  </r>
  <r>
    <n v="1748"/>
    <d v="2015-04-28T00:00:00"/>
    <x v="33"/>
    <s v="Female"/>
    <n v="158.80000000000001"/>
    <n v="49.1"/>
    <n v="16723"/>
    <n v="860"/>
    <n v="10"/>
    <n v="76"/>
    <x v="4"/>
    <n v="31"/>
    <n v="2.4500000000000002"/>
    <n v="3"/>
    <x v="2"/>
  </r>
  <r>
    <n v="1337"/>
    <d v="2015-04-29T00:00:00"/>
    <x v="31"/>
    <s v="Female"/>
    <n v="164.2"/>
    <n v="69"/>
    <n v="12817"/>
    <n v="770.6"/>
    <n v="6.5"/>
    <n v="85"/>
    <x v="2"/>
    <n v="82"/>
    <n v="2.2799999999999998"/>
    <n v="4"/>
    <x v="2"/>
  </r>
  <r>
    <n v="1878"/>
    <d v="2015-04-30T00:00:00"/>
    <x v="5"/>
    <s v="Male"/>
    <n v="162.6"/>
    <n v="76.7"/>
    <n v="1168"/>
    <n v="229.5"/>
    <n v="5.2"/>
    <n v="86"/>
    <x v="4"/>
    <n v="75"/>
    <n v="1.55"/>
    <n v="5"/>
    <x v="0"/>
  </r>
  <r>
    <n v="1052"/>
    <d v="2015-05-01T00:00:00"/>
    <x v="33"/>
    <s v="Female"/>
    <n v="152.80000000000001"/>
    <n v="50.2"/>
    <n v="11213"/>
    <n v="599.29999999999995"/>
    <n v="7.5"/>
    <n v="69"/>
    <x v="0"/>
    <n v="0"/>
    <n v="2.1"/>
    <n v="5"/>
    <x v="2"/>
  </r>
  <r>
    <n v="1791"/>
    <d v="2015-05-02T00:00:00"/>
    <x v="37"/>
    <s v="Female"/>
    <n v="156.30000000000001"/>
    <n v="75.8"/>
    <n v="16223"/>
    <n v="875"/>
    <n v="6.9"/>
    <n v="82"/>
    <x v="0"/>
    <n v="0"/>
    <n v="1.53"/>
    <n v="2"/>
    <x v="0"/>
  </r>
  <r>
    <n v="1921"/>
    <d v="2015-05-03T00:00:00"/>
    <x v="4"/>
    <s v="Female"/>
    <n v="167.9"/>
    <n v="79.599999999999994"/>
    <n v="12452"/>
    <n v="690.5"/>
    <n v="7.7"/>
    <n v="65"/>
    <x v="4"/>
    <n v="43"/>
    <n v="1.63"/>
    <n v="7"/>
    <x v="0"/>
  </r>
  <r>
    <n v="1216"/>
    <d v="2015-05-04T00:00:00"/>
    <x v="19"/>
    <s v="Male"/>
    <n v="184.2"/>
    <n v="79.8"/>
    <n v="9027"/>
    <n v="573.6"/>
    <n v="8"/>
    <n v="71"/>
    <x v="4"/>
    <n v="45"/>
    <n v="1.7"/>
    <n v="6"/>
    <x v="1"/>
  </r>
  <r>
    <n v="1763"/>
    <d v="2015-05-05T00:00:00"/>
    <x v="6"/>
    <s v="Male"/>
    <n v="164.6"/>
    <n v="76.8"/>
    <n v="17291"/>
    <n v="900"/>
    <n v="7.5"/>
    <n v="81"/>
    <x v="2"/>
    <n v="41"/>
    <n v="3.17"/>
    <n v="7"/>
    <x v="1"/>
  </r>
  <r>
    <n v="1187"/>
    <d v="2015-05-06T00:00:00"/>
    <x v="38"/>
    <s v="Female"/>
    <n v="162.4"/>
    <n v="51.6"/>
    <n v="11641"/>
    <n v="636.70000000000005"/>
    <n v="7.8"/>
    <n v="68"/>
    <x v="1"/>
    <n v="89"/>
    <n v="3.54"/>
    <n v="10"/>
    <x v="0"/>
  </r>
  <r>
    <n v="1379"/>
    <d v="2015-05-07T00:00:00"/>
    <x v="33"/>
    <s v="Female"/>
    <n v="158.19999999999999"/>
    <n v="68.2"/>
    <n v="1224"/>
    <n v="238"/>
    <n v="9.5"/>
    <n v="71"/>
    <x v="4"/>
    <n v="38"/>
    <n v="1.42"/>
    <n v="10"/>
    <x v="2"/>
  </r>
  <r>
    <n v="1492"/>
    <d v="2015-05-08T00:00:00"/>
    <x v="2"/>
    <s v="Female"/>
    <n v="170.3"/>
    <n v="75.3"/>
    <n v="9749"/>
    <n v="574.4"/>
    <n v="6.6"/>
    <n v="58"/>
    <x v="1"/>
    <n v="53"/>
    <n v="3.61"/>
    <n v="3"/>
    <x v="1"/>
  </r>
  <r>
    <n v="1040"/>
    <d v="2015-05-09T00:00:00"/>
    <x v="10"/>
    <s v="Female"/>
    <n v="181.8"/>
    <n v="91.9"/>
    <n v="7582"/>
    <n v="567.6"/>
    <n v="5.2"/>
    <n v="80"/>
    <x v="0"/>
    <n v="0"/>
    <n v="1.71"/>
    <n v="8"/>
    <x v="2"/>
  </r>
  <r>
    <n v="1156"/>
    <d v="2015-05-10T00:00:00"/>
    <x v="35"/>
    <s v="Female"/>
    <n v="190"/>
    <n v="70"/>
    <n v="2573"/>
    <n v="303.60000000000002"/>
    <n v="7.5"/>
    <n v="66"/>
    <x v="3"/>
    <n v="64"/>
    <n v="3.02"/>
    <n v="6"/>
    <x v="0"/>
  </r>
  <r>
    <n v="1014"/>
    <d v="2015-05-11T00:00:00"/>
    <x v="6"/>
    <s v="Male"/>
    <n v="172.9"/>
    <n v="76.400000000000006"/>
    <n v="9577"/>
    <n v="590.9"/>
    <n v="5.0999999999999996"/>
    <n v="67"/>
    <x v="5"/>
    <n v="56"/>
    <n v="2.68"/>
    <n v="7"/>
    <x v="2"/>
  </r>
  <r>
    <n v="1812"/>
    <d v="2015-05-12T00:00:00"/>
    <x v="26"/>
    <s v="Female"/>
    <n v="171.4"/>
    <n v="56"/>
    <n v="9712"/>
    <n v="530.70000000000005"/>
    <n v="5.3"/>
    <n v="89"/>
    <x v="3"/>
    <n v="42"/>
    <n v="2.95"/>
    <n v="9"/>
    <x v="2"/>
  </r>
  <r>
    <n v="1064"/>
    <d v="2015-05-13T00:00:00"/>
    <x v="29"/>
    <s v="Male"/>
    <n v="164.6"/>
    <n v="52.7"/>
    <n v="7763"/>
    <n v="547.1"/>
    <n v="5.8"/>
    <n v="68"/>
    <x v="2"/>
    <n v="59"/>
    <n v="1.68"/>
    <n v="8"/>
    <x v="0"/>
  </r>
  <r>
    <n v="1856"/>
    <d v="2015-05-14T00:00:00"/>
    <x v="39"/>
    <s v="Female"/>
    <n v="166.2"/>
    <n v="50.8"/>
    <n v="13164"/>
    <n v="748"/>
    <n v="5.0999999999999996"/>
    <n v="83"/>
    <x v="2"/>
    <n v="62"/>
    <n v="1.23"/>
    <n v="8"/>
    <x v="1"/>
  </r>
  <r>
    <n v="1838"/>
    <d v="2015-05-15T00:00:00"/>
    <x v="18"/>
    <s v="Male"/>
    <n v="176.3"/>
    <n v="63.7"/>
    <n v="6217"/>
    <n v="406.9"/>
    <n v="8.8000000000000007"/>
    <n v="86"/>
    <x v="1"/>
    <n v="23"/>
    <n v="1.94"/>
    <n v="3"/>
    <x v="1"/>
  </r>
  <r>
    <n v="1520"/>
    <d v="2015-05-16T00:00:00"/>
    <x v="38"/>
    <s v="Female"/>
    <n v="166.9"/>
    <n v="100.9"/>
    <n v="17272"/>
    <n v="900"/>
    <n v="7.1"/>
    <n v="84"/>
    <x v="1"/>
    <n v="34"/>
    <n v="2.8"/>
    <n v="1"/>
    <x v="2"/>
  </r>
  <r>
    <n v="1343"/>
    <d v="2015-05-17T00:00:00"/>
    <x v="16"/>
    <s v="Male"/>
    <n v="168.4"/>
    <n v="64"/>
    <n v="13734"/>
    <n v="766.2"/>
    <n v="8.1"/>
    <n v="73"/>
    <x v="4"/>
    <n v="42"/>
    <n v="3.87"/>
    <n v="1"/>
    <x v="0"/>
  </r>
  <r>
    <n v="1128"/>
    <d v="2015-05-18T00:00:00"/>
    <x v="33"/>
    <s v="Female"/>
    <n v="169.7"/>
    <n v="75.5"/>
    <n v="12353"/>
    <n v="662.9"/>
    <n v="7.8"/>
    <n v="71"/>
    <x v="3"/>
    <n v="31"/>
    <n v="1.78"/>
    <n v="10"/>
    <x v="0"/>
  </r>
  <r>
    <n v="1647"/>
    <d v="2015-05-19T00:00:00"/>
    <x v="35"/>
    <s v="Male"/>
    <n v="164.1"/>
    <n v="78.400000000000006"/>
    <n v="4501"/>
    <n v="379.9"/>
    <n v="6.7"/>
    <n v="66"/>
    <x v="1"/>
    <n v="87"/>
    <n v="2.4300000000000002"/>
    <n v="2"/>
    <x v="1"/>
  </r>
  <r>
    <n v="1471"/>
    <d v="2015-05-20T00:00:00"/>
    <x v="7"/>
    <s v="Male"/>
    <n v="169.3"/>
    <n v="53.6"/>
    <n v="14530"/>
    <n v="762.8"/>
    <n v="8.4"/>
    <n v="57"/>
    <x v="0"/>
    <n v="0"/>
    <n v="1.98"/>
    <n v="8"/>
    <x v="0"/>
  </r>
  <r>
    <n v="1062"/>
    <d v="2015-05-21T00:00:00"/>
    <x v="5"/>
    <s v="Male"/>
    <n v="150"/>
    <n v="63.5"/>
    <n v="13394"/>
    <n v="813"/>
    <n v="6.3"/>
    <n v="83"/>
    <x v="1"/>
    <n v="71"/>
    <n v="2.4900000000000002"/>
    <n v="10"/>
    <x v="0"/>
  </r>
  <r>
    <n v="1138"/>
    <d v="2015-05-22T00:00:00"/>
    <x v="40"/>
    <s v="Male"/>
    <n v="175.5"/>
    <n v="79.400000000000006"/>
    <n v="2499"/>
    <n v="346.6"/>
    <n v="6.7"/>
    <n v="82"/>
    <x v="0"/>
    <n v="0"/>
    <n v="1.1499999999999999"/>
    <n v="6"/>
    <x v="2"/>
  </r>
  <r>
    <n v="1498"/>
    <d v="2015-05-23T00:00:00"/>
    <x v="6"/>
    <s v="Male"/>
    <n v="193.5"/>
    <n v="76.400000000000006"/>
    <n v="10669"/>
    <n v="649.5"/>
    <n v="5.9"/>
    <n v="80"/>
    <x v="1"/>
    <n v="78"/>
    <n v="3.55"/>
    <n v="6"/>
    <x v="2"/>
  </r>
  <r>
    <n v="1592"/>
    <d v="2015-05-24T00:00:00"/>
    <x v="9"/>
    <s v="Male"/>
    <n v="164.5"/>
    <n v="45"/>
    <n v="11519"/>
    <n v="746.6"/>
    <n v="9.1"/>
    <n v="50"/>
    <x v="5"/>
    <n v="77"/>
    <n v="2.52"/>
    <n v="1"/>
    <x v="1"/>
  </r>
  <r>
    <n v="1391"/>
    <d v="2015-05-25T00:00:00"/>
    <x v="15"/>
    <s v="Female"/>
    <n v="173.7"/>
    <n v="78.900000000000006"/>
    <n v="14239"/>
    <n v="717.6"/>
    <n v="6.8"/>
    <n v="73"/>
    <x v="1"/>
    <n v="78"/>
    <n v="3.14"/>
    <n v="2"/>
    <x v="1"/>
  </r>
  <r>
    <n v="1674"/>
    <d v="2015-05-26T00:00:00"/>
    <x v="38"/>
    <s v="Male"/>
    <n v="178.5"/>
    <n v="61.7"/>
    <n v="19128"/>
    <n v="900"/>
    <n v="7.9"/>
    <n v="81"/>
    <x v="5"/>
    <n v="42"/>
    <n v="2.34"/>
    <n v="5"/>
    <x v="2"/>
  </r>
  <r>
    <n v="1418"/>
    <d v="2015-05-27T00:00:00"/>
    <x v="10"/>
    <s v="Female"/>
    <n v="182.8"/>
    <n v="62.1"/>
    <n v="3039"/>
    <n v="348.9"/>
    <n v="6.1"/>
    <n v="88"/>
    <x v="2"/>
    <n v="20"/>
    <n v="2.63"/>
    <n v="3"/>
    <x v="0"/>
  </r>
  <r>
    <n v="1288"/>
    <d v="2015-05-28T00:00:00"/>
    <x v="16"/>
    <s v="Female"/>
    <n v="167.4"/>
    <n v="76.099999999999994"/>
    <n v="9311"/>
    <n v="560.9"/>
    <n v="8.3000000000000007"/>
    <n v="78"/>
    <x v="4"/>
    <n v="75"/>
    <n v="3.29"/>
    <n v="2"/>
    <x v="0"/>
  </r>
  <r>
    <n v="1378"/>
    <d v="2015-05-29T00:00:00"/>
    <x v="25"/>
    <s v="Female"/>
    <n v="152"/>
    <n v="92.8"/>
    <n v="4857"/>
    <n v="383"/>
    <n v="8.1999999999999993"/>
    <n v="77"/>
    <x v="3"/>
    <n v="23"/>
    <n v="2.59"/>
    <n v="9"/>
    <x v="2"/>
  </r>
  <r>
    <n v="1772"/>
    <d v="2015-05-30T00:00:00"/>
    <x v="21"/>
    <s v="Female"/>
    <n v="172.7"/>
    <n v="67"/>
    <n v="5950"/>
    <n v="484.2"/>
    <n v="4.5999999999999996"/>
    <n v="68"/>
    <x v="1"/>
    <n v="48"/>
    <n v="2.62"/>
    <n v="10"/>
    <x v="2"/>
  </r>
  <r>
    <n v="1489"/>
    <d v="2015-05-31T00:00:00"/>
    <x v="40"/>
    <s v="Female"/>
    <n v="171.3"/>
    <n v="87.7"/>
    <n v="16441"/>
    <n v="900"/>
    <n v="7"/>
    <n v="79"/>
    <x v="5"/>
    <n v="36"/>
    <n v="1.94"/>
    <n v="7"/>
    <x v="2"/>
  </r>
  <r>
    <n v="1230"/>
    <d v="2015-06-01T00:00:00"/>
    <x v="39"/>
    <s v="Male"/>
    <n v="166.5"/>
    <n v="48.4"/>
    <n v="13735"/>
    <n v="678.3"/>
    <n v="7.2"/>
    <n v="73"/>
    <x v="1"/>
    <n v="68"/>
    <n v="2.13"/>
    <n v="1"/>
    <x v="2"/>
  </r>
  <r>
    <n v="1040"/>
    <d v="2015-06-02T00:00:00"/>
    <x v="30"/>
    <s v="Male"/>
    <n v="168.7"/>
    <n v="72"/>
    <n v="2743"/>
    <n v="400.5"/>
    <n v="6.6"/>
    <n v="68"/>
    <x v="1"/>
    <n v="70"/>
    <n v="1.79"/>
    <n v="1"/>
    <x v="0"/>
  </r>
  <r>
    <n v="1027"/>
    <d v="2015-06-03T00:00:00"/>
    <x v="34"/>
    <s v="Male"/>
    <n v="171.4"/>
    <n v="61.9"/>
    <n v="14283"/>
    <n v="828.5"/>
    <n v="9.1"/>
    <n v="63"/>
    <x v="5"/>
    <n v="68"/>
    <n v="1.98"/>
    <n v="3"/>
    <x v="0"/>
  </r>
  <r>
    <n v="1134"/>
    <d v="2015-06-04T00:00:00"/>
    <x v="37"/>
    <s v="Female"/>
    <n v="173.6"/>
    <n v="74.2"/>
    <n v="10638"/>
    <n v="611.4"/>
    <n v="5.2"/>
    <n v="66"/>
    <x v="1"/>
    <n v="43"/>
    <n v="3.38"/>
    <n v="10"/>
    <x v="1"/>
  </r>
  <r>
    <n v="1200"/>
    <d v="2015-06-05T00:00:00"/>
    <x v="23"/>
    <s v="Male"/>
    <n v="173.2"/>
    <n v="65.599999999999994"/>
    <n v="4616"/>
    <n v="345.1"/>
    <n v="6.3"/>
    <n v="78"/>
    <x v="3"/>
    <n v="63"/>
    <n v="3.77"/>
    <n v="6"/>
    <x v="2"/>
  </r>
  <r>
    <n v="1839"/>
    <d v="2015-06-06T00:00:00"/>
    <x v="5"/>
    <s v="Male"/>
    <n v="167.8"/>
    <n v="49.9"/>
    <n v="16383"/>
    <n v="900"/>
    <n v="5.7"/>
    <n v="61"/>
    <x v="0"/>
    <n v="0"/>
    <n v="1.63"/>
    <n v="2"/>
    <x v="1"/>
  </r>
  <r>
    <n v="1779"/>
    <d v="2015-06-07T00:00:00"/>
    <x v="28"/>
    <s v="Male"/>
    <n v="173.8"/>
    <n v="56.7"/>
    <n v="4894"/>
    <n v="420.6"/>
    <n v="8.5"/>
    <n v="72"/>
    <x v="0"/>
    <n v="0"/>
    <n v="2.78"/>
    <n v="8"/>
    <x v="0"/>
  </r>
  <r>
    <n v="1929"/>
    <d v="2015-06-08T00:00:00"/>
    <x v="13"/>
    <s v="Male"/>
    <n v="167.1"/>
    <n v="45.4"/>
    <n v="19108"/>
    <n v="900"/>
    <n v="5.5"/>
    <n v="88"/>
    <x v="0"/>
    <n v="0"/>
    <n v="2.2799999999999998"/>
    <n v="4"/>
    <x v="1"/>
  </r>
  <r>
    <n v="1032"/>
    <d v="2015-06-09T00:00:00"/>
    <x v="39"/>
    <s v="Male"/>
    <n v="176.4"/>
    <n v="50.4"/>
    <n v="7227"/>
    <n v="517.6"/>
    <n v="4.3"/>
    <n v="61"/>
    <x v="0"/>
    <n v="0"/>
    <n v="3.48"/>
    <n v="8"/>
    <x v="0"/>
  </r>
  <r>
    <n v="1047"/>
    <d v="2015-06-10T00:00:00"/>
    <x v="18"/>
    <s v="Female"/>
    <n v="163.69999999999999"/>
    <n v="77.2"/>
    <n v="11464"/>
    <n v="719.3"/>
    <n v="7.6"/>
    <n v="79"/>
    <x v="2"/>
    <n v="50"/>
    <n v="2.59"/>
    <n v="7"/>
    <x v="0"/>
  </r>
  <r>
    <n v="1502"/>
    <d v="2015-06-11T00:00:00"/>
    <x v="23"/>
    <s v="Male"/>
    <n v="170.7"/>
    <n v="66.2"/>
    <n v="8847"/>
    <n v="596.70000000000005"/>
    <n v="6.8"/>
    <n v="80"/>
    <x v="4"/>
    <n v="35"/>
    <n v="2.4900000000000002"/>
    <n v="2"/>
    <x v="1"/>
  </r>
  <r>
    <n v="1406"/>
    <d v="2015-06-12T00:00:00"/>
    <x v="41"/>
    <s v="Female"/>
    <n v="153.80000000000001"/>
    <n v="73.5"/>
    <n v="5281"/>
    <n v="384.5"/>
    <n v="8.6"/>
    <n v="72"/>
    <x v="1"/>
    <n v="51"/>
    <n v="1.98"/>
    <n v="9"/>
    <x v="1"/>
  </r>
  <r>
    <n v="1573"/>
    <d v="2015-06-13T00:00:00"/>
    <x v="11"/>
    <s v="Female"/>
    <n v="166.3"/>
    <n v="97.2"/>
    <n v="19584"/>
    <n v="900"/>
    <n v="8.1999999999999993"/>
    <n v="81"/>
    <x v="5"/>
    <n v="61"/>
    <n v="1.43"/>
    <n v="5"/>
    <x v="2"/>
  </r>
  <r>
    <n v="1727"/>
    <d v="2015-06-14T00:00:00"/>
    <x v="21"/>
    <s v="Female"/>
    <n v="175.7"/>
    <n v="65.599999999999994"/>
    <n v="3143"/>
    <n v="343.5"/>
    <n v="6.9"/>
    <n v="73"/>
    <x v="3"/>
    <n v="53"/>
    <n v="3.03"/>
    <n v="6"/>
    <x v="0"/>
  </r>
  <r>
    <n v="1804"/>
    <d v="2015-06-15T00:00:00"/>
    <x v="38"/>
    <s v="Female"/>
    <n v="159.69999999999999"/>
    <n v="79.5"/>
    <n v="15780"/>
    <n v="900"/>
    <n v="4.8"/>
    <n v="83"/>
    <x v="1"/>
    <n v="56"/>
    <n v="2.75"/>
    <n v="2"/>
    <x v="2"/>
  </r>
  <r>
    <n v="1098"/>
    <d v="2015-06-16T00:00:00"/>
    <x v="10"/>
    <s v="Female"/>
    <n v="166.8"/>
    <n v="70.400000000000006"/>
    <n v="4181"/>
    <n v="359.8"/>
    <n v="5.2"/>
    <n v="64"/>
    <x v="2"/>
    <n v="35"/>
    <n v="2.76"/>
    <n v="3"/>
    <x v="2"/>
  </r>
  <r>
    <n v="1683"/>
    <d v="2015-06-17T00:00:00"/>
    <x v="8"/>
    <s v="Male"/>
    <n v="150"/>
    <n v="111.4"/>
    <n v="7520"/>
    <n v="519"/>
    <n v="4.3"/>
    <n v="94"/>
    <x v="2"/>
    <n v="32"/>
    <n v="2.08"/>
    <n v="10"/>
    <x v="0"/>
  </r>
  <r>
    <n v="1871"/>
    <d v="2015-06-18T00:00:00"/>
    <x v="31"/>
    <s v="Male"/>
    <n v="156.30000000000001"/>
    <n v="45"/>
    <n v="14052"/>
    <n v="806.8"/>
    <n v="6.8"/>
    <n v="89"/>
    <x v="5"/>
    <n v="85"/>
    <n v="2.4"/>
    <n v="8"/>
    <x v="1"/>
  </r>
  <r>
    <n v="1725"/>
    <d v="2015-06-19T00:00:00"/>
    <x v="14"/>
    <s v="Male"/>
    <n v="158.9"/>
    <n v="59.2"/>
    <n v="13271"/>
    <n v="709.9"/>
    <n v="6"/>
    <n v="53"/>
    <x v="1"/>
    <n v="52"/>
    <n v="3.05"/>
    <n v="5"/>
    <x v="2"/>
  </r>
  <r>
    <n v="1986"/>
    <d v="2015-06-20T00:00:00"/>
    <x v="8"/>
    <s v="Female"/>
    <n v="171"/>
    <n v="79.8"/>
    <n v="18480"/>
    <n v="900"/>
    <n v="6.7"/>
    <n v="87"/>
    <x v="0"/>
    <n v="0"/>
    <n v="3.19"/>
    <n v="10"/>
    <x v="2"/>
  </r>
  <r>
    <n v="1546"/>
    <d v="2015-06-21T00:00:00"/>
    <x v="34"/>
    <s v="Male"/>
    <n v="173.3"/>
    <n v="58.7"/>
    <n v="13499"/>
    <n v="740.7"/>
    <n v="7.3"/>
    <n v="69"/>
    <x v="1"/>
    <n v="56"/>
    <n v="1.68"/>
    <n v="1"/>
    <x v="0"/>
  </r>
  <r>
    <n v="1960"/>
    <d v="2015-06-22T00:00:00"/>
    <x v="3"/>
    <s v="Male"/>
    <n v="169.4"/>
    <n v="78.5"/>
    <n v="9915"/>
    <n v="659.1"/>
    <n v="9.8000000000000007"/>
    <n v="89"/>
    <x v="1"/>
    <n v="59"/>
    <n v="2.06"/>
    <n v="9"/>
    <x v="1"/>
  </r>
  <r>
    <n v="1738"/>
    <d v="2015-06-23T00:00:00"/>
    <x v="19"/>
    <s v="Female"/>
    <n v="166.2"/>
    <n v="69.099999999999994"/>
    <n v="17122"/>
    <n v="837.7"/>
    <n v="7.9"/>
    <n v="85"/>
    <x v="2"/>
    <n v="27"/>
    <n v="1.53"/>
    <n v="1"/>
    <x v="1"/>
  </r>
  <r>
    <n v="1612"/>
    <d v="2015-06-24T00:00:00"/>
    <x v="40"/>
    <s v="Female"/>
    <n v="166.2"/>
    <n v="83"/>
    <n v="12431"/>
    <n v="812.9"/>
    <n v="7.1"/>
    <n v="64"/>
    <x v="1"/>
    <n v="73"/>
    <n v="2.64"/>
    <n v="9"/>
    <x v="2"/>
  </r>
  <r>
    <n v="1942"/>
    <d v="2015-06-25T00:00:00"/>
    <x v="21"/>
    <s v="Female"/>
    <n v="177.2"/>
    <n v="53"/>
    <n v="7918"/>
    <n v="501.1"/>
    <n v="4.7"/>
    <n v="81"/>
    <x v="0"/>
    <n v="0"/>
    <n v="3.12"/>
    <n v="10"/>
    <x v="0"/>
  </r>
  <r>
    <n v="1461"/>
    <d v="2015-06-26T00:00:00"/>
    <x v="17"/>
    <s v="Female"/>
    <n v="172.1"/>
    <n v="72.599999999999994"/>
    <n v="9148"/>
    <n v="592"/>
    <n v="7"/>
    <n v="68"/>
    <x v="1"/>
    <n v="21"/>
    <n v="2.2999999999999998"/>
    <n v="6"/>
    <x v="2"/>
  </r>
  <r>
    <n v="1642"/>
    <d v="2015-06-27T00:00:00"/>
    <x v="11"/>
    <s v="Male"/>
    <n v="166.7"/>
    <n v="77"/>
    <n v="14038"/>
    <n v="761.8"/>
    <n v="8.3000000000000007"/>
    <n v="80"/>
    <x v="1"/>
    <n v="75"/>
    <n v="2.04"/>
    <n v="7"/>
    <x v="1"/>
  </r>
  <r>
    <n v="1768"/>
    <d v="2015-06-28T00:00:00"/>
    <x v="11"/>
    <s v="Female"/>
    <n v="182.9"/>
    <n v="72"/>
    <n v="14805"/>
    <n v="738.3"/>
    <n v="7.6"/>
    <n v="75"/>
    <x v="1"/>
    <n v="76"/>
    <n v="2.27"/>
    <n v="1"/>
    <x v="2"/>
  </r>
  <r>
    <n v="1004"/>
    <d v="2015-06-29T00:00:00"/>
    <x v="6"/>
    <s v="Female"/>
    <n v="189.5"/>
    <n v="72.2"/>
    <n v="8749"/>
    <n v="591.6"/>
    <n v="5.4"/>
    <n v="68"/>
    <x v="0"/>
    <n v="0"/>
    <n v="4.1100000000000003"/>
    <n v="10"/>
    <x v="0"/>
  </r>
  <r>
    <n v="1217"/>
    <d v="2015-06-30T00:00:00"/>
    <x v="13"/>
    <s v="Male"/>
    <n v="157.5"/>
    <n v="88"/>
    <n v="3871"/>
    <n v="341.6"/>
    <n v="6.4"/>
    <n v="62"/>
    <x v="0"/>
    <n v="0"/>
    <n v="3.33"/>
    <n v="1"/>
    <x v="2"/>
  </r>
  <r>
    <n v="1502"/>
    <d v="2015-07-01T00:00:00"/>
    <x v="34"/>
    <s v="Male"/>
    <n v="175.2"/>
    <n v="45"/>
    <n v="5489"/>
    <n v="445.8"/>
    <n v="7.1"/>
    <n v="77"/>
    <x v="5"/>
    <n v="27"/>
    <n v="3.01"/>
    <n v="5"/>
    <x v="1"/>
  </r>
  <r>
    <n v="1766"/>
    <d v="2015-07-02T00:00:00"/>
    <x v="21"/>
    <s v="Female"/>
    <n v="200"/>
    <n v="71.900000000000006"/>
    <n v="5607"/>
    <n v="384"/>
    <n v="6.4"/>
    <n v="80"/>
    <x v="2"/>
    <n v="82"/>
    <n v="2.72"/>
    <n v="2"/>
    <x v="0"/>
  </r>
  <r>
    <n v="1397"/>
    <d v="2015-07-03T00:00:00"/>
    <x v="37"/>
    <s v="Male"/>
    <n v="172.8"/>
    <n v="51.9"/>
    <n v="13973"/>
    <n v="745.9"/>
    <n v="6.1"/>
    <n v="73"/>
    <x v="4"/>
    <n v="65"/>
    <n v="2.4900000000000002"/>
    <n v="10"/>
    <x v="0"/>
  </r>
  <r>
    <n v="1870"/>
    <d v="2015-07-04T00:00:00"/>
    <x v="41"/>
    <s v="Female"/>
    <n v="171.2"/>
    <n v="81.400000000000006"/>
    <n v="13111"/>
    <n v="709.7"/>
    <n v="3.8"/>
    <n v="67"/>
    <x v="5"/>
    <n v="86"/>
    <n v="1.87"/>
    <n v="5"/>
    <x v="0"/>
  </r>
  <r>
    <n v="1794"/>
    <d v="2015-07-05T00:00:00"/>
    <x v="34"/>
    <s v="Female"/>
    <n v="169.4"/>
    <n v="57.4"/>
    <n v="6834"/>
    <n v="500.9"/>
    <n v="5.8"/>
    <n v="70"/>
    <x v="0"/>
    <n v="0"/>
    <n v="1.76"/>
    <n v="5"/>
    <x v="0"/>
  </r>
  <r>
    <n v="1392"/>
    <d v="2015-07-06T00:00:00"/>
    <x v="7"/>
    <s v="Male"/>
    <n v="174.9"/>
    <n v="45"/>
    <n v="10912"/>
    <n v="651.9"/>
    <n v="7.4"/>
    <n v="64"/>
    <x v="1"/>
    <n v="86"/>
    <n v="2.1"/>
    <n v="6"/>
    <x v="0"/>
  </r>
  <r>
    <n v="1206"/>
    <d v="2015-07-07T00:00:00"/>
    <x v="17"/>
    <s v="Male"/>
    <n v="177.5"/>
    <n v="81.7"/>
    <n v="4399"/>
    <n v="367.1"/>
    <n v="8.3000000000000007"/>
    <n v="82"/>
    <x v="4"/>
    <n v="61"/>
    <n v="1.83"/>
    <n v="9"/>
    <x v="2"/>
  </r>
  <r>
    <n v="1014"/>
    <d v="2015-07-08T00:00:00"/>
    <x v="40"/>
    <s v="Female"/>
    <n v="157.6"/>
    <n v="66"/>
    <n v="19241"/>
    <n v="900"/>
    <n v="7.1"/>
    <n v="53"/>
    <x v="3"/>
    <n v="83"/>
    <n v="2.0699999999999998"/>
    <n v="6"/>
    <x v="0"/>
  </r>
  <r>
    <n v="1857"/>
    <d v="2015-07-09T00:00:00"/>
    <x v="39"/>
    <s v="Female"/>
    <n v="169.7"/>
    <n v="75.3"/>
    <n v="8604"/>
    <n v="559.9"/>
    <n v="8.6"/>
    <n v="85"/>
    <x v="4"/>
    <n v="72"/>
    <n v="2.4300000000000002"/>
    <n v="10"/>
    <x v="1"/>
  </r>
  <r>
    <n v="1553"/>
    <d v="2015-07-10T00:00:00"/>
    <x v="18"/>
    <s v="Female"/>
    <n v="150"/>
    <n v="91.4"/>
    <n v="11957"/>
    <n v="688.2"/>
    <n v="6.9"/>
    <n v="74"/>
    <x v="5"/>
    <n v="26"/>
    <n v="2.48"/>
    <n v="1"/>
    <x v="0"/>
  </r>
  <r>
    <n v="1891"/>
    <d v="2015-07-11T00:00:00"/>
    <x v="4"/>
    <s v="Male"/>
    <n v="167.9"/>
    <n v="75.599999999999994"/>
    <n v="8731"/>
    <n v="555.70000000000005"/>
    <n v="5.7"/>
    <n v="80"/>
    <x v="2"/>
    <n v="26"/>
    <n v="2.0699999999999998"/>
    <n v="5"/>
    <x v="1"/>
  </r>
  <r>
    <n v="1460"/>
    <d v="2015-07-12T00:00:00"/>
    <x v="21"/>
    <s v="Female"/>
    <n v="161"/>
    <n v="72.5"/>
    <n v="19780"/>
    <n v="900"/>
    <n v="6.3"/>
    <n v="81"/>
    <x v="5"/>
    <n v="55"/>
    <n v="2.85"/>
    <n v="2"/>
    <x v="1"/>
  </r>
  <r>
    <n v="1690"/>
    <d v="2015-07-13T00:00:00"/>
    <x v="21"/>
    <s v="Female"/>
    <n v="173.4"/>
    <n v="69.3"/>
    <n v="16808"/>
    <n v="899.9"/>
    <n v="7.7"/>
    <n v="76"/>
    <x v="2"/>
    <n v="32"/>
    <n v="2.37"/>
    <n v="8"/>
    <x v="1"/>
  </r>
  <r>
    <n v="1574"/>
    <d v="2015-07-14T00:00:00"/>
    <x v="30"/>
    <s v="Female"/>
    <n v="153.4"/>
    <n v="52.8"/>
    <n v="3261"/>
    <n v="426.6"/>
    <n v="6.6"/>
    <n v="71"/>
    <x v="2"/>
    <n v="86"/>
    <n v="2.65"/>
    <n v="7"/>
    <x v="1"/>
  </r>
  <r>
    <n v="1863"/>
    <d v="2015-07-15T00:00:00"/>
    <x v="31"/>
    <s v="Female"/>
    <n v="164.9"/>
    <n v="66.8"/>
    <n v="12809"/>
    <n v="708.9"/>
    <n v="6"/>
    <n v="86"/>
    <x v="0"/>
    <n v="0"/>
    <n v="1.98"/>
    <n v="6"/>
    <x v="1"/>
  </r>
  <r>
    <n v="1742"/>
    <d v="2015-07-16T00:00:00"/>
    <x v="1"/>
    <s v="Female"/>
    <n v="179.7"/>
    <n v="99.6"/>
    <n v="18696"/>
    <n v="900"/>
    <n v="4.7"/>
    <n v="58"/>
    <x v="2"/>
    <n v="72"/>
    <n v="2.99"/>
    <n v="2"/>
    <x v="2"/>
  </r>
  <r>
    <n v="1240"/>
    <d v="2015-07-17T00:00:00"/>
    <x v="15"/>
    <s v="Male"/>
    <n v="163.19999999999999"/>
    <n v="64.400000000000006"/>
    <n v="11056"/>
    <n v="617"/>
    <n v="5.7"/>
    <n v="88"/>
    <x v="3"/>
    <n v="71"/>
    <n v="2.13"/>
    <n v="3"/>
    <x v="1"/>
  </r>
  <r>
    <n v="1563"/>
    <d v="2015-07-18T00:00:00"/>
    <x v="22"/>
    <s v="Female"/>
    <n v="151"/>
    <n v="67.7"/>
    <n v="19689"/>
    <n v="900"/>
    <n v="6.4"/>
    <n v="64"/>
    <x v="4"/>
    <n v="80"/>
    <n v="3.63"/>
    <n v="9"/>
    <x v="1"/>
  </r>
  <r>
    <n v="1095"/>
    <d v="2015-07-19T00:00:00"/>
    <x v="18"/>
    <s v="Female"/>
    <n v="172.6"/>
    <n v="88.9"/>
    <n v="1997"/>
    <n v="263.60000000000002"/>
    <n v="6.1"/>
    <n v="72"/>
    <x v="5"/>
    <n v="80"/>
    <n v="2.34"/>
    <n v="9"/>
    <x v="1"/>
  </r>
  <r>
    <n v="1899"/>
    <d v="2015-07-20T00:00:00"/>
    <x v="25"/>
    <s v="Female"/>
    <n v="164.1"/>
    <n v="46.9"/>
    <n v="16155"/>
    <n v="822.8"/>
    <n v="5.5"/>
    <n v="89"/>
    <x v="5"/>
    <n v="75"/>
    <n v="2.4300000000000002"/>
    <n v="7"/>
    <x v="2"/>
  </r>
  <r>
    <n v="1733"/>
    <d v="2015-07-21T00:00:00"/>
    <x v="25"/>
    <s v="Female"/>
    <n v="168.1"/>
    <n v="79.3"/>
    <n v="7353"/>
    <n v="399.1"/>
    <n v="9.3000000000000007"/>
    <n v="97"/>
    <x v="2"/>
    <n v="59"/>
    <n v="2.92"/>
    <n v="2"/>
    <x v="0"/>
  </r>
  <r>
    <n v="1484"/>
    <d v="2015-07-22T00:00:00"/>
    <x v="28"/>
    <s v="Male"/>
    <n v="162.69999999999999"/>
    <n v="46.2"/>
    <n v="19703"/>
    <n v="900"/>
    <n v="7.9"/>
    <n v="77"/>
    <x v="0"/>
    <n v="0"/>
    <n v="3.07"/>
    <n v="7"/>
    <x v="1"/>
  </r>
  <r>
    <n v="1406"/>
    <d v="2015-07-23T00:00:00"/>
    <x v="9"/>
    <s v="Male"/>
    <n v="189.7"/>
    <n v="76"/>
    <n v="4207"/>
    <n v="349.1"/>
    <n v="10"/>
    <n v="61"/>
    <x v="3"/>
    <n v="76"/>
    <n v="3.14"/>
    <n v="1"/>
    <x v="2"/>
  </r>
  <r>
    <n v="1230"/>
    <d v="2015-07-24T00:00:00"/>
    <x v="28"/>
    <s v="Male"/>
    <n v="154.4"/>
    <n v="69.7"/>
    <n v="10275"/>
    <n v="684.7"/>
    <n v="4.5999999999999996"/>
    <n v="84"/>
    <x v="3"/>
    <n v="23"/>
    <n v="3.74"/>
    <n v="9"/>
    <x v="2"/>
  </r>
  <r>
    <n v="1748"/>
    <d v="2015-07-25T00:00:00"/>
    <x v="15"/>
    <s v="Female"/>
    <n v="198.3"/>
    <n v="79.2"/>
    <n v="16874"/>
    <n v="870.1"/>
    <n v="7.5"/>
    <n v="75"/>
    <x v="1"/>
    <n v="45"/>
    <n v="2.96"/>
    <n v="9"/>
    <x v="2"/>
  </r>
  <r>
    <n v="1654"/>
    <d v="2015-07-26T00:00:00"/>
    <x v="41"/>
    <s v="Female"/>
    <n v="166.1"/>
    <n v="54.8"/>
    <n v="4086"/>
    <n v="395.7"/>
    <n v="6.3"/>
    <n v="64"/>
    <x v="3"/>
    <n v="81"/>
    <n v="2.4500000000000002"/>
    <n v="6"/>
    <x v="0"/>
  </r>
  <r>
    <n v="1170"/>
    <d v="2015-07-27T00:00:00"/>
    <x v="41"/>
    <s v="Male"/>
    <n v="171.8"/>
    <n v="62"/>
    <n v="16973"/>
    <n v="882.6"/>
    <n v="7"/>
    <n v="77"/>
    <x v="2"/>
    <n v="73"/>
    <n v="2.13"/>
    <n v="10"/>
    <x v="2"/>
  </r>
  <r>
    <n v="1540"/>
    <d v="2015-07-28T00:00:00"/>
    <x v="12"/>
    <s v="Male"/>
    <n v="164.3"/>
    <n v="80"/>
    <n v="18105"/>
    <n v="900"/>
    <n v="9.8000000000000007"/>
    <n v="62"/>
    <x v="2"/>
    <n v="81"/>
    <n v="2.41"/>
    <n v="1"/>
    <x v="1"/>
  </r>
  <r>
    <n v="1035"/>
    <d v="2015-07-29T00:00:00"/>
    <x v="3"/>
    <s v="Male"/>
    <n v="163.80000000000001"/>
    <n v="62.4"/>
    <n v="15870"/>
    <n v="784.3"/>
    <n v="4.4000000000000004"/>
    <n v="77"/>
    <x v="4"/>
    <n v="37"/>
    <n v="3.54"/>
    <n v="8"/>
    <x v="1"/>
  </r>
  <r>
    <n v="1524"/>
    <d v="2015-07-30T00:00:00"/>
    <x v="3"/>
    <s v="Female"/>
    <n v="162.19999999999999"/>
    <n v="81.3"/>
    <n v="2154"/>
    <n v="345.3"/>
    <n v="6.1"/>
    <n v="66"/>
    <x v="2"/>
    <n v="29"/>
    <n v="1.53"/>
    <n v="6"/>
    <x v="1"/>
  </r>
  <r>
    <n v="1159"/>
    <d v="2015-07-31T00:00:00"/>
    <x v="38"/>
    <s v="Female"/>
    <n v="176"/>
    <n v="73.099999999999994"/>
    <n v="17029"/>
    <n v="862.8"/>
    <n v="5.9"/>
    <n v="55"/>
    <x v="4"/>
    <n v="55"/>
    <n v="1.93"/>
    <n v="9"/>
    <x v="0"/>
  </r>
  <r>
    <n v="1838"/>
    <d v="2015-08-01T00:00:00"/>
    <x v="25"/>
    <s v="Male"/>
    <n v="155.9"/>
    <n v="63.3"/>
    <n v="8167"/>
    <n v="573"/>
    <n v="6.1"/>
    <n v="58"/>
    <x v="3"/>
    <n v="21"/>
    <n v="2.35"/>
    <n v="9"/>
    <x v="2"/>
  </r>
  <r>
    <n v="1698"/>
    <d v="2015-08-02T00:00:00"/>
    <x v="9"/>
    <s v="Male"/>
    <n v="173.6"/>
    <n v="65.3"/>
    <n v="1016"/>
    <n v="167.6"/>
    <n v="3.8"/>
    <n v="69"/>
    <x v="1"/>
    <n v="79"/>
    <n v="1.92"/>
    <n v="7"/>
    <x v="1"/>
  </r>
  <r>
    <n v="1242"/>
    <d v="2015-08-03T00:00:00"/>
    <x v="30"/>
    <s v="Male"/>
    <n v="150"/>
    <n v="70.099999999999994"/>
    <n v="8097"/>
    <n v="486.2"/>
    <n v="8.9"/>
    <n v="80"/>
    <x v="0"/>
    <n v="0"/>
    <n v="2.21"/>
    <n v="4"/>
    <x v="1"/>
  </r>
  <r>
    <n v="1085"/>
    <d v="2015-08-04T00:00:00"/>
    <x v="21"/>
    <s v="Female"/>
    <n v="172.7"/>
    <n v="66.7"/>
    <n v="14165"/>
    <n v="785.2"/>
    <n v="9"/>
    <n v="88"/>
    <x v="5"/>
    <n v="51"/>
    <n v="3.76"/>
    <n v="1"/>
    <x v="1"/>
  </r>
  <r>
    <n v="1795"/>
    <d v="2015-08-05T00:00:00"/>
    <x v="15"/>
    <s v="Female"/>
    <n v="178.5"/>
    <n v="81"/>
    <n v="19616"/>
    <n v="900"/>
    <n v="7.9"/>
    <n v="89"/>
    <x v="2"/>
    <n v="88"/>
    <n v="2.29"/>
    <n v="3"/>
    <x v="0"/>
  </r>
  <r>
    <n v="1577"/>
    <d v="2015-08-06T00:00:00"/>
    <x v="31"/>
    <s v="Female"/>
    <n v="157.30000000000001"/>
    <n v="64.400000000000006"/>
    <n v="12654"/>
    <n v="729"/>
    <n v="5"/>
    <n v="60"/>
    <x v="3"/>
    <n v="70"/>
    <n v="2.79"/>
    <n v="6"/>
    <x v="1"/>
  </r>
  <r>
    <n v="1681"/>
    <d v="2015-08-07T00:00:00"/>
    <x v="4"/>
    <s v="Male"/>
    <n v="176.8"/>
    <n v="61.4"/>
    <n v="18830"/>
    <n v="900"/>
    <n v="7.4"/>
    <n v="73"/>
    <x v="2"/>
    <n v="86"/>
    <n v="1.34"/>
    <n v="1"/>
    <x v="2"/>
  </r>
  <r>
    <n v="1556"/>
    <d v="2015-08-08T00:00:00"/>
    <x v="35"/>
    <s v="Male"/>
    <n v="170.5"/>
    <n v="83.7"/>
    <n v="17205"/>
    <n v="900"/>
    <n v="8.3000000000000007"/>
    <n v="69"/>
    <x v="4"/>
    <n v="86"/>
    <n v="1.73"/>
    <n v="4"/>
    <x v="2"/>
  </r>
  <r>
    <n v="1573"/>
    <d v="2015-08-09T00:00:00"/>
    <x v="5"/>
    <s v="Female"/>
    <n v="186"/>
    <n v="63.7"/>
    <n v="10657"/>
    <n v="653.29999999999995"/>
    <n v="7.6"/>
    <n v="74"/>
    <x v="3"/>
    <n v="87"/>
    <n v="3.15"/>
    <n v="8"/>
    <x v="0"/>
  </r>
  <r>
    <n v="1952"/>
    <d v="2015-08-10T00:00:00"/>
    <x v="33"/>
    <s v="Male"/>
    <n v="161.4"/>
    <n v="61.9"/>
    <n v="12959"/>
    <n v="696.7"/>
    <n v="6.9"/>
    <n v="89"/>
    <x v="5"/>
    <n v="75"/>
    <n v="3.67"/>
    <n v="8"/>
    <x v="0"/>
  </r>
  <r>
    <n v="1645"/>
    <d v="2015-08-11T00:00:00"/>
    <x v="8"/>
    <s v="Female"/>
    <n v="198.2"/>
    <n v="45"/>
    <n v="12819"/>
    <n v="693.1"/>
    <n v="9.1"/>
    <n v="77"/>
    <x v="4"/>
    <n v="33"/>
    <n v="2.65"/>
    <n v="6"/>
    <x v="0"/>
  </r>
  <r>
    <n v="1795"/>
    <d v="2015-08-12T00:00:00"/>
    <x v="3"/>
    <s v="Male"/>
    <n v="150"/>
    <n v="54.4"/>
    <n v="4083"/>
    <n v="423.5"/>
    <n v="5.9"/>
    <n v="84"/>
    <x v="3"/>
    <n v="35"/>
    <n v="2.29"/>
    <n v="6"/>
    <x v="2"/>
  </r>
  <r>
    <n v="1027"/>
    <d v="2015-08-13T00:00:00"/>
    <x v="12"/>
    <s v="Male"/>
    <n v="166.7"/>
    <n v="57.4"/>
    <n v="10735"/>
    <n v="553"/>
    <n v="6.7"/>
    <n v="97"/>
    <x v="0"/>
    <n v="0"/>
    <n v="2.85"/>
    <n v="3"/>
    <x v="0"/>
  </r>
  <r>
    <n v="1619"/>
    <d v="2015-08-14T00:00:00"/>
    <x v="18"/>
    <s v="Male"/>
    <n v="153"/>
    <n v="61.9"/>
    <n v="7952"/>
    <n v="546"/>
    <n v="7.9"/>
    <n v="59"/>
    <x v="0"/>
    <n v="0"/>
    <n v="0.68"/>
    <n v="7"/>
    <x v="0"/>
  </r>
  <r>
    <n v="1555"/>
    <d v="2015-08-15T00:00:00"/>
    <x v="8"/>
    <s v="Male"/>
    <n v="188.5"/>
    <n v="59.2"/>
    <n v="15637"/>
    <n v="769.7"/>
    <n v="7.5"/>
    <n v="70"/>
    <x v="5"/>
    <n v="32"/>
    <n v="2.66"/>
    <n v="8"/>
    <x v="2"/>
  </r>
  <r>
    <n v="1339"/>
    <d v="2015-08-16T00:00:00"/>
    <x v="22"/>
    <s v="Female"/>
    <n v="167.4"/>
    <n v="84.7"/>
    <n v="10463"/>
    <n v="674"/>
    <n v="7.8"/>
    <n v="81"/>
    <x v="0"/>
    <n v="0"/>
    <n v="1.77"/>
    <n v="2"/>
    <x v="1"/>
  </r>
  <r>
    <n v="1797"/>
    <d v="2015-08-17T00:00:00"/>
    <x v="29"/>
    <s v="Male"/>
    <n v="168.3"/>
    <n v="58.4"/>
    <n v="6391"/>
    <n v="434"/>
    <n v="7.8"/>
    <n v="78"/>
    <x v="4"/>
    <n v="45"/>
    <n v="3.06"/>
    <n v="5"/>
    <x v="0"/>
  </r>
  <r>
    <n v="1957"/>
    <d v="2015-08-18T00:00:00"/>
    <x v="15"/>
    <s v="Female"/>
    <n v="174.4"/>
    <n v="59.5"/>
    <n v="15468"/>
    <n v="845"/>
    <n v="7.8"/>
    <n v="85"/>
    <x v="5"/>
    <n v="32"/>
    <n v="0.97"/>
    <n v="6"/>
    <x v="1"/>
  </r>
  <r>
    <n v="1330"/>
    <d v="2015-08-19T00:00:00"/>
    <x v="37"/>
    <s v="Female"/>
    <n v="170"/>
    <n v="72.3"/>
    <n v="16091"/>
    <n v="845.5"/>
    <n v="6.5"/>
    <n v="71"/>
    <x v="3"/>
    <n v="87"/>
    <n v="2.06"/>
    <n v="1"/>
    <x v="1"/>
  </r>
  <r>
    <n v="1639"/>
    <d v="2015-08-20T00:00:00"/>
    <x v="22"/>
    <s v="Female"/>
    <n v="164.1"/>
    <n v="53.5"/>
    <n v="15964"/>
    <n v="769.2"/>
    <n v="6"/>
    <n v="77"/>
    <x v="4"/>
    <n v="52"/>
    <n v="2.4700000000000002"/>
    <n v="5"/>
    <x v="1"/>
  </r>
  <r>
    <n v="1505"/>
    <d v="2015-08-21T00:00:00"/>
    <x v="12"/>
    <s v="Male"/>
    <n v="157.4"/>
    <n v="93.5"/>
    <n v="9964"/>
    <n v="630.6"/>
    <n v="7.2"/>
    <n v="67"/>
    <x v="0"/>
    <n v="0"/>
    <n v="1.97"/>
    <n v="3"/>
    <x v="1"/>
  </r>
  <r>
    <n v="1347"/>
    <d v="2015-08-22T00:00:00"/>
    <x v="9"/>
    <s v="Female"/>
    <n v="171.7"/>
    <n v="82"/>
    <n v="8914"/>
    <n v="520.5"/>
    <n v="9.3000000000000007"/>
    <n v="86"/>
    <x v="1"/>
    <n v="36"/>
    <n v="2.2400000000000002"/>
    <n v="3"/>
    <x v="0"/>
  </r>
  <r>
    <n v="1472"/>
    <d v="2015-08-23T00:00:00"/>
    <x v="11"/>
    <s v="Female"/>
    <n v="173.8"/>
    <n v="52.5"/>
    <n v="15476"/>
    <n v="859.1"/>
    <n v="7"/>
    <n v="75"/>
    <x v="2"/>
    <n v="25"/>
    <n v="3.13"/>
    <n v="6"/>
    <x v="0"/>
  </r>
  <r>
    <n v="1230"/>
    <d v="2015-08-24T00:00:00"/>
    <x v="40"/>
    <s v="Female"/>
    <n v="177"/>
    <n v="85.2"/>
    <n v="17866"/>
    <n v="864.5"/>
    <n v="7.9"/>
    <n v="89"/>
    <x v="0"/>
    <n v="0"/>
    <n v="2.48"/>
    <n v="1"/>
    <x v="0"/>
  </r>
  <r>
    <n v="1189"/>
    <d v="2015-08-25T00:00:00"/>
    <x v="16"/>
    <s v="Male"/>
    <n v="189.1"/>
    <n v="88.3"/>
    <n v="8437"/>
    <n v="549.6"/>
    <n v="7.2"/>
    <n v="89"/>
    <x v="1"/>
    <n v="52"/>
    <n v="1.85"/>
    <n v="5"/>
    <x v="2"/>
  </r>
  <r>
    <n v="1224"/>
    <d v="2015-08-26T00:00:00"/>
    <x v="41"/>
    <s v="Male"/>
    <n v="150"/>
    <n v="52.9"/>
    <n v="12371"/>
    <n v="696.8"/>
    <n v="10"/>
    <n v="62"/>
    <x v="5"/>
    <n v="73"/>
    <n v="3.16"/>
    <n v="5"/>
    <x v="2"/>
  </r>
  <r>
    <n v="1384"/>
    <d v="2015-08-27T00:00:00"/>
    <x v="2"/>
    <s v="Female"/>
    <n v="169.3"/>
    <n v="52.5"/>
    <n v="10773"/>
    <n v="600.79999999999995"/>
    <n v="6.8"/>
    <n v="91"/>
    <x v="3"/>
    <n v="35"/>
    <n v="2.68"/>
    <n v="5"/>
    <x v="1"/>
  </r>
  <r>
    <n v="1376"/>
    <d v="2015-08-28T00:00:00"/>
    <x v="8"/>
    <s v="Male"/>
    <n v="181.9"/>
    <n v="60.8"/>
    <n v="6203"/>
    <n v="517.1"/>
    <n v="7.9"/>
    <n v="84"/>
    <x v="2"/>
    <n v="65"/>
    <n v="2.7"/>
    <n v="3"/>
    <x v="2"/>
  </r>
  <r>
    <n v="1282"/>
    <d v="2015-08-29T00:00:00"/>
    <x v="31"/>
    <s v="Female"/>
    <n v="168.8"/>
    <n v="48.8"/>
    <n v="16430"/>
    <n v="858.9"/>
    <n v="5.9"/>
    <n v="73"/>
    <x v="3"/>
    <n v="43"/>
    <n v="1.88"/>
    <n v="6"/>
    <x v="1"/>
  </r>
  <r>
    <n v="1957"/>
    <d v="2015-08-30T00:00:00"/>
    <x v="1"/>
    <s v="Female"/>
    <n v="150"/>
    <n v="58.3"/>
    <n v="13462"/>
    <n v="717.4"/>
    <n v="5.3"/>
    <n v="83"/>
    <x v="5"/>
    <n v="24"/>
    <n v="0.72"/>
    <n v="1"/>
    <x v="1"/>
  </r>
  <r>
    <n v="1632"/>
    <d v="2015-08-31T00:00:00"/>
    <x v="23"/>
    <s v="Male"/>
    <n v="157.1"/>
    <n v="64"/>
    <n v="10033"/>
    <n v="616.29999999999995"/>
    <n v="7"/>
    <n v="70"/>
    <x v="3"/>
    <n v="86"/>
    <n v="1.87"/>
    <n v="10"/>
    <x v="0"/>
  </r>
  <r>
    <n v="1627"/>
    <d v="2015-09-01T00:00:00"/>
    <x v="4"/>
    <s v="Female"/>
    <n v="173.3"/>
    <n v="77.599999999999994"/>
    <n v="19256"/>
    <n v="897.5"/>
    <n v="8.8000000000000007"/>
    <n v="89"/>
    <x v="4"/>
    <n v="69"/>
    <n v="1.79"/>
    <n v="1"/>
    <x v="0"/>
  </r>
  <r>
    <n v="1972"/>
    <d v="2015-09-02T00:00:00"/>
    <x v="3"/>
    <s v="Male"/>
    <n v="172.9"/>
    <n v="71.2"/>
    <n v="16754"/>
    <n v="900"/>
    <n v="8"/>
    <n v="76"/>
    <x v="4"/>
    <n v="60"/>
    <n v="2.0699999999999998"/>
    <n v="2"/>
    <x v="2"/>
  </r>
  <r>
    <n v="1744"/>
    <d v="2015-09-03T00:00:00"/>
    <x v="22"/>
    <s v="Male"/>
    <n v="176.7"/>
    <n v="67.8"/>
    <n v="4320"/>
    <n v="318.5"/>
    <n v="3.9"/>
    <n v="84"/>
    <x v="0"/>
    <n v="0"/>
    <n v="1.91"/>
    <n v="4"/>
    <x v="0"/>
  </r>
  <r>
    <n v="1258"/>
    <d v="2015-09-04T00:00:00"/>
    <x v="4"/>
    <s v="Female"/>
    <n v="162.19999999999999"/>
    <n v="62.8"/>
    <n v="15979"/>
    <n v="866.7"/>
    <n v="8.1"/>
    <n v="69"/>
    <x v="0"/>
    <n v="0"/>
    <n v="2.58"/>
    <n v="10"/>
    <x v="2"/>
  </r>
  <r>
    <n v="1358"/>
    <d v="2015-09-05T00:00:00"/>
    <x v="27"/>
    <s v="Male"/>
    <n v="172.6"/>
    <n v="50.4"/>
    <n v="3728"/>
    <n v="352.2"/>
    <n v="4.7"/>
    <n v="78"/>
    <x v="0"/>
    <n v="0"/>
    <n v="3.12"/>
    <n v="9"/>
    <x v="0"/>
  </r>
  <r>
    <n v="1709"/>
    <d v="2015-09-06T00:00:00"/>
    <x v="14"/>
    <s v="Male"/>
    <n v="160.5"/>
    <n v="78.900000000000006"/>
    <n v="18338"/>
    <n v="900"/>
    <n v="8.3000000000000007"/>
    <n v="84"/>
    <x v="0"/>
    <n v="0"/>
    <n v="3.25"/>
    <n v="10"/>
    <x v="0"/>
  </r>
  <r>
    <n v="1455"/>
    <d v="2015-09-07T00:00:00"/>
    <x v="19"/>
    <s v="Female"/>
    <n v="172.6"/>
    <n v="78.5"/>
    <n v="2595"/>
    <n v="312.7"/>
    <n v="7.8"/>
    <n v="78"/>
    <x v="5"/>
    <n v="69"/>
    <n v="3.09"/>
    <n v="8"/>
    <x v="2"/>
  </r>
  <r>
    <n v="1410"/>
    <d v="2015-09-08T00:00:00"/>
    <x v="25"/>
    <s v="Female"/>
    <n v="170.5"/>
    <n v="60.7"/>
    <n v="3288"/>
    <n v="299.60000000000002"/>
    <n v="6.8"/>
    <n v="81"/>
    <x v="3"/>
    <n v="52"/>
    <n v="1.87"/>
    <n v="10"/>
    <x v="1"/>
  </r>
  <r>
    <n v="1648"/>
    <d v="2015-09-09T00:00:00"/>
    <x v="23"/>
    <s v="Male"/>
    <n v="161.80000000000001"/>
    <n v="53.5"/>
    <n v="7845"/>
    <n v="420.9"/>
    <n v="8.1"/>
    <n v="67"/>
    <x v="0"/>
    <n v="0"/>
    <n v="2.54"/>
    <n v="2"/>
    <x v="2"/>
  </r>
  <r>
    <n v="1317"/>
    <d v="2015-09-10T00:00:00"/>
    <x v="1"/>
    <s v="Male"/>
    <n v="185.6"/>
    <n v="93.3"/>
    <n v="8663"/>
    <n v="457.5"/>
    <n v="6.6"/>
    <n v="78"/>
    <x v="5"/>
    <n v="29"/>
    <n v="3.6"/>
    <n v="1"/>
    <x v="0"/>
  </r>
  <r>
    <n v="1676"/>
    <d v="2015-09-11T00:00:00"/>
    <x v="8"/>
    <s v="Female"/>
    <n v="152.9"/>
    <n v="73.7"/>
    <n v="18127"/>
    <n v="900"/>
    <n v="7.2"/>
    <n v="67"/>
    <x v="2"/>
    <n v="60"/>
    <n v="1.39"/>
    <n v="4"/>
    <x v="1"/>
  </r>
  <r>
    <n v="1224"/>
    <d v="2015-09-12T00:00:00"/>
    <x v="10"/>
    <s v="Male"/>
    <n v="168.6"/>
    <n v="76"/>
    <n v="18878"/>
    <n v="900"/>
    <n v="4.8"/>
    <n v="75"/>
    <x v="0"/>
    <n v="0"/>
    <n v="3.44"/>
    <n v="5"/>
    <x v="0"/>
  </r>
  <r>
    <n v="1818"/>
    <d v="2015-09-13T00:00:00"/>
    <x v="2"/>
    <s v="Male"/>
    <n v="161.6"/>
    <n v="76.599999999999994"/>
    <n v="7944"/>
    <n v="434.2"/>
    <n v="6.6"/>
    <n v="70"/>
    <x v="3"/>
    <n v="25"/>
    <n v="1.8"/>
    <n v="2"/>
    <x v="0"/>
  </r>
  <r>
    <n v="1233"/>
    <d v="2015-09-14T00:00:00"/>
    <x v="8"/>
    <s v="Male"/>
    <n v="188.3"/>
    <n v="52"/>
    <n v="13302"/>
    <n v="824.5"/>
    <n v="8.4"/>
    <n v="73"/>
    <x v="4"/>
    <n v="52"/>
    <n v="2.71"/>
    <n v="10"/>
    <x v="0"/>
  </r>
  <r>
    <n v="1683"/>
    <d v="2015-09-15T00:00:00"/>
    <x v="9"/>
    <s v="Male"/>
    <n v="176"/>
    <n v="92.5"/>
    <n v="11180"/>
    <n v="701.5"/>
    <n v="5"/>
    <n v="57"/>
    <x v="1"/>
    <n v="35"/>
    <n v="2.79"/>
    <n v="6"/>
    <x v="1"/>
  </r>
  <r>
    <n v="1663"/>
    <d v="2015-09-16T00:00:00"/>
    <x v="26"/>
    <s v="Male"/>
    <n v="163.5"/>
    <n v="63.9"/>
    <n v="1207"/>
    <n v="180.8"/>
    <n v="8.1999999999999993"/>
    <n v="75"/>
    <x v="4"/>
    <n v="43"/>
    <n v="2.63"/>
    <n v="8"/>
    <x v="0"/>
  </r>
  <r>
    <n v="1974"/>
    <d v="2015-09-17T00:00:00"/>
    <x v="38"/>
    <s v="Male"/>
    <n v="167.2"/>
    <n v="82.3"/>
    <n v="2083"/>
    <n v="229.1"/>
    <n v="4"/>
    <n v="74"/>
    <x v="3"/>
    <n v="79"/>
    <n v="4.0599999999999996"/>
    <n v="5"/>
    <x v="2"/>
  </r>
  <r>
    <n v="1826"/>
    <d v="2015-09-18T00:00:00"/>
    <x v="38"/>
    <s v="Male"/>
    <n v="188.6"/>
    <n v="91.9"/>
    <n v="19796"/>
    <n v="900"/>
    <n v="5.2"/>
    <n v="60"/>
    <x v="3"/>
    <n v="30"/>
    <n v="2.29"/>
    <n v="4"/>
    <x v="2"/>
  </r>
  <r>
    <n v="1373"/>
    <d v="2015-09-19T00:00:00"/>
    <x v="9"/>
    <s v="Female"/>
    <n v="160.5"/>
    <n v="71.2"/>
    <n v="4311"/>
    <n v="387.4"/>
    <n v="6.5"/>
    <n v="78"/>
    <x v="3"/>
    <n v="63"/>
    <n v="1.35"/>
    <n v="7"/>
    <x v="2"/>
  </r>
  <r>
    <n v="1671"/>
    <d v="2015-09-20T00:00:00"/>
    <x v="3"/>
    <s v="Female"/>
    <n v="152.4"/>
    <n v="52.3"/>
    <n v="9588"/>
    <n v="580.70000000000005"/>
    <n v="7.2"/>
    <n v="83"/>
    <x v="3"/>
    <n v="22"/>
    <n v="2.75"/>
    <n v="5"/>
    <x v="1"/>
  </r>
  <r>
    <n v="1607"/>
    <d v="2015-09-21T00:00:00"/>
    <x v="23"/>
    <s v="Female"/>
    <n v="172.9"/>
    <n v="45"/>
    <n v="17592"/>
    <n v="899"/>
    <n v="6.1"/>
    <n v="78"/>
    <x v="0"/>
    <n v="0"/>
    <n v="2.38"/>
    <n v="8"/>
    <x v="2"/>
  </r>
  <r>
    <n v="1471"/>
    <d v="2015-09-22T00:00:00"/>
    <x v="34"/>
    <s v="Female"/>
    <n v="173.1"/>
    <n v="69.400000000000006"/>
    <n v="14444"/>
    <n v="752.5"/>
    <n v="6.1"/>
    <n v="83"/>
    <x v="2"/>
    <n v="59"/>
    <n v="2.89"/>
    <n v="7"/>
    <x v="0"/>
  </r>
  <r>
    <n v="1232"/>
    <d v="2015-09-23T00:00:00"/>
    <x v="15"/>
    <s v="Female"/>
    <n v="176.7"/>
    <n v="73.8"/>
    <n v="6850"/>
    <n v="482.9"/>
    <n v="8.6999999999999993"/>
    <n v="70"/>
    <x v="1"/>
    <n v="38"/>
    <n v="3.12"/>
    <n v="5"/>
    <x v="1"/>
  </r>
  <r>
    <n v="1691"/>
    <d v="2015-09-24T00:00:00"/>
    <x v="7"/>
    <s v="Male"/>
    <n v="176.7"/>
    <n v="61.3"/>
    <n v="19820"/>
    <n v="900"/>
    <n v="8.8000000000000007"/>
    <n v="73"/>
    <x v="0"/>
    <n v="0"/>
    <n v="2.48"/>
    <n v="8"/>
    <x v="0"/>
  </r>
  <r>
    <n v="1112"/>
    <d v="2015-09-25T00:00:00"/>
    <x v="32"/>
    <s v="Male"/>
    <n v="187.7"/>
    <n v="72"/>
    <n v="13719"/>
    <n v="742.4"/>
    <n v="6.4"/>
    <n v="76"/>
    <x v="4"/>
    <n v="72"/>
    <n v="2.81"/>
    <n v="1"/>
    <x v="0"/>
  </r>
  <r>
    <n v="1829"/>
    <d v="2015-09-26T00:00:00"/>
    <x v="33"/>
    <s v="Male"/>
    <n v="152.80000000000001"/>
    <n v="76.5"/>
    <n v="17517"/>
    <n v="867.5"/>
    <n v="6.4"/>
    <n v="76"/>
    <x v="2"/>
    <n v="55"/>
    <n v="2.6"/>
    <n v="8"/>
    <x v="0"/>
  </r>
  <r>
    <n v="1496"/>
    <d v="2015-09-27T00:00:00"/>
    <x v="33"/>
    <s v="Male"/>
    <n v="158"/>
    <n v="84.9"/>
    <n v="18022"/>
    <n v="900"/>
    <n v="6.6"/>
    <n v="52"/>
    <x v="5"/>
    <n v="86"/>
    <n v="3.75"/>
    <n v="3"/>
    <x v="2"/>
  </r>
  <r>
    <n v="1441"/>
    <d v="2015-09-28T00:00:00"/>
    <x v="40"/>
    <s v="Female"/>
    <n v="176.6"/>
    <n v="66.599999999999994"/>
    <n v="2228"/>
    <n v="278.10000000000002"/>
    <n v="10"/>
    <n v="66"/>
    <x v="3"/>
    <n v="39"/>
    <n v="2.2400000000000002"/>
    <n v="1"/>
    <x v="2"/>
  </r>
  <r>
    <n v="1563"/>
    <d v="2015-09-29T00:00:00"/>
    <x v="20"/>
    <s v="Male"/>
    <n v="158.9"/>
    <n v="69.3"/>
    <n v="5019"/>
    <n v="428.4"/>
    <n v="7"/>
    <n v="85"/>
    <x v="4"/>
    <n v="47"/>
    <n v="2.02"/>
    <n v="9"/>
    <x v="1"/>
  </r>
  <r>
    <n v="1267"/>
    <d v="2015-09-30T00:00:00"/>
    <x v="9"/>
    <s v="Male"/>
    <n v="155.4"/>
    <n v="67.3"/>
    <n v="10482"/>
    <n v="614.29999999999995"/>
    <n v="9.4"/>
    <n v="67"/>
    <x v="5"/>
    <n v="76"/>
    <n v="3.12"/>
    <n v="6"/>
    <x v="1"/>
  </r>
  <r>
    <n v="1509"/>
    <d v="2015-10-01T00:00:00"/>
    <x v="6"/>
    <s v="Female"/>
    <n v="188.7"/>
    <n v="70.5"/>
    <n v="15105"/>
    <n v="858.5"/>
    <n v="8.1"/>
    <n v="73"/>
    <x v="1"/>
    <n v="22"/>
    <n v="1.85"/>
    <n v="8"/>
    <x v="2"/>
  </r>
  <r>
    <n v="1806"/>
    <d v="2015-10-02T00:00:00"/>
    <x v="17"/>
    <s v="Male"/>
    <n v="153.80000000000001"/>
    <n v="62.3"/>
    <n v="19580"/>
    <n v="900"/>
    <n v="6.8"/>
    <n v="74"/>
    <x v="4"/>
    <n v="56"/>
    <n v="2.77"/>
    <n v="10"/>
    <x v="2"/>
  </r>
  <r>
    <n v="1385"/>
    <d v="2015-10-03T00:00:00"/>
    <x v="19"/>
    <s v="Male"/>
    <n v="166.5"/>
    <n v="62.2"/>
    <n v="10895"/>
    <n v="695.7"/>
    <n v="6"/>
    <n v="62"/>
    <x v="2"/>
    <n v="37"/>
    <n v="2.38"/>
    <n v="4"/>
    <x v="0"/>
  </r>
  <r>
    <n v="1386"/>
    <d v="2015-10-04T00:00:00"/>
    <x v="20"/>
    <s v="Female"/>
    <n v="169.4"/>
    <n v="63.2"/>
    <n v="15135"/>
    <n v="777.8"/>
    <n v="8.1999999999999993"/>
    <n v="91"/>
    <x v="0"/>
    <n v="0"/>
    <n v="2.4300000000000002"/>
    <n v="2"/>
    <x v="2"/>
  </r>
  <r>
    <n v="1112"/>
    <d v="2015-10-05T00:00:00"/>
    <x v="34"/>
    <s v="Male"/>
    <n v="183.1"/>
    <n v="72.3"/>
    <n v="17245"/>
    <n v="861.7"/>
    <n v="5.8"/>
    <n v="75"/>
    <x v="5"/>
    <n v="24"/>
    <n v="4.21"/>
    <n v="6"/>
    <x v="0"/>
  </r>
  <r>
    <n v="1612"/>
    <d v="2015-10-06T00:00:00"/>
    <x v="35"/>
    <s v="Male"/>
    <n v="151.30000000000001"/>
    <n v="57.3"/>
    <n v="11387"/>
    <n v="699.2"/>
    <n v="6.4"/>
    <n v="66"/>
    <x v="4"/>
    <n v="76"/>
    <n v="3.36"/>
    <n v="2"/>
    <x v="2"/>
  </r>
  <r>
    <n v="1624"/>
    <d v="2015-10-07T00:00:00"/>
    <x v="23"/>
    <s v="Male"/>
    <n v="174.2"/>
    <n v="63.2"/>
    <n v="18359"/>
    <n v="900"/>
    <n v="8"/>
    <n v="81"/>
    <x v="0"/>
    <n v="0"/>
    <n v="3.22"/>
    <n v="1"/>
    <x v="0"/>
  </r>
  <r>
    <n v="1951"/>
    <d v="2015-10-08T00:00:00"/>
    <x v="22"/>
    <s v="Male"/>
    <n v="161.1"/>
    <n v="97.1"/>
    <n v="15904"/>
    <n v="834.4"/>
    <n v="6.6"/>
    <n v="72"/>
    <x v="0"/>
    <n v="0"/>
    <n v="2.87"/>
    <n v="7"/>
    <x v="2"/>
  </r>
  <r>
    <n v="1080"/>
    <d v="2015-10-09T00:00:00"/>
    <x v="12"/>
    <s v="Male"/>
    <n v="176.3"/>
    <n v="83.4"/>
    <n v="7121"/>
    <n v="450.1"/>
    <n v="6.4"/>
    <n v="76"/>
    <x v="0"/>
    <n v="0"/>
    <n v="2.02"/>
    <n v="7"/>
    <x v="2"/>
  </r>
  <r>
    <n v="1698"/>
    <d v="2015-10-10T00:00:00"/>
    <x v="22"/>
    <s v="Female"/>
    <n v="160.9"/>
    <n v="55.6"/>
    <n v="2028"/>
    <n v="351.6"/>
    <n v="6.5"/>
    <n v="89"/>
    <x v="2"/>
    <n v="41"/>
    <n v="2.68"/>
    <n v="6"/>
    <x v="1"/>
  </r>
  <r>
    <n v="1112"/>
    <d v="2015-10-11T00:00:00"/>
    <x v="38"/>
    <s v="Female"/>
    <n v="185.7"/>
    <n v="83"/>
    <n v="17909"/>
    <n v="900"/>
    <n v="6"/>
    <n v="70"/>
    <x v="3"/>
    <n v="36"/>
    <n v="2.91"/>
    <n v="2"/>
    <x v="1"/>
  </r>
  <r>
    <n v="1001"/>
    <d v="2015-10-12T00:00:00"/>
    <x v="23"/>
    <s v="Female"/>
    <n v="161"/>
    <n v="79.400000000000006"/>
    <n v="3327"/>
    <n v="327.10000000000002"/>
    <n v="7.7"/>
    <n v="86"/>
    <x v="4"/>
    <n v="63"/>
    <n v="2.64"/>
    <n v="5"/>
    <x v="0"/>
  </r>
  <r>
    <n v="1641"/>
    <d v="2015-10-13T00:00:00"/>
    <x v="12"/>
    <s v="Female"/>
    <n v="150"/>
    <n v="68.400000000000006"/>
    <n v="19930"/>
    <n v="900"/>
    <n v="7.1"/>
    <n v="72"/>
    <x v="0"/>
    <n v="0"/>
    <n v="2.57"/>
    <n v="1"/>
    <x v="1"/>
  </r>
  <r>
    <n v="1219"/>
    <d v="2015-10-14T00:00:00"/>
    <x v="2"/>
    <s v="Female"/>
    <n v="162.1"/>
    <n v="59.4"/>
    <n v="18219"/>
    <n v="894.3"/>
    <n v="5"/>
    <n v="76"/>
    <x v="3"/>
    <n v="41"/>
    <n v="2.2200000000000002"/>
    <n v="2"/>
    <x v="1"/>
  </r>
  <r>
    <n v="1565"/>
    <d v="2015-10-15T00:00:00"/>
    <x v="28"/>
    <s v="Female"/>
    <n v="167.4"/>
    <n v="57.7"/>
    <n v="3483"/>
    <n v="346"/>
    <n v="6.3"/>
    <n v="78"/>
    <x v="0"/>
    <n v="0"/>
    <n v="2.69"/>
    <n v="5"/>
    <x v="2"/>
  </r>
  <r>
    <n v="1854"/>
    <d v="2015-10-16T00:00:00"/>
    <x v="6"/>
    <s v="Male"/>
    <n v="180.8"/>
    <n v="73.400000000000006"/>
    <n v="3734"/>
    <n v="368.7"/>
    <n v="6.4"/>
    <n v="72"/>
    <x v="5"/>
    <n v="20"/>
    <n v="2.13"/>
    <n v="5"/>
    <x v="0"/>
  </r>
  <r>
    <n v="1996"/>
    <d v="2015-10-17T00:00:00"/>
    <x v="36"/>
    <s v="Female"/>
    <n v="157.4"/>
    <n v="57.3"/>
    <n v="10730"/>
    <n v="586.1"/>
    <n v="6.4"/>
    <n v="65"/>
    <x v="5"/>
    <n v="49"/>
    <n v="2.99"/>
    <n v="7"/>
    <x v="1"/>
  </r>
  <r>
    <n v="1735"/>
    <d v="2015-10-18T00:00:00"/>
    <x v="26"/>
    <s v="Female"/>
    <n v="157.6"/>
    <n v="86.5"/>
    <n v="11102"/>
    <n v="581.79999999999995"/>
    <n v="7.9"/>
    <n v="80"/>
    <x v="5"/>
    <n v="58"/>
    <n v="1.0900000000000001"/>
    <n v="5"/>
    <x v="1"/>
  </r>
  <r>
    <n v="1224"/>
    <d v="2015-10-19T00:00:00"/>
    <x v="24"/>
    <s v="Male"/>
    <n v="179.6"/>
    <n v="90.7"/>
    <n v="8304"/>
    <n v="536.1"/>
    <n v="5.9"/>
    <n v="86"/>
    <x v="3"/>
    <n v="54"/>
    <n v="3.45"/>
    <n v="6"/>
    <x v="2"/>
  </r>
  <r>
    <n v="1384"/>
    <d v="2015-10-20T00:00:00"/>
    <x v="24"/>
    <s v="Male"/>
    <n v="156.19999999999999"/>
    <n v="69.400000000000006"/>
    <n v="5049"/>
    <n v="445.2"/>
    <n v="10"/>
    <n v="81"/>
    <x v="3"/>
    <n v="88"/>
    <n v="1.58"/>
    <n v="2"/>
    <x v="2"/>
  </r>
  <r>
    <n v="1402"/>
    <d v="2015-10-21T00:00:00"/>
    <x v="2"/>
    <s v="Female"/>
    <n v="168.2"/>
    <n v="87.1"/>
    <n v="15947"/>
    <n v="841.6"/>
    <n v="9.1"/>
    <n v="81"/>
    <x v="0"/>
    <n v="0"/>
    <n v="1.75"/>
    <n v="5"/>
    <x v="2"/>
  </r>
  <r>
    <n v="1637"/>
    <d v="2015-10-22T00:00:00"/>
    <x v="22"/>
    <s v="Male"/>
    <n v="168.4"/>
    <n v="63.8"/>
    <n v="10495"/>
    <n v="607.29999999999995"/>
    <n v="9.1"/>
    <n v="70"/>
    <x v="2"/>
    <n v="30"/>
    <n v="2.79"/>
    <n v="8"/>
    <x v="0"/>
  </r>
  <r>
    <n v="1129"/>
    <d v="2015-10-23T00:00:00"/>
    <x v="18"/>
    <s v="Female"/>
    <n v="172.2"/>
    <n v="59.3"/>
    <n v="1392"/>
    <n v="199.2"/>
    <n v="5.4"/>
    <n v="82"/>
    <x v="4"/>
    <n v="70"/>
    <n v="2.88"/>
    <n v="1"/>
    <x v="2"/>
  </r>
  <r>
    <n v="1052"/>
    <d v="2015-10-24T00:00:00"/>
    <x v="7"/>
    <s v="Male"/>
    <n v="162.5"/>
    <n v="86.5"/>
    <n v="12776"/>
    <n v="679.3"/>
    <n v="4"/>
    <n v="79"/>
    <x v="2"/>
    <n v="82"/>
    <n v="3.95"/>
    <n v="10"/>
    <x v="0"/>
  </r>
  <r>
    <n v="1683"/>
    <d v="2015-10-25T00:00:00"/>
    <x v="11"/>
    <s v="Female"/>
    <n v="160.69999999999999"/>
    <n v="93.7"/>
    <n v="11867"/>
    <n v="718.6"/>
    <n v="6.5"/>
    <n v="84"/>
    <x v="3"/>
    <n v="53"/>
    <n v="2.71"/>
    <n v="7"/>
    <x v="2"/>
  </r>
  <r>
    <n v="1729"/>
    <d v="2015-10-26T00:00:00"/>
    <x v="29"/>
    <s v="Male"/>
    <n v="173.3"/>
    <n v="99.4"/>
    <n v="3466"/>
    <n v="276"/>
    <n v="7.4"/>
    <n v="76"/>
    <x v="4"/>
    <n v="74"/>
    <n v="2.4700000000000002"/>
    <n v="8"/>
    <x v="1"/>
  </r>
  <r>
    <n v="1671"/>
    <d v="2015-10-27T00:00:00"/>
    <x v="1"/>
    <s v="Male"/>
    <n v="161"/>
    <n v="75"/>
    <n v="2225"/>
    <n v="377.6"/>
    <n v="6.8"/>
    <n v="81"/>
    <x v="5"/>
    <n v="39"/>
    <n v="2.63"/>
    <n v="5"/>
    <x v="0"/>
  </r>
  <r>
    <n v="1709"/>
    <d v="2015-10-28T00:00:00"/>
    <x v="6"/>
    <s v="Female"/>
    <n v="156.4"/>
    <n v="82.9"/>
    <n v="15987"/>
    <n v="843.7"/>
    <n v="6.2"/>
    <n v="70"/>
    <x v="2"/>
    <n v="77"/>
    <n v="3.61"/>
    <n v="4"/>
    <x v="2"/>
  </r>
  <r>
    <n v="1415"/>
    <d v="2015-10-29T00:00:00"/>
    <x v="1"/>
    <s v="Female"/>
    <n v="182.3"/>
    <n v="74.7"/>
    <n v="1461"/>
    <n v="179.1"/>
    <n v="4.4000000000000004"/>
    <n v="82"/>
    <x v="2"/>
    <n v="36"/>
    <n v="4.2"/>
    <n v="1"/>
    <x v="2"/>
  </r>
  <r>
    <n v="1246"/>
    <d v="2015-10-30T00:00:00"/>
    <x v="3"/>
    <s v="Female"/>
    <n v="174.9"/>
    <n v="91.1"/>
    <n v="10993"/>
    <n v="664.9"/>
    <n v="6"/>
    <n v="62"/>
    <x v="2"/>
    <n v="53"/>
    <n v="2.37"/>
    <n v="9"/>
    <x v="1"/>
  </r>
  <r>
    <n v="1835"/>
    <d v="2015-10-31T00:00:00"/>
    <x v="1"/>
    <s v="Female"/>
    <n v="187.7"/>
    <n v="76.5"/>
    <n v="12465"/>
    <n v="721.1"/>
    <n v="6.6"/>
    <n v="72"/>
    <x v="3"/>
    <n v="81"/>
    <n v="2.88"/>
    <n v="2"/>
    <x v="1"/>
  </r>
  <r>
    <n v="1438"/>
    <d v="2015-11-01T00:00:00"/>
    <x v="11"/>
    <s v="Female"/>
    <n v="177.8"/>
    <n v="82.1"/>
    <n v="17535"/>
    <n v="879.5"/>
    <n v="6.3"/>
    <n v="68"/>
    <x v="4"/>
    <n v="53"/>
    <n v="2.4500000000000002"/>
    <n v="5"/>
    <x v="1"/>
  </r>
  <r>
    <n v="1202"/>
    <d v="2015-11-02T00:00:00"/>
    <x v="2"/>
    <s v="Male"/>
    <n v="157.30000000000001"/>
    <n v="53"/>
    <n v="11461"/>
    <n v="705.4"/>
    <n v="6.2"/>
    <n v="110"/>
    <x v="5"/>
    <n v="38"/>
    <n v="2.4300000000000002"/>
    <n v="7"/>
    <x v="2"/>
  </r>
  <r>
    <n v="1183"/>
    <d v="2015-11-03T00:00:00"/>
    <x v="20"/>
    <s v="Female"/>
    <n v="171"/>
    <n v="66.5"/>
    <n v="13366"/>
    <n v="703.6"/>
    <n v="5.8"/>
    <n v="82"/>
    <x v="3"/>
    <n v="85"/>
    <n v="3.82"/>
    <n v="8"/>
    <x v="1"/>
  </r>
  <r>
    <n v="1122"/>
    <d v="2015-11-04T00:00:00"/>
    <x v="30"/>
    <s v="Female"/>
    <n v="159.80000000000001"/>
    <n v="82.2"/>
    <n v="2785"/>
    <n v="343"/>
    <n v="9.5"/>
    <n v="64"/>
    <x v="5"/>
    <n v="61"/>
    <n v="1.85"/>
    <n v="10"/>
    <x v="1"/>
  </r>
  <r>
    <n v="1400"/>
    <d v="2015-11-05T00:00:00"/>
    <x v="40"/>
    <s v="Male"/>
    <n v="153.5"/>
    <n v="80.900000000000006"/>
    <n v="7242"/>
    <n v="487.9"/>
    <n v="8.1"/>
    <n v="61"/>
    <x v="1"/>
    <n v="70"/>
    <n v="0.87"/>
    <n v="4"/>
    <x v="0"/>
  </r>
  <r>
    <n v="1766"/>
    <d v="2015-11-06T00:00:00"/>
    <x v="41"/>
    <s v="Male"/>
    <n v="165.5"/>
    <n v="83.5"/>
    <n v="15312"/>
    <n v="798.3"/>
    <n v="8.4"/>
    <n v="58"/>
    <x v="1"/>
    <n v="68"/>
    <n v="2.72"/>
    <n v="10"/>
    <x v="0"/>
  </r>
  <r>
    <n v="1293"/>
    <d v="2015-11-07T00:00:00"/>
    <x v="14"/>
    <s v="Female"/>
    <n v="179.8"/>
    <n v="71.8"/>
    <n v="7356"/>
    <n v="561.4"/>
    <n v="7.4"/>
    <n v="64"/>
    <x v="5"/>
    <n v="48"/>
    <n v="3.34"/>
    <n v="1"/>
    <x v="0"/>
  </r>
  <r>
    <n v="1279"/>
    <d v="2015-11-08T00:00:00"/>
    <x v="15"/>
    <s v="Male"/>
    <n v="172.7"/>
    <n v="60.2"/>
    <n v="19220"/>
    <n v="900"/>
    <n v="5"/>
    <n v="67"/>
    <x v="1"/>
    <n v="49"/>
    <n v="2.65"/>
    <n v="7"/>
    <x v="2"/>
  </r>
  <r>
    <n v="1836"/>
    <d v="2015-11-09T00:00:00"/>
    <x v="32"/>
    <s v="Male"/>
    <n v="156.1"/>
    <n v="69.099999999999994"/>
    <n v="10589"/>
    <n v="568.20000000000005"/>
    <n v="8.1"/>
    <n v="65"/>
    <x v="4"/>
    <n v="44"/>
    <n v="2.85"/>
    <n v="10"/>
    <x v="0"/>
  </r>
  <r>
    <n v="1883"/>
    <d v="2015-11-10T00:00:00"/>
    <x v="18"/>
    <s v="Female"/>
    <n v="165.2"/>
    <n v="70.7"/>
    <n v="2493"/>
    <n v="318.7"/>
    <n v="9"/>
    <n v="70"/>
    <x v="4"/>
    <n v="87"/>
    <n v="3.03"/>
    <n v="9"/>
    <x v="2"/>
  </r>
  <r>
    <n v="1609"/>
    <d v="2015-11-11T00:00:00"/>
    <x v="10"/>
    <s v="Male"/>
    <n v="168.6"/>
    <n v="73.599999999999994"/>
    <n v="18932"/>
    <n v="900"/>
    <n v="9.1999999999999993"/>
    <n v="83"/>
    <x v="3"/>
    <n v="81"/>
    <n v="2.58"/>
    <n v="1"/>
    <x v="1"/>
  </r>
  <r>
    <n v="1197"/>
    <d v="2015-11-12T00:00:00"/>
    <x v="33"/>
    <s v="Male"/>
    <n v="153.1"/>
    <n v="55.5"/>
    <n v="6163"/>
    <n v="515"/>
    <n v="7.9"/>
    <n v="73"/>
    <x v="5"/>
    <n v="57"/>
    <n v="2.89"/>
    <n v="1"/>
    <x v="2"/>
  </r>
  <r>
    <n v="1981"/>
    <d v="2015-11-13T00:00:00"/>
    <x v="36"/>
    <s v="Female"/>
    <n v="177.1"/>
    <n v="66"/>
    <n v="10612"/>
    <n v="579"/>
    <n v="7"/>
    <n v="82"/>
    <x v="3"/>
    <n v="36"/>
    <n v="2.88"/>
    <n v="7"/>
    <x v="2"/>
  </r>
  <r>
    <n v="1906"/>
    <d v="2015-11-14T00:00:00"/>
    <x v="9"/>
    <s v="Female"/>
    <n v="167.7"/>
    <n v="68.7"/>
    <n v="15297"/>
    <n v="891.7"/>
    <n v="7"/>
    <n v="64"/>
    <x v="4"/>
    <n v="20"/>
    <n v="1.1299999999999999"/>
    <n v="9"/>
    <x v="1"/>
  </r>
  <r>
    <n v="1510"/>
    <d v="2015-11-15T00:00:00"/>
    <x v="34"/>
    <s v="Male"/>
    <n v="156.1"/>
    <n v="45"/>
    <n v="6704"/>
    <n v="514.70000000000005"/>
    <n v="7.8"/>
    <n v="71"/>
    <x v="4"/>
    <n v="37"/>
    <n v="2.58"/>
    <n v="5"/>
    <x v="0"/>
  </r>
  <r>
    <n v="1751"/>
    <d v="2015-11-16T00:00:00"/>
    <x v="19"/>
    <s v="Male"/>
    <n v="155.5"/>
    <n v="82.5"/>
    <n v="7688"/>
    <n v="455.1"/>
    <n v="4.5"/>
    <n v="66"/>
    <x v="4"/>
    <n v="82"/>
    <n v="1.4"/>
    <n v="4"/>
    <x v="0"/>
  </r>
  <r>
    <n v="1143"/>
    <d v="2015-11-17T00:00:00"/>
    <x v="40"/>
    <s v="Female"/>
    <n v="181"/>
    <n v="72.5"/>
    <n v="16835"/>
    <n v="883.8"/>
    <n v="8"/>
    <n v="79"/>
    <x v="2"/>
    <n v="65"/>
    <n v="2.4700000000000002"/>
    <n v="6"/>
    <x v="0"/>
  </r>
  <r>
    <n v="1608"/>
    <d v="2015-11-18T00:00:00"/>
    <x v="5"/>
    <s v="Male"/>
    <n v="166.2"/>
    <n v="74"/>
    <n v="19447"/>
    <n v="900"/>
    <n v="6.3"/>
    <n v="73"/>
    <x v="1"/>
    <n v="38"/>
    <n v="2.15"/>
    <n v="9"/>
    <x v="1"/>
  </r>
  <r>
    <n v="1200"/>
    <d v="2015-11-19T00:00:00"/>
    <x v="1"/>
    <s v="Male"/>
    <n v="181.9"/>
    <n v="62.3"/>
    <n v="19404"/>
    <n v="900"/>
    <n v="10"/>
    <n v="93"/>
    <x v="3"/>
    <n v="69"/>
    <n v="3.22"/>
    <n v="2"/>
    <x v="2"/>
  </r>
  <r>
    <n v="1123"/>
    <d v="2015-11-20T00:00:00"/>
    <x v="27"/>
    <s v="Male"/>
    <n v="185.7"/>
    <n v="78.8"/>
    <n v="11341"/>
    <n v="688.9"/>
    <n v="6.5"/>
    <n v="68"/>
    <x v="3"/>
    <n v="73"/>
    <n v="2.67"/>
    <n v="5"/>
    <x v="1"/>
  </r>
  <r>
    <n v="1186"/>
    <d v="2015-11-21T00:00:00"/>
    <x v="6"/>
    <s v="Female"/>
    <n v="180.2"/>
    <n v="57.5"/>
    <n v="8353"/>
    <n v="655.6"/>
    <n v="7.3"/>
    <n v="65"/>
    <x v="4"/>
    <n v="50"/>
    <n v="2.83"/>
    <n v="4"/>
    <x v="1"/>
  </r>
  <r>
    <n v="1325"/>
    <d v="2015-11-22T00:00:00"/>
    <x v="31"/>
    <s v="Male"/>
    <n v="164.7"/>
    <n v="59.9"/>
    <n v="10142"/>
    <n v="673.9"/>
    <n v="7.2"/>
    <n v="78"/>
    <x v="2"/>
    <n v="84"/>
    <n v="2.37"/>
    <n v="3"/>
    <x v="1"/>
  </r>
  <r>
    <n v="1463"/>
    <d v="2015-11-23T00:00:00"/>
    <x v="3"/>
    <s v="Male"/>
    <n v="150"/>
    <n v="79.400000000000006"/>
    <n v="16266"/>
    <n v="858.7"/>
    <n v="6"/>
    <n v="73"/>
    <x v="3"/>
    <n v="65"/>
    <n v="3.24"/>
    <n v="5"/>
    <x v="1"/>
  </r>
  <r>
    <n v="1348"/>
    <d v="2015-11-24T00:00:00"/>
    <x v="31"/>
    <s v="Female"/>
    <n v="173.1"/>
    <n v="75.400000000000006"/>
    <n v="9216"/>
    <n v="554.6"/>
    <n v="7.7"/>
    <n v="80"/>
    <x v="0"/>
    <n v="0"/>
    <n v="1.38"/>
    <n v="7"/>
    <x v="2"/>
  </r>
  <r>
    <n v="1770"/>
    <d v="2015-11-25T00:00:00"/>
    <x v="26"/>
    <s v="Male"/>
    <n v="190.9"/>
    <n v="50.8"/>
    <n v="16932"/>
    <n v="893.7"/>
    <n v="7.5"/>
    <n v="74"/>
    <x v="3"/>
    <n v="68"/>
    <n v="1.87"/>
    <n v="3"/>
    <x v="0"/>
  </r>
  <r>
    <n v="1659"/>
    <d v="2015-11-26T00:00:00"/>
    <x v="1"/>
    <s v="Male"/>
    <n v="169.6"/>
    <n v="93.7"/>
    <n v="13017"/>
    <n v="671.9"/>
    <n v="8.5"/>
    <n v="74"/>
    <x v="2"/>
    <n v="53"/>
    <n v="3.4"/>
    <n v="3"/>
    <x v="0"/>
  </r>
  <r>
    <n v="1763"/>
    <d v="2015-11-27T00:00:00"/>
    <x v="20"/>
    <s v="Female"/>
    <n v="150.1"/>
    <n v="58.6"/>
    <n v="1569"/>
    <n v="238.9"/>
    <n v="8.1"/>
    <n v="68"/>
    <x v="4"/>
    <n v="48"/>
    <n v="2.2000000000000002"/>
    <n v="6"/>
    <x v="1"/>
  </r>
  <r>
    <n v="1954"/>
    <d v="2015-11-28T00:00:00"/>
    <x v="20"/>
    <s v="Female"/>
    <n v="163.30000000000001"/>
    <n v="68"/>
    <n v="6112"/>
    <n v="346.4"/>
    <n v="7.3"/>
    <n v="72"/>
    <x v="2"/>
    <n v="25"/>
    <n v="1"/>
    <n v="5"/>
    <x v="2"/>
  </r>
  <r>
    <n v="1931"/>
    <d v="2015-11-29T00:00:00"/>
    <x v="28"/>
    <s v="Female"/>
    <n v="168.2"/>
    <n v="96.2"/>
    <n v="2355"/>
    <n v="315.89999999999998"/>
    <n v="5.8"/>
    <n v="60"/>
    <x v="1"/>
    <n v="20"/>
    <n v="3.52"/>
    <n v="3"/>
    <x v="1"/>
  </r>
  <r>
    <n v="1402"/>
    <d v="2015-11-30T00:00:00"/>
    <x v="8"/>
    <s v="Female"/>
    <n v="159"/>
    <n v="45"/>
    <n v="9056"/>
    <n v="545.4"/>
    <n v="5.8"/>
    <n v="87"/>
    <x v="3"/>
    <n v="74"/>
    <n v="3.25"/>
    <n v="1"/>
    <x v="2"/>
  </r>
  <r>
    <n v="1345"/>
    <d v="2015-12-01T00:00:00"/>
    <x v="13"/>
    <s v="Male"/>
    <n v="150"/>
    <n v="45"/>
    <n v="17086"/>
    <n v="900"/>
    <n v="9.5"/>
    <n v="88"/>
    <x v="1"/>
    <n v="46"/>
    <n v="3"/>
    <n v="10"/>
    <x v="1"/>
  </r>
  <r>
    <n v="1962"/>
    <d v="2015-12-02T00:00:00"/>
    <x v="4"/>
    <s v="Male"/>
    <n v="169"/>
    <n v="76.599999999999994"/>
    <n v="18214"/>
    <n v="900"/>
    <n v="7.1"/>
    <n v="84"/>
    <x v="3"/>
    <n v="31"/>
    <n v="2.57"/>
    <n v="2"/>
    <x v="0"/>
  </r>
  <r>
    <n v="1510"/>
    <d v="2015-12-03T00:00:00"/>
    <x v="20"/>
    <s v="Female"/>
    <n v="162.19999999999999"/>
    <n v="45"/>
    <n v="15220"/>
    <n v="758.3"/>
    <n v="10"/>
    <n v="70"/>
    <x v="1"/>
    <n v="23"/>
    <n v="3.66"/>
    <n v="3"/>
    <x v="0"/>
  </r>
  <r>
    <n v="1146"/>
    <d v="2015-12-04T00:00:00"/>
    <x v="32"/>
    <s v="Female"/>
    <n v="187.7"/>
    <n v="45"/>
    <n v="15498"/>
    <n v="829.9"/>
    <n v="5.8"/>
    <n v="69"/>
    <x v="3"/>
    <n v="71"/>
    <n v="3.38"/>
    <n v="4"/>
    <x v="1"/>
  </r>
  <r>
    <n v="1147"/>
    <d v="2015-12-05T00:00:00"/>
    <x v="36"/>
    <s v="Male"/>
    <n v="171"/>
    <n v="87.6"/>
    <n v="1834"/>
    <n v="237.7"/>
    <n v="10"/>
    <n v="80"/>
    <x v="0"/>
    <n v="0"/>
    <n v="3.58"/>
    <n v="5"/>
    <x v="0"/>
  </r>
  <r>
    <n v="1863"/>
    <d v="2015-12-06T00:00:00"/>
    <x v="3"/>
    <s v="Female"/>
    <n v="174.7"/>
    <n v="63.9"/>
    <n v="12308"/>
    <n v="775.1"/>
    <n v="5.6"/>
    <n v="65"/>
    <x v="4"/>
    <n v="71"/>
    <n v="2.99"/>
    <n v="10"/>
    <x v="1"/>
  </r>
  <r>
    <n v="1710"/>
    <d v="2015-12-07T00:00:00"/>
    <x v="2"/>
    <s v="Male"/>
    <n v="168.8"/>
    <n v="102.9"/>
    <n v="1969"/>
    <n v="236.6"/>
    <n v="6.3"/>
    <n v="86"/>
    <x v="0"/>
    <n v="0"/>
    <n v="2.59"/>
    <n v="9"/>
    <x v="2"/>
  </r>
  <r>
    <n v="1819"/>
    <d v="2015-12-08T00:00:00"/>
    <x v="11"/>
    <s v="Female"/>
    <n v="170.9"/>
    <n v="54.5"/>
    <n v="1592"/>
    <n v="240.2"/>
    <n v="7.7"/>
    <n v="51"/>
    <x v="5"/>
    <n v="47"/>
    <n v="2.2200000000000002"/>
    <n v="4"/>
    <x v="2"/>
  </r>
  <r>
    <n v="1488"/>
    <d v="2015-12-09T00:00:00"/>
    <x v="3"/>
    <s v="Male"/>
    <n v="153.5"/>
    <n v="65.2"/>
    <n v="1254"/>
    <n v="199.5"/>
    <n v="8.5"/>
    <n v="70"/>
    <x v="2"/>
    <n v="85"/>
    <n v="1.61"/>
    <n v="9"/>
    <x v="2"/>
  </r>
  <r>
    <n v="1928"/>
    <d v="2015-12-10T00:00:00"/>
    <x v="38"/>
    <s v="Female"/>
    <n v="159.6"/>
    <n v="78.099999999999994"/>
    <n v="11306"/>
    <n v="597.20000000000005"/>
    <n v="8"/>
    <n v="64"/>
    <x v="3"/>
    <n v="46"/>
    <n v="2.85"/>
    <n v="5"/>
    <x v="2"/>
  </r>
  <r>
    <n v="1935"/>
    <d v="2015-12-11T00:00:00"/>
    <x v="3"/>
    <s v="Female"/>
    <n v="180.9"/>
    <n v="77.099999999999994"/>
    <n v="3661"/>
    <n v="347.9"/>
    <n v="4.0999999999999996"/>
    <n v="87"/>
    <x v="2"/>
    <n v="74"/>
    <n v="2.91"/>
    <n v="3"/>
    <x v="1"/>
  </r>
  <r>
    <n v="1639"/>
    <d v="2015-12-12T00:00:00"/>
    <x v="37"/>
    <s v="Male"/>
    <n v="172.1"/>
    <n v="66.2"/>
    <n v="16309"/>
    <n v="790.1"/>
    <n v="6.1"/>
    <n v="86"/>
    <x v="3"/>
    <n v="73"/>
    <n v="2.2599999999999998"/>
    <n v="7"/>
    <x v="0"/>
  </r>
  <r>
    <n v="1550"/>
    <d v="2015-12-13T00:00:00"/>
    <x v="37"/>
    <s v="Female"/>
    <n v="166"/>
    <n v="60.3"/>
    <n v="9794"/>
    <n v="582.4"/>
    <n v="5.3"/>
    <n v="81"/>
    <x v="5"/>
    <n v="65"/>
    <n v="2.93"/>
    <n v="8"/>
    <x v="2"/>
  </r>
  <r>
    <n v="1337"/>
    <d v="2015-12-14T00:00:00"/>
    <x v="41"/>
    <s v="Male"/>
    <n v="174.9"/>
    <n v="73.5"/>
    <n v="19223"/>
    <n v="900"/>
    <n v="4.9000000000000004"/>
    <n v="94"/>
    <x v="4"/>
    <n v="55"/>
    <n v="2.27"/>
    <n v="9"/>
    <x v="0"/>
  </r>
  <r>
    <n v="1871"/>
    <d v="2015-12-15T00:00:00"/>
    <x v="14"/>
    <s v="Male"/>
    <n v="175.1"/>
    <n v="90.7"/>
    <n v="6905"/>
    <n v="455"/>
    <n v="7"/>
    <n v="75"/>
    <x v="4"/>
    <n v="40"/>
    <n v="3.11"/>
    <n v="9"/>
    <x v="1"/>
  </r>
  <r>
    <n v="1640"/>
    <d v="2015-12-16T00:00:00"/>
    <x v="28"/>
    <s v="Male"/>
    <n v="189.9"/>
    <n v="81.400000000000006"/>
    <n v="3431"/>
    <n v="227.1"/>
    <n v="3.8"/>
    <n v="81"/>
    <x v="2"/>
    <n v="68"/>
    <n v="1.88"/>
    <n v="6"/>
    <x v="0"/>
  </r>
  <r>
    <n v="1778"/>
    <d v="2015-12-17T00:00:00"/>
    <x v="15"/>
    <s v="Male"/>
    <n v="171.6"/>
    <n v="60.5"/>
    <n v="8756"/>
    <n v="616.9"/>
    <n v="8.5"/>
    <n v="59"/>
    <x v="0"/>
    <n v="0"/>
    <n v="1.76"/>
    <n v="9"/>
    <x v="0"/>
  </r>
  <r>
    <n v="1987"/>
    <d v="2015-12-18T00:00:00"/>
    <x v="27"/>
    <s v="Male"/>
    <n v="159.4"/>
    <n v="55.1"/>
    <n v="6353"/>
    <n v="467.4"/>
    <n v="8.1"/>
    <n v="72"/>
    <x v="5"/>
    <n v="53"/>
    <n v="2.33"/>
    <n v="3"/>
    <x v="0"/>
  </r>
  <r>
    <n v="1952"/>
    <d v="2015-12-19T00:00:00"/>
    <x v="36"/>
    <s v="Female"/>
    <n v="168.8"/>
    <n v="59.6"/>
    <n v="18349"/>
    <n v="900"/>
    <n v="9.4"/>
    <n v="76"/>
    <x v="2"/>
    <n v="59"/>
    <n v="3.08"/>
    <n v="2"/>
    <x v="1"/>
  </r>
  <r>
    <n v="1472"/>
    <d v="2015-12-20T00:00:00"/>
    <x v="5"/>
    <s v="Female"/>
    <n v="176.1"/>
    <n v="50.9"/>
    <n v="2737"/>
    <n v="297.89999999999998"/>
    <n v="5.4"/>
    <n v="66"/>
    <x v="4"/>
    <n v="26"/>
    <n v="1.69"/>
    <n v="5"/>
    <x v="1"/>
  </r>
  <r>
    <n v="1945"/>
    <d v="2015-12-21T00:00:00"/>
    <x v="27"/>
    <s v="Male"/>
    <n v="180"/>
    <n v="72.2"/>
    <n v="17868"/>
    <n v="900"/>
    <n v="5.5"/>
    <n v="78"/>
    <x v="1"/>
    <n v="71"/>
    <n v="3.23"/>
    <n v="7"/>
    <x v="1"/>
  </r>
  <r>
    <n v="1150"/>
    <d v="2015-12-22T00:00:00"/>
    <x v="20"/>
    <s v="Female"/>
    <n v="153.80000000000001"/>
    <n v="82.2"/>
    <n v="13326"/>
    <n v="779.9"/>
    <n v="8.6"/>
    <n v="55"/>
    <x v="2"/>
    <n v="68"/>
    <n v="1.35"/>
    <n v="7"/>
    <x v="0"/>
  </r>
  <r>
    <n v="1414"/>
    <d v="2015-12-23T00:00:00"/>
    <x v="12"/>
    <s v="Male"/>
    <n v="172.5"/>
    <n v="68.900000000000006"/>
    <n v="13911"/>
    <n v="808.3"/>
    <n v="8.6999999999999993"/>
    <n v="80"/>
    <x v="3"/>
    <n v="56"/>
    <n v="2.33"/>
    <n v="6"/>
    <x v="2"/>
  </r>
  <r>
    <n v="1989"/>
    <d v="2015-12-24T00:00:00"/>
    <x v="7"/>
    <s v="Female"/>
    <n v="161"/>
    <n v="95.8"/>
    <n v="19411"/>
    <n v="900"/>
    <n v="9"/>
    <n v="71"/>
    <x v="4"/>
    <n v="81"/>
    <n v="1.51"/>
    <n v="3"/>
    <x v="2"/>
  </r>
  <r>
    <n v="1297"/>
    <d v="2015-12-25T00:00:00"/>
    <x v="24"/>
    <s v="Female"/>
    <n v="164.3"/>
    <n v="96.6"/>
    <n v="6213"/>
    <n v="379.7"/>
    <n v="8.6999999999999993"/>
    <n v="67"/>
    <x v="3"/>
    <n v="34"/>
    <n v="0.67"/>
    <n v="6"/>
    <x v="0"/>
  </r>
  <r>
    <n v="1610"/>
    <d v="2015-12-26T00:00:00"/>
    <x v="27"/>
    <s v="Female"/>
    <n v="178.5"/>
    <n v="74.599999999999994"/>
    <n v="7227"/>
    <n v="509.3"/>
    <n v="7.3"/>
    <n v="82"/>
    <x v="5"/>
    <n v="21"/>
    <n v="2.76"/>
    <n v="1"/>
    <x v="2"/>
  </r>
  <r>
    <n v="1262"/>
    <d v="2015-12-27T00:00:00"/>
    <x v="4"/>
    <s v="Female"/>
    <n v="177.5"/>
    <n v="80.5"/>
    <n v="12279"/>
    <n v="704.5"/>
    <n v="6.3"/>
    <n v="90"/>
    <x v="0"/>
    <n v="0"/>
    <n v="2.38"/>
    <n v="3"/>
    <x v="2"/>
  </r>
  <r>
    <n v="1763"/>
    <d v="2015-12-28T00:00:00"/>
    <x v="20"/>
    <s v="Male"/>
    <n v="163.19999999999999"/>
    <n v="56.5"/>
    <n v="16836"/>
    <n v="846"/>
    <n v="8.1"/>
    <n v="84"/>
    <x v="0"/>
    <n v="0"/>
    <n v="1.52"/>
    <n v="2"/>
    <x v="0"/>
  </r>
  <r>
    <n v="1143"/>
    <d v="2015-12-29T00:00:00"/>
    <x v="18"/>
    <s v="Male"/>
    <n v="168.4"/>
    <n v="64.599999999999994"/>
    <n v="9796"/>
    <n v="551.70000000000005"/>
    <n v="6.3"/>
    <n v="67"/>
    <x v="4"/>
    <n v="64"/>
    <n v="2.14"/>
    <n v="4"/>
    <x v="1"/>
  </r>
  <r>
    <n v="1345"/>
    <d v="2015-12-30T00:00:00"/>
    <x v="31"/>
    <s v="Female"/>
    <n v="164.6"/>
    <n v="89.1"/>
    <n v="17351"/>
    <n v="900"/>
    <n v="7.2"/>
    <n v="82"/>
    <x v="4"/>
    <n v="87"/>
    <n v="2.81"/>
    <n v="8"/>
    <x v="2"/>
  </r>
  <r>
    <n v="1623"/>
    <d v="2015-12-31T00:00:00"/>
    <x v="30"/>
    <s v="Female"/>
    <n v="198.9"/>
    <n v="61.3"/>
    <n v="18352"/>
    <n v="900"/>
    <n v="6.4"/>
    <n v="72"/>
    <x v="0"/>
    <n v="0"/>
    <n v="2.2400000000000002"/>
    <n v="3"/>
    <x v="1"/>
  </r>
  <r>
    <n v="1571"/>
    <d v="2016-01-01T00:00:00"/>
    <x v="0"/>
    <s v="Male"/>
    <n v="172.8"/>
    <n v="92.3"/>
    <n v="17820"/>
    <n v="893.3"/>
    <n v="7.4"/>
    <n v="86"/>
    <x v="2"/>
    <n v="65"/>
    <n v="2.36"/>
    <n v="6"/>
    <x v="2"/>
  </r>
  <r>
    <n v="1880"/>
    <d v="2016-01-02T00:00:00"/>
    <x v="4"/>
    <s v="Female"/>
    <n v="161.6"/>
    <n v="86.7"/>
    <n v="11966"/>
    <n v="762.3"/>
    <n v="8.9"/>
    <n v="77"/>
    <x v="0"/>
    <n v="0"/>
    <n v="2.2200000000000002"/>
    <n v="10"/>
    <x v="0"/>
  </r>
  <r>
    <n v="1001"/>
    <d v="2016-01-03T00:00:00"/>
    <x v="34"/>
    <s v="Male"/>
    <n v="183.2"/>
    <n v="81.3"/>
    <n v="14967"/>
    <n v="832.3"/>
    <n v="6.5"/>
    <n v="60"/>
    <x v="0"/>
    <n v="0"/>
    <n v="2.09"/>
    <n v="1"/>
    <x v="0"/>
  </r>
  <r>
    <n v="1896"/>
    <d v="2016-01-04T00:00:00"/>
    <x v="7"/>
    <s v="Male"/>
    <n v="183.6"/>
    <n v="52.4"/>
    <n v="2809"/>
    <n v="334.1"/>
    <n v="6.2"/>
    <n v="73"/>
    <x v="2"/>
    <n v="86"/>
    <n v="2.08"/>
    <n v="4"/>
    <x v="1"/>
  </r>
  <r>
    <n v="1303"/>
    <d v="2016-01-05T00:00:00"/>
    <x v="35"/>
    <s v="Male"/>
    <n v="187.9"/>
    <n v="65.3"/>
    <n v="7546"/>
    <n v="562.79999999999995"/>
    <n v="6.8"/>
    <n v="67"/>
    <x v="3"/>
    <n v="23"/>
    <n v="2.06"/>
    <n v="5"/>
    <x v="1"/>
  </r>
  <r>
    <n v="1253"/>
    <d v="2016-01-06T00:00:00"/>
    <x v="13"/>
    <s v="Female"/>
    <n v="190.9"/>
    <n v="79.7"/>
    <n v="9107"/>
    <n v="580.79999999999995"/>
    <n v="5.2"/>
    <n v="67"/>
    <x v="2"/>
    <n v="44"/>
    <n v="1.97"/>
    <n v="5"/>
    <x v="1"/>
  </r>
  <r>
    <n v="1651"/>
    <d v="2016-01-07T00:00:00"/>
    <x v="31"/>
    <s v="Male"/>
    <n v="177.1"/>
    <n v="55.2"/>
    <n v="6505"/>
    <n v="425"/>
    <n v="8"/>
    <n v="72"/>
    <x v="1"/>
    <n v="40"/>
    <n v="1.79"/>
    <n v="1"/>
    <x v="1"/>
  </r>
  <r>
    <n v="1452"/>
    <d v="2016-01-08T00:00:00"/>
    <x v="36"/>
    <s v="Female"/>
    <n v="166.5"/>
    <n v="67.099999999999994"/>
    <n v="6257"/>
    <n v="430.8"/>
    <n v="7.2"/>
    <n v="78"/>
    <x v="4"/>
    <n v="33"/>
    <n v="2.23"/>
    <n v="9"/>
    <x v="0"/>
  </r>
  <r>
    <n v="1036"/>
    <d v="2016-01-09T00:00:00"/>
    <x v="17"/>
    <s v="Male"/>
    <n v="168"/>
    <n v="81.3"/>
    <n v="16051"/>
    <n v="878.6"/>
    <n v="6.9"/>
    <n v="84"/>
    <x v="0"/>
    <n v="0"/>
    <n v="2.0499999999999998"/>
    <n v="5"/>
    <x v="0"/>
  </r>
  <r>
    <n v="1159"/>
    <d v="2016-01-10T00:00:00"/>
    <x v="2"/>
    <s v="Female"/>
    <n v="167.1"/>
    <n v="61.5"/>
    <n v="5909"/>
    <n v="467.6"/>
    <n v="7.5"/>
    <n v="70"/>
    <x v="5"/>
    <n v="67"/>
    <n v="1.75"/>
    <n v="9"/>
    <x v="0"/>
  </r>
  <r>
    <n v="1008"/>
    <d v="2016-01-11T00:00:00"/>
    <x v="36"/>
    <s v="Female"/>
    <n v="166"/>
    <n v="57.3"/>
    <n v="15866"/>
    <n v="857"/>
    <n v="4.8"/>
    <n v="87"/>
    <x v="4"/>
    <n v="70"/>
    <n v="3.04"/>
    <n v="7"/>
    <x v="1"/>
  </r>
  <r>
    <n v="1232"/>
    <d v="2016-01-12T00:00:00"/>
    <x v="22"/>
    <s v="Female"/>
    <n v="182.4"/>
    <n v="45"/>
    <n v="11021"/>
    <n v="584"/>
    <n v="9.1"/>
    <n v="58"/>
    <x v="0"/>
    <n v="0"/>
    <n v="3.36"/>
    <n v="5"/>
    <x v="0"/>
  </r>
  <r>
    <n v="1098"/>
    <d v="2016-01-13T00:00:00"/>
    <x v="27"/>
    <s v="Male"/>
    <n v="170"/>
    <n v="64.2"/>
    <n v="16358"/>
    <n v="895"/>
    <n v="6.2"/>
    <n v="67"/>
    <x v="3"/>
    <n v="78"/>
    <n v="2.5"/>
    <n v="9"/>
    <x v="0"/>
  </r>
  <r>
    <n v="1658"/>
    <d v="2016-01-14T00:00:00"/>
    <x v="7"/>
    <s v="Male"/>
    <n v="179.7"/>
    <n v="81.599999999999994"/>
    <n v="1461"/>
    <n v="255.2"/>
    <n v="6.4"/>
    <n v="95"/>
    <x v="0"/>
    <n v="0"/>
    <n v="2.5499999999999998"/>
    <n v="5"/>
    <x v="2"/>
  </r>
  <r>
    <n v="1815"/>
    <d v="2016-01-15T00:00:00"/>
    <x v="5"/>
    <s v="Female"/>
    <n v="176.8"/>
    <n v="56.9"/>
    <n v="16732"/>
    <n v="899.3"/>
    <n v="8.3000000000000007"/>
    <n v="64"/>
    <x v="2"/>
    <n v="26"/>
    <n v="2.02"/>
    <n v="10"/>
    <x v="2"/>
  </r>
  <r>
    <n v="1207"/>
    <d v="2016-01-16T00:00:00"/>
    <x v="8"/>
    <s v="Female"/>
    <n v="159"/>
    <n v="70.3"/>
    <n v="4233"/>
    <n v="327.8"/>
    <n v="7.9"/>
    <n v="88"/>
    <x v="4"/>
    <n v="88"/>
    <n v="3.25"/>
    <n v="9"/>
    <x v="2"/>
  </r>
  <r>
    <n v="1130"/>
    <d v="2016-01-17T00:00:00"/>
    <x v="1"/>
    <s v="Female"/>
    <n v="152.80000000000001"/>
    <n v="66.599999999999994"/>
    <n v="13128"/>
    <n v="823.4"/>
    <n v="10"/>
    <n v="75"/>
    <x v="2"/>
    <n v="77"/>
    <n v="3.72"/>
    <n v="5"/>
    <x v="1"/>
  </r>
  <r>
    <n v="1403"/>
    <d v="2016-01-18T00:00:00"/>
    <x v="36"/>
    <s v="Male"/>
    <n v="157.6"/>
    <n v="60"/>
    <n v="6202"/>
    <n v="460.5"/>
    <n v="5.6"/>
    <n v="74"/>
    <x v="0"/>
    <n v="0"/>
    <n v="2.39"/>
    <n v="1"/>
    <x v="1"/>
  </r>
  <r>
    <n v="1151"/>
    <d v="2016-01-19T00:00:00"/>
    <x v="1"/>
    <s v="Male"/>
    <n v="165.7"/>
    <n v="82.6"/>
    <n v="3939"/>
    <n v="336.7"/>
    <n v="5.6"/>
    <n v="84"/>
    <x v="3"/>
    <n v="44"/>
    <n v="2.13"/>
    <n v="7"/>
    <x v="0"/>
  </r>
  <r>
    <n v="1053"/>
    <d v="2016-01-20T00:00:00"/>
    <x v="29"/>
    <s v="Male"/>
    <n v="171.3"/>
    <n v="94.6"/>
    <n v="16197"/>
    <n v="880.2"/>
    <n v="5.2"/>
    <n v="83"/>
    <x v="2"/>
    <n v="61"/>
    <n v="2.74"/>
    <n v="5"/>
    <x v="0"/>
  </r>
  <r>
    <n v="1119"/>
    <d v="2016-01-21T00:00:00"/>
    <x v="34"/>
    <s v="Male"/>
    <n v="163.5"/>
    <n v="85.1"/>
    <n v="14722"/>
    <n v="831.8"/>
    <n v="7.2"/>
    <n v="88"/>
    <x v="5"/>
    <n v="63"/>
    <n v="2.59"/>
    <n v="5"/>
    <x v="1"/>
  </r>
  <r>
    <n v="1672"/>
    <d v="2016-01-22T00:00:00"/>
    <x v="14"/>
    <s v="Female"/>
    <n v="177"/>
    <n v="59.6"/>
    <n v="13998"/>
    <n v="791.6"/>
    <n v="6.6"/>
    <n v="73"/>
    <x v="0"/>
    <n v="0"/>
    <n v="2.15"/>
    <n v="6"/>
    <x v="2"/>
  </r>
  <r>
    <n v="1919"/>
    <d v="2016-01-23T00:00:00"/>
    <x v="28"/>
    <s v="Female"/>
    <n v="164.7"/>
    <n v="99.9"/>
    <n v="17472"/>
    <n v="849.1"/>
    <n v="6"/>
    <n v="76"/>
    <x v="3"/>
    <n v="47"/>
    <n v="2.83"/>
    <n v="6"/>
    <x v="0"/>
  </r>
  <r>
    <n v="1627"/>
    <d v="2016-01-24T00:00:00"/>
    <x v="13"/>
    <s v="Male"/>
    <n v="172.6"/>
    <n v="85"/>
    <n v="19047"/>
    <n v="900"/>
    <n v="6.9"/>
    <n v="72"/>
    <x v="4"/>
    <n v="79"/>
    <n v="3.16"/>
    <n v="7"/>
    <x v="2"/>
  </r>
  <r>
    <n v="1586"/>
    <d v="2016-01-25T00:00:00"/>
    <x v="37"/>
    <s v="Male"/>
    <n v="171.2"/>
    <n v="63.1"/>
    <n v="4301"/>
    <n v="354.8"/>
    <n v="5.5"/>
    <n v="64"/>
    <x v="4"/>
    <n v="40"/>
    <n v="1.95"/>
    <n v="8"/>
    <x v="0"/>
  </r>
  <r>
    <n v="1624"/>
    <d v="2016-01-26T00:00:00"/>
    <x v="12"/>
    <s v="Female"/>
    <n v="187.3"/>
    <n v="58.4"/>
    <n v="16640"/>
    <n v="864.8"/>
    <n v="9.3000000000000007"/>
    <n v="77"/>
    <x v="5"/>
    <n v="68"/>
    <n v="4.28"/>
    <n v="1"/>
    <x v="2"/>
  </r>
  <r>
    <n v="1967"/>
    <d v="2016-01-27T00:00:00"/>
    <x v="23"/>
    <s v="Male"/>
    <n v="160.19999999999999"/>
    <n v="86.8"/>
    <n v="17805"/>
    <n v="801.8"/>
    <n v="6"/>
    <n v="73"/>
    <x v="1"/>
    <n v="75"/>
    <n v="1.43"/>
    <n v="10"/>
    <x v="0"/>
  </r>
  <r>
    <n v="1419"/>
    <d v="2016-01-28T00:00:00"/>
    <x v="0"/>
    <s v="Male"/>
    <n v="192.1"/>
    <n v="72.599999999999994"/>
    <n v="17131"/>
    <n v="862"/>
    <n v="6.1"/>
    <n v="56"/>
    <x v="2"/>
    <n v="76"/>
    <n v="1.9"/>
    <n v="3"/>
    <x v="2"/>
  </r>
  <r>
    <n v="1421"/>
    <d v="2016-01-29T00:00:00"/>
    <x v="19"/>
    <s v="Male"/>
    <n v="164.1"/>
    <n v="57.2"/>
    <n v="5433"/>
    <n v="393.8"/>
    <n v="3.4"/>
    <n v="86"/>
    <x v="0"/>
    <n v="0"/>
    <n v="2.66"/>
    <n v="6"/>
    <x v="2"/>
  </r>
  <r>
    <n v="1103"/>
    <d v="2016-01-30T00:00:00"/>
    <x v="5"/>
    <s v="Male"/>
    <n v="156.6"/>
    <n v="67.8"/>
    <n v="1265"/>
    <n v="273.10000000000002"/>
    <n v="4.5"/>
    <n v="76"/>
    <x v="4"/>
    <n v="57"/>
    <n v="4.07"/>
    <n v="1"/>
    <x v="1"/>
  </r>
  <r>
    <n v="1851"/>
    <d v="2016-01-31T00:00:00"/>
    <x v="33"/>
    <s v="Male"/>
    <n v="167.8"/>
    <n v="63.9"/>
    <n v="3850"/>
    <n v="327.8"/>
    <n v="6.1"/>
    <n v="68"/>
    <x v="0"/>
    <n v="0"/>
    <n v="2.11"/>
    <n v="5"/>
    <x v="0"/>
  </r>
  <r>
    <n v="1253"/>
    <d v="2016-02-01T00:00:00"/>
    <x v="31"/>
    <s v="Male"/>
    <n v="200"/>
    <n v="57.6"/>
    <n v="2378"/>
    <n v="214"/>
    <n v="6.5"/>
    <n v="78"/>
    <x v="5"/>
    <n v="22"/>
    <n v="1.75"/>
    <n v="5"/>
    <x v="2"/>
  </r>
  <r>
    <n v="1226"/>
    <d v="2016-02-02T00:00:00"/>
    <x v="9"/>
    <s v="Female"/>
    <n v="179"/>
    <n v="85.2"/>
    <n v="7503"/>
    <n v="512.29999999999995"/>
    <n v="8.1"/>
    <n v="70"/>
    <x v="2"/>
    <n v="62"/>
    <n v="2.88"/>
    <n v="10"/>
    <x v="1"/>
  </r>
  <r>
    <n v="1111"/>
    <d v="2016-02-03T00:00:00"/>
    <x v="10"/>
    <s v="Male"/>
    <n v="176"/>
    <n v="81.7"/>
    <n v="8157"/>
    <n v="513.79999999999995"/>
    <n v="4.8"/>
    <n v="77"/>
    <x v="3"/>
    <n v="54"/>
    <n v="2.33"/>
    <n v="9"/>
    <x v="0"/>
  </r>
  <r>
    <n v="1509"/>
    <d v="2016-02-04T00:00:00"/>
    <x v="9"/>
    <s v="Male"/>
    <n v="178"/>
    <n v="82.6"/>
    <n v="11006"/>
    <n v="603.79999999999995"/>
    <n v="7.7"/>
    <n v="89"/>
    <x v="0"/>
    <n v="0"/>
    <n v="2.97"/>
    <n v="2"/>
    <x v="1"/>
  </r>
  <r>
    <n v="1472"/>
    <d v="2016-02-05T00:00:00"/>
    <x v="30"/>
    <s v="Female"/>
    <n v="162.30000000000001"/>
    <n v="82.4"/>
    <n v="1849"/>
    <n v="278.3"/>
    <n v="7.9"/>
    <n v="79"/>
    <x v="5"/>
    <n v="77"/>
    <n v="2.4500000000000002"/>
    <n v="7"/>
    <x v="2"/>
  </r>
  <r>
    <n v="1098"/>
    <d v="2016-02-06T00:00:00"/>
    <x v="28"/>
    <s v="Female"/>
    <n v="173.3"/>
    <n v="56.3"/>
    <n v="5814"/>
    <n v="343.6"/>
    <n v="8"/>
    <n v="70"/>
    <x v="3"/>
    <n v="53"/>
    <n v="1.9"/>
    <n v="9"/>
    <x v="0"/>
  </r>
  <r>
    <n v="1152"/>
    <d v="2016-02-07T00:00:00"/>
    <x v="10"/>
    <s v="Female"/>
    <n v="170"/>
    <n v="60.9"/>
    <n v="11000"/>
    <n v="671"/>
    <n v="8.6"/>
    <n v="65"/>
    <x v="3"/>
    <n v="44"/>
    <n v="4.1399999999999997"/>
    <n v="8"/>
    <x v="2"/>
  </r>
  <r>
    <n v="1860"/>
    <d v="2016-02-08T00:00:00"/>
    <x v="39"/>
    <s v="Male"/>
    <n v="188.1"/>
    <n v="91.9"/>
    <n v="16288"/>
    <n v="842.4"/>
    <n v="5.3"/>
    <n v="68"/>
    <x v="3"/>
    <n v="75"/>
    <n v="0.5"/>
    <n v="1"/>
    <x v="2"/>
  </r>
  <r>
    <n v="1913"/>
    <d v="2016-02-09T00:00:00"/>
    <x v="38"/>
    <s v="Female"/>
    <n v="168.9"/>
    <n v="71.599999999999994"/>
    <n v="4274"/>
    <n v="357.6"/>
    <n v="7.8"/>
    <n v="83"/>
    <x v="2"/>
    <n v="51"/>
    <n v="3.77"/>
    <n v="1"/>
    <x v="1"/>
  </r>
  <r>
    <n v="1895"/>
    <d v="2016-02-10T00:00:00"/>
    <x v="39"/>
    <s v="Male"/>
    <n v="166.2"/>
    <n v="47.9"/>
    <n v="18100"/>
    <n v="900"/>
    <n v="9.6"/>
    <n v="74"/>
    <x v="1"/>
    <n v="41"/>
    <n v="3.15"/>
    <n v="2"/>
    <x v="2"/>
  </r>
  <r>
    <n v="1877"/>
    <d v="2016-02-11T00:00:00"/>
    <x v="12"/>
    <s v="Male"/>
    <n v="158.4"/>
    <n v="73.3"/>
    <n v="15227"/>
    <n v="782.3"/>
    <n v="9.1"/>
    <n v="81"/>
    <x v="0"/>
    <n v="0"/>
    <n v="1.98"/>
    <n v="1"/>
    <x v="0"/>
  </r>
  <r>
    <n v="1337"/>
    <d v="2016-02-12T00:00:00"/>
    <x v="10"/>
    <s v="Male"/>
    <n v="171.4"/>
    <n v="79.8"/>
    <n v="18279"/>
    <n v="900"/>
    <n v="9.8000000000000007"/>
    <n v="72"/>
    <x v="3"/>
    <n v="40"/>
    <n v="3.81"/>
    <n v="8"/>
    <x v="1"/>
  </r>
  <r>
    <n v="1705"/>
    <d v="2016-02-13T00:00:00"/>
    <x v="24"/>
    <s v="Female"/>
    <n v="172.9"/>
    <n v="77.900000000000006"/>
    <n v="10368"/>
    <n v="608.20000000000005"/>
    <n v="7.4"/>
    <n v="66"/>
    <x v="4"/>
    <n v="40"/>
    <n v="1.54"/>
    <n v="7"/>
    <x v="2"/>
  </r>
  <r>
    <n v="1821"/>
    <d v="2016-02-14T00:00:00"/>
    <x v="31"/>
    <s v="Female"/>
    <n v="158"/>
    <n v="55.9"/>
    <n v="12945"/>
    <n v="878.6"/>
    <n v="6.1"/>
    <n v="81"/>
    <x v="2"/>
    <n v="47"/>
    <n v="3.21"/>
    <n v="6"/>
    <x v="2"/>
  </r>
  <r>
    <n v="1162"/>
    <d v="2016-02-15T00:00:00"/>
    <x v="35"/>
    <s v="Female"/>
    <n v="174.5"/>
    <n v="98.3"/>
    <n v="10968"/>
    <n v="663.1"/>
    <n v="3.2"/>
    <n v="67"/>
    <x v="2"/>
    <n v="38"/>
    <n v="1.04"/>
    <n v="2"/>
    <x v="2"/>
  </r>
  <r>
    <n v="1719"/>
    <d v="2016-02-16T00:00:00"/>
    <x v="2"/>
    <s v="Female"/>
    <n v="172.3"/>
    <n v="47.5"/>
    <n v="10651"/>
    <n v="569"/>
    <n v="5.0999999999999996"/>
    <n v="71"/>
    <x v="3"/>
    <n v="33"/>
    <n v="1.7"/>
    <n v="9"/>
    <x v="1"/>
  </r>
  <r>
    <n v="1956"/>
    <d v="2016-02-17T00:00:00"/>
    <x v="34"/>
    <s v="Female"/>
    <n v="180.1"/>
    <n v="71.7"/>
    <n v="14903"/>
    <n v="883.7"/>
    <n v="6.2"/>
    <n v="63"/>
    <x v="4"/>
    <n v="43"/>
    <n v="1.7"/>
    <n v="1"/>
    <x v="0"/>
  </r>
  <r>
    <n v="1680"/>
    <d v="2016-02-18T00:00:00"/>
    <x v="17"/>
    <s v="Male"/>
    <n v="182.1"/>
    <n v="96"/>
    <n v="19927"/>
    <n v="900"/>
    <n v="6.5"/>
    <n v="66"/>
    <x v="5"/>
    <n v="39"/>
    <n v="1.97"/>
    <n v="1"/>
    <x v="1"/>
  </r>
  <r>
    <n v="1995"/>
    <d v="2016-02-19T00:00:00"/>
    <x v="15"/>
    <s v="Male"/>
    <n v="170.9"/>
    <n v="78.900000000000006"/>
    <n v="8771"/>
    <n v="553.1"/>
    <n v="5.8"/>
    <n v="84"/>
    <x v="2"/>
    <n v="51"/>
    <n v="2.5099999999999998"/>
    <n v="2"/>
    <x v="2"/>
  </r>
  <r>
    <n v="1160"/>
    <d v="2016-02-20T00:00:00"/>
    <x v="24"/>
    <s v="Male"/>
    <n v="159.6"/>
    <n v="82.5"/>
    <n v="14460"/>
    <n v="756.5"/>
    <n v="7.5"/>
    <n v="85"/>
    <x v="3"/>
    <n v="71"/>
    <n v="1.92"/>
    <n v="7"/>
    <x v="1"/>
  </r>
  <r>
    <n v="1579"/>
    <d v="2016-02-21T00:00:00"/>
    <x v="9"/>
    <s v="Male"/>
    <n v="161.69999999999999"/>
    <n v="54.2"/>
    <n v="5637"/>
    <n v="359.2"/>
    <n v="7.3"/>
    <n v="86"/>
    <x v="0"/>
    <n v="0"/>
    <n v="1.07"/>
    <n v="10"/>
    <x v="2"/>
  </r>
  <r>
    <n v="1800"/>
    <d v="2016-02-22T00:00:00"/>
    <x v="34"/>
    <s v="Female"/>
    <n v="187.6"/>
    <n v="75.2"/>
    <n v="13922"/>
    <n v="778.4"/>
    <n v="7.1"/>
    <n v="86"/>
    <x v="3"/>
    <n v="71"/>
    <n v="2.82"/>
    <n v="1"/>
    <x v="1"/>
  </r>
  <r>
    <n v="1397"/>
    <d v="2016-02-23T00:00:00"/>
    <x v="35"/>
    <s v="Female"/>
    <n v="171.7"/>
    <n v="69.5"/>
    <n v="9066"/>
    <n v="528.9"/>
    <n v="8.1999999999999993"/>
    <n v="71"/>
    <x v="0"/>
    <n v="0"/>
    <n v="2.5299999999999998"/>
    <n v="3"/>
    <x v="2"/>
  </r>
  <r>
    <n v="1276"/>
    <d v="2016-02-24T00:00:00"/>
    <x v="40"/>
    <s v="Male"/>
    <n v="187.5"/>
    <n v="53"/>
    <n v="4553"/>
    <n v="338.1"/>
    <n v="6.3"/>
    <n v="82"/>
    <x v="0"/>
    <n v="0"/>
    <n v="2.79"/>
    <n v="10"/>
    <x v="1"/>
  </r>
  <r>
    <n v="1815"/>
    <d v="2016-02-25T00:00:00"/>
    <x v="37"/>
    <s v="Female"/>
    <n v="175"/>
    <n v="83"/>
    <n v="2349"/>
    <n v="332.7"/>
    <n v="8.6"/>
    <n v="86"/>
    <x v="1"/>
    <n v="89"/>
    <n v="2.62"/>
    <n v="8"/>
    <x v="2"/>
  </r>
  <r>
    <n v="1915"/>
    <d v="2016-02-26T00:00:00"/>
    <x v="4"/>
    <s v="Female"/>
    <n v="177.5"/>
    <n v="57.7"/>
    <n v="3986"/>
    <n v="436.7"/>
    <n v="5.2"/>
    <n v="66"/>
    <x v="1"/>
    <n v="34"/>
    <n v="3.17"/>
    <n v="7"/>
    <x v="2"/>
  </r>
  <r>
    <n v="1503"/>
    <d v="2016-02-27T00:00:00"/>
    <x v="22"/>
    <s v="Male"/>
    <n v="179.4"/>
    <n v="59.5"/>
    <n v="12522"/>
    <n v="677.1"/>
    <n v="6.5"/>
    <n v="77"/>
    <x v="5"/>
    <n v="66"/>
    <n v="2.4500000000000002"/>
    <n v="8"/>
    <x v="1"/>
  </r>
  <r>
    <n v="1895"/>
    <d v="2016-02-28T00:00:00"/>
    <x v="25"/>
    <s v="Male"/>
    <n v="157.80000000000001"/>
    <n v="76.5"/>
    <n v="3122"/>
    <n v="365.2"/>
    <n v="7.5"/>
    <n v="74"/>
    <x v="5"/>
    <n v="29"/>
    <n v="3.21"/>
    <n v="6"/>
    <x v="1"/>
  </r>
  <r>
    <n v="1391"/>
    <d v="2016-02-29T00:00:00"/>
    <x v="34"/>
    <s v="Female"/>
    <n v="173.1"/>
    <n v="67.900000000000006"/>
    <n v="14892"/>
    <n v="806.3"/>
    <n v="4.0999999999999996"/>
    <n v="56"/>
    <x v="0"/>
    <n v="0"/>
    <n v="1.96"/>
    <n v="8"/>
    <x v="2"/>
  </r>
  <r>
    <n v="1134"/>
    <d v="2016-03-01T00:00:00"/>
    <x v="15"/>
    <s v="Female"/>
    <n v="157.6"/>
    <n v="72.5"/>
    <n v="9689"/>
    <n v="605.5"/>
    <n v="6.2"/>
    <n v="78"/>
    <x v="5"/>
    <n v="38"/>
    <n v="2"/>
    <n v="5"/>
    <x v="0"/>
  </r>
  <r>
    <n v="1194"/>
    <d v="2016-03-02T00:00:00"/>
    <x v="17"/>
    <s v="Male"/>
    <n v="167.2"/>
    <n v="66.900000000000006"/>
    <n v="15062"/>
    <n v="761.5"/>
    <n v="8.1"/>
    <n v="68"/>
    <x v="5"/>
    <n v="87"/>
    <n v="3.46"/>
    <n v="9"/>
    <x v="2"/>
  </r>
  <r>
    <n v="1400"/>
    <d v="2016-03-03T00:00:00"/>
    <x v="41"/>
    <s v="Male"/>
    <n v="176.4"/>
    <n v="91.2"/>
    <n v="2363"/>
    <n v="283.89999999999998"/>
    <n v="6.4"/>
    <n v="86"/>
    <x v="3"/>
    <n v="41"/>
    <n v="3.45"/>
    <n v="10"/>
    <x v="2"/>
  </r>
  <r>
    <n v="1639"/>
    <d v="2016-03-04T00:00:00"/>
    <x v="41"/>
    <s v="Male"/>
    <n v="159.69999999999999"/>
    <n v="56.1"/>
    <n v="17691"/>
    <n v="852.8"/>
    <n v="4.3"/>
    <n v="67"/>
    <x v="3"/>
    <n v="82"/>
    <n v="2.9"/>
    <n v="1"/>
    <x v="0"/>
  </r>
  <r>
    <n v="1032"/>
    <d v="2016-03-05T00:00:00"/>
    <x v="21"/>
    <s v="Female"/>
    <n v="175.6"/>
    <n v="63"/>
    <n v="3751"/>
    <n v="288.89999999999998"/>
    <n v="5.7"/>
    <n v="78"/>
    <x v="3"/>
    <n v="57"/>
    <n v="1.88"/>
    <n v="7"/>
    <x v="2"/>
  </r>
  <r>
    <n v="1687"/>
    <d v="2016-03-06T00:00:00"/>
    <x v="1"/>
    <s v="Male"/>
    <n v="155"/>
    <n v="77.2"/>
    <n v="8782"/>
    <n v="577.20000000000005"/>
    <n v="5"/>
    <n v="76"/>
    <x v="4"/>
    <n v="34"/>
    <n v="1.82"/>
    <n v="6"/>
    <x v="1"/>
  </r>
  <r>
    <n v="1459"/>
    <d v="2016-03-07T00:00:00"/>
    <x v="0"/>
    <s v="Male"/>
    <n v="181.4"/>
    <n v="55.2"/>
    <n v="18648"/>
    <n v="900"/>
    <n v="7.7"/>
    <n v="58"/>
    <x v="0"/>
    <n v="0"/>
    <n v="3.43"/>
    <n v="8"/>
    <x v="1"/>
  </r>
  <r>
    <n v="1954"/>
    <d v="2016-03-08T00:00:00"/>
    <x v="17"/>
    <s v="Female"/>
    <n v="163.4"/>
    <n v="54.5"/>
    <n v="13540"/>
    <n v="695.8"/>
    <n v="7.2"/>
    <n v="72"/>
    <x v="5"/>
    <n v="63"/>
    <n v="3.39"/>
    <n v="2"/>
    <x v="0"/>
  </r>
  <r>
    <n v="1882"/>
    <d v="2016-03-09T00:00:00"/>
    <x v="41"/>
    <s v="Female"/>
    <n v="159.69999999999999"/>
    <n v="72.099999999999994"/>
    <n v="14223"/>
    <n v="708.4"/>
    <n v="4.7"/>
    <n v="79"/>
    <x v="4"/>
    <n v="49"/>
    <n v="2.46"/>
    <n v="1"/>
    <x v="2"/>
  </r>
  <r>
    <n v="1469"/>
    <d v="2016-03-10T00:00:00"/>
    <x v="38"/>
    <s v="Female"/>
    <n v="155.6"/>
    <n v="83"/>
    <n v="6339"/>
    <n v="377.9"/>
    <n v="4.5"/>
    <n v="85"/>
    <x v="2"/>
    <n v="43"/>
    <n v="4.1399999999999997"/>
    <n v="1"/>
    <x v="1"/>
  </r>
  <r>
    <n v="1374"/>
    <d v="2016-03-11T00:00:00"/>
    <x v="19"/>
    <s v="Female"/>
    <n v="164.2"/>
    <n v="85"/>
    <n v="6848"/>
    <n v="376.1"/>
    <n v="5.9"/>
    <n v="75"/>
    <x v="0"/>
    <n v="0"/>
    <n v="2.82"/>
    <n v="2"/>
    <x v="2"/>
  </r>
  <r>
    <n v="1021"/>
    <d v="2016-03-12T00:00:00"/>
    <x v="25"/>
    <s v="Female"/>
    <n v="150.9"/>
    <n v="71.400000000000006"/>
    <n v="17877"/>
    <n v="900"/>
    <n v="7"/>
    <n v="84"/>
    <x v="2"/>
    <n v="23"/>
    <n v="1.72"/>
    <n v="5"/>
    <x v="0"/>
  </r>
  <r>
    <n v="1749"/>
    <d v="2016-03-13T00:00:00"/>
    <x v="17"/>
    <s v="Male"/>
    <n v="164.5"/>
    <n v="59.9"/>
    <n v="19405"/>
    <n v="844.8"/>
    <n v="6"/>
    <n v="80"/>
    <x v="3"/>
    <n v="25"/>
    <n v="2.31"/>
    <n v="7"/>
    <x v="1"/>
  </r>
  <r>
    <n v="1669"/>
    <d v="2016-03-14T00:00:00"/>
    <x v="30"/>
    <s v="Male"/>
    <n v="181"/>
    <n v="74.099999999999994"/>
    <n v="19131"/>
    <n v="900"/>
    <n v="7.5"/>
    <n v="81"/>
    <x v="2"/>
    <n v="57"/>
    <n v="2.5"/>
    <n v="9"/>
    <x v="0"/>
  </r>
  <r>
    <n v="1037"/>
    <d v="2016-03-15T00:00:00"/>
    <x v="33"/>
    <s v="Female"/>
    <n v="168.1"/>
    <n v="78.5"/>
    <n v="16861"/>
    <n v="897.7"/>
    <n v="7.5"/>
    <n v="81"/>
    <x v="3"/>
    <n v="45"/>
    <n v="2.56"/>
    <n v="4"/>
    <x v="2"/>
  </r>
  <r>
    <n v="1229"/>
    <d v="2016-03-16T00:00:00"/>
    <x v="25"/>
    <s v="Female"/>
    <n v="158.19999999999999"/>
    <n v="73.900000000000006"/>
    <n v="14465"/>
    <n v="773.6"/>
    <n v="7.8"/>
    <n v="72"/>
    <x v="0"/>
    <n v="0"/>
    <n v="3.38"/>
    <n v="9"/>
    <x v="2"/>
  </r>
  <r>
    <n v="1364"/>
    <d v="2016-03-17T00:00:00"/>
    <x v="2"/>
    <s v="Female"/>
    <n v="172.3"/>
    <n v="88.5"/>
    <n v="4302"/>
    <n v="375.8"/>
    <n v="4.9000000000000004"/>
    <n v="65"/>
    <x v="0"/>
    <n v="0"/>
    <n v="1.83"/>
    <n v="3"/>
    <x v="2"/>
  </r>
  <r>
    <n v="1562"/>
    <d v="2016-03-18T00:00:00"/>
    <x v="35"/>
    <s v="Female"/>
    <n v="171.4"/>
    <n v="54.8"/>
    <n v="15437"/>
    <n v="803.2"/>
    <n v="6.6"/>
    <n v="91"/>
    <x v="5"/>
    <n v="87"/>
    <n v="1.57"/>
    <n v="6"/>
    <x v="0"/>
  </r>
  <r>
    <n v="1437"/>
    <d v="2016-03-19T00:00:00"/>
    <x v="2"/>
    <s v="Female"/>
    <n v="189.6"/>
    <n v="59.5"/>
    <n v="16162"/>
    <n v="857.7"/>
    <n v="8.6"/>
    <n v="83"/>
    <x v="4"/>
    <n v="88"/>
    <n v="2.92"/>
    <n v="9"/>
    <x v="1"/>
  </r>
  <r>
    <n v="1775"/>
    <d v="2016-03-20T00:00:00"/>
    <x v="22"/>
    <s v="Male"/>
    <n v="177.9"/>
    <n v="86.4"/>
    <n v="15512"/>
    <n v="831.2"/>
    <n v="6"/>
    <n v="74"/>
    <x v="3"/>
    <n v="66"/>
    <n v="2.15"/>
    <n v="1"/>
    <x v="0"/>
  </r>
  <r>
    <n v="1282"/>
    <d v="2016-03-21T00:00:00"/>
    <x v="29"/>
    <s v="Male"/>
    <n v="173.1"/>
    <n v="47.9"/>
    <n v="6022"/>
    <n v="506"/>
    <n v="5.8"/>
    <n v="81"/>
    <x v="1"/>
    <n v="48"/>
    <n v="4.2"/>
    <n v="4"/>
    <x v="1"/>
  </r>
  <r>
    <n v="1026"/>
    <d v="2016-03-22T00:00:00"/>
    <x v="26"/>
    <s v="Male"/>
    <n v="179.1"/>
    <n v="61.9"/>
    <n v="11471"/>
    <n v="735.5"/>
    <n v="6.3"/>
    <n v="79"/>
    <x v="1"/>
    <n v="83"/>
    <n v="3.16"/>
    <n v="5"/>
    <x v="2"/>
  </r>
  <r>
    <n v="1225"/>
    <d v="2016-03-23T00:00:00"/>
    <x v="28"/>
    <s v="Male"/>
    <n v="168.7"/>
    <n v="59"/>
    <n v="7155"/>
    <n v="561.29999999999995"/>
    <n v="6.2"/>
    <n v="66"/>
    <x v="5"/>
    <n v="31"/>
    <n v="2.13"/>
    <n v="6"/>
    <x v="2"/>
  </r>
  <r>
    <n v="1276"/>
    <d v="2016-03-24T00:00:00"/>
    <x v="14"/>
    <s v="Female"/>
    <n v="169.2"/>
    <n v="46.5"/>
    <n v="6254"/>
    <n v="410.3"/>
    <n v="7.2"/>
    <n v="72"/>
    <x v="4"/>
    <n v="30"/>
    <n v="3.35"/>
    <n v="8"/>
    <x v="0"/>
  </r>
  <r>
    <n v="1797"/>
    <d v="2016-03-25T00:00:00"/>
    <x v="27"/>
    <s v="Male"/>
    <n v="186.6"/>
    <n v="67.2"/>
    <n v="5354"/>
    <n v="452"/>
    <n v="6.1"/>
    <n v="88"/>
    <x v="3"/>
    <n v="27"/>
    <n v="3.01"/>
    <n v="2"/>
    <x v="1"/>
  </r>
  <r>
    <n v="1608"/>
    <d v="2016-03-26T00:00:00"/>
    <x v="11"/>
    <s v="Female"/>
    <n v="153.6"/>
    <n v="81.2"/>
    <n v="3516"/>
    <n v="365.9"/>
    <n v="4"/>
    <n v="75"/>
    <x v="5"/>
    <n v="79"/>
    <n v="2.94"/>
    <n v="6"/>
    <x v="2"/>
  </r>
  <r>
    <n v="1283"/>
    <d v="2016-03-27T00:00:00"/>
    <x v="24"/>
    <s v="Female"/>
    <n v="179.7"/>
    <n v="72.3"/>
    <n v="16872"/>
    <n v="842.4"/>
    <n v="8.8000000000000007"/>
    <n v="79"/>
    <x v="4"/>
    <n v="45"/>
    <n v="2.41"/>
    <n v="7"/>
    <x v="2"/>
  </r>
  <r>
    <n v="1878"/>
    <d v="2016-03-28T00:00:00"/>
    <x v="19"/>
    <s v="Female"/>
    <n v="168.9"/>
    <n v="82"/>
    <n v="11156"/>
    <n v="601.9"/>
    <n v="7.8"/>
    <n v="88"/>
    <x v="1"/>
    <n v="51"/>
    <n v="2.79"/>
    <n v="6"/>
    <x v="0"/>
  </r>
  <r>
    <n v="1959"/>
    <d v="2016-03-29T00:00:00"/>
    <x v="41"/>
    <s v="Male"/>
    <n v="167.1"/>
    <n v="87.9"/>
    <n v="9838"/>
    <n v="574.70000000000005"/>
    <n v="7.2"/>
    <n v="75"/>
    <x v="3"/>
    <n v="58"/>
    <n v="1.03"/>
    <n v="4"/>
    <x v="0"/>
  </r>
  <r>
    <n v="1480"/>
    <d v="2016-03-30T00:00:00"/>
    <x v="23"/>
    <s v="Female"/>
    <n v="164.5"/>
    <n v="64.2"/>
    <n v="13734"/>
    <n v="696.3"/>
    <n v="6.9"/>
    <n v="66"/>
    <x v="4"/>
    <n v="23"/>
    <n v="3.42"/>
    <n v="6"/>
    <x v="1"/>
  </r>
  <r>
    <n v="1452"/>
    <d v="2016-03-31T00:00:00"/>
    <x v="4"/>
    <s v="Male"/>
    <n v="171.5"/>
    <n v="109.7"/>
    <n v="12022"/>
    <n v="611.4"/>
    <n v="6.5"/>
    <n v="76"/>
    <x v="2"/>
    <n v="63"/>
    <n v="0.5"/>
    <n v="4"/>
    <x v="2"/>
  </r>
  <r>
    <n v="1828"/>
    <d v="2016-04-01T00:00:00"/>
    <x v="23"/>
    <s v="Male"/>
    <n v="169.6"/>
    <n v="64.8"/>
    <n v="6208"/>
    <n v="473.2"/>
    <n v="5.8"/>
    <n v="69"/>
    <x v="3"/>
    <n v="54"/>
    <n v="2.19"/>
    <n v="9"/>
    <x v="1"/>
  </r>
  <r>
    <n v="1815"/>
    <d v="2016-04-02T00:00:00"/>
    <x v="6"/>
    <s v="Female"/>
    <n v="165.9"/>
    <n v="66.8"/>
    <n v="17578"/>
    <n v="900"/>
    <n v="4.2"/>
    <n v="61"/>
    <x v="2"/>
    <n v="70"/>
    <n v="1.38"/>
    <n v="1"/>
    <x v="1"/>
  </r>
  <r>
    <n v="1658"/>
    <d v="2016-04-03T00:00:00"/>
    <x v="3"/>
    <s v="Female"/>
    <n v="163"/>
    <n v="59.4"/>
    <n v="14725"/>
    <n v="790.4"/>
    <n v="9.4"/>
    <n v="83"/>
    <x v="0"/>
    <n v="0"/>
    <n v="2.15"/>
    <n v="9"/>
    <x v="1"/>
  </r>
  <r>
    <n v="1515"/>
    <d v="2016-04-04T00:00:00"/>
    <x v="33"/>
    <s v="Female"/>
    <n v="150.9"/>
    <n v="78.2"/>
    <n v="10337"/>
    <n v="659.8"/>
    <n v="7"/>
    <n v="72"/>
    <x v="0"/>
    <n v="0"/>
    <n v="2.4500000000000002"/>
    <n v="4"/>
    <x v="0"/>
  </r>
  <r>
    <n v="1546"/>
    <d v="2016-04-05T00:00:00"/>
    <x v="26"/>
    <s v="Male"/>
    <n v="162.80000000000001"/>
    <n v="65.599999999999994"/>
    <n v="11701"/>
    <n v="658.2"/>
    <n v="4.5999999999999996"/>
    <n v="50"/>
    <x v="0"/>
    <n v="0"/>
    <n v="1.66"/>
    <n v="3"/>
    <x v="1"/>
  </r>
  <r>
    <n v="1191"/>
    <d v="2016-04-06T00:00:00"/>
    <x v="32"/>
    <s v="Female"/>
    <n v="164.9"/>
    <n v="68.8"/>
    <n v="11275"/>
    <n v="692.5"/>
    <n v="5.5"/>
    <n v="78"/>
    <x v="5"/>
    <n v="79"/>
    <n v="0.56000000000000005"/>
    <n v="5"/>
    <x v="1"/>
  </r>
  <r>
    <n v="1048"/>
    <d v="2016-04-07T00:00:00"/>
    <x v="38"/>
    <s v="Male"/>
    <n v="171.5"/>
    <n v="66.900000000000006"/>
    <n v="7210"/>
    <n v="451.5"/>
    <n v="7.5"/>
    <n v="78"/>
    <x v="4"/>
    <n v="34"/>
    <n v="2.64"/>
    <n v="3"/>
    <x v="1"/>
  </r>
  <r>
    <n v="1511"/>
    <d v="2016-04-08T00:00:00"/>
    <x v="37"/>
    <s v="Female"/>
    <n v="189.6"/>
    <n v="66.599999999999994"/>
    <n v="12544"/>
    <n v="664.5"/>
    <n v="7.4"/>
    <n v="95"/>
    <x v="0"/>
    <n v="0"/>
    <n v="3.96"/>
    <n v="1"/>
    <x v="0"/>
  </r>
  <r>
    <n v="1016"/>
    <d v="2016-04-09T00:00:00"/>
    <x v="39"/>
    <s v="Female"/>
    <n v="163.80000000000001"/>
    <n v="72.400000000000006"/>
    <n v="17327"/>
    <n v="893.8"/>
    <n v="5.9"/>
    <n v="75"/>
    <x v="4"/>
    <n v="69"/>
    <n v="2.25"/>
    <n v="8"/>
    <x v="0"/>
  </r>
  <r>
    <n v="1171"/>
    <d v="2016-04-10T00:00:00"/>
    <x v="23"/>
    <s v="Male"/>
    <n v="159.80000000000001"/>
    <n v="63.2"/>
    <n v="15041"/>
    <n v="900"/>
    <n v="5.4"/>
    <n v="86"/>
    <x v="4"/>
    <n v="74"/>
    <n v="3.17"/>
    <n v="9"/>
    <x v="2"/>
  </r>
  <r>
    <n v="1219"/>
    <d v="2016-04-11T00:00:00"/>
    <x v="36"/>
    <s v="Male"/>
    <n v="162.9"/>
    <n v="64"/>
    <n v="17705"/>
    <n v="900"/>
    <n v="6.1"/>
    <n v="81"/>
    <x v="4"/>
    <n v="31"/>
    <n v="3.55"/>
    <n v="6"/>
    <x v="0"/>
  </r>
  <r>
    <n v="1157"/>
    <d v="2016-04-12T00:00:00"/>
    <x v="25"/>
    <s v="Male"/>
    <n v="171.5"/>
    <n v="86.1"/>
    <n v="11479"/>
    <n v="714.1"/>
    <n v="4.0999999999999996"/>
    <n v="69"/>
    <x v="3"/>
    <n v="69"/>
    <n v="1.17"/>
    <n v="2"/>
    <x v="0"/>
  </r>
  <r>
    <n v="1476"/>
    <d v="2016-04-13T00:00:00"/>
    <x v="33"/>
    <s v="Male"/>
    <n v="175.9"/>
    <n v="65.599999999999994"/>
    <n v="12323"/>
    <n v="624.29999999999995"/>
    <n v="6.3"/>
    <n v="78"/>
    <x v="2"/>
    <n v="81"/>
    <n v="2.1800000000000002"/>
    <n v="6"/>
    <x v="1"/>
  </r>
  <r>
    <n v="1045"/>
    <d v="2016-04-14T00:00:00"/>
    <x v="9"/>
    <s v="Male"/>
    <n v="177.3"/>
    <n v="75.8"/>
    <n v="13937"/>
    <n v="764.7"/>
    <n v="6.3"/>
    <n v="73"/>
    <x v="2"/>
    <n v="24"/>
    <n v="1.61"/>
    <n v="6"/>
    <x v="2"/>
  </r>
  <r>
    <n v="1372"/>
    <d v="2016-04-15T00:00:00"/>
    <x v="36"/>
    <s v="Male"/>
    <n v="178.3"/>
    <n v="56.7"/>
    <n v="2702"/>
    <n v="349.1"/>
    <n v="9.3000000000000007"/>
    <n v="68"/>
    <x v="5"/>
    <n v="46"/>
    <n v="1.94"/>
    <n v="6"/>
    <x v="0"/>
  </r>
  <r>
    <n v="1517"/>
    <d v="2016-04-16T00:00:00"/>
    <x v="9"/>
    <s v="Female"/>
    <n v="179.7"/>
    <n v="63.3"/>
    <n v="11404"/>
    <n v="760.4"/>
    <n v="6.3"/>
    <n v="70"/>
    <x v="0"/>
    <n v="0"/>
    <n v="3.69"/>
    <n v="10"/>
    <x v="2"/>
  </r>
  <r>
    <n v="1098"/>
    <d v="2016-04-17T00:00:00"/>
    <x v="18"/>
    <s v="Female"/>
    <n v="167.2"/>
    <n v="51.5"/>
    <n v="1830"/>
    <n v="189"/>
    <n v="7.4"/>
    <n v="68"/>
    <x v="5"/>
    <n v="54"/>
    <n v="2.66"/>
    <n v="9"/>
    <x v="1"/>
  </r>
  <r>
    <n v="1891"/>
    <d v="2016-04-18T00:00:00"/>
    <x v="10"/>
    <s v="Male"/>
    <n v="190.5"/>
    <n v="97.8"/>
    <n v="9380"/>
    <n v="611.70000000000005"/>
    <n v="9.4"/>
    <n v="75"/>
    <x v="4"/>
    <n v="32"/>
    <n v="3.05"/>
    <n v="4"/>
    <x v="0"/>
  </r>
  <r>
    <n v="1744"/>
    <d v="2016-04-19T00:00:00"/>
    <x v="30"/>
    <s v="Female"/>
    <n v="166.5"/>
    <n v="90.6"/>
    <n v="1091"/>
    <n v="296.89999999999998"/>
    <n v="5.4"/>
    <n v="75"/>
    <x v="1"/>
    <n v="63"/>
    <n v="2.4700000000000002"/>
    <n v="2"/>
    <x v="1"/>
  </r>
  <r>
    <n v="1036"/>
    <d v="2016-04-20T00:00:00"/>
    <x v="16"/>
    <s v="Male"/>
    <n v="171.1"/>
    <n v="78.900000000000006"/>
    <n v="4877"/>
    <n v="417.7"/>
    <n v="6.1"/>
    <n v="70"/>
    <x v="1"/>
    <n v="65"/>
    <n v="1.65"/>
    <n v="8"/>
    <x v="1"/>
  </r>
  <r>
    <n v="1279"/>
    <d v="2016-04-21T00:00:00"/>
    <x v="10"/>
    <s v="Female"/>
    <n v="183"/>
    <n v="102.3"/>
    <n v="11103"/>
    <n v="576.6"/>
    <n v="6.2"/>
    <n v="73"/>
    <x v="4"/>
    <n v="87"/>
    <n v="2.97"/>
    <n v="6"/>
    <x v="2"/>
  </r>
  <r>
    <n v="1348"/>
    <d v="2016-04-22T00:00:00"/>
    <x v="21"/>
    <s v="Female"/>
    <n v="175.7"/>
    <n v="81.599999999999994"/>
    <n v="19720"/>
    <n v="900"/>
    <n v="4.5"/>
    <n v="56"/>
    <x v="0"/>
    <n v="0"/>
    <n v="3.38"/>
    <n v="10"/>
    <x v="0"/>
  </r>
  <r>
    <n v="1496"/>
    <d v="2016-04-23T00:00:00"/>
    <x v="9"/>
    <s v="Male"/>
    <n v="150"/>
    <n v="67.400000000000006"/>
    <n v="8676"/>
    <n v="568.5"/>
    <n v="6.6"/>
    <n v="65"/>
    <x v="2"/>
    <n v="20"/>
    <n v="2.72"/>
    <n v="1"/>
    <x v="2"/>
  </r>
  <r>
    <n v="1301"/>
    <d v="2016-04-24T00:00:00"/>
    <x v="7"/>
    <s v="Male"/>
    <n v="170.1"/>
    <n v="75.599999999999994"/>
    <n v="2580"/>
    <n v="312.10000000000002"/>
    <n v="8.6999999999999993"/>
    <n v="72"/>
    <x v="5"/>
    <n v="30"/>
    <n v="2.84"/>
    <n v="6"/>
    <x v="1"/>
  </r>
  <r>
    <n v="1180"/>
    <d v="2016-04-25T00:00:00"/>
    <x v="1"/>
    <s v="Male"/>
    <n v="178.6"/>
    <n v="90.4"/>
    <n v="16787"/>
    <n v="837.2"/>
    <n v="8.3000000000000007"/>
    <n v="92"/>
    <x v="3"/>
    <n v="69"/>
    <n v="1.64"/>
    <n v="2"/>
    <x v="0"/>
  </r>
  <r>
    <n v="1606"/>
    <d v="2016-04-26T00:00:00"/>
    <x v="29"/>
    <s v="Female"/>
    <n v="156.6"/>
    <n v="56.8"/>
    <n v="10600"/>
    <n v="583.6"/>
    <n v="8.8000000000000007"/>
    <n v="81"/>
    <x v="1"/>
    <n v="28"/>
    <n v="2.99"/>
    <n v="4"/>
    <x v="1"/>
  </r>
  <r>
    <n v="1098"/>
    <d v="2016-04-27T00:00:00"/>
    <x v="17"/>
    <s v="Male"/>
    <n v="177.5"/>
    <n v="52.4"/>
    <n v="16412"/>
    <n v="879.3"/>
    <n v="6"/>
    <n v="65"/>
    <x v="5"/>
    <n v="57"/>
    <n v="3.44"/>
    <n v="2"/>
    <x v="2"/>
  </r>
  <r>
    <n v="1699"/>
    <d v="2016-04-28T00:00:00"/>
    <x v="3"/>
    <s v="Female"/>
    <n v="173.9"/>
    <n v="76.099999999999994"/>
    <n v="1473"/>
    <n v="225.1"/>
    <n v="5.3"/>
    <n v="91"/>
    <x v="1"/>
    <n v="32"/>
    <n v="2.78"/>
    <n v="4"/>
    <x v="2"/>
  </r>
  <r>
    <n v="1992"/>
    <d v="2016-04-29T00:00:00"/>
    <x v="41"/>
    <s v="Male"/>
    <n v="181.8"/>
    <n v="61.2"/>
    <n v="12624"/>
    <n v="672.3"/>
    <n v="10"/>
    <n v="75"/>
    <x v="2"/>
    <n v="24"/>
    <n v="1.24"/>
    <n v="7"/>
    <x v="1"/>
  </r>
  <r>
    <n v="1115"/>
    <d v="2016-04-30T00:00:00"/>
    <x v="37"/>
    <s v="Female"/>
    <n v="163.1"/>
    <n v="45"/>
    <n v="17653"/>
    <n v="899.1"/>
    <n v="7.3"/>
    <n v="64"/>
    <x v="2"/>
    <n v="44"/>
    <n v="3.64"/>
    <n v="8"/>
    <x v="2"/>
  </r>
  <r>
    <n v="1190"/>
    <d v="2016-05-01T00:00:00"/>
    <x v="19"/>
    <s v="Female"/>
    <n v="180"/>
    <n v="51.4"/>
    <n v="18077"/>
    <n v="900"/>
    <n v="4.5999999999999996"/>
    <n v="74"/>
    <x v="4"/>
    <n v="29"/>
    <n v="1.84"/>
    <n v="3"/>
    <x v="2"/>
  </r>
  <r>
    <n v="1252"/>
    <d v="2016-05-02T00:00:00"/>
    <x v="14"/>
    <s v="Male"/>
    <n v="171.6"/>
    <n v="65.3"/>
    <n v="13663"/>
    <n v="798.5"/>
    <n v="10"/>
    <n v="85"/>
    <x v="4"/>
    <n v="24"/>
    <n v="2.77"/>
    <n v="1"/>
    <x v="1"/>
  </r>
  <r>
    <n v="1980"/>
    <d v="2016-05-03T00:00:00"/>
    <x v="31"/>
    <s v="Female"/>
    <n v="187.7"/>
    <n v="70.7"/>
    <n v="18799"/>
    <n v="892.2"/>
    <n v="6.9"/>
    <n v="64"/>
    <x v="1"/>
    <n v="41"/>
    <n v="3.17"/>
    <n v="10"/>
    <x v="0"/>
  </r>
  <r>
    <n v="1927"/>
    <d v="2016-05-04T00:00:00"/>
    <x v="20"/>
    <s v="Female"/>
    <n v="197.9"/>
    <n v="71.2"/>
    <n v="15517"/>
    <n v="755.9"/>
    <n v="3"/>
    <n v="65"/>
    <x v="1"/>
    <n v="61"/>
    <n v="3.26"/>
    <n v="1"/>
    <x v="0"/>
  </r>
  <r>
    <n v="1982"/>
    <d v="2016-05-05T00:00:00"/>
    <x v="25"/>
    <s v="Male"/>
    <n v="185.4"/>
    <n v="100.1"/>
    <n v="19467"/>
    <n v="900"/>
    <n v="9.1999999999999993"/>
    <n v="93"/>
    <x v="5"/>
    <n v="39"/>
    <n v="1.24"/>
    <n v="10"/>
    <x v="0"/>
  </r>
  <r>
    <n v="1160"/>
    <d v="2016-05-06T00:00:00"/>
    <x v="39"/>
    <s v="Female"/>
    <n v="174.8"/>
    <n v="66.900000000000006"/>
    <n v="18619"/>
    <n v="854.8"/>
    <n v="3.5"/>
    <n v="78"/>
    <x v="4"/>
    <n v="47"/>
    <n v="2.58"/>
    <n v="7"/>
    <x v="1"/>
  </r>
  <r>
    <n v="1255"/>
    <d v="2016-05-07T00:00:00"/>
    <x v="23"/>
    <s v="Male"/>
    <n v="193.2"/>
    <n v="74.2"/>
    <n v="4967"/>
    <n v="428"/>
    <n v="7.4"/>
    <n v="70"/>
    <x v="2"/>
    <n v="40"/>
    <n v="2.54"/>
    <n v="1"/>
    <x v="1"/>
  </r>
  <r>
    <n v="1322"/>
    <d v="2016-05-08T00:00:00"/>
    <x v="21"/>
    <s v="Male"/>
    <n v="176"/>
    <n v="45.6"/>
    <n v="14211"/>
    <n v="668.8"/>
    <n v="8.3000000000000007"/>
    <n v="74"/>
    <x v="0"/>
    <n v="0"/>
    <n v="3.51"/>
    <n v="3"/>
    <x v="2"/>
  </r>
  <r>
    <n v="1127"/>
    <d v="2016-05-09T00:00:00"/>
    <x v="36"/>
    <s v="Male"/>
    <n v="160.9"/>
    <n v="69.5"/>
    <n v="7634"/>
    <n v="540.70000000000005"/>
    <n v="8"/>
    <n v="78"/>
    <x v="5"/>
    <n v="88"/>
    <n v="2.82"/>
    <n v="5"/>
    <x v="0"/>
  </r>
  <r>
    <n v="1017"/>
    <d v="2016-05-10T00:00:00"/>
    <x v="36"/>
    <s v="Male"/>
    <n v="169.6"/>
    <n v="75"/>
    <n v="1840"/>
    <n v="329.1"/>
    <n v="9.3000000000000007"/>
    <n v="73"/>
    <x v="5"/>
    <n v="56"/>
    <n v="3.51"/>
    <n v="5"/>
    <x v="2"/>
  </r>
  <r>
    <n v="1792"/>
    <d v="2016-05-11T00:00:00"/>
    <x v="13"/>
    <s v="Female"/>
    <n v="177.6"/>
    <n v="49.4"/>
    <n v="2461"/>
    <n v="311.39999999999998"/>
    <n v="8.5"/>
    <n v="88"/>
    <x v="3"/>
    <n v="68"/>
    <n v="2.88"/>
    <n v="4"/>
    <x v="1"/>
  </r>
  <r>
    <n v="1734"/>
    <d v="2016-05-12T00:00:00"/>
    <x v="24"/>
    <s v="Female"/>
    <n v="178.3"/>
    <n v="56"/>
    <n v="16405"/>
    <n v="763.3"/>
    <n v="9.8000000000000007"/>
    <n v="76"/>
    <x v="0"/>
    <n v="0"/>
    <n v="2.4500000000000002"/>
    <n v="8"/>
    <x v="0"/>
  </r>
  <r>
    <n v="1565"/>
    <d v="2016-05-13T00:00:00"/>
    <x v="4"/>
    <s v="Female"/>
    <n v="158.69999999999999"/>
    <n v="77.3"/>
    <n v="16003"/>
    <n v="845.4"/>
    <n v="6.9"/>
    <n v="82"/>
    <x v="2"/>
    <n v="52"/>
    <n v="2.64"/>
    <n v="3"/>
    <x v="1"/>
  </r>
  <r>
    <n v="1569"/>
    <d v="2016-05-14T00:00:00"/>
    <x v="25"/>
    <s v="Male"/>
    <n v="159.1"/>
    <n v="61.8"/>
    <n v="4472"/>
    <n v="339"/>
    <n v="6.4"/>
    <n v="76"/>
    <x v="5"/>
    <n v="64"/>
    <n v="3.57"/>
    <n v="8"/>
    <x v="2"/>
  </r>
  <r>
    <n v="1322"/>
    <d v="2016-05-15T00:00:00"/>
    <x v="8"/>
    <s v="Female"/>
    <n v="166.6"/>
    <n v="68.5"/>
    <n v="16847"/>
    <n v="813.8"/>
    <n v="6.5"/>
    <n v="75"/>
    <x v="0"/>
    <n v="0"/>
    <n v="1.59"/>
    <n v="6"/>
    <x v="2"/>
  </r>
  <r>
    <n v="1871"/>
    <d v="2016-05-16T00:00:00"/>
    <x v="15"/>
    <s v="Female"/>
    <n v="175.3"/>
    <n v="78.099999999999994"/>
    <n v="7575"/>
    <n v="532"/>
    <n v="9.1"/>
    <n v="84"/>
    <x v="3"/>
    <n v="25"/>
    <n v="3.13"/>
    <n v="4"/>
    <x v="1"/>
  </r>
  <r>
    <n v="1685"/>
    <d v="2016-05-17T00:00:00"/>
    <x v="40"/>
    <s v="Male"/>
    <n v="176.6"/>
    <n v="100.6"/>
    <n v="5843"/>
    <n v="472.1"/>
    <n v="6"/>
    <n v="84"/>
    <x v="0"/>
    <n v="0"/>
    <n v="2.06"/>
    <n v="10"/>
    <x v="1"/>
  </r>
  <r>
    <n v="1791"/>
    <d v="2016-05-18T00:00:00"/>
    <x v="31"/>
    <s v="Male"/>
    <n v="171.4"/>
    <n v="66.7"/>
    <n v="8739"/>
    <n v="613.79999999999995"/>
    <n v="8.3000000000000007"/>
    <n v="59"/>
    <x v="4"/>
    <n v="34"/>
    <n v="1.91"/>
    <n v="3"/>
    <x v="0"/>
  </r>
  <r>
    <n v="1625"/>
    <d v="2016-05-19T00:00:00"/>
    <x v="3"/>
    <s v="Female"/>
    <n v="161.69999999999999"/>
    <n v="96.5"/>
    <n v="15852"/>
    <n v="819.8"/>
    <n v="5.7"/>
    <n v="75"/>
    <x v="2"/>
    <n v="28"/>
    <n v="3.22"/>
    <n v="10"/>
    <x v="1"/>
  </r>
  <r>
    <n v="1287"/>
    <d v="2016-05-20T00:00:00"/>
    <x v="33"/>
    <s v="Male"/>
    <n v="187.4"/>
    <n v="45"/>
    <n v="17324"/>
    <n v="900"/>
    <n v="5.7"/>
    <n v="95"/>
    <x v="4"/>
    <n v="80"/>
    <n v="1.88"/>
    <n v="10"/>
    <x v="2"/>
  </r>
  <r>
    <n v="1942"/>
    <d v="2016-05-21T00:00:00"/>
    <x v="14"/>
    <s v="Male"/>
    <n v="159.30000000000001"/>
    <n v="72.2"/>
    <n v="19893"/>
    <n v="900"/>
    <n v="8.8000000000000007"/>
    <n v="71"/>
    <x v="3"/>
    <n v="75"/>
    <n v="2.76"/>
    <n v="2"/>
    <x v="2"/>
  </r>
  <r>
    <n v="1853"/>
    <d v="2016-05-22T00:00:00"/>
    <x v="26"/>
    <s v="Male"/>
    <n v="183"/>
    <n v="65"/>
    <n v="10157"/>
    <n v="711"/>
    <n v="7.7"/>
    <n v="80"/>
    <x v="2"/>
    <n v="24"/>
    <n v="2.16"/>
    <n v="6"/>
    <x v="1"/>
  </r>
  <r>
    <n v="1662"/>
    <d v="2016-05-23T00:00:00"/>
    <x v="11"/>
    <s v="Male"/>
    <n v="177.4"/>
    <n v="62"/>
    <n v="19422"/>
    <n v="900"/>
    <n v="3.8"/>
    <n v="87"/>
    <x v="1"/>
    <n v="45"/>
    <n v="0.85"/>
    <n v="1"/>
    <x v="1"/>
  </r>
  <r>
    <n v="1961"/>
    <d v="2016-05-24T00:00:00"/>
    <x v="28"/>
    <s v="Female"/>
    <n v="182.8"/>
    <n v="79.900000000000006"/>
    <n v="15516"/>
    <n v="803.1"/>
    <n v="5.7"/>
    <n v="64"/>
    <x v="1"/>
    <n v="76"/>
    <n v="2.83"/>
    <n v="10"/>
    <x v="0"/>
  </r>
  <r>
    <n v="1638"/>
    <d v="2016-05-25T00:00:00"/>
    <x v="38"/>
    <s v="Male"/>
    <n v="165.6"/>
    <n v="66.8"/>
    <n v="13432"/>
    <n v="737.6"/>
    <n v="3.1"/>
    <n v="71"/>
    <x v="1"/>
    <n v="54"/>
    <n v="2.59"/>
    <n v="8"/>
    <x v="2"/>
  </r>
  <r>
    <n v="1154"/>
    <d v="2016-05-26T00:00:00"/>
    <x v="15"/>
    <s v="Male"/>
    <n v="168.6"/>
    <n v="45"/>
    <n v="19234"/>
    <n v="900"/>
    <n v="6.4"/>
    <n v="59"/>
    <x v="0"/>
    <n v="0"/>
    <n v="1.1599999999999999"/>
    <n v="5"/>
    <x v="2"/>
  </r>
  <r>
    <n v="1489"/>
    <d v="2016-05-27T00:00:00"/>
    <x v="36"/>
    <s v="Male"/>
    <n v="170.6"/>
    <n v="46.2"/>
    <n v="8432"/>
    <n v="572.6"/>
    <n v="6.6"/>
    <n v="76"/>
    <x v="5"/>
    <n v="40"/>
    <n v="2.0099999999999998"/>
    <n v="7"/>
    <x v="2"/>
  </r>
  <r>
    <n v="1385"/>
    <d v="2016-05-28T00:00:00"/>
    <x v="4"/>
    <s v="Male"/>
    <n v="165.2"/>
    <n v="80.8"/>
    <n v="19837"/>
    <n v="900"/>
    <n v="6.3"/>
    <n v="79"/>
    <x v="0"/>
    <n v="0"/>
    <n v="1.24"/>
    <n v="7"/>
    <x v="1"/>
  </r>
  <r>
    <n v="1985"/>
    <d v="2016-05-29T00:00:00"/>
    <x v="9"/>
    <s v="Male"/>
    <n v="172.3"/>
    <n v="45.4"/>
    <n v="16148"/>
    <n v="862"/>
    <n v="8.8000000000000007"/>
    <n v="81"/>
    <x v="0"/>
    <n v="0"/>
    <n v="3.01"/>
    <n v="10"/>
    <x v="2"/>
  </r>
  <r>
    <n v="1784"/>
    <d v="2016-05-30T00:00:00"/>
    <x v="9"/>
    <s v="Male"/>
    <n v="185.8"/>
    <n v="81.2"/>
    <n v="12194"/>
    <n v="704.1"/>
    <n v="7.6"/>
    <n v="91"/>
    <x v="0"/>
    <n v="0"/>
    <n v="3.47"/>
    <n v="6"/>
    <x v="1"/>
  </r>
  <r>
    <n v="1103"/>
    <d v="2016-05-31T00:00:00"/>
    <x v="7"/>
    <s v="Male"/>
    <n v="157"/>
    <n v="71.900000000000006"/>
    <n v="15819"/>
    <n v="851.9"/>
    <n v="10"/>
    <n v="76"/>
    <x v="0"/>
    <n v="0"/>
    <n v="3.09"/>
    <n v="5"/>
    <x v="0"/>
  </r>
  <r>
    <n v="1928"/>
    <d v="2016-06-01T00:00:00"/>
    <x v="15"/>
    <s v="Male"/>
    <n v="163.4"/>
    <n v="67.400000000000006"/>
    <n v="7625"/>
    <n v="453.9"/>
    <n v="7.8"/>
    <n v="63"/>
    <x v="1"/>
    <n v="42"/>
    <n v="3.19"/>
    <n v="2"/>
    <x v="1"/>
  </r>
  <r>
    <n v="1392"/>
    <d v="2016-06-02T00:00:00"/>
    <x v="9"/>
    <s v="Female"/>
    <n v="162.30000000000001"/>
    <n v="68.8"/>
    <n v="8404"/>
    <n v="548.5"/>
    <n v="7.8"/>
    <n v="66"/>
    <x v="5"/>
    <n v="58"/>
    <n v="2.14"/>
    <n v="3"/>
    <x v="0"/>
  </r>
  <r>
    <n v="1810"/>
    <d v="2016-06-03T00:00:00"/>
    <x v="27"/>
    <s v="Male"/>
    <n v="169.1"/>
    <n v="77.7"/>
    <n v="15674"/>
    <n v="900"/>
    <n v="7.4"/>
    <n v="67"/>
    <x v="5"/>
    <n v="41"/>
    <n v="2.88"/>
    <n v="3"/>
    <x v="0"/>
  </r>
  <r>
    <n v="1245"/>
    <d v="2016-06-04T00:00:00"/>
    <x v="3"/>
    <s v="Female"/>
    <n v="168.6"/>
    <n v="52.3"/>
    <n v="11507"/>
    <n v="637.4"/>
    <n v="6.6"/>
    <n v="77"/>
    <x v="3"/>
    <n v="74"/>
    <n v="2.4900000000000002"/>
    <n v="5"/>
    <x v="1"/>
  </r>
  <r>
    <n v="1175"/>
    <d v="2016-06-05T00:00:00"/>
    <x v="40"/>
    <s v="Male"/>
    <n v="177.7"/>
    <n v="70.599999999999994"/>
    <n v="19697"/>
    <n v="900"/>
    <n v="6"/>
    <n v="98"/>
    <x v="1"/>
    <n v="50"/>
    <n v="2.63"/>
    <n v="2"/>
    <x v="0"/>
  </r>
  <r>
    <n v="1038"/>
    <d v="2016-06-06T00:00:00"/>
    <x v="29"/>
    <s v="Male"/>
    <n v="170.3"/>
    <n v="52.9"/>
    <n v="5623"/>
    <n v="332.8"/>
    <n v="6.6"/>
    <n v="74"/>
    <x v="2"/>
    <n v="66"/>
    <n v="3.17"/>
    <n v="1"/>
    <x v="1"/>
  </r>
  <r>
    <n v="1476"/>
    <d v="2016-06-07T00:00:00"/>
    <x v="40"/>
    <s v="Male"/>
    <n v="173"/>
    <n v="72.5"/>
    <n v="8015"/>
    <n v="533.20000000000005"/>
    <n v="6.7"/>
    <n v="89"/>
    <x v="0"/>
    <n v="0"/>
    <n v="3.32"/>
    <n v="4"/>
    <x v="2"/>
  </r>
  <r>
    <n v="1681"/>
    <d v="2016-06-08T00:00:00"/>
    <x v="16"/>
    <s v="Male"/>
    <n v="174"/>
    <n v="79.7"/>
    <n v="16261"/>
    <n v="861.3"/>
    <n v="6.9"/>
    <n v="74"/>
    <x v="5"/>
    <n v="67"/>
    <n v="2.23"/>
    <n v="10"/>
    <x v="1"/>
  </r>
  <r>
    <n v="1758"/>
    <d v="2016-06-09T00:00:00"/>
    <x v="19"/>
    <s v="Female"/>
    <n v="172.5"/>
    <n v="72.5"/>
    <n v="8782"/>
    <n v="557.1"/>
    <n v="8"/>
    <n v="63"/>
    <x v="3"/>
    <n v="58"/>
    <n v="1.51"/>
    <n v="3"/>
    <x v="0"/>
  </r>
  <r>
    <n v="1537"/>
    <d v="2016-06-10T00:00:00"/>
    <x v="22"/>
    <s v="Male"/>
    <n v="177"/>
    <n v="79.099999999999994"/>
    <n v="6214"/>
    <n v="485.1"/>
    <n v="7.5"/>
    <n v="67"/>
    <x v="5"/>
    <n v="40"/>
    <n v="2.37"/>
    <n v="3"/>
    <x v="0"/>
  </r>
  <r>
    <n v="1866"/>
    <d v="2016-06-11T00:00:00"/>
    <x v="25"/>
    <s v="Male"/>
    <n v="168.8"/>
    <n v="59.5"/>
    <n v="7938"/>
    <n v="503.6"/>
    <n v="6.2"/>
    <n v="68"/>
    <x v="2"/>
    <n v="34"/>
    <n v="2.35"/>
    <n v="10"/>
    <x v="2"/>
  </r>
  <r>
    <n v="1817"/>
    <d v="2016-06-12T00:00:00"/>
    <x v="38"/>
    <s v="Female"/>
    <n v="186.5"/>
    <n v="69.099999999999994"/>
    <n v="3988"/>
    <n v="418.3"/>
    <n v="5.9"/>
    <n v="74"/>
    <x v="2"/>
    <n v="64"/>
    <n v="2.7"/>
    <n v="6"/>
    <x v="1"/>
  </r>
  <r>
    <n v="1920"/>
    <d v="2016-06-13T00:00:00"/>
    <x v="28"/>
    <s v="Female"/>
    <n v="195.4"/>
    <n v="66.400000000000006"/>
    <n v="6156"/>
    <n v="402.1"/>
    <n v="7.3"/>
    <n v="79"/>
    <x v="1"/>
    <n v="38"/>
    <n v="3.08"/>
    <n v="9"/>
    <x v="2"/>
  </r>
  <r>
    <n v="1407"/>
    <d v="2016-06-14T00:00:00"/>
    <x v="19"/>
    <s v="Male"/>
    <n v="177.1"/>
    <n v="65.400000000000006"/>
    <n v="6512"/>
    <n v="532.6"/>
    <n v="5.6"/>
    <n v="68"/>
    <x v="5"/>
    <n v="72"/>
    <n v="1.1599999999999999"/>
    <n v="10"/>
    <x v="0"/>
  </r>
  <r>
    <n v="1524"/>
    <d v="2016-06-15T00:00:00"/>
    <x v="9"/>
    <s v="Female"/>
    <n v="172.3"/>
    <n v="58"/>
    <n v="10788"/>
    <n v="642.20000000000005"/>
    <n v="6.4"/>
    <n v="83"/>
    <x v="2"/>
    <n v="74"/>
    <n v="2.0299999999999998"/>
    <n v="10"/>
    <x v="1"/>
  </r>
  <r>
    <n v="1827"/>
    <d v="2016-06-16T00:00:00"/>
    <x v="40"/>
    <s v="Female"/>
    <n v="176.2"/>
    <n v="63.5"/>
    <n v="15185"/>
    <n v="803.8"/>
    <n v="6.2"/>
    <n v="85"/>
    <x v="4"/>
    <n v="68"/>
    <n v="1.83"/>
    <n v="2"/>
    <x v="0"/>
  </r>
  <r>
    <n v="1505"/>
    <d v="2016-06-17T00:00:00"/>
    <x v="41"/>
    <s v="Female"/>
    <n v="159"/>
    <n v="53.3"/>
    <n v="19734"/>
    <n v="900"/>
    <n v="10"/>
    <n v="72"/>
    <x v="2"/>
    <n v="80"/>
    <n v="3.38"/>
    <n v="5"/>
    <x v="1"/>
  </r>
  <r>
    <n v="1902"/>
    <d v="2016-06-18T00:00:00"/>
    <x v="28"/>
    <s v="Male"/>
    <n v="171.8"/>
    <n v="45"/>
    <n v="10971"/>
    <n v="583.4"/>
    <n v="5.0999999999999996"/>
    <n v="84"/>
    <x v="2"/>
    <n v="79"/>
    <n v="2.35"/>
    <n v="2"/>
    <x v="2"/>
  </r>
  <r>
    <n v="1824"/>
    <d v="2016-06-19T00:00:00"/>
    <x v="0"/>
    <s v="Male"/>
    <n v="162.69999999999999"/>
    <n v="59.5"/>
    <n v="11640"/>
    <n v="683.1"/>
    <n v="5.8"/>
    <n v="56"/>
    <x v="5"/>
    <n v="43"/>
    <n v="2.14"/>
    <n v="6"/>
    <x v="2"/>
  </r>
  <r>
    <n v="1035"/>
    <d v="2016-06-20T00:00:00"/>
    <x v="3"/>
    <s v="Male"/>
    <n v="175.1"/>
    <n v="79.400000000000006"/>
    <n v="7487"/>
    <n v="463.6"/>
    <n v="6.2"/>
    <n v="51"/>
    <x v="0"/>
    <n v="0"/>
    <n v="2.88"/>
    <n v="1"/>
    <x v="0"/>
  </r>
  <r>
    <n v="1684"/>
    <d v="2016-06-21T00:00:00"/>
    <x v="16"/>
    <s v="Female"/>
    <n v="162.69999999999999"/>
    <n v="73.5"/>
    <n v="14688"/>
    <n v="837.3"/>
    <n v="6.3"/>
    <n v="83"/>
    <x v="2"/>
    <n v="80"/>
    <n v="2.08"/>
    <n v="1"/>
    <x v="2"/>
  </r>
  <r>
    <n v="1019"/>
    <d v="2016-06-22T00:00:00"/>
    <x v="0"/>
    <s v="Male"/>
    <n v="166.6"/>
    <n v="51.2"/>
    <n v="13452"/>
    <n v="752.5"/>
    <n v="8.5"/>
    <n v="71"/>
    <x v="3"/>
    <n v="42"/>
    <n v="2.4900000000000002"/>
    <n v="9"/>
    <x v="2"/>
  </r>
  <r>
    <n v="1320"/>
    <d v="2016-06-23T00:00:00"/>
    <x v="23"/>
    <s v="Female"/>
    <n v="151.30000000000001"/>
    <n v="63.9"/>
    <n v="16372"/>
    <n v="783.6"/>
    <n v="6.6"/>
    <n v="97"/>
    <x v="0"/>
    <n v="0"/>
    <n v="3.77"/>
    <n v="10"/>
    <x v="0"/>
  </r>
  <r>
    <n v="1775"/>
    <d v="2016-06-24T00:00:00"/>
    <x v="26"/>
    <s v="Male"/>
    <n v="158.30000000000001"/>
    <n v="80.400000000000006"/>
    <n v="12999"/>
    <n v="758"/>
    <n v="5"/>
    <n v="74"/>
    <x v="2"/>
    <n v="30"/>
    <n v="3.75"/>
    <n v="5"/>
    <x v="0"/>
  </r>
  <r>
    <n v="1511"/>
    <d v="2016-06-25T00:00:00"/>
    <x v="11"/>
    <s v="Male"/>
    <n v="173.5"/>
    <n v="63.3"/>
    <n v="14434"/>
    <n v="769.2"/>
    <n v="9.1"/>
    <n v="65"/>
    <x v="4"/>
    <n v="61"/>
    <n v="2.21"/>
    <n v="9"/>
    <x v="0"/>
  </r>
  <r>
    <n v="1399"/>
    <d v="2016-06-26T00:00:00"/>
    <x v="37"/>
    <s v="Female"/>
    <n v="161.30000000000001"/>
    <n v="48.7"/>
    <n v="13416"/>
    <n v="734.4"/>
    <n v="7.4"/>
    <n v="92"/>
    <x v="2"/>
    <n v="44"/>
    <n v="2.37"/>
    <n v="8"/>
    <x v="1"/>
  </r>
  <r>
    <n v="1653"/>
    <d v="2016-06-27T00:00:00"/>
    <x v="38"/>
    <s v="Male"/>
    <n v="180.6"/>
    <n v="103.9"/>
    <n v="14945"/>
    <n v="850"/>
    <n v="7.6"/>
    <n v="82"/>
    <x v="1"/>
    <n v="53"/>
    <n v="2.0699999999999998"/>
    <n v="9"/>
    <x v="0"/>
  </r>
  <r>
    <n v="1971"/>
    <d v="2016-06-28T00:00:00"/>
    <x v="38"/>
    <s v="Female"/>
    <n v="160.5"/>
    <n v="67.5"/>
    <n v="2017"/>
    <n v="211"/>
    <n v="8"/>
    <n v="90"/>
    <x v="5"/>
    <n v="41"/>
    <n v="1.1499999999999999"/>
    <n v="9"/>
    <x v="1"/>
  </r>
  <r>
    <n v="1882"/>
    <d v="2016-06-29T00:00:00"/>
    <x v="38"/>
    <s v="Female"/>
    <n v="174.5"/>
    <n v="52.5"/>
    <n v="5690"/>
    <n v="371.4"/>
    <n v="5.2"/>
    <n v="69"/>
    <x v="4"/>
    <n v="21"/>
    <n v="3.23"/>
    <n v="8"/>
    <x v="0"/>
  </r>
  <r>
    <n v="1470"/>
    <d v="2016-06-30T00:00:00"/>
    <x v="10"/>
    <s v="Male"/>
    <n v="162.4"/>
    <n v="72.599999999999994"/>
    <n v="9373"/>
    <n v="591.20000000000005"/>
    <n v="7"/>
    <n v="79"/>
    <x v="3"/>
    <n v="70"/>
    <n v="4.1900000000000004"/>
    <n v="3"/>
    <x v="1"/>
  </r>
  <r>
    <n v="1142"/>
    <d v="2016-07-01T00:00:00"/>
    <x v="20"/>
    <s v="Female"/>
    <n v="173.9"/>
    <n v="68.7"/>
    <n v="15378"/>
    <n v="730.2"/>
    <n v="8.1999999999999993"/>
    <n v="66"/>
    <x v="2"/>
    <n v="35"/>
    <n v="2.19"/>
    <n v="7"/>
    <x v="0"/>
  </r>
  <r>
    <n v="1091"/>
    <d v="2016-07-02T00:00:00"/>
    <x v="25"/>
    <s v="Male"/>
    <n v="154.69999999999999"/>
    <n v="46.9"/>
    <n v="19835"/>
    <n v="900"/>
    <n v="6"/>
    <n v="58"/>
    <x v="2"/>
    <n v="30"/>
    <n v="1.93"/>
    <n v="4"/>
    <x v="1"/>
  </r>
  <r>
    <n v="1353"/>
    <d v="2016-07-03T00:00:00"/>
    <x v="36"/>
    <s v="Male"/>
    <n v="165.5"/>
    <n v="71.400000000000006"/>
    <n v="19336"/>
    <n v="900"/>
    <n v="7.5"/>
    <n v="82"/>
    <x v="3"/>
    <n v="88"/>
    <n v="2.31"/>
    <n v="8"/>
    <x v="2"/>
  </r>
  <r>
    <n v="1833"/>
    <d v="2016-07-04T00:00:00"/>
    <x v="38"/>
    <s v="Female"/>
    <n v="161.5"/>
    <n v="84.8"/>
    <n v="5700"/>
    <n v="422.6"/>
    <n v="7.8"/>
    <n v="70"/>
    <x v="2"/>
    <n v="81"/>
    <n v="2.56"/>
    <n v="7"/>
    <x v="0"/>
  </r>
  <r>
    <n v="1799"/>
    <d v="2016-07-05T00:00:00"/>
    <x v="35"/>
    <s v="Male"/>
    <n v="178.8"/>
    <n v="66.5"/>
    <n v="14901"/>
    <n v="727.3"/>
    <n v="4.8"/>
    <n v="65"/>
    <x v="1"/>
    <n v="38"/>
    <n v="1.71"/>
    <n v="9"/>
    <x v="0"/>
  </r>
  <r>
    <n v="1726"/>
    <d v="2016-07-06T00:00:00"/>
    <x v="7"/>
    <s v="Female"/>
    <n v="174.6"/>
    <n v="45"/>
    <n v="1660"/>
    <n v="275.89999999999998"/>
    <n v="5.5"/>
    <n v="61"/>
    <x v="0"/>
    <n v="0"/>
    <n v="2.1800000000000002"/>
    <n v="8"/>
    <x v="1"/>
  </r>
  <r>
    <n v="1958"/>
    <d v="2016-07-07T00:00:00"/>
    <x v="0"/>
    <s v="Male"/>
    <n v="157.69999999999999"/>
    <n v="75.099999999999994"/>
    <n v="18699"/>
    <n v="900"/>
    <n v="3.6"/>
    <n v="77"/>
    <x v="0"/>
    <n v="0"/>
    <n v="3.21"/>
    <n v="3"/>
    <x v="2"/>
  </r>
  <r>
    <n v="1853"/>
    <d v="2016-07-08T00:00:00"/>
    <x v="31"/>
    <s v="Male"/>
    <n v="168"/>
    <n v="79"/>
    <n v="8381"/>
    <n v="500.1"/>
    <n v="7.3"/>
    <n v="76"/>
    <x v="4"/>
    <n v="42"/>
    <n v="2.59"/>
    <n v="5"/>
    <x v="2"/>
  </r>
  <r>
    <n v="1050"/>
    <d v="2016-07-09T00:00:00"/>
    <x v="38"/>
    <s v="Male"/>
    <n v="162.30000000000001"/>
    <n v="61.2"/>
    <n v="3919"/>
    <n v="534.6"/>
    <n v="9.8000000000000007"/>
    <n v="70"/>
    <x v="2"/>
    <n v="79"/>
    <n v="3.39"/>
    <n v="3"/>
    <x v="1"/>
  </r>
  <r>
    <n v="1664"/>
    <d v="2016-07-10T00:00:00"/>
    <x v="18"/>
    <s v="Male"/>
    <n v="179.5"/>
    <n v="61.3"/>
    <n v="19456"/>
    <n v="900"/>
    <n v="6"/>
    <n v="68"/>
    <x v="3"/>
    <n v="37"/>
    <n v="2.76"/>
    <n v="9"/>
    <x v="0"/>
  </r>
  <r>
    <n v="1697"/>
    <d v="2016-07-11T00:00:00"/>
    <x v="36"/>
    <s v="Male"/>
    <n v="182.7"/>
    <n v="103.9"/>
    <n v="19403"/>
    <n v="900"/>
    <n v="6.7"/>
    <n v="83"/>
    <x v="3"/>
    <n v="74"/>
    <n v="1.74"/>
    <n v="1"/>
    <x v="2"/>
  </r>
  <r>
    <n v="1574"/>
    <d v="2016-07-12T00:00:00"/>
    <x v="14"/>
    <s v="Female"/>
    <n v="155.6"/>
    <n v="60.1"/>
    <n v="11932"/>
    <n v="722.2"/>
    <n v="8.5"/>
    <n v="50"/>
    <x v="4"/>
    <n v="37"/>
    <n v="2.1"/>
    <n v="7"/>
    <x v="0"/>
  </r>
  <r>
    <n v="1189"/>
    <d v="2016-07-13T00:00:00"/>
    <x v="16"/>
    <s v="Female"/>
    <n v="178.3"/>
    <n v="53.2"/>
    <n v="1815"/>
    <n v="258.10000000000002"/>
    <n v="7.4"/>
    <n v="81"/>
    <x v="1"/>
    <n v="46"/>
    <n v="2.67"/>
    <n v="9"/>
    <x v="1"/>
  </r>
  <r>
    <n v="1124"/>
    <d v="2016-07-14T00:00:00"/>
    <x v="12"/>
    <s v="Female"/>
    <n v="161.80000000000001"/>
    <n v="70.400000000000006"/>
    <n v="15510"/>
    <n v="794.5"/>
    <n v="5.5"/>
    <n v="80"/>
    <x v="4"/>
    <n v="20"/>
    <n v="1.71"/>
    <n v="3"/>
    <x v="0"/>
  </r>
  <r>
    <n v="1149"/>
    <d v="2016-07-15T00:00:00"/>
    <x v="2"/>
    <s v="Female"/>
    <n v="167.5"/>
    <n v="78.599999999999994"/>
    <n v="13289"/>
    <n v="746.5"/>
    <n v="9.3000000000000007"/>
    <n v="63"/>
    <x v="2"/>
    <n v="33"/>
    <n v="1.62"/>
    <n v="7"/>
    <x v="2"/>
  </r>
  <r>
    <n v="1313"/>
    <d v="2016-07-16T00:00:00"/>
    <x v="21"/>
    <s v="Female"/>
    <n v="170.3"/>
    <n v="78"/>
    <n v="5734"/>
    <n v="454.8"/>
    <n v="7.3"/>
    <n v="56"/>
    <x v="0"/>
    <n v="0"/>
    <n v="1.67"/>
    <n v="7"/>
    <x v="1"/>
  </r>
  <r>
    <n v="1569"/>
    <d v="2016-07-17T00:00:00"/>
    <x v="18"/>
    <s v="Female"/>
    <n v="188.2"/>
    <n v="45"/>
    <n v="3753"/>
    <n v="396.4"/>
    <n v="6.7"/>
    <n v="81"/>
    <x v="1"/>
    <n v="52"/>
    <n v="2.86"/>
    <n v="2"/>
    <x v="2"/>
  </r>
  <r>
    <n v="1341"/>
    <d v="2016-07-18T00:00:00"/>
    <x v="37"/>
    <s v="Male"/>
    <n v="160"/>
    <n v="60.1"/>
    <n v="7505"/>
    <n v="571.4"/>
    <n v="6.8"/>
    <n v="63"/>
    <x v="1"/>
    <n v="55"/>
    <n v="2.2400000000000002"/>
    <n v="5"/>
    <x v="0"/>
  </r>
  <r>
    <n v="1304"/>
    <d v="2016-07-19T00:00:00"/>
    <x v="18"/>
    <s v="Male"/>
    <n v="178.3"/>
    <n v="87.3"/>
    <n v="12559"/>
    <n v="761.7"/>
    <n v="7.9"/>
    <n v="91"/>
    <x v="3"/>
    <n v="58"/>
    <n v="3.33"/>
    <n v="10"/>
    <x v="0"/>
  </r>
  <r>
    <n v="1691"/>
    <d v="2016-07-20T00:00:00"/>
    <x v="30"/>
    <s v="Female"/>
    <n v="158.30000000000001"/>
    <n v="74.900000000000006"/>
    <n v="15905"/>
    <n v="879"/>
    <n v="6.1"/>
    <n v="96"/>
    <x v="1"/>
    <n v="64"/>
    <n v="1.87"/>
    <n v="7"/>
    <x v="1"/>
  </r>
  <r>
    <n v="1681"/>
    <d v="2016-07-21T00:00:00"/>
    <x v="5"/>
    <s v="Female"/>
    <n v="157.6"/>
    <n v="51.5"/>
    <n v="5685"/>
    <n v="475.4"/>
    <n v="9.4"/>
    <n v="79"/>
    <x v="2"/>
    <n v="44"/>
    <n v="0.78"/>
    <n v="2"/>
    <x v="2"/>
  </r>
  <r>
    <n v="1837"/>
    <d v="2016-07-22T00:00:00"/>
    <x v="0"/>
    <s v="Male"/>
    <n v="170.3"/>
    <n v="88.6"/>
    <n v="17585"/>
    <n v="900"/>
    <n v="8.9"/>
    <n v="74"/>
    <x v="2"/>
    <n v="34"/>
    <n v="2.41"/>
    <n v="10"/>
    <x v="2"/>
  </r>
  <r>
    <n v="1782"/>
    <d v="2016-07-23T00:00:00"/>
    <x v="3"/>
    <s v="Male"/>
    <n v="170.2"/>
    <n v="84.5"/>
    <n v="18388"/>
    <n v="900"/>
    <n v="7"/>
    <n v="73"/>
    <x v="2"/>
    <n v="39"/>
    <n v="3.65"/>
    <n v="10"/>
    <x v="2"/>
  </r>
  <r>
    <n v="1053"/>
    <d v="2016-07-24T00:00:00"/>
    <x v="16"/>
    <s v="Male"/>
    <n v="150"/>
    <n v="65.599999999999994"/>
    <n v="18696"/>
    <n v="868.6"/>
    <n v="7.1"/>
    <n v="58"/>
    <x v="0"/>
    <n v="0"/>
    <n v="2.52"/>
    <n v="2"/>
    <x v="1"/>
  </r>
  <r>
    <n v="1443"/>
    <d v="2016-07-25T00:00:00"/>
    <x v="25"/>
    <s v="Female"/>
    <n v="181.6"/>
    <n v="83.2"/>
    <n v="19409"/>
    <n v="900"/>
    <n v="5.7"/>
    <n v="72"/>
    <x v="5"/>
    <n v="77"/>
    <n v="1.54"/>
    <n v="6"/>
    <x v="0"/>
  </r>
  <r>
    <n v="1612"/>
    <d v="2016-07-26T00:00:00"/>
    <x v="38"/>
    <s v="Female"/>
    <n v="150"/>
    <n v="100"/>
    <n v="12765"/>
    <n v="779.4"/>
    <n v="6"/>
    <n v="70"/>
    <x v="1"/>
    <n v="79"/>
    <n v="1.36"/>
    <n v="2"/>
    <x v="0"/>
  </r>
  <r>
    <n v="1992"/>
    <d v="2016-07-27T00:00:00"/>
    <x v="21"/>
    <s v="Female"/>
    <n v="168.5"/>
    <n v="54.2"/>
    <n v="5221"/>
    <n v="368.7"/>
    <n v="5.3"/>
    <n v="69"/>
    <x v="1"/>
    <n v="49"/>
    <n v="3.34"/>
    <n v="10"/>
    <x v="0"/>
  </r>
  <r>
    <n v="1263"/>
    <d v="2016-07-28T00:00:00"/>
    <x v="27"/>
    <s v="Male"/>
    <n v="183.3"/>
    <n v="78.3"/>
    <n v="16327"/>
    <n v="833.5"/>
    <n v="6.7"/>
    <n v="79"/>
    <x v="2"/>
    <n v="32"/>
    <n v="1.93"/>
    <n v="1"/>
    <x v="2"/>
  </r>
  <r>
    <n v="1052"/>
    <d v="2016-07-29T00:00:00"/>
    <x v="9"/>
    <s v="Male"/>
    <n v="192.1"/>
    <n v="99.8"/>
    <n v="4671"/>
    <n v="383.8"/>
    <n v="7.1"/>
    <n v="76"/>
    <x v="3"/>
    <n v="86"/>
    <n v="3.58"/>
    <n v="3"/>
    <x v="1"/>
  </r>
  <r>
    <n v="1571"/>
    <d v="2016-07-30T00:00:00"/>
    <x v="6"/>
    <s v="Female"/>
    <n v="166.4"/>
    <n v="79.8"/>
    <n v="5941"/>
    <n v="447.1"/>
    <n v="4.5999999999999996"/>
    <n v="83"/>
    <x v="0"/>
    <n v="0"/>
    <n v="2.96"/>
    <n v="1"/>
    <x v="2"/>
  </r>
  <r>
    <n v="1619"/>
    <d v="2016-07-31T00:00:00"/>
    <x v="9"/>
    <s v="Female"/>
    <n v="155.69999999999999"/>
    <n v="58.7"/>
    <n v="13466"/>
    <n v="710.9"/>
    <n v="8"/>
    <n v="71"/>
    <x v="1"/>
    <n v="59"/>
    <n v="1.96"/>
    <n v="6"/>
    <x v="1"/>
  </r>
  <r>
    <n v="1004"/>
    <d v="2016-08-01T00:00:00"/>
    <x v="26"/>
    <s v="Male"/>
    <n v="182.9"/>
    <n v="73.599999999999994"/>
    <n v="18988"/>
    <n v="900"/>
    <n v="5.7"/>
    <n v="81"/>
    <x v="5"/>
    <n v="57"/>
    <n v="3.32"/>
    <n v="4"/>
    <x v="2"/>
  </r>
  <r>
    <n v="1102"/>
    <d v="2016-08-02T00:00:00"/>
    <x v="13"/>
    <s v="Male"/>
    <n v="178.7"/>
    <n v="90.5"/>
    <n v="19286"/>
    <n v="900"/>
    <n v="7.6"/>
    <n v="75"/>
    <x v="1"/>
    <n v="66"/>
    <n v="1.85"/>
    <n v="2"/>
    <x v="1"/>
  </r>
  <r>
    <n v="1195"/>
    <d v="2016-08-03T00:00:00"/>
    <x v="23"/>
    <s v="Male"/>
    <n v="165.1"/>
    <n v="54.8"/>
    <n v="13191"/>
    <n v="627.1"/>
    <n v="8.1999999999999993"/>
    <n v="81"/>
    <x v="4"/>
    <n v="48"/>
    <n v="1.49"/>
    <n v="7"/>
    <x v="2"/>
  </r>
  <r>
    <n v="1773"/>
    <d v="2016-08-04T00:00:00"/>
    <x v="26"/>
    <s v="Male"/>
    <n v="163.80000000000001"/>
    <n v="69.5"/>
    <n v="5588"/>
    <n v="427.3"/>
    <n v="9"/>
    <n v="74"/>
    <x v="5"/>
    <n v="53"/>
    <n v="1.89"/>
    <n v="7"/>
    <x v="2"/>
  </r>
  <r>
    <n v="1876"/>
    <d v="2016-08-05T00:00:00"/>
    <x v="37"/>
    <s v="Female"/>
    <n v="162.80000000000001"/>
    <n v="66.3"/>
    <n v="11811"/>
    <n v="653.29999999999995"/>
    <n v="8.6"/>
    <n v="93"/>
    <x v="3"/>
    <n v="30"/>
    <n v="3.04"/>
    <n v="8"/>
    <x v="1"/>
  </r>
  <r>
    <n v="1991"/>
    <d v="2016-08-06T00:00:00"/>
    <x v="8"/>
    <s v="Male"/>
    <n v="166.6"/>
    <n v="60.5"/>
    <n v="19733"/>
    <n v="900"/>
    <n v="9.5"/>
    <n v="51"/>
    <x v="5"/>
    <n v="39"/>
    <n v="3.3"/>
    <n v="7"/>
    <x v="0"/>
  </r>
  <r>
    <n v="1883"/>
    <d v="2016-08-07T00:00:00"/>
    <x v="22"/>
    <s v="Male"/>
    <n v="173.2"/>
    <n v="73.599999999999994"/>
    <n v="8928"/>
    <n v="585.29999999999995"/>
    <n v="8.1999999999999993"/>
    <n v="81"/>
    <x v="5"/>
    <n v="39"/>
    <n v="2.2200000000000002"/>
    <n v="1"/>
    <x v="0"/>
  </r>
  <r>
    <n v="1349"/>
    <d v="2016-08-08T00:00:00"/>
    <x v="37"/>
    <s v="Male"/>
    <n v="164.3"/>
    <n v="68.5"/>
    <n v="16325"/>
    <n v="868.6"/>
    <n v="7.3"/>
    <n v="84"/>
    <x v="1"/>
    <n v="75"/>
    <n v="1.19"/>
    <n v="3"/>
    <x v="1"/>
  </r>
  <r>
    <n v="1046"/>
    <d v="2016-08-09T00:00:00"/>
    <x v="8"/>
    <s v="Female"/>
    <n v="165.6"/>
    <n v="79.7"/>
    <n v="8120"/>
    <n v="533"/>
    <n v="6.3"/>
    <n v="62"/>
    <x v="5"/>
    <n v="42"/>
    <n v="1.41"/>
    <n v="1"/>
    <x v="1"/>
  </r>
  <r>
    <n v="1866"/>
    <d v="2016-08-10T00:00:00"/>
    <x v="33"/>
    <s v="Female"/>
    <n v="176.4"/>
    <n v="87.1"/>
    <n v="15274"/>
    <n v="841.5"/>
    <n v="6.8"/>
    <n v="93"/>
    <x v="2"/>
    <n v="44"/>
    <n v="1.75"/>
    <n v="2"/>
    <x v="0"/>
  </r>
  <r>
    <n v="1822"/>
    <d v="2016-08-11T00:00:00"/>
    <x v="13"/>
    <s v="Male"/>
    <n v="155.19999999999999"/>
    <n v="50.9"/>
    <n v="5719"/>
    <n v="444.8"/>
    <n v="9.4"/>
    <n v="75"/>
    <x v="0"/>
    <n v="0"/>
    <n v="1.59"/>
    <n v="1"/>
    <x v="2"/>
  </r>
  <r>
    <n v="1935"/>
    <d v="2016-08-12T00:00:00"/>
    <x v="16"/>
    <s v="Male"/>
    <n v="166.2"/>
    <n v="71"/>
    <n v="9081"/>
    <n v="526.29999999999995"/>
    <n v="6.7"/>
    <n v="74"/>
    <x v="5"/>
    <n v="50"/>
    <n v="2.69"/>
    <n v="9"/>
    <x v="0"/>
  </r>
  <r>
    <n v="1819"/>
    <d v="2016-08-13T00:00:00"/>
    <x v="17"/>
    <s v="Male"/>
    <n v="153.19999999999999"/>
    <n v="69.2"/>
    <n v="15550"/>
    <n v="858.1"/>
    <n v="7"/>
    <n v="79"/>
    <x v="1"/>
    <n v="20"/>
    <n v="3.86"/>
    <n v="7"/>
    <x v="1"/>
  </r>
  <r>
    <n v="1655"/>
    <d v="2016-08-14T00:00:00"/>
    <x v="40"/>
    <s v="Female"/>
    <n v="171.1"/>
    <n v="73.099999999999994"/>
    <n v="17354"/>
    <n v="900"/>
    <n v="9.1999999999999993"/>
    <n v="84"/>
    <x v="2"/>
    <n v="73"/>
    <n v="3.06"/>
    <n v="9"/>
    <x v="2"/>
  </r>
  <r>
    <n v="1268"/>
    <d v="2016-08-15T00:00:00"/>
    <x v="7"/>
    <s v="Female"/>
    <n v="150.6"/>
    <n v="69.8"/>
    <n v="11864"/>
    <n v="620.29999999999995"/>
    <n v="6.7"/>
    <n v="76"/>
    <x v="3"/>
    <n v="35"/>
    <n v="1.71"/>
    <n v="8"/>
    <x v="1"/>
  </r>
  <r>
    <n v="1369"/>
    <d v="2016-08-16T00:00:00"/>
    <x v="14"/>
    <s v="Female"/>
    <n v="178.9"/>
    <n v="55.3"/>
    <n v="17931"/>
    <n v="900"/>
    <n v="5.8"/>
    <n v="76"/>
    <x v="4"/>
    <n v="78"/>
    <n v="2.0099999999999998"/>
    <n v="10"/>
    <x v="0"/>
  </r>
  <r>
    <n v="1635"/>
    <d v="2016-08-17T00:00:00"/>
    <x v="15"/>
    <s v="Male"/>
    <n v="156.9"/>
    <n v="91.8"/>
    <n v="13624"/>
    <n v="730.8"/>
    <n v="8.6999999999999993"/>
    <n v="83"/>
    <x v="5"/>
    <n v="85"/>
    <n v="2.15"/>
    <n v="2"/>
    <x v="2"/>
  </r>
  <r>
    <n v="1105"/>
    <d v="2016-08-18T00:00:00"/>
    <x v="36"/>
    <s v="Female"/>
    <n v="152.30000000000001"/>
    <n v="98.2"/>
    <n v="4361"/>
    <n v="405.1"/>
    <n v="5.8"/>
    <n v="85"/>
    <x v="2"/>
    <n v="22"/>
    <n v="2.77"/>
    <n v="1"/>
    <x v="0"/>
  </r>
  <r>
    <n v="1669"/>
    <d v="2016-08-19T00:00:00"/>
    <x v="14"/>
    <s v="Male"/>
    <n v="166.4"/>
    <n v="78.2"/>
    <n v="14707"/>
    <n v="795.9"/>
    <n v="7.6"/>
    <n v="78"/>
    <x v="2"/>
    <n v="34"/>
    <n v="3.6"/>
    <n v="5"/>
    <x v="0"/>
  </r>
  <r>
    <n v="1658"/>
    <d v="2016-08-20T00:00:00"/>
    <x v="40"/>
    <s v="Male"/>
    <n v="187.1"/>
    <n v="79"/>
    <n v="2924"/>
    <n v="308.39999999999998"/>
    <n v="7.3"/>
    <n v="60"/>
    <x v="3"/>
    <n v="51"/>
    <n v="2.17"/>
    <n v="7"/>
    <x v="0"/>
  </r>
  <r>
    <n v="1656"/>
    <d v="2016-08-21T00:00:00"/>
    <x v="11"/>
    <s v="Male"/>
    <n v="177.1"/>
    <n v="72"/>
    <n v="13647"/>
    <n v="772.8"/>
    <n v="7.5"/>
    <n v="65"/>
    <x v="3"/>
    <n v="69"/>
    <n v="3.58"/>
    <n v="2"/>
    <x v="2"/>
  </r>
  <r>
    <n v="1119"/>
    <d v="2016-08-22T00:00:00"/>
    <x v="32"/>
    <s v="Female"/>
    <n v="150.80000000000001"/>
    <n v="84.5"/>
    <n v="7681"/>
    <n v="490.6"/>
    <n v="3.4"/>
    <n v="86"/>
    <x v="4"/>
    <n v="79"/>
    <n v="3.97"/>
    <n v="4"/>
    <x v="0"/>
  </r>
  <r>
    <n v="1830"/>
    <d v="2016-08-23T00:00:00"/>
    <x v="23"/>
    <s v="Male"/>
    <n v="156.6"/>
    <n v="45"/>
    <n v="3701"/>
    <n v="402.1"/>
    <n v="8.1999999999999993"/>
    <n v="72"/>
    <x v="4"/>
    <n v="27"/>
    <n v="2.2599999999999998"/>
    <n v="7"/>
    <x v="2"/>
  </r>
  <r>
    <n v="1786"/>
    <d v="2016-08-24T00:00:00"/>
    <x v="29"/>
    <s v="Female"/>
    <n v="166"/>
    <n v="69.900000000000006"/>
    <n v="15175"/>
    <n v="869.2"/>
    <n v="6.9"/>
    <n v="69"/>
    <x v="1"/>
    <n v="26"/>
    <n v="2.2400000000000002"/>
    <n v="9"/>
    <x v="0"/>
  </r>
  <r>
    <n v="1603"/>
    <d v="2016-08-25T00:00:00"/>
    <x v="23"/>
    <s v="Female"/>
    <n v="192.4"/>
    <n v="61.4"/>
    <n v="11122"/>
    <n v="617.5"/>
    <n v="7.9"/>
    <n v="79"/>
    <x v="4"/>
    <n v="23"/>
    <n v="2.25"/>
    <n v="6"/>
    <x v="0"/>
  </r>
  <r>
    <n v="1057"/>
    <d v="2016-08-26T00:00:00"/>
    <x v="19"/>
    <s v="Male"/>
    <n v="160.6"/>
    <n v="72.2"/>
    <n v="17805"/>
    <n v="900"/>
    <n v="7.8"/>
    <n v="78"/>
    <x v="4"/>
    <n v="29"/>
    <n v="2.54"/>
    <n v="7"/>
    <x v="1"/>
  </r>
  <r>
    <n v="1950"/>
    <d v="2016-08-27T00:00:00"/>
    <x v="29"/>
    <s v="Male"/>
    <n v="160.69999999999999"/>
    <n v="86.4"/>
    <n v="17719"/>
    <n v="890.1"/>
    <n v="7.5"/>
    <n v="73"/>
    <x v="2"/>
    <n v="79"/>
    <n v="2.25"/>
    <n v="8"/>
    <x v="0"/>
  </r>
  <r>
    <n v="1345"/>
    <d v="2016-08-28T00:00:00"/>
    <x v="34"/>
    <s v="Female"/>
    <n v="185.3"/>
    <n v="70.3"/>
    <n v="10718"/>
    <n v="647.5"/>
    <n v="6.4"/>
    <n v="82"/>
    <x v="5"/>
    <n v="44"/>
    <n v="3.12"/>
    <n v="8"/>
    <x v="2"/>
  </r>
  <r>
    <n v="1740"/>
    <d v="2016-08-29T00:00:00"/>
    <x v="15"/>
    <s v="Male"/>
    <n v="171.9"/>
    <n v="64.599999999999994"/>
    <n v="1056"/>
    <n v="307.7"/>
    <n v="6.4"/>
    <n v="62"/>
    <x v="5"/>
    <n v="61"/>
    <n v="1.42"/>
    <n v="9"/>
    <x v="1"/>
  </r>
  <r>
    <n v="1473"/>
    <d v="2016-08-30T00:00:00"/>
    <x v="38"/>
    <s v="Female"/>
    <n v="180.5"/>
    <n v="49"/>
    <n v="14973"/>
    <n v="715.5"/>
    <n v="6.9"/>
    <n v="58"/>
    <x v="0"/>
    <n v="0"/>
    <n v="2.13"/>
    <n v="10"/>
    <x v="2"/>
  </r>
  <r>
    <n v="1116"/>
    <d v="2016-08-31T00:00:00"/>
    <x v="15"/>
    <s v="Male"/>
    <n v="162.69999999999999"/>
    <n v="68.400000000000006"/>
    <n v="16352"/>
    <n v="783.2"/>
    <n v="7.3"/>
    <n v="90"/>
    <x v="4"/>
    <n v="51"/>
    <n v="2.73"/>
    <n v="2"/>
    <x v="0"/>
  </r>
  <r>
    <n v="1829"/>
    <d v="2016-09-01T00:00:00"/>
    <x v="23"/>
    <s v="Female"/>
    <n v="169"/>
    <n v="80.099999999999994"/>
    <n v="16052"/>
    <n v="837.9"/>
    <n v="6.4"/>
    <n v="64"/>
    <x v="0"/>
    <n v="0"/>
    <n v="3.11"/>
    <n v="7"/>
    <x v="1"/>
  </r>
  <r>
    <n v="1790"/>
    <d v="2016-09-02T00:00:00"/>
    <x v="19"/>
    <s v="Female"/>
    <n v="183.2"/>
    <n v="57.4"/>
    <n v="4147"/>
    <n v="375.2"/>
    <n v="8.4"/>
    <n v="60"/>
    <x v="0"/>
    <n v="0"/>
    <n v="4.04"/>
    <n v="2"/>
    <x v="1"/>
  </r>
  <r>
    <n v="1126"/>
    <d v="2016-09-03T00:00:00"/>
    <x v="30"/>
    <s v="Female"/>
    <n v="168.6"/>
    <n v="45"/>
    <n v="4537"/>
    <n v="334.4"/>
    <n v="6.5"/>
    <n v="72"/>
    <x v="1"/>
    <n v="68"/>
    <n v="1.6"/>
    <n v="7"/>
    <x v="1"/>
  </r>
  <r>
    <n v="1392"/>
    <d v="2016-09-04T00:00:00"/>
    <x v="11"/>
    <s v="Female"/>
    <n v="181.2"/>
    <n v="104.1"/>
    <n v="1721"/>
    <n v="277.89999999999998"/>
    <n v="5.5"/>
    <n v="75"/>
    <x v="1"/>
    <n v="35"/>
    <n v="2.04"/>
    <n v="9"/>
    <x v="2"/>
  </r>
  <r>
    <n v="1907"/>
    <d v="2016-09-05T00:00:00"/>
    <x v="12"/>
    <s v="Male"/>
    <n v="173.9"/>
    <n v="75"/>
    <n v="13269"/>
    <n v="693.7"/>
    <n v="7.9"/>
    <n v="70"/>
    <x v="5"/>
    <n v="57"/>
    <n v="0.91"/>
    <n v="4"/>
    <x v="1"/>
  </r>
  <r>
    <n v="1640"/>
    <d v="2016-09-06T00:00:00"/>
    <x v="15"/>
    <s v="Male"/>
    <n v="159.6"/>
    <n v="66.7"/>
    <n v="17769"/>
    <n v="888.4"/>
    <n v="9.8000000000000007"/>
    <n v="73"/>
    <x v="3"/>
    <n v="24"/>
    <n v="1.72"/>
    <n v="5"/>
    <x v="1"/>
  </r>
  <r>
    <n v="1057"/>
    <d v="2016-09-07T00:00:00"/>
    <x v="7"/>
    <s v="Female"/>
    <n v="169.8"/>
    <n v="90.9"/>
    <n v="8426"/>
    <n v="600.5"/>
    <n v="5.2"/>
    <n v="61"/>
    <x v="2"/>
    <n v="26"/>
    <n v="1.26"/>
    <n v="5"/>
    <x v="2"/>
  </r>
  <r>
    <n v="1633"/>
    <d v="2016-09-08T00:00:00"/>
    <x v="29"/>
    <s v="Female"/>
    <n v="179.8"/>
    <n v="72.099999999999994"/>
    <n v="14788"/>
    <n v="774.4"/>
    <n v="6.8"/>
    <n v="82"/>
    <x v="4"/>
    <n v="27"/>
    <n v="2.14"/>
    <n v="2"/>
    <x v="2"/>
  </r>
  <r>
    <n v="1512"/>
    <d v="2016-09-09T00:00:00"/>
    <x v="19"/>
    <s v="Male"/>
    <n v="176.7"/>
    <n v="90"/>
    <n v="15007"/>
    <n v="782.2"/>
    <n v="8.6"/>
    <n v="60"/>
    <x v="2"/>
    <n v="52"/>
    <n v="2.34"/>
    <n v="3"/>
    <x v="2"/>
  </r>
  <r>
    <n v="1750"/>
    <d v="2016-09-10T00:00:00"/>
    <x v="16"/>
    <s v="Male"/>
    <n v="169.6"/>
    <n v="88.7"/>
    <n v="12079"/>
    <n v="689.7"/>
    <n v="7.9"/>
    <n v="75"/>
    <x v="4"/>
    <n v="81"/>
    <n v="2.83"/>
    <n v="10"/>
    <x v="0"/>
  </r>
  <r>
    <n v="1801"/>
    <d v="2016-09-11T00:00:00"/>
    <x v="36"/>
    <s v="Male"/>
    <n v="151.1"/>
    <n v="50.9"/>
    <n v="15346"/>
    <n v="868.5"/>
    <n v="7.9"/>
    <n v="77"/>
    <x v="4"/>
    <n v="51"/>
    <n v="2.29"/>
    <n v="1"/>
    <x v="2"/>
  </r>
  <r>
    <n v="1095"/>
    <d v="2016-09-12T00:00:00"/>
    <x v="29"/>
    <s v="Male"/>
    <n v="152"/>
    <n v="76.900000000000006"/>
    <n v="8115"/>
    <n v="522.4"/>
    <n v="7"/>
    <n v="81"/>
    <x v="0"/>
    <n v="0"/>
    <n v="2.83"/>
    <n v="3"/>
    <x v="2"/>
  </r>
  <r>
    <n v="1637"/>
    <d v="2016-09-13T00:00:00"/>
    <x v="23"/>
    <s v="Male"/>
    <n v="154.19999999999999"/>
    <n v="95.9"/>
    <n v="11911"/>
    <n v="648.5"/>
    <n v="3"/>
    <n v="77"/>
    <x v="5"/>
    <n v="39"/>
    <n v="2.58"/>
    <n v="5"/>
    <x v="1"/>
  </r>
  <r>
    <n v="1117"/>
    <d v="2016-09-14T00:00:00"/>
    <x v="37"/>
    <s v="Male"/>
    <n v="164.9"/>
    <n v="55"/>
    <n v="1259"/>
    <n v="279.3"/>
    <n v="7.4"/>
    <n v="64"/>
    <x v="2"/>
    <n v="74"/>
    <n v="1.78"/>
    <n v="9"/>
    <x v="0"/>
  </r>
  <r>
    <n v="1559"/>
    <d v="2016-09-15T00:00:00"/>
    <x v="0"/>
    <s v="Female"/>
    <n v="166.2"/>
    <n v="55.2"/>
    <n v="9791"/>
    <n v="632.29999999999995"/>
    <n v="7.6"/>
    <n v="71"/>
    <x v="2"/>
    <n v="82"/>
    <n v="1.32"/>
    <n v="1"/>
    <x v="1"/>
  </r>
  <r>
    <n v="1600"/>
    <d v="2016-09-16T00:00:00"/>
    <x v="37"/>
    <s v="Male"/>
    <n v="155.19999999999999"/>
    <n v="57.7"/>
    <n v="8536"/>
    <n v="598.70000000000005"/>
    <n v="8.6999999999999993"/>
    <n v="68"/>
    <x v="3"/>
    <n v="25"/>
    <n v="2.91"/>
    <n v="6"/>
    <x v="2"/>
  </r>
  <r>
    <n v="1487"/>
    <d v="2016-09-17T00:00:00"/>
    <x v="10"/>
    <s v="Male"/>
    <n v="180.2"/>
    <n v="83.4"/>
    <n v="9947"/>
    <n v="596.1"/>
    <n v="5.9"/>
    <n v="59"/>
    <x v="3"/>
    <n v="71"/>
    <n v="3.65"/>
    <n v="2"/>
    <x v="2"/>
  </r>
  <r>
    <n v="1236"/>
    <d v="2016-09-18T00:00:00"/>
    <x v="26"/>
    <s v="Female"/>
    <n v="157.4"/>
    <n v="74.3"/>
    <n v="12769"/>
    <n v="734.5"/>
    <n v="9.5"/>
    <n v="79"/>
    <x v="2"/>
    <n v="21"/>
    <n v="4.2699999999999996"/>
    <n v="6"/>
    <x v="1"/>
  </r>
  <r>
    <n v="1884"/>
    <d v="2016-09-19T00:00:00"/>
    <x v="31"/>
    <s v="Male"/>
    <n v="156.30000000000001"/>
    <n v="45"/>
    <n v="11950"/>
    <n v="717.5"/>
    <n v="6.5"/>
    <n v="67"/>
    <x v="3"/>
    <n v="58"/>
    <n v="3.15"/>
    <n v="10"/>
    <x v="0"/>
  </r>
  <r>
    <n v="1896"/>
    <d v="2016-09-20T00:00:00"/>
    <x v="5"/>
    <s v="Male"/>
    <n v="170.9"/>
    <n v="75.099999999999994"/>
    <n v="17860"/>
    <n v="900"/>
    <n v="6.3"/>
    <n v="76"/>
    <x v="3"/>
    <n v="51"/>
    <n v="3.52"/>
    <n v="6"/>
    <x v="0"/>
  </r>
  <r>
    <n v="1271"/>
    <d v="2016-09-21T00:00:00"/>
    <x v="12"/>
    <s v="Male"/>
    <n v="179.7"/>
    <n v="66.2"/>
    <n v="6283"/>
    <n v="517.29999999999995"/>
    <n v="5.9"/>
    <n v="74"/>
    <x v="4"/>
    <n v="70"/>
    <n v="2.82"/>
    <n v="1"/>
    <x v="1"/>
  </r>
  <r>
    <n v="1188"/>
    <d v="2016-09-22T00:00:00"/>
    <x v="24"/>
    <s v="Male"/>
    <n v="190.5"/>
    <n v="68.3"/>
    <n v="10791"/>
    <n v="664.2"/>
    <n v="8.6"/>
    <n v="64"/>
    <x v="5"/>
    <n v="88"/>
    <n v="2.71"/>
    <n v="5"/>
    <x v="2"/>
  </r>
  <r>
    <n v="1998"/>
    <d v="2016-09-23T00:00:00"/>
    <x v="20"/>
    <s v="Male"/>
    <n v="175.8"/>
    <n v="57.4"/>
    <n v="3359"/>
    <n v="428.5"/>
    <n v="5.4"/>
    <n v="63"/>
    <x v="4"/>
    <n v="51"/>
    <n v="2.58"/>
    <n v="10"/>
    <x v="0"/>
  </r>
  <r>
    <n v="1703"/>
    <d v="2016-09-24T00:00:00"/>
    <x v="36"/>
    <s v="Female"/>
    <n v="185.8"/>
    <n v="75.2"/>
    <n v="8405"/>
    <n v="582.1"/>
    <n v="7.9"/>
    <n v="72"/>
    <x v="0"/>
    <n v="0"/>
    <n v="2.4300000000000002"/>
    <n v="2"/>
    <x v="0"/>
  </r>
  <r>
    <n v="1446"/>
    <d v="2016-09-25T00:00:00"/>
    <x v="14"/>
    <s v="Male"/>
    <n v="157.9"/>
    <n v="85.8"/>
    <n v="18645"/>
    <n v="849.5"/>
    <n v="5.8"/>
    <n v="62"/>
    <x v="3"/>
    <n v="81"/>
    <n v="2.92"/>
    <n v="1"/>
    <x v="1"/>
  </r>
  <r>
    <n v="1580"/>
    <d v="2016-09-26T00:00:00"/>
    <x v="30"/>
    <s v="Female"/>
    <n v="191.6"/>
    <n v="60.4"/>
    <n v="15357"/>
    <n v="794.4"/>
    <n v="6.9"/>
    <n v="85"/>
    <x v="4"/>
    <n v="32"/>
    <n v="2.14"/>
    <n v="9"/>
    <x v="0"/>
  </r>
  <r>
    <n v="1789"/>
    <d v="2016-09-27T00:00:00"/>
    <x v="5"/>
    <s v="Female"/>
    <n v="151.4"/>
    <n v="45"/>
    <n v="7323"/>
    <n v="412"/>
    <n v="4.7"/>
    <n v="88"/>
    <x v="4"/>
    <n v="89"/>
    <n v="2.4"/>
    <n v="6"/>
    <x v="2"/>
  </r>
  <r>
    <n v="1860"/>
    <d v="2016-09-28T00:00:00"/>
    <x v="35"/>
    <s v="Male"/>
    <n v="165"/>
    <n v="65.5"/>
    <n v="6937"/>
    <n v="445.5"/>
    <n v="8.1999999999999993"/>
    <n v="83"/>
    <x v="1"/>
    <n v="40"/>
    <n v="1.68"/>
    <n v="1"/>
    <x v="1"/>
  </r>
  <r>
    <n v="1246"/>
    <d v="2016-09-29T00:00:00"/>
    <x v="1"/>
    <s v="Female"/>
    <n v="175.6"/>
    <n v="81.3"/>
    <n v="18966"/>
    <n v="900"/>
    <n v="6.8"/>
    <n v="78"/>
    <x v="4"/>
    <n v="80"/>
    <n v="2.83"/>
    <n v="10"/>
    <x v="0"/>
  </r>
  <r>
    <n v="1962"/>
    <d v="2016-09-30T00:00:00"/>
    <x v="16"/>
    <s v="Male"/>
    <n v="153.9"/>
    <n v="63.7"/>
    <n v="12030"/>
    <n v="724.6"/>
    <n v="7.8"/>
    <n v="76"/>
    <x v="4"/>
    <n v="33"/>
    <n v="1.83"/>
    <n v="9"/>
    <x v="2"/>
  </r>
  <r>
    <n v="1075"/>
    <d v="2016-10-01T00:00:00"/>
    <x v="30"/>
    <s v="Female"/>
    <n v="160.69999999999999"/>
    <n v="47.5"/>
    <n v="18882"/>
    <n v="900"/>
    <n v="6.7"/>
    <n v="65"/>
    <x v="5"/>
    <n v="41"/>
    <n v="2.52"/>
    <n v="9"/>
    <x v="2"/>
  </r>
  <r>
    <n v="1153"/>
    <d v="2016-10-02T00:00:00"/>
    <x v="30"/>
    <s v="Female"/>
    <n v="159.1"/>
    <n v="81.400000000000006"/>
    <n v="14003"/>
    <n v="829.8"/>
    <n v="7.8"/>
    <n v="83"/>
    <x v="2"/>
    <n v="51"/>
    <n v="2.85"/>
    <n v="7"/>
    <x v="1"/>
  </r>
  <r>
    <n v="1655"/>
    <d v="2016-10-03T00:00:00"/>
    <x v="3"/>
    <s v="Male"/>
    <n v="166.9"/>
    <n v="91.2"/>
    <n v="11578"/>
    <n v="629.70000000000005"/>
    <n v="6.9"/>
    <n v="89"/>
    <x v="1"/>
    <n v="60"/>
    <n v="2.91"/>
    <n v="9"/>
    <x v="1"/>
  </r>
  <r>
    <n v="1434"/>
    <d v="2016-10-04T00:00:00"/>
    <x v="1"/>
    <s v="Male"/>
    <n v="184.2"/>
    <n v="70.3"/>
    <n v="13979"/>
    <n v="744.7"/>
    <n v="8.1"/>
    <n v="72"/>
    <x v="1"/>
    <n v="51"/>
    <n v="3.04"/>
    <n v="1"/>
    <x v="2"/>
  </r>
  <r>
    <n v="1996"/>
    <d v="2016-10-05T00:00:00"/>
    <x v="6"/>
    <s v="Male"/>
    <n v="170.2"/>
    <n v="45.9"/>
    <n v="3209"/>
    <n v="266.39999999999998"/>
    <n v="7.8"/>
    <n v="75"/>
    <x v="1"/>
    <n v="61"/>
    <n v="2.35"/>
    <n v="3"/>
    <x v="2"/>
  </r>
  <r>
    <n v="1085"/>
    <d v="2016-10-06T00:00:00"/>
    <x v="19"/>
    <s v="Male"/>
    <n v="165.4"/>
    <n v="65.2"/>
    <n v="13060"/>
    <n v="794.6"/>
    <n v="7.3"/>
    <n v="67"/>
    <x v="0"/>
    <n v="0"/>
    <n v="2.84"/>
    <n v="8"/>
    <x v="0"/>
  </r>
  <r>
    <n v="1696"/>
    <d v="2016-10-07T00:00:00"/>
    <x v="35"/>
    <s v="Male"/>
    <n v="150"/>
    <n v="72.3"/>
    <n v="8228"/>
    <n v="608"/>
    <n v="5.6"/>
    <n v="72"/>
    <x v="1"/>
    <n v="73"/>
    <n v="2.16"/>
    <n v="3"/>
    <x v="0"/>
  </r>
  <r>
    <n v="1284"/>
    <d v="2016-10-08T00:00:00"/>
    <x v="40"/>
    <s v="Female"/>
    <n v="174.7"/>
    <n v="57.9"/>
    <n v="10300"/>
    <n v="605.4"/>
    <n v="6.3"/>
    <n v="62"/>
    <x v="5"/>
    <n v="81"/>
    <n v="1.1200000000000001"/>
    <n v="8"/>
    <x v="0"/>
  </r>
  <r>
    <n v="1973"/>
    <d v="2016-10-09T00:00:00"/>
    <x v="39"/>
    <s v="Female"/>
    <n v="177.9"/>
    <n v="78.8"/>
    <n v="9681"/>
    <n v="513.20000000000005"/>
    <n v="5.8"/>
    <n v="72"/>
    <x v="2"/>
    <n v="62"/>
    <n v="2.87"/>
    <n v="3"/>
    <x v="0"/>
  </r>
  <r>
    <n v="1219"/>
    <d v="2016-10-10T00:00:00"/>
    <x v="39"/>
    <s v="Female"/>
    <n v="153"/>
    <n v="56.4"/>
    <n v="9196"/>
    <n v="557.4"/>
    <n v="9.1"/>
    <n v="79"/>
    <x v="0"/>
    <n v="0"/>
    <n v="2.71"/>
    <n v="4"/>
    <x v="0"/>
  </r>
  <r>
    <n v="1068"/>
    <d v="2016-10-11T00:00:00"/>
    <x v="21"/>
    <s v="Female"/>
    <n v="169.3"/>
    <n v="70.400000000000006"/>
    <n v="9267"/>
    <n v="582.29999999999995"/>
    <n v="8.1999999999999993"/>
    <n v="78"/>
    <x v="5"/>
    <n v="57"/>
    <n v="3.21"/>
    <n v="4"/>
    <x v="1"/>
  </r>
  <r>
    <n v="1046"/>
    <d v="2016-10-12T00:00:00"/>
    <x v="35"/>
    <s v="Female"/>
    <n v="171.9"/>
    <n v="66.599999999999994"/>
    <n v="6372"/>
    <n v="423.1"/>
    <n v="7.1"/>
    <n v="78"/>
    <x v="1"/>
    <n v="58"/>
    <n v="2.48"/>
    <n v="5"/>
    <x v="0"/>
  </r>
  <r>
    <n v="1093"/>
    <d v="2016-10-13T00:00:00"/>
    <x v="36"/>
    <s v="Female"/>
    <n v="179.6"/>
    <n v="79.2"/>
    <n v="7150"/>
    <n v="603.5"/>
    <n v="6.2"/>
    <n v="51"/>
    <x v="2"/>
    <n v="89"/>
    <n v="1.38"/>
    <n v="10"/>
    <x v="0"/>
  </r>
  <r>
    <n v="1749"/>
    <d v="2016-10-14T00:00:00"/>
    <x v="13"/>
    <s v="Female"/>
    <n v="162.80000000000001"/>
    <n v="69.8"/>
    <n v="11920"/>
    <n v="768.1"/>
    <n v="5.8"/>
    <n v="75"/>
    <x v="5"/>
    <n v="64"/>
    <n v="2.44"/>
    <n v="10"/>
    <x v="0"/>
  </r>
  <r>
    <n v="1957"/>
    <d v="2016-10-15T00:00:00"/>
    <x v="34"/>
    <s v="Male"/>
    <n v="161.19999999999999"/>
    <n v="67.099999999999994"/>
    <n v="17001"/>
    <n v="792.6"/>
    <n v="7.2"/>
    <n v="81"/>
    <x v="2"/>
    <n v="65"/>
    <n v="3.12"/>
    <n v="4"/>
    <x v="2"/>
  </r>
  <r>
    <n v="1452"/>
    <d v="2016-10-16T00:00:00"/>
    <x v="25"/>
    <s v="Male"/>
    <n v="165.4"/>
    <n v="58"/>
    <n v="17856"/>
    <n v="856.5"/>
    <n v="9.8000000000000007"/>
    <n v="75"/>
    <x v="0"/>
    <n v="0"/>
    <n v="2.83"/>
    <n v="7"/>
    <x v="0"/>
  </r>
  <r>
    <n v="1203"/>
    <d v="2016-10-17T00:00:00"/>
    <x v="1"/>
    <s v="Female"/>
    <n v="182.8"/>
    <n v="70.5"/>
    <n v="16147"/>
    <n v="868.8"/>
    <n v="7"/>
    <n v="86"/>
    <x v="5"/>
    <n v="71"/>
    <n v="2.4"/>
    <n v="4"/>
    <x v="1"/>
  </r>
  <r>
    <n v="1911"/>
    <d v="2016-10-18T00:00:00"/>
    <x v="12"/>
    <s v="Female"/>
    <n v="180.4"/>
    <n v="66.099999999999994"/>
    <n v="18221"/>
    <n v="875.2"/>
    <n v="8.8000000000000007"/>
    <n v="74"/>
    <x v="2"/>
    <n v="28"/>
    <n v="1.34"/>
    <n v="1"/>
    <x v="2"/>
  </r>
  <r>
    <n v="1217"/>
    <d v="2016-10-19T00:00:00"/>
    <x v="24"/>
    <s v="Male"/>
    <n v="169.8"/>
    <n v="56.9"/>
    <n v="2186"/>
    <n v="296.60000000000002"/>
    <n v="7.4"/>
    <n v="79"/>
    <x v="5"/>
    <n v="76"/>
    <n v="1.78"/>
    <n v="5"/>
    <x v="2"/>
  </r>
  <r>
    <n v="1473"/>
    <d v="2016-10-20T00:00:00"/>
    <x v="5"/>
    <s v="Male"/>
    <n v="180.2"/>
    <n v="72.400000000000006"/>
    <n v="7461"/>
    <n v="499"/>
    <n v="7.8"/>
    <n v="65"/>
    <x v="1"/>
    <n v="88"/>
    <n v="2.83"/>
    <n v="8"/>
    <x v="0"/>
  </r>
  <r>
    <n v="1431"/>
    <d v="2016-10-21T00:00:00"/>
    <x v="26"/>
    <s v="Male"/>
    <n v="150"/>
    <n v="75.5"/>
    <n v="18865"/>
    <n v="900"/>
    <n v="6.3"/>
    <n v="81"/>
    <x v="1"/>
    <n v="62"/>
    <n v="1.33"/>
    <n v="6"/>
    <x v="2"/>
  </r>
  <r>
    <n v="1340"/>
    <d v="2016-10-22T00:00:00"/>
    <x v="41"/>
    <s v="Male"/>
    <n v="177.9"/>
    <n v="64.900000000000006"/>
    <n v="12464"/>
    <n v="749.5"/>
    <n v="6.7"/>
    <n v="83"/>
    <x v="1"/>
    <n v="26"/>
    <n v="2.2799999999999998"/>
    <n v="4"/>
    <x v="0"/>
  </r>
  <r>
    <n v="1550"/>
    <d v="2016-10-23T00:00:00"/>
    <x v="17"/>
    <s v="Female"/>
    <n v="158.80000000000001"/>
    <n v="84"/>
    <n v="15052"/>
    <n v="892.5"/>
    <n v="5.8"/>
    <n v="68"/>
    <x v="0"/>
    <n v="0"/>
    <n v="2.5299999999999998"/>
    <n v="4"/>
    <x v="0"/>
  </r>
  <r>
    <n v="1611"/>
    <d v="2016-10-24T00:00:00"/>
    <x v="30"/>
    <s v="Male"/>
    <n v="187.7"/>
    <n v="74"/>
    <n v="8332"/>
    <n v="553.1"/>
    <n v="7.5"/>
    <n v="61"/>
    <x v="5"/>
    <n v="63"/>
    <n v="3.3"/>
    <n v="1"/>
    <x v="0"/>
  </r>
  <r>
    <n v="1288"/>
    <d v="2016-10-25T00:00:00"/>
    <x v="20"/>
    <s v="Female"/>
    <n v="159.4"/>
    <n v="50.7"/>
    <n v="17615"/>
    <n v="844"/>
    <n v="6.6"/>
    <n v="70"/>
    <x v="2"/>
    <n v="87"/>
    <n v="2.93"/>
    <n v="10"/>
    <x v="1"/>
  </r>
  <r>
    <n v="1253"/>
    <d v="2016-10-26T00:00:00"/>
    <x v="8"/>
    <s v="Female"/>
    <n v="161.5"/>
    <n v="90.1"/>
    <n v="1327"/>
    <n v="260.3"/>
    <n v="7.5"/>
    <n v="65"/>
    <x v="2"/>
    <n v="63"/>
    <n v="3.17"/>
    <n v="1"/>
    <x v="2"/>
  </r>
  <r>
    <n v="1733"/>
    <d v="2016-10-27T00:00:00"/>
    <x v="40"/>
    <s v="Female"/>
    <n v="175.6"/>
    <n v="81.5"/>
    <n v="6239"/>
    <n v="420.4"/>
    <n v="5.5"/>
    <n v="81"/>
    <x v="3"/>
    <n v="59"/>
    <n v="2.71"/>
    <n v="3"/>
    <x v="2"/>
  </r>
  <r>
    <n v="1356"/>
    <d v="2016-10-28T00:00:00"/>
    <x v="27"/>
    <s v="Male"/>
    <n v="176.6"/>
    <n v="85"/>
    <n v="18333"/>
    <n v="900"/>
    <n v="7.7"/>
    <n v="70"/>
    <x v="4"/>
    <n v="62"/>
    <n v="1.91"/>
    <n v="4"/>
    <x v="2"/>
  </r>
  <r>
    <n v="1022"/>
    <d v="2016-10-29T00:00:00"/>
    <x v="12"/>
    <s v="Male"/>
    <n v="165.5"/>
    <n v="76"/>
    <n v="11078"/>
    <n v="677.8"/>
    <n v="7.3"/>
    <n v="82"/>
    <x v="1"/>
    <n v="81"/>
    <n v="2.0699999999999998"/>
    <n v="4"/>
    <x v="2"/>
  </r>
  <r>
    <n v="1761"/>
    <d v="2016-10-30T00:00:00"/>
    <x v="25"/>
    <s v="Female"/>
    <n v="173.7"/>
    <n v="45"/>
    <n v="8038"/>
    <n v="541.6"/>
    <n v="7.2"/>
    <n v="59"/>
    <x v="1"/>
    <n v="62"/>
    <n v="1.85"/>
    <n v="2"/>
    <x v="2"/>
  </r>
  <r>
    <n v="1521"/>
    <d v="2016-10-31T00:00:00"/>
    <x v="32"/>
    <s v="Female"/>
    <n v="175"/>
    <n v="86.4"/>
    <n v="9048"/>
    <n v="594.4"/>
    <n v="7.6"/>
    <n v="67"/>
    <x v="1"/>
    <n v="38"/>
    <n v="2.91"/>
    <n v="9"/>
    <x v="0"/>
  </r>
  <r>
    <n v="1757"/>
    <d v="2016-11-01T00:00:00"/>
    <x v="25"/>
    <s v="Female"/>
    <n v="173.9"/>
    <n v="70.900000000000006"/>
    <n v="15954"/>
    <n v="836.2"/>
    <n v="6.6"/>
    <n v="67"/>
    <x v="3"/>
    <n v="68"/>
    <n v="2.0099999999999998"/>
    <n v="8"/>
    <x v="0"/>
  </r>
  <r>
    <n v="1836"/>
    <d v="2016-11-02T00:00:00"/>
    <x v="4"/>
    <s v="Male"/>
    <n v="166"/>
    <n v="75.3"/>
    <n v="3297"/>
    <n v="394.5"/>
    <n v="10"/>
    <n v="78"/>
    <x v="3"/>
    <n v="84"/>
    <n v="2.2200000000000002"/>
    <n v="3"/>
    <x v="0"/>
  </r>
  <r>
    <n v="1099"/>
    <d v="2016-11-03T00:00:00"/>
    <x v="27"/>
    <s v="Female"/>
    <n v="175.1"/>
    <n v="78.099999999999994"/>
    <n v="18691"/>
    <n v="900"/>
    <n v="7.7"/>
    <n v="54"/>
    <x v="3"/>
    <n v="44"/>
    <n v="2.52"/>
    <n v="2"/>
    <x v="1"/>
  </r>
  <r>
    <n v="1801"/>
    <d v="2016-11-04T00:00:00"/>
    <x v="24"/>
    <s v="Male"/>
    <n v="184.1"/>
    <n v="99"/>
    <n v="13703"/>
    <n v="796.1"/>
    <n v="7.2"/>
    <n v="72"/>
    <x v="1"/>
    <n v="60"/>
    <n v="3.65"/>
    <n v="1"/>
    <x v="1"/>
  </r>
  <r>
    <n v="1179"/>
    <d v="2016-11-05T00:00:00"/>
    <x v="30"/>
    <s v="Female"/>
    <n v="157.69999999999999"/>
    <n v="61.8"/>
    <n v="3779"/>
    <n v="430.8"/>
    <n v="8.1"/>
    <n v="71"/>
    <x v="2"/>
    <n v="42"/>
    <n v="2.96"/>
    <n v="10"/>
    <x v="1"/>
  </r>
  <r>
    <n v="1222"/>
    <d v="2016-11-06T00:00:00"/>
    <x v="2"/>
    <s v="Female"/>
    <n v="161.6"/>
    <n v="62.2"/>
    <n v="14706"/>
    <n v="747.5"/>
    <n v="6.2"/>
    <n v="79"/>
    <x v="1"/>
    <n v="77"/>
    <n v="1.96"/>
    <n v="9"/>
    <x v="1"/>
  </r>
  <r>
    <n v="1905"/>
    <d v="2016-11-07T00:00:00"/>
    <x v="13"/>
    <s v="Female"/>
    <n v="170.3"/>
    <n v="57.2"/>
    <n v="14225"/>
    <n v="785.9"/>
    <n v="6.2"/>
    <n v="76"/>
    <x v="3"/>
    <n v="62"/>
    <n v="2.61"/>
    <n v="5"/>
    <x v="2"/>
  </r>
  <r>
    <n v="1761"/>
    <d v="2016-11-08T00:00:00"/>
    <x v="38"/>
    <s v="Male"/>
    <n v="159.4"/>
    <n v="54"/>
    <n v="8318"/>
    <n v="553.5"/>
    <n v="8.1999999999999993"/>
    <n v="65"/>
    <x v="3"/>
    <n v="59"/>
    <n v="3.66"/>
    <n v="8"/>
    <x v="1"/>
  </r>
  <r>
    <n v="1658"/>
    <d v="2016-11-09T00:00:00"/>
    <x v="31"/>
    <s v="Male"/>
    <n v="152"/>
    <n v="54.2"/>
    <n v="14531"/>
    <n v="727.5"/>
    <n v="8.3000000000000007"/>
    <n v="52"/>
    <x v="4"/>
    <n v="49"/>
    <n v="2.93"/>
    <n v="4"/>
    <x v="2"/>
  </r>
  <r>
    <n v="1441"/>
    <d v="2016-11-10T00:00:00"/>
    <x v="16"/>
    <s v="Female"/>
    <n v="180.9"/>
    <n v="45"/>
    <n v="6335"/>
    <n v="385"/>
    <n v="8.8000000000000007"/>
    <n v="67"/>
    <x v="5"/>
    <n v="53"/>
    <n v="1.38"/>
    <n v="2"/>
    <x v="2"/>
  </r>
  <r>
    <n v="1607"/>
    <d v="2016-11-11T00:00:00"/>
    <x v="31"/>
    <s v="Male"/>
    <n v="150"/>
    <n v="76.400000000000006"/>
    <n v="10530"/>
    <n v="575.4"/>
    <n v="4.9000000000000004"/>
    <n v="62"/>
    <x v="4"/>
    <n v="29"/>
    <n v="1.86"/>
    <n v="5"/>
    <x v="2"/>
  </r>
  <r>
    <n v="1768"/>
    <d v="2016-11-12T00:00:00"/>
    <x v="0"/>
    <s v="Female"/>
    <n v="166"/>
    <n v="99.8"/>
    <n v="8502"/>
    <n v="537.5"/>
    <n v="6.8"/>
    <n v="63"/>
    <x v="4"/>
    <n v="79"/>
    <n v="1.81"/>
    <n v="8"/>
    <x v="0"/>
  </r>
  <r>
    <n v="1324"/>
    <d v="2016-11-13T00:00:00"/>
    <x v="38"/>
    <s v="Male"/>
    <n v="177.6"/>
    <n v="100.8"/>
    <n v="2649"/>
    <n v="326.89999999999998"/>
    <n v="7.5"/>
    <n v="68"/>
    <x v="1"/>
    <n v="20"/>
    <n v="3.51"/>
    <n v="6"/>
    <x v="0"/>
  </r>
  <r>
    <n v="1515"/>
    <d v="2016-11-14T00:00:00"/>
    <x v="34"/>
    <s v="Male"/>
    <n v="172.7"/>
    <n v="57.2"/>
    <n v="14472"/>
    <n v="760.4"/>
    <n v="8.1"/>
    <n v="83"/>
    <x v="5"/>
    <n v="31"/>
    <n v="3.38"/>
    <n v="8"/>
    <x v="2"/>
  </r>
  <r>
    <n v="1015"/>
    <d v="2016-11-15T00:00:00"/>
    <x v="33"/>
    <s v="Male"/>
    <n v="166.1"/>
    <n v="65.900000000000006"/>
    <n v="3862"/>
    <n v="451"/>
    <n v="7.8"/>
    <n v="62"/>
    <x v="5"/>
    <n v="65"/>
    <n v="2.06"/>
    <n v="3"/>
    <x v="1"/>
  </r>
  <r>
    <n v="1791"/>
    <d v="2016-11-16T00:00:00"/>
    <x v="3"/>
    <s v="Female"/>
    <n v="159"/>
    <n v="88.5"/>
    <n v="1917"/>
    <n v="328"/>
    <n v="5.7"/>
    <n v="56"/>
    <x v="1"/>
    <n v="36"/>
    <n v="2.0499999999999998"/>
    <n v="5"/>
    <x v="2"/>
  </r>
  <r>
    <n v="1335"/>
    <d v="2016-11-17T00:00:00"/>
    <x v="39"/>
    <s v="Male"/>
    <n v="173.4"/>
    <n v="76.5"/>
    <n v="13444"/>
    <n v="760.4"/>
    <n v="7.8"/>
    <n v="69"/>
    <x v="2"/>
    <n v="77"/>
    <n v="2.5299999999999998"/>
    <n v="2"/>
    <x v="0"/>
  </r>
  <r>
    <n v="1758"/>
    <d v="2016-11-18T00:00:00"/>
    <x v="5"/>
    <s v="Male"/>
    <n v="160.1"/>
    <n v="72"/>
    <n v="9353"/>
    <n v="552.6"/>
    <n v="7.5"/>
    <n v="72"/>
    <x v="0"/>
    <n v="0"/>
    <n v="2.5499999999999998"/>
    <n v="3"/>
    <x v="1"/>
  </r>
  <r>
    <n v="1257"/>
    <d v="2016-11-19T00:00:00"/>
    <x v="23"/>
    <s v="Female"/>
    <n v="172.7"/>
    <n v="66.099999999999994"/>
    <n v="6449"/>
    <n v="461.5"/>
    <n v="7.5"/>
    <n v="72"/>
    <x v="1"/>
    <n v="25"/>
    <n v="1.83"/>
    <n v="7"/>
    <x v="0"/>
  </r>
  <r>
    <n v="1496"/>
    <d v="2016-11-20T00:00:00"/>
    <x v="5"/>
    <s v="Female"/>
    <n v="171.4"/>
    <n v="87.7"/>
    <n v="3811"/>
    <n v="407.5"/>
    <n v="5.4"/>
    <n v="68"/>
    <x v="2"/>
    <n v="81"/>
    <n v="2.33"/>
    <n v="1"/>
    <x v="1"/>
  </r>
  <r>
    <n v="1987"/>
    <d v="2016-11-21T00:00:00"/>
    <x v="21"/>
    <s v="Female"/>
    <n v="171.5"/>
    <n v="53.9"/>
    <n v="4421"/>
    <n v="422.8"/>
    <n v="5.6"/>
    <n v="73"/>
    <x v="2"/>
    <n v="29"/>
    <n v="1.48"/>
    <n v="8"/>
    <x v="0"/>
  </r>
  <r>
    <n v="1895"/>
    <d v="2016-11-22T00:00:00"/>
    <x v="6"/>
    <s v="Female"/>
    <n v="163.6"/>
    <n v="77.2"/>
    <n v="10290"/>
    <n v="657.1"/>
    <n v="9.6999999999999993"/>
    <n v="77"/>
    <x v="5"/>
    <n v="45"/>
    <n v="3.39"/>
    <n v="5"/>
    <x v="2"/>
  </r>
  <r>
    <n v="1159"/>
    <d v="2016-11-23T00:00:00"/>
    <x v="13"/>
    <s v="Male"/>
    <n v="190.4"/>
    <n v="75.2"/>
    <n v="3721"/>
    <n v="333.7"/>
    <n v="8.5"/>
    <n v="66"/>
    <x v="1"/>
    <n v="77"/>
    <n v="1.27"/>
    <n v="2"/>
    <x v="0"/>
  </r>
  <r>
    <n v="1474"/>
    <d v="2016-11-24T00:00:00"/>
    <x v="23"/>
    <s v="Male"/>
    <n v="173.6"/>
    <n v="70.7"/>
    <n v="11892"/>
    <n v="649.5"/>
    <n v="6.9"/>
    <n v="85"/>
    <x v="1"/>
    <n v="36"/>
    <n v="1.26"/>
    <n v="3"/>
    <x v="1"/>
  </r>
  <r>
    <n v="1851"/>
    <d v="2016-11-25T00:00:00"/>
    <x v="25"/>
    <s v="Male"/>
    <n v="167.2"/>
    <n v="81.8"/>
    <n v="16256"/>
    <n v="778.9"/>
    <n v="6.9"/>
    <n v="73"/>
    <x v="5"/>
    <n v="72"/>
    <n v="2.8"/>
    <n v="4"/>
    <x v="0"/>
  </r>
  <r>
    <n v="1663"/>
    <d v="2016-11-26T00:00:00"/>
    <x v="31"/>
    <s v="Male"/>
    <n v="172.6"/>
    <n v="70.5"/>
    <n v="1788"/>
    <n v="297.89999999999998"/>
    <n v="10"/>
    <n v="85"/>
    <x v="4"/>
    <n v="24"/>
    <n v="1.63"/>
    <n v="2"/>
    <x v="1"/>
  </r>
  <r>
    <n v="1907"/>
    <d v="2016-11-27T00:00:00"/>
    <x v="9"/>
    <s v="Male"/>
    <n v="162.30000000000001"/>
    <n v="62"/>
    <n v="17640"/>
    <n v="829.7"/>
    <n v="7.1"/>
    <n v="78"/>
    <x v="1"/>
    <n v="86"/>
    <n v="2.15"/>
    <n v="10"/>
    <x v="0"/>
  </r>
  <r>
    <n v="1689"/>
    <d v="2016-11-28T00:00:00"/>
    <x v="12"/>
    <s v="Female"/>
    <n v="166.1"/>
    <n v="71.400000000000006"/>
    <n v="5025"/>
    <n v="400.2"/>
    <n v="6.8"/>
    <n v="62"/>
    <x v="0"/>
    <n v="0"/>
    <n v="2.54"/>
    <n v="5"/>
    <x v="0"/>
  </r>
  <r>
    <n v="1674"/>
    <d v="2016-11-29T00:00:00"/>
    <x v="37"/>
    <s v="Male"/>
    <n v="193.9"/>
    <n v="46.1"/>
    <n v="7741"/>
    <n v="488.6"/>
    <n v="5.8"/>
    <n v="55"/>
    <x v="0"/>
    <n v="0"/>
    <n v="2.97"/>
    <n v="7"/>
    <x v="2"/>
  </r>
  <r>
    <n v="1379"/>
    <d v="2016-11-30T00:00:00"/>
    <x v="17"/>
    <s v="Male"/>
    <n v="162.30000000000001"/>
    <n v="79.2"/>
    <n v="4654"/>
    <n v="397.3"/>
    <n v="6.6"/>
    <n v="86"/>
    <x v="3"/>
    <n v="65"/>
    <n v="2.35"/>
    <n v="9"/>
    <x v="1"/>
  </r>
  <r>
    <n v="1544"/>
    <d v="2016-12-01T00:00:00"/>
    <x v="40"/>
    <s v="Male"/>
    <n v="169.2"/>
    <n v="83"/>
    <n v="14580"/>
    <n v="841.5"/>
    <n v="4.5"/>
    <n v="66"/>
    <x v="3"/>
    <n v="86"/>
    <n v="3.75"/>
    <n v="1"/>
    <x v="1"/>
  </r>
  <r>
    <n v="1928"/>
    <d v="2016-12-02T00:00:00"/>
    <x v="36"/>
    <s v="Female"/>
    <n v="165.4"/>
    <n v="60.2"/>
    <n v="8660"/>
    <n v="614.1"/>
    <n v="7.8"/>
    <n v="74"/>
    <x v="1"/>
    <n v="22"/>
    <n v="2.5"/>
    <n v="10"/>
    <x v="2"/>
  </r>
  <r>
    <n v="1956"/>
    <d v="2016-12-03T00:00:00"/>
    <x v="8"/>
    <s v="Female"/>
    <n v="159.6"/>
    <n v="56.6"/>
    <n v="4251"/>
    <n v="405.2"/>
    <n v="8.9"/>
    <n v="69"/>
    <x v="2"/>
    <n v="42"/>
    <n v="3.33"/>
    <n v="6"/>
    <x v="0"/>
  </r>
  <r>
    <n v="1690"/>
    <d v="2016-12-04T00:00:00"/>
    <x v="21"/>
    <s v="Male"/>
    <n v="174.2"/>
    <n v="60.7"/>
    <n v="6268"/>
    <n v="412.5"/>
    <n v="8.9"/>
    <n v="88"/>
    <x v="0"/>
    <n v="0"/>
    <n v="2.69"/>
    <n v="6"/>
    <x v="1"/>
  </r>
  <r>
    <n v="1426"/>
    <d v="2016-12-05T00:00:00"/>
    <x v="39"/>
    <s v="Female"/>
    <n v="170.4"/>
    <n v="69.099999999999994"/>
    <n v="12781"/>
    <n v="710.1"/>
    <n v="5.9"/>
    <n v="74"/>
    <x v="0"/>
    <n v="0"/>
    <n v="3.99"/>
    <n v="1"/>
    <x v="1"/>
  </r>
  <r>
    <n v="1612"/>
    <d v="2016-12-06T00:00:00"/>
    <x v="15"/>
    <s v="Female"/>
    <n v="179.1"/>
    <n v="73.2"/>
    <n v="14489"/>
    <n v="735.9"/>
    <n v="3.6"/>
    <n v="61"/>
    <x v="5"/>
    <n v="66"/>
    <n v="3.24"/>
    <n v="2"/>
    <x v="1"/>
  </r>
  <r>
    <n v="1267"/>
    <d v="2016-12-07T00:00:00"/>
    <x v="28"/>
    <s v="Female"/>
    <n v="178.1"/>
    <n v="94.2"/>
    <n v="16131"/>
    <n v="812.5"/>
    <n v="7.5"/>
    <n v="72"/>
    <x v="0"/>
    <n v="0"/>
    <n v="2.5299999999999998"/>
    <n v="8"/>
    <x v="2"/>
  </r>
  <r>
    <n v="1834"/>
    <d v="2016-12-08T00:00:00"/>
    <x v="15"/>
    <s v="Female"/>
    <n v="179"/>
    <n v="92.3"/>
    <n v="8562"/>
    <n v="566.6"/>
    <n v="9"/>
    <n v="86"/>
    <x v="2"/>
    <n v="63"/>
    <n v="2.94"/>
    <n v="6"/>
    <x v="2"/>
  </r>
  <r>
    <n v="1576"/>
    <d v="2016-12-09T00:00:00"/>
    <x v="19"/>
    <s v="Female"/>
    <n v="160.80000000000001"/>
    <n v="82.5"/>
    <n v="16987"/>
    <n v="830.8"/>
    <n v="4.5999999999999996"/>
    <n v="66"/>
    <x v="3"/>
    <n v="32"/>
    <n v="2.3199999999999998"/>
    <n v="1"/>
    <x v="1"/>
  </r>
  <r>
    <n v="1416"/>
    <d v="2016-12-10T00:00:00"/>
    <x v="14"/>
    <s v="Female"/>
    <n v="176.4"/>
    <n v="71.8"/>
    <n v="15391"/>
    <n v="792.9"/>
    <n v="6.4"/>
    <n v="59"/>
    <x v="3"/>
    <n v="27"/>
    <n v="2.31"/>
    <n v="10"/>
    <x v="0"/>
  </r>
  <r>
    <n v="1167"/>
    <d v="2016-12-11T00:00:00"/>
    <x v="26"/>
    <s v="Female"/>
    <n v="176.7"/>
    <n v="56.1"/>
    <n v="3152"/>
    <n v="272.60000000000002"/>
    <n v="7.5"/>
    <n v="82"/>
    <x v="5"/>
    <n v="82"/>
    <n v="1.59"/>
    <n v="10"/>
    <x v="0"/>
  </r>
  <r>
    <n v="1841"/>
    <d v="2016-12-12T00:00:00"/>
    <x v="1"/>
    <s v="Male"/>
    <n v="159.80000000000001"/>
    <n v="95.2"/>
    <n v="9738"/>
    <n v="622.4"/>
    <n v="5.7"/>
    <n v="65"/>
    <x v="3"/>
    <n v="41"/>
    <n v="1.93"/>
    <n v="6"/>
    <x v="2"/>
  </r>
  <r>
    <n v="1042"/>
    <d v="2016-12-13T00:00:00"/>
    <x v="35"/>
    <s v="Male"/>
    <n v="166.8"/>
    <n v="66.3"/>
    <n v="8888"/>
    <n v="537.5"/>
    <n v="4.4000000000000004"/>
    <n v="58"/>
    <x v="4"/>
    <n v="57"/>
    <n v="3.94"/>
    <n v="10"/>
    <x v="0"/>
  </r>
  <r>
    <n v="1555"/>
    <d v="2016-12-14T00:00:00"/>
    <x v="23"/>
    <s v="Female"/>
    <n v="155.4"/>
    <n v="74.2"/>
    <n v="11096"/>
    <n v="533"/>
    <n v="5.9"/>
    <n v="66"/>
    <x v="3"/>
    <n v="46"/>
    <n v="1.66"/>
    <n v="7"/>
    <x v="2"/>
  </r>
  <r>
    <n v="1284"/>
    <d v="2016-12-15T00:00:00"/>
    <x v="40"/>
    <s v="Male"/>
    <n v="176.7"/>
    <n v="79.400000000000006"/>
    <n v="6474"/>
    <n v="540.6"/>
    <n v="6.1"/>
    <n v="77"/>
    <x v="0"/>
    <n v="0"/>
    <n v="2.04"/>
    <n v="2"/>
    <x v="1"/>
  </r>
  <r>
    <n v="1396"/>
    <d v="2016-12-16T00:00:00"/>
    <x v="33"/>
    <s v="Male"/>
    <n v="176.7"/>
    <n v="70.900000000000006"/>
    <n v="1488"/>
    <n v="310.2"/>
    <n v="4.2"/>
    <n v="79"/>
    <x v="2"/>
    <n v="42"/>
    <n v="2.4300000000000002"/>
    <n v="4"/>
    <x v="1"/>
  </r>
  <r>
    <n v="1011"/>
    <d v="2016-12-17T00:00:00"/>
    <x v="15"/>
    <s v="Female"/>
    <n v="184.3"/>
    <n v="87.3"/>
    <n v="19206"/>
    <n v="867.5"/>
    <n v="8.6"/>
    <n v="78"/>
    <x v="2"/>
    <n v="84"/>
    <n v="2.46"/>
    <n v="7"/>
    <x v="1"/>
  </r>
  <r>
    <n v="1606"/>
    <d v="2016-12-18T00:00:00"/>
    <x v="22"/>
    <s v="Male"/>
    <n v="167.7"/>
    <n v="76.8"/>
    <n v="6622"/>
    <n v="501.6"/>
    <n v="9.3000000000000007"/>
    <n v="64"/>
    <x v="4"/>
    <n v="66"/>
    <n v="2.77"/>
    <n v="6"/>
    <x v="2"/>
  </r>
  <r>
    <n v="1301"/>
    <d v="2016-12-19T00:00:00"/>
    <x v="32"/>
    <s v="Female"/>
    <n v="174.5"/>
    <n v="84.8"/>
    <n v="4774"/>
    <n v="467.1"/>
    <n v="7"/>
    <n v="83"/>
    <x v="2"/>
    <n v="80"/>
    <n v="2.17"/>
    <n v="8"/>
    <x v="0"/>
  </r>
  <r>
    <n v="1897"/>
    <d v="2016-12-20T00:00:00"/>
    <x v="2"/>
    <s v="Female"/>
    <n v="179.9"/>
    <n v="76.7"/>
    <n v="7446"/>
    <n v="488.5"/>
    <n v="8.1"/>
    <n v="82"/>
    <x v="2"/>
    <n v="65"/>
    <n v="2.81"/>
    <n v="6"/>
    <x v="1"/>
  </r>
  <r>
    <n v="1252"/>
    <d v="2016-12-21T00:00:00"/>
    <x v="20"/>
    <s v="Female"/>
    <n v="162.5"/>
    <n v="69.400000000000006"/>
    <n v="9572"/>
    <n v="590.29999999999995"/>
    <n v="4.8"/>
    <n v="79"/>
    <x v="2"/>
    <n v="23"/>
    <n v="3.3"/>
    <n v="2"/>
    <x v="0"/>
  </r>
  <r>
    <n v="1498"/>
    <d v="2016-12-22T00:00:00"/>
    <x v="15"/>
    <s v="Male"/>
    <n v="160.9"/>
    <n v="71.099999999999994"/>
    <n v="8833"/>
    <n v="537.4"/>
    <n v="6.8"/>
    <n v="64"/>
    <x v="1"/>
    <n v="50"/>
    <n v="3.39"/>
    <n v="1"/>
    <x v="0"/>
  </r>
  <r>
    <n v="1753"/>
    <d v="2016-12-23T00:00:00"/>
    <x v="23"/>
    <s v="Male"/>
    <n v="162.80000000000001"/>
    <n v="69.099999999999994"/>
    <n v="11258"/>
    <n v="676.3"/>
    <n v="6.1"/>
    <n v="68"/>
    <x v="4"/>
    <n v="23"/>
    <n v="2.31"/>
    <n v="5"/>
    <x v="2"/>
  </r>
  <r>
    <n v="1034"/>
    <d v="2016-12-24T00:00:00"/>
    <x v="19"/>
    <s v="Male"/>
    <n v="166.5"/>
    <n v="50.7"/>
    <n v="13416"/>
    <n v="788.3"/>
    <n v="7.6"/>
    <n v="78"/>
    <x v="4"/>
    <n v="48"/>
    <n v="2.93"/>
    <n v="10"/>
    <x v="2"/>
  </r>
  <r>
    <n v="1726"/>
    <d v="2016-12-25T00:00:00"/>
    <x v="16"/>
    <s v="Male"/>
    <n v="161.30000000000001"/>
    <n v="55"/>
    <n v="5887"/>
    <n v="375.9"/>
    <n v="3"/>
    <n v="80"/>
    <x v="3"/>
    <n v="63"/>
    <n v="1.7"/>
    <n v="10"/>
    <x v="0"/>
  </r>
  <r>
    <n v="1848"/>
    <d v="2016-12-26T00:00:00"/>
    <x v="41"/>
    <s v="Female"/>
    <n v="163.19999999999999"/>
    <n v="81.099999999999994"/>
    <n v="17605"/>
    <n v="868.9"/>
    <n v="6.5"/>
    <n v="65"/>
    <x v="0"/>
    <n v="0"/>
    <n v="1.99"/>
    <n v="9"/>
    <x v="0"/>
  </r>
  <r>
    <n v="1089"/>
    <d v="2016-12-27T00:00:00"/>
    <x v="36"/>
    <s v="Female"/>
    <n v="178.8"/>
    <n v="51.1"/>
    <n v="16684"/>
    <n v="872.4"/>
    <n v="7.9"/>
    <n v="92"/>
    <x v="4"/>
    <n v="78"/>
    <n v="1.68"/>
    <n v="2"/>
    <x v="1"/>
  </r>
  <r>
    <n v="1775"/>
    <d v="2016-12-28T00:00:00"/>
    <x v="9"/>
    <s v="Male"/>
    <n v="169"/>
    <n v="63.9"/>
    <n v="1617"/>
    <n v="280.2"/>
    <n v="7.4"/>
    <n v="73"/>
    <x v="5"/>
    <n v="72"/>
    <n v="2.4700000000000002"/>
    <n v="7"/>
    <x v="1"/>
  </r>
  <r>
    <n v="1604"/>
    <d v="2016-12-29T00:00:00"/>
    <x v="19"/>
    <s v="Female"/>
    <n v="173.1"/>
    <n v="54.2"/>
    <n v="14636"/>
    <n v="805.8"/>
    <n v="8.1999999999999993"/>
    <n v="84"/>
    <x v="4"/>
    <n v="30"/>
    <n v="1.9"/>
    <n v="9"/>
    <x v="1"/>
  </r>
  <r>
    <n v="1921"/>
    <d v="2016-12-30T00:00:00"/>
    <x v="15"/>
    <s v="Female"/>
    <n v="164.5"/>
    <n v="63.1"/>
    <n v="3570"/>
    <n v="333.2"/>
    <n v="6.1"/>
    <n v="62"/>
    <x v="5"/>
    <n v="25"/>
    <n v="1.44"/>
    <n v="4"/>
    <x v="0"/>
  </r>
  <r>
    <n v="1969"/>
    <d v="2016-12-31T00:00:00"/>
    <x v="12"/>
    <s v="Male"/>
    <n v="163.80000000000001"/>
    <n v="67.7"/>
    <n v="7309"/>
    <n v="448.3"/>
    <n v="3"/>
    <n v="77"/>
    <x v="2"/>
    <n v="66"/>
    <n v="2.23"/>
    <n v="4"/>
    <x v="2"/>
  </r>
  <r>
    <n v="1601"/>
    <d v="2017-01-01T00:00:00"/>
    <x v="6"/>
    <s v="Female"/>
    <n v="172.9"/>
    <n v="63.9"/>
    <n v="3790"/>
    <n v="400.9"/>
    <n v="8.6"/>
    <n v="62"/>
    <x v="0"/>
    <n v="0"/>
    <n v="1.29"/>
    <n v="10"/>
    <x v="0"/>
  </r>
  <r>
    <n v="1417"/>
    <d v="2017-01-02T00:00:00"/>
    <x v="25"/>
    <s v="Male"/>
    <n v="171.3"/>
    <n v="48.6"/>
    <n v="8826"/>
    <n v="492"/>
    <n v="8.1"/>
    <n v="76"/>
    <x v="5"/>
    <n v="87"/>
    <n v="3.43"/>
    <n v="5"/>
    <x v="1"/>
  </r>
  <r>
    <n v="1114"/>
    <d v="2017-01-03T00:00:00"/>
    <x v="2"/>
    <s v="Female"/>
    <n v="177.8"/>
    <n v="67.2"/>
    <n v="13134"/>
    <n v="700.7"/>
    <n v="9.4"/>
    <n v="79"/>
    <x v="0"/>
    <n v="0"/>
    <n v="2.11"/>
    <n v="6"/>
    <x v="1"/>
  </r>
  <r>
    <n v="1616"/>
    <d v="2017-01-04T00:00:00"/>
    <x v="18"/>
    <s v="Male"/>
    <n v="183"/>
    <n v="55.6"/>
    <n v="5054"/>
    <n v="403.1"/>
    <n v="7.1"/>
    <n v="80"/>
    <x v="0"/>
    <n v="0"/>
    <n v="3.19"/>
    <n v="7"/>
    <x v="2"/>
  </r>
  <r>
    <n v="1902"/>
    <d v="2017-01-05T00:00:00"/>
    <x v="24"/>
    <s v="Female"/>
    <n v="163.1"/>
    <n v="60.5"/>
    <n v="17090"/>
    <n v="900"/>
    <n v="7.6"/>
    <n v="67"/>
    <x v="1"/>
    <n v="62"/>
    <n v="2.16"/>
    <n v="9"/>
    <x v="0"/>
  </r>
  <r>
    <n v="1195"/>
    <d v="2017-01-06T00:00:00"/>
    <x v="29"/>
    <s v="Female"/>
    <n v="178.6"/>
    <n v="81.099999999999994"/>
    <n v="8681"/>
    <n v="532.6"/>
    <n v="10"/>
    <n v="57"/>
    <x v="0"/>
    <n v="0"/>
    <n v="1.66"/>
    <n v="6"/>
    <x v="1"/>
  </r>
  <r>
    <n v="1825"/>
    <d v="2017-01-07T00:00:00"/>
    <x v="32"/>
    <s v="Male"/>
    <n v="159.19999999999999"/>
    <n v="84.3"/>
    <n v="16569"/>
    <n v="900"/>
    <n v="4.2"/>
    <n v="78"/>
    <x v="2"/>
    <n v="48"/>
    <n v="3.32"/>
    <n v="3"/>
    <x v="2"/>
  </r>
  <r>
    <n v="1500"/>
    <d v="2017-01-08T00:00:00"/>
    <x v="23"/>
    <s v="Male"/>
    <n v="190.7"/>
    <n v="50.3"/>
    <n v="7508"/>
    <n v="562.9"/>
    <n v="7.7"/>
    <n v="71"/>
    <x v="5"/>
    <n v="37"/>
    <n v="2.56"/>
    <n v="2"/>
    <x v="1"/>
  </r>
  <r>
    <n v="1625"/>
    <d v="2017-01-09T00:00:00"/>
    <x v="37"/>
    <s v="Male"/>
    <n v="162.1"/>
    <n v="93.5"/>
    <n v="17608"/>
    <n v="873.2"/>
    <n v="8.8000000000000007"/>
    <n v="71"/>
    <x v="0"/>
    <n v="0"/>
    <n v="3.82"/>
    <n v="6"/>
    <x v="2"/>
  </r>
  <r>
    <n v="1492"/>
    <d v="2017-01-10T00:00:00"/>
    <x v="14"/>
    <s v="Male"/>
    <n v="176.9"/>
    <n v="62.3"/>
    <n v="11433"/>
    <n v="676.9"/>
    <n v="7.3"/>
    <n v="65"/>
    <x v="2"/>
    <n v="25"/>
    <n v="2.17"/>
    <n v="9"/>
    <x v="0"/>
  </r>
  <r>
    <n v="1074"/>
    <d v="2017-01-11T00:00:00"/>
    <x v="36"/>
    <s v="Female"/>
    <n v="159.1"/>
    <n v="61"/>
    <n v="13344"/>
    <n v="746.1"/>
    <n v="7.1"/>
    <n v="74"/>
    <x v="1"/>
    <n v="35"/>
    <n v="2.19"/>
    <n v="3"/>
    <x v="2"/>
  </r>
  <r>
    <n v="1412"/>
    <d v="2017-01-12T00:00:00"/>
    <x v="38"/>
    <s v="Female"/>
    <n v="168.5"/>
    <n v="56.6"/>
    <n v="12888"/>
    <n v="698.5"/>
    <n v="4.8"/>
    <n v="75"/>
    <x v="2"/>
    <n v="20"/>
    <n v="3.2"/>
    <n v="4"/>
    <x v="0"/>
  </r>
  <r>
    <n v="1375"/>
    <d v="2017-01-13T00:00:00"/>
    <x v="37"/>
    <s v="Male"/>
    <n v="185.5"/>
    <n v="70.8"/>
    <n v="4827"/>
    <n v="297.8"/>
    <n v="9.1999999999999993"/>
    <n v="85"/>
    <x v="2"/>
    <n v="41"/>
    <n v="3.21"/>
    <n v="3"/>
    <x v="0"/>
  </r>
  <r>
    <n v="1419"/>
    <d v="2017-01-14T00:00:00"/>
    <x v="34"/>
    <s v="Female"/>
    <n v="161.80000000000001"/>
    <n v="99.7"/>
    <n v="18787"/>
    <n v="900"/>
    <n v="8.6"/>
    <n v="55"/>
    <x v="4"/>
    <n v="65"/>
    <n v="2.61"/>
    <n v="7"/>
    <x v="1"/>
  </r>
  <r>
    <n v="1728"/>
    <d v="2017-01-15T00:00:00"/>
    <x v="23"/>
    <s v="Male"/>
    <n v="192"/>
    <n v="46.9"/>
    <n v="17257"/>
    <n v="900"/>
    <n v="8.9"/>
    <n v="61"/>
    <x v="3"/>
    <n v="81"/>
    <n v="4.83"/>
    <n v="4"/>
    <x v="0"/>
  </r>
  <r>
    <n v="1276"/>
    <d v="2017-01-16T00:00:00"/>
    <x v="6"/>
    <s v="Male"/>
    <n v="169.9"/>
    <n v="45"/>
    <n v="17793"/>
    <n v="900"/>
    <n v="7"/>
    <n v="79"/>
    <x v="5"/>
    <n v="42"/>
    <n v="2.2999999999999998"/>
    <n v="6"/>
    <x v="1"/>
  </r>
  <r>
    <n v="1760"/>
    <d v="2017-01-17T00:00:00"/>
    <x v="14"/>
    <s v="Female"/>
    <n v="179.8"/>
    <n v="74"/>
    <n v="2916"/>
    <n v="299.89999999999998"/>
    <n v="6.5"/>
    <n v="53"/>
    <x v="3"/>
    <n v="40"/>
    <n v="1.61"/>
    <n v="6"/>
    <x v="1"/>
  </r>
  <r>
    <n v="1675"/>
    <d v="2017-01-18T00:00:00"/>
    <x v="8"/>
    <s v="Female"/>
    <n v="174"/>
    <n v="78.5"/>
    <n v="3859"/>
    <n v="321"/>
    <n v="7"/>
    <n v="67"/>
    <x v="1"/>
    <n v="70"/>
    <n v="1.8"/>
    <n v="9"/>
    <x v="0"/>
  </r>
  <r>
    <n v="1393"/>
    <d v="2017-01-19T00:00:00"/>
    <x v="3"/>
    <s v="Male"/>
    <n v="174.6"/>
    <n v="70.8"/>
    <n v="8072"/>
    <n v="477.2"/>
    <n v="9.5"/>
    <n v="98"/>
    <x v="1"/>
    <n v="57"/>
    <n v="2.31"/>
    <n v="5"/>
    <x v="2"/>
  </r>
  <r>
    <n v="1868"/>
    <d v="2017-01-20T00:00:00"/>
    <x v="29"/>
    <s v="Male"/>
    <n v="155.69999999999999"/>
    <n v="78.900000000000006"/>
    <n v="16523"/>
    <n v="711"/>
    <n v="6.6"/>
    <n v="72"/>
    <x v="2"/>
    <n v="47"/>
    <n v="3.56"/>
    <n v="7"/>
    <x v="0"/>
  </r>
  <r>
    <n v="1456"/>
    <d v="2017-01-21T00:00:00"/>
    <x v="9"/>
    <s v="Male"/>
    <n v="165.3"/>
    <n v="53"/>
    <n v="3051"/>
    <n v="301.8"/>
    <n v="9.1999999999999993"/>
    <n v="82"/>
    <x v="3"/>
    <n v="63"/>
    <n v="2.37"/>
    <n v="1"/>
    <x v="0"/>
  </r>
  <r>
    <n v="1919"/>
    <d v="2017-01-22T00:00:00"/>
    <x v="17"/>
    <s v="Female"/>
    <n v="182"/>
    <n v="55.8"/>
    <n v="9214"/>
    <n v="706.9"/>
    <n v="6.8"/>
    <n v="58"/>
    <x v="5"/>
    <n v="58"/>
    <n v="3.6"/>
    <n v="8"/>
    <x v="2"/>
  </r>
  <r>
    <n v="1191"/>
    <d v="2017-01-23T00:00:00"/>
    <x v="8"/>
    <s v="Female"/>
    <n v="166.6"/>
    <n v="71.900000000000006"/>
    <n v="3968"/>
    <n v="422.3"/>
    <n v="5.7"/>
    <n v="82"/>
    <x v="5"/>
    <n v="61"/>
    <n v="2.8"/>
    <n v="2"/>
    <x v="1"/>
  </r>
  <r>
    <n v="1738"/>
    <d v="2017-01-24T00:00:00"/>
    <x v="22"/>
    <s v="Female"/>
    <n v="171.4"/>
    <n v="96.4"/>
    <n v="9936"/>
    <n v="547.79999999999995"/>
    <n v="3.9"/>
    <n v="71"/>
    <x v="2"/>
    <n v="61"/>
    <n v="3.26"/>
    <n v="4"/>
    <x v="1"/>
  </r>
  <r>
    <n v="1688"/>
    <d v="2017-01-25T00:00:00"/>
    <x v="33"/>
    <s v="Female"/>
    <n v="154.5"/>
    <n v="78.400000000000006"/>
    <n v="1601"/>
    <n v="238.3"/>
    <n v="7.9"/>
    <n v="78"/>
    <x v="5"/>
    <n v="79"/>
    <n v="2.77"/>
    <n v="10"/>
    <x v="0"/>
  </r>
  <r>
    <n v="1098"/>
    <d v="2017-01-26T00:00:00"/>
    <x v="3"/>
    <s v="Male"/>
    <n v="164.6"/>
    <n v="79.099999999999994"/>
    <n v="16451"/>
    <n v="832"/>
    <n v="8.1999999999999993"/>
    <n v="80"/>
    <x v="4"/>
    <n v="76"/>
    <n v="2.77"/>
    <n v="7"/>
    <x v="2"/>
  </r>
  <r>
    <n v="1547"/>
    <d v="2017-01-27T00:00:00"/>
    <x v="0"/>
    <s v="Male"/>
    <n v="181.2"/>
    <n v="53.9"/>
    <n v="14257"/>
    <n v="840.2"/>
    <n v="5.3"/>
    <n v="70"/>
    <x v="3"/>
    <n v="26"/>
    <n v="3.03"/>
    <n v="6"/>
    <x v="2"/>
  </r>
  <r>
    <n v="1977"/>
    <d v="2017-01-28T00:00:00"/>
    <x v="31"/>
    <s v="Male"/>
    <n v="157.19999999999999"/>
    <n v="76.3"/>
    <n v="6274"/>
    <n v="562.20000000000005"/>
    <n v="9.1999999999999993"/>
    <n v="80"/>
    <x v="1"/>
    <n v="70"/>
    <n v="2.1"/>
    <n v="4"/>
    <x v="2"/>
  </r>
  <r>
    <n v="1998"/>
    <d v="2017-01-29T00:00:00"/>
    <x v="20"/>
    <s v="Male"/>
    <n v="177.2"/>
    <n v="52.3"/>
    <n v="19226"/>
    <n v="900"/>
    <n v="4.9000000000000004"/>
    <n v="63"/>
    <x v="5"/>
    <n v="51"/>
    <n v="2.11"/>
    <n v="8"/>
    <x v="2"/>
  </r>
  <r>
    <n v="1095"/>
    <d v="2017-01-30T00:00:00"/>
    <x v="41"/>
    <s v="Male"/>
    <n v="171.8"/>
    <n v="96.5"/>
    <n v="11866"/>
    <n v="687.8"/>
    <n v="8.1"/>
    <n v="75"/>
    <x v="5"/>
    <n v="26"/>
    <n v="2.74"/>
    <n v="7"/>
    <x v="0"/>
  </r>
  <r>
    <n v="1663"/>
    <d v="2017-01-31T00:00:00"/>
    <x v="21"/>
    <s v="Male"/>
    <n v="167.6"/>
    <n v="54.8"/>
    <n v="13368"/>
    <n v="760.7"/>
    <n v="8.1"/>
    <n v="80"/>
    <x v="5"/>
    <n v="59"/>
    <n v="3.86"/>
    <n v="6"/>
    <x v="0"/>
  </r>
  <r>
    <n v="1662"/>
    <d v="2017-02-01T00:00:00"/>
    <x v="10"/>
    <s v="Female"/>
    <n v="167.2"/>
    <n v="58.1"/>
    <n v="9674"/>
    <n v="586.20000000000005"/>
    <n v="8.6"/>
    <n v="69"/>
    <x v="2"/>
    <n v="34"/>
    <n v="1.42"/>
    <n v="5"/>
    <x v="1"/>
  </r>
  <r>
    <n v="1189"/>
    <d v="2017-02-02T00:00:00"/>
    <x v="28"/>
    <s v="Female"/>
    <n v="165.1"/>
    <n v="47.9"/>
    <n v="16462"/>
    <n v="872.6"/>
    <n v="4"/>
    <n v="65"/>
    <x v="1"/>
    <n v="78"/>
    <n v="1.08"/>
    <n v="5"/>
    <x v="2"/>
  </r>
  <r>
    <n v="1735"/>
    <d v="2017-02-03T00:00:00"/>
    <x v="2"/>
    <s v="Male"/>
    <n v="166"/>
    <n v="71.3"/>
    <n v="12503"/>
    <n v="702.5"/>
    <n v="8.6"/>
    <n v="70"/>
    <x v="3"/>
    <n v="31"/>
    <n v="2.3199999999999998"/>
    <n v="7"/>
    <x v="0"/>
  </r>
  <r>
    <n v="1036"/>
    <d v="2017-02-04T00:00:00"/>
    <x v="30"/>
    <s v="Male"/>
    <n v="179.3"/>
    <n v="70.7"/>
    <n v="16624"/>
    <n v="888.9"/>
    <n v="6.8"/>
    <n v="86"/>
    <x v="5"/>
    <n v="61"/>
    <n v="3.22"/>
    <n v="6"/>
    <x v="0"/>
  </r>
  <r>
    <n v="1779"/>
    <d v="2017-02-05T00:00:00"/>
    <x v="11"/>
    <s v="Female"/>
    <n v="165.7"/>
    <n v="92.7"/>
    <n v="15370"/>
    <n v="714.7"/>
    <n v="6.5"/>
    <n v="84"/>
    <x v="4"/>
    <n v="58"/>
    <n v="2.54"/>
    <n v="4"/>
    <x v="2"/>
  </r>
  <r>
    <n v="1368"/>
    <d v="2017-02-06T00:00:00"/>
    <x v="34"/>
    <s v="Female"/>
    <n v="188.1"/>
    <n v="81.599999999999994"/>
    <n v="6368"/>
    <n v="430.7"/>
    <n v="8.1999999999999993"/>
    <n v="82"/>
    <x v="0"/>
    <n v="0"/>
    <n v="1.68"/>
    <n v="7"/>
    <x v="2"/>
  </r>
  <r>
    <n v="1694"/>
    <d v="2017-02-07T00:00:00"/>
    <x v="41"/>
    <s v="Female"/>
    <n v="173"/>
    <n v="58.1"/>
    <n v="13567"/>
    <n v="683.5"/>
    <n v="8.4"/>
    <n v="90"/>
    <x v="2"/>
    <n v="21"/>
    <n v="2.56"/>
    <n v="5"/>
    <x v="1"/>
  </r>
  <r>
    <n v="1524"/>
    <d v="2017-02-08T00:00:00"/>
    <x v="1"/>
    <s v="Female"/>
    <n v="164.2"/>
    <n v="83.1"/>
    <n v="4825"/>
    <n v="427.5"/>
    <n v="4"/>
    <n v="75"/>
    <x v="3"/>
    <n v="48"/>
    <n v="1.29"/>
    <n v="7"/>
    <x v="2"/>
  </r>
  <r>
    <n v="1278"/>
    <d v="2017-02-09T00:00:00"/>
    <x v="40"/>
    <s v="Male"/>
    <n v="179.7"/>
    <n v="51.3"/>
    <n v="11391"/>
    <n v="616.4"/>
    <n v="5.0999999999999996"/>
    <n v="77"/>
    <x v="5"/>
    <n v="80"/>
    <n v="2.94"/>
    <n v="7"/>
    <x v="1"/>
  </r>
  <r>
    <n v="1216"/>
    <d v="2017-02-10T00:00:00"/>
    <x v="17"/>
    <s v="Male"/>
    <n v="176.2"/>
    <n v="59.2"/>
    <n v="10874"/>
    <n v="556.70000000000005"/>
    <n v="8.8000000000000007"/>
    <n v="55"/>
    <x v="3"/>
    <n v="48"/>
    <n v="2.2799999999999998"/>
    <n v="2"/>
    <x v="1"/>
  </r>
  <r>
    <n v="1866"/>
    <d v="2017-02-11T00:00:00"/>
    <x v="16"/>
    <s v="Male"/>
    <n v="153.5"/>
    <n v="71.8"/>
    <n v="4608"/>
    <n v="294.89999999999998"/>
    <n v="7.7"/>
    <n v="66"/>
    <x v="2"/>
    <n v="57"/>
    <n v="2.44"/>
    <n v="4"/>
    <x v="2"/>
  </r>
  <r>
    <n v="1872"/>
    <d v="2017-02-12T00:00:00"/>
    <x v="2"/>
    <s v="Male"/>
    <n v="159.69999999999999"/>
    <n v="53"/>
    <n v="7878"/>
    <n v="537.6"/>
    <n v="7.3"/>
    <n v="80"/>
    <x v="0"/>
    <n v="0"/>
    <n v="2.8"/>
    <n v="10"/>
    <x v="2"/>
  </r>
  <r>
    <n v="1797"/>
    <d v="2017-02-13T00:00:00"/>
    <x v="18"/>
    <s v="Male"/>
    <n v="168.8"/>
    <n v="86"/>
    <n v="2018"/>
    <n v="234.3"/>
    <n v="5.5"/>
    <n v="84"/>
    <x v="4"/>
    <n v="49"/>
    <n v="2.64"/>
    <n v="4"/>
    <x v="0"/>
  </r>
  <r>
    <n v="1272"/>
    <d v="2017-02-14T00:00:00"/>
    <x v="11"/>
    <s v="Female"/>
    <n v="154.19999999999999"/>
    <n v="104.2"/>
    <n v="18695"/>
    <n v="900"/>
    <n v="7.7"/>
    <n v="62"/>
    <x v="5"/>
    <n v="75"/>
    <n v="2.12"/>
    <n v="7"/>
    <x v="2"/>
  </r>
  <r>
    <n v="1880"/>
    <d v="2017-02-15T00:00:00"/>
    <x v="18"/>
    <s v="Male"/>
    <n v="190.9"/>
    <n v="65.599999999999994"/>
    <n v="10610"/>
    <n v="703.5"/>
    <n v="8.8000000000000007"/>
    <n v="74"/>
    <x v="4"/>
    <n v="55"/>
    <n v="3.22"/>
    <n v="8"/>
    <x v="2"/>
  </r>
  <r>
    <n v="1061"/>
    <d v="2017-02-16T00:00:00"/>
    <x v="19"/>
    <s v="Female"/>
    <n v="178.2"/>
    <n v="60.2"/>
    <n v="3500"/>
    <n v="358.8"/>
    <n v="10"/>
    <n v="97"/>
    <x v="2"/>
    <n v="61"/>
    <n v="3.06"/>
    <n v="1"/>
    <x v="1"/>
  </r>
  <r>
    <n v="1595"/>
    <d v="2017-02-17T00:00:00"/>
    <x v="22"/>
    <s v="Male"/>
    <n v="169.9"/>
    <n v="68.099999999999994"/>
    <n v="3667"/>
    <n v="321.2"/>
    <n v="6.5"/>
    <n v="74"/>
    <x v="4"/>
    <n v="23"/>
    <n v="1.26"/>
    <n v="7"/>
    <x v="2"/>
  </r>
  <r>
    <n v="1879"/>
    <d v="2017-02-18T00:00:00"/>
    <x v="2"/>
    <s v="Male"/>
    <n v="166.6"/>
    <n v="61.6"/>
    <n v="10578"/>
    <n v="564.4"/>
    <n v="8.3000000000000007"/>
    <n v="89"/>
    <x v="2"/>
    <n v="24"/>
    <n v="2.34"/>
    <n v="6"/>
    <x v="0"/>
  </r>
  <r>
    <n v="1728"/>
    <d v="2017-02-19T00:00:00"/>
    <x v="38"/>
    <s v="Male"/>
    <n v="164"/>
    <n v="73.900000000000006"/>
    <n v="6230"/>
    <n v="470.9"/>
    <n v="9.8000000000000007"/>
    <n v="78"/>
    <x v="0"/>
    <n v="0"/>
    <n v="1.74"/>
    <n v="10"/>
    <x v="0"/>
  </r>
  <r>
    <n v="1341"/>
    <d v="2017-02-20T00:00:00"/>
    <x v="26"/>
    <s v="Male"/>
    <n v="150.4"/>
    <n v="50.2"/>
    <n v="11255"/>
    <n v="643.70000000000005"/>
    <n v="4.8"/>
    <n v="81"/>
    <x v="4"/>
    <n v="21"/>
    <n v="1.61"/>
    <n v="1"/>
    <x v="2"/>
  </r>
  <r>
    <n v="1396"/>
    <d v="2017-02-21T00:00:00"/>
    <x v="8"/>
    <s v="Male"/>
    <n v="152.69999999999999"/>
    <n v="74.8"/>
    <n v="5834"/>
    <n v="462.3"/>
    <n v="9.6999999999999993"/>
    <n v="66"/>
    <x v="3"/>
    <n v="73"/>
    <n v="2.87"/>
    <n v="8"/>
    <x v="2"/>
  </r>
  <r>
    <n v="1698"/>
    <d v="2017-02-22T00:00:00"/>
    <x v="12"/>
    <s v="Female"/>
    <n v="189"/>
    <n v="98.7"/>
    <n v="2546"/>
    <n v="182.7"/>
    <n v="7.3"/>
    <n v="59"/>
    <x v="3"/>
    <n v="78"/>
    <n v="2.21"/>
    <n v="5"/>
    <x v="1"/>
  </r>
  <r>
    <n v="1018"/>
    <d v="2017-02-23T00:00:00"/>
    <x v="7"/>
    <s v="Female"/>
    <n v="185.7"/>
    <n v="45"/>
    <n v="16050"/>
    <n v="898.9"/>
    <n v="7.1"/>
    <n v="82"/>
    <x v="2"/>
    <n v="52"/>
    <n v="2.4"/>
    <n v="7"/>
    <x v="2"/>
  </r>
  <r>
    <n v="1176"/>
    <d v="2017-02-24T00:00:00"/>
    <x v="32"/>
    <s v="Female"/>
    <n v="164.2"/>
    <n v="52.5"/>
    <n v="16049"/>
    <n v="756.3"/>
    <n v="6.2"/>
    <n v="78"/>
    <x v="3"/>
    <n v="41"/>
    <n v="2.0299999999999998"/>
    <n v="8"/>
    <x v="1"/>
  </r>
  <r>
    <n v="1611"/>
    <d v="2017-02-25T00:00:00"/>
    <x v="27"/>
    <s v="Male"/>
    <n v="179.1"/>
    <n v="63.3"/>
    <n v="19529"/>
    <n v="900"/>
    <n v="6.5"/>
    <n v="76"/>
    <x v="0"/>
    <n v="0"/>
    <n v="2.76"/>
    <n v="7"/>
    <x v="2"/>
  </r>
  <r>
    <n v="1395"/>
    <d v="2017-02-26T00:00:00"/>
    <x v="26"/>
    <s v="Male"/>
    <n v="175.1"/>
    <n v="78.099999999999994"/>
    <n v="19547"/>
    <n v="900"/>
    <n v="5.9"/>
    <n v="62"/>
    <x v="4"/>
    <n v="25"/>
    <n v="2.97"/>
    <n v="10"/>
    <x v="1"/>
  </r>
  <r>
    <n v="1444"/>
    <d v="2017-02-27T00:00:00"/>
    <x v="6"/>
    <s v="Female"/>
    <n v="176.2"/>
    <n v="83.4"/>
    <n v="16640"/>
    <n v="753.9"/>
    <n v="5.6"/>
    <n v="71"/>
    <x v="4"/>
    <n v="43"/>
    <n v="4.0199999999999996"/>
    <n v="1"/>
    <x v="0"/>
  </r>
  <r>
    <n v="1232"/>
    <d v="2017-02-28T00:00:00"/>
    <x v="40"/>
    <s v="Male"/>
    <n v="155.69999999999999"/>
    <n v="82.1"/>
    <n v="15284"/>
    <n v="807"/>
    <n v="7.7"/>
    <n v="69"/>
    <x v="5"/>
    <n v="68"/>
    <n v="2.37"/>
    <n v="6"/>
    <x v="2"/>
  </r>
  <r>
    <n v="1914"/>
    <d v="2017-03-01T00:00:00"/>
    <x v="39"/>
    <s v="Male"/>
    <n v="151.9"/>
    <n v="45"/>
    <n v="4423"/>
    <n v="363.2"/>
    <n v="8.6999999999999993"/>
    <n v="70"/>
    <x v="2"/>
    <n v="70"/>
    <n v="1.49"/>
    <n v="1"/>
    <x v="2"/>
  </r>
  <r>
    <n v="1075"/>
    <d v="2017-03-02T00:00:00"/>
    <x v="10"/>
    <s v="Female"/>
    <n v="181.8"/>
    <n v="59.9"/>
    <n v="3332"/>
    <n v="331.8"/>
    <n v="5.4"/>
    <n v="77"/>
    <x v="3"/>
    <n v="60"/>
    <n v="2.15"/>
    <n v="4"/>
    <x v="1"/>
  </r>
  <r>
    <n v="1264"/>
    <d v="2017-03-03T00:00:00"/>
    <x v="17"/>
    <s v="Male"/>
    <n v="150.19999999999999"/>
    <n v="56.5"/>
    <n v="7066"/>
    <n v="500.5"/>
    <n v="6"/>
    <n v="82"/>
    <x v="0"/>
    <n v="0"/>
    <n v="3.09"/>
    <n v="4"/>
    <x v="1"/>
  </r>
  <r>
    <n v="1454"/>
    <d v="2017-03-04T00:00:00"/>
    <x v="40"/>
    <s v="Female"/>
    <n v="168.5"/>
    <n v="69"/>
    <n v="19040"/>
    <n v="900"/>
    <n v="7.4"/>
    <n v="78"/>
    <x v="2"/>
    <n v="21"/>
    <n v="1.96"/>
    <n v="8"/>
    <x v="2"/>
  </r>
  <r>
    <n v="1795"/>
    <d v="2017-03-05T00:00:00"/>
    <x v="33"/>
    <s v="Male"/>
    <n v="166.3"/>
    <n v="70.3"/>
    <n v="7038"/>
    <n v="414.5"/>
    <n v="5.3"/>
    <n v="77"/>
    <x v="3"/>
    <n v="62"/>
    <n v="1.46"/>
    <n v="6"/>
    <x v="1"/>
  </r>
  <r>
    <n v="1717"/>
    <d v="2017-03-06T00:00:00"/>
    <x v="5"/>
    <s v="Female"/>
    <n v="165.4"/>
    <n v="49.5"/>
    <n v="9583"/>
    <n v="588.20000000000005"/>
    <n v="7.4"/>
    <n v="76"/>
    <x v="5"/>
    <n v="51"/>
    <n v="1.97"/>
    <n v="7"/>
    <x v="2"/>
  </r>
  <r>
    <n v="1734"/>
    <d v="2017-03-07T00:00:00"/>
    <x v="5"/>
    <s v="Male"/>
    <n v="173.1"/>
    <n v="63.4"/>
    <n v="6289"/>
    <n v="450.6"/>
    <n v="6.6"/>
    <n v="73"/>
    <x v="4"/>
    <n v="31"/>
    <n v="2.13"/>
    <n v="10"/>
    <x v="0"/>
  </r>
  <r>
    <n v="1383"/>
    <d v="2017-03-08T00:00:00"/>
    <x v="6"/>
    <s v="Male"/>
    <n v="163.19999999999999"/>
    <n v="78.7"/>
    <n v="1296"/>
    <n v="248.8"/>
    <n v="4.5"/>
    <n v="67"/>
    <x v="4"/>
    <n v="42"/>
    <n v="1.74"/>
    <n v="7"/>
    <x v="1"/>
  </r>
  <r>
    <n v="1563"/>
    <d v="2017-03-09T00:00:00"/>
    <x v="14"/>
    <s v="Female"/>
    <n v="174"/>
    <n v="60.6"/>
    <n v="18470"/>
    <n v="900"/>
    <n v="7.7"/>
    <n v="75"/>
    <x v="0"/>
    <n v="0"/>
    <n v="2.65"/>
    <n v="7"/>
    <x v="2"/>
  </r>
  <r>
    <n v="1850"/>
    <d v="2017-03-10T00:00:00"/>
    <x v="38"/>
    <s v="Male"/>
    <n v="171.4"/>
    <n v="67"/>
    <n v="6194"/>
    <n v="514.6"/>
    <n v="6.2"/>
    <n v="82"/>
    <x v="1"/>
    <n v="63"/>
    <n v="2.44"/>
    <n v="10"/>
    <x v="0"/>
  </r>
  <r>
    <n v="1505"/>
    <d v="2017-03-11T00:00:00"/>
    <x v="36"/>
    <s v="Male"/>
    <n v="191"/>
    <n v="95.5"/>
    <n v="6805"/>
    <n v="563.6"/>
    <n v="8.5"/>
    <n v="74"/>
    <x v="2"/>
    <n v="21"/>
    <n v="3.05"/>
    <n v="2"/>
    <x v="2"/>
  </r>
  <r>
    <n v="1366"/>
    <d v="2017-03-12T00:00:00"/>
    <x v="33"/>
    <s v="Female"/>
    <n v="156.1"/>
    <n v="99.9"/>
    <n v="13797"/>
    <n v="769.1"/>
    <n v="6.7"/>
    <n v="66"/>
    <x v="3"/>
    <n v="26"/>
    <n v="2.19"/>
    <n v="6"/>
    <x v="2"/>
  </r>
  <r>
    <n v="1143"/>
    <d v="2017-03-13T00:00:00"/>
    <x v="35"/>
    <s v="Male"/>
    <n v="170.3"/>
    <n v="45"/>
    <n v="17879"/>
    <n v="900"/>
    <n v="5.9"/>
    <n v="63"/>
    <x v="1"/>
    <n v="40"/>
    <n v="2.89"/>
    <n v="8"/>
    <x v="0"/>
  </r>
  <r>
    <n v="1884"/>
    <d v="2017-03-14T00:00:00"/>
    <x v="35"/>
    <s v="Female"/>
    <n v="174.3"/>
    <n v="71.7"/>
    <n v="3995"/>
    <n v="317"/>
    <n v="7"/>
    <n v="65"/>
    <x v="2"/>
    <n v="77"/>
    <n v="2.16"/>
    <n v="8"/>
    <x v="1"/>
  </r>
  <r>
    <n v="1068"/>
    <d v="2017-03-15T00:00:00"/>
    <x v="37"/>
    <s v="Male"/>
    <n v="167.4"/>
    <n v="113.8"/>
    <n v="17477"/>
    <n v="881.1"/>
    <n v="8.9"/>
    <n v="64"/>
    <x v="3"/>
    <n v="42"/>
    <n v="1.71"/>
    <n v="4"/>
    <x v="0"/>
  </r>
  <r>
    <n v="1098"/>
    <d v="2017-03-16T00:00:00"/>
    <x v="18"/>
    <s v="Male"/>
    <n v="156.6"/>
    <n v="77.2"/>
    <n v="13912"/>
    <n v="727.5"/>
    <n v="9.8000000000000007"/>
    <n v="104"/>
    <x v="5"/>
    <n v="79"/>
    <n v="2.12"/>
    <n v="7"/>
    <x v="2"/>
  </r>
  <r>
    <n v="1395"/>
    <d v="2017-03-17T00:00:00"/>
    <x v="35"/>
    <s v="Male"/>
    <n v="182.6"/>
    <n v="70.3"/>
    <n v="7393"/>
    <n v="470.9"/>
    <n v="7.9"/>
    <n v="66"/>
    <x v="2"/>
    <n v="44"/>
    <n v="1.37"/>
    <n v="9"/>
    <x v="0"/>
  </r>
  <r>
    <n v="1024"/>
    <d v="2017-03-18T00:00:00"/>
    <x v="32"/>
    <s v="Male"/>
    <n v="173.4"/>
    <n v="89.7"/>
    <n v="1720"/>
    <n v="270.89999999999998"/>
    <n v="6.1"/>
    <n v="75"/>
    <x v="3"/>
    <n v="54"/>
    <n v="3.75"/>
    <n v="8"/>
    <x v="2"/>
  </r>
  <r>
    <n v="1947"/>
    <d v="2017-03-19T00:00:00"/>
    <x v="41"/>
    <s v="Female"/>
    <n v="157.30000000000001"/>
    <n v="73.3"/>
    <n v="7325"/>
    <n v="503.2"/>
    <n v="7"/>
    <n v="74"/>
    <x v="4"/>
    <n v="64"/>
    <n v="2.6"/>
    <n v="2"/>
    <x v="0"/>
  </r>
  <r>
    <n v="1890"/>
    <d v="2017-03-20T00:00:00"/>
    <x v="35"/>
    <s v="Male"/>
    <n v="174.4"/>
    <n v="80.599999999999994"/>
    <n v="13554"/>
    <n v="763.7"/>
    <n v="6.9"/>
    <n v="89"/>
    <x v="2"/>
    <n v="26"/>
    <n v="1.94"/>
    <n v="8"/>
    <x v="1"/>
  </r>
  <r>
    <n v="1468"/>
    <d v="2017-03-21T00:00:00"/>
    <x v="17"/>
    <s v="Female"/>
    <n v="187"/>
    <n v="66.8"/>
    <n v="6099"/>
    <n v="531.20000000000005"/>
    <n v="6.8"/>
    <n v="79"/>
    <x v="3"/>
    <n v="88"/>
    <n v="2.2400000000000002"/>
    <n v="3"/>
    <x v="0"/>
  </r>
  <r>
    <n v="1483"/>
    <d v="2017-03-22T00:00:00"/>
    <x v="25"/>
    <s v="Male"/>
    <n v="169.6"/>
    <n v="73.099999999999994"/>
    <n v="13568"/>
    <n v="666.5"/>
    <n v="6.6"/>
    <n v="79"/>
    <x v="0"/>
    <n v="0"/>
    <n v="0.78"/>
    <n v="4"/>
    <x v="0"/>
  </r>
  <r>
    <n v="1564"/>
    <d v="2017-03-23T00:00:00"/>
    <x v="26"/>
    <s v="Male"/>
    <n v="170"/>
    <n v="76.400000000000006"/>
    <n v="5026"/>
    <n v="340.8"/>
    <n v="5.6"/>
    <n v="77"/>
    <x v="4"/>
    <n v="72"/>
    <n v="3.5"/>
    <n v="3"/>
    <x v="1"/>
  </r>
  <r>
    <n v="1150"/>
    <d v="2017-03-24T00:00:00"/>
    <x v="29"/>
    <s v="Male"/>
    <n v="185.7"/>
    <n v="83"/>
    <n v="13247"/>
    <n v="607.79999999999995"/>
    <n v="8.5"/>
    <n v="78"/>
    <x v="4"/>
    <n v="88"/>
    <n v="3.44"/>
    <n v="8"/>
    <x v="2"/>
  </r>
  <r>
    <n v="1143"/>
    <d v="2017-03-25T00:00:00"/>
    <x v="14"/>
    <s v="Male"/>
    <n v="160.30000000000001"/>
    <n v="63.5"/>
    <n v="6057"/>
    <n v="400.2"/>
    <n v="8.3000000000000007"/>
    <n v="78"/>
    <x v="1"/>
    <n v="44"/>
    <n v="2.58"/>
    <n v="4"/>
    <x v="0"/>
  </r>
  <r>
    <n v="1568"/>
    <d v="2017-03-26T00:00:00"/>
    <x v="16"/>
    <s v="Female"/>
    <n v="187.3"/>
    <n v="63.1"/>
    <n v="18490"/>
    <n v="900"/>
    <n v="7"/>
    <n v="69"/>
    <x v="3"/>
    <n v="21"/>
    <n v="2.72"/>
    <n v="1"/>
    <x v="2"/>
  </r>
  <r>
    <n v="1038"/>
    <d v="2017-03-27T00:00:00"/>
    <x v="10"/>
    <s v="Female"/>
    <n v="179.7"/>
    <n v="45"/>
    <n v="6305"/>
    <n v="417.3"/>
    <n v="8.9"/>
    <n v="66"/>
    <x v="1"/>
    <n v="80"/>
    <n v="1.61"/>
    <n v="9"/>
    <x v="0"/>
  </r>
  <r>
    <n v="1108"/>
    <d v="2017-03-28T00:00:00"/>
    <x v="10"/>
    <s v="Female"/>
    <n v="160.80000000000001"/>
    <n v="64.2"/>
    <n v="12914"/>
    <n v="659.6"/>
    <n v="7.9"/>
    <n v="76"/>
    <x v="0"/>
    <n v="0"/>
    <n v="1.66"/>
    <n v="9"/>
    <x v="1"/>
  </r>
  <r>
    <n v="1692"/>
    <d v="2017-03-29T00:00:00"/>
    <x v="20"/>
    <s v="Female"/>
    <n v="163.30000000000001"/>
    <n v="84.3"/>
    <n v="7674"/>
    <n v="511.4"/>
    <n v="5.3"/>
    <n v="70"/>
    <x v="1"/>
    <n v="70"/>
    <n v="1.31"/>
    <n v="1"/>
    <x v="0"/>
  </r>
  <r>
    <n v="1041"/>
    <d v="2017-03-30T00:00:00"/>
    <x v="25"/>
    <s v="Male"/>
    <n v="164.8"/>
    <n v="76.900000000000006"/>
    <n v="10563"/>
    <n v="603.20000000000005"/>
    <n v="6.5"/>
    <n v="77"/>
    <x v="5"/>
    <n v="21"/>
    <n v="2.39"/>
    <n v="8"/>
    <x v="2"/>
  </r>
  <r>
    <n v="1185"/>
    <d v="2017-03-31T00:00:00"/>
    <x v="11"/>
    <s v="Female"/>
    <n v="151.69999999999999"/>
    <n v="55"/>
    <n v="16316"/>
    <n v="808.4"/>
    <n v="9.1999999999999993"/>
    <n v="64"/>
    <x v="1"/>
    <n v="64"/>
    <n v="3.24"/>
    <n v="2"/>
    <x v="2"/>
  </r>
  <r>
    <n v="1934"/>
    <d v="2017-04-01T00:00:00"/>
    <x v="29"/>
    <s v="Female"/>
    <n v="172.6"/>
    <n v="45"/>
    <n v="17217"/>
    <n v="896.2"/>
    <n v="6.5"/>
    <n v="60"/>
    <x v="1"/>
    <n v="51"/>
    <n v="2.23"/>
    <n v="7"/>
    <x v="1"/>
  </r>
  <r>
    <n v="1397"/>
    <d v="2017-04-02T00:00:00"/>
    <x v="35"/>
    <s v="Male"/>
    <n v="161.19999999999999"/>
    <n v="67.900000000000006"/>
    <n v="3005"/>
    <n v="291.5"/>
    <n v="6"/>
    <n v="62"/>
    <x v="5"/>
    <n v="51"/>
    <n v="2.74"/>
    <n v="1"/>
    <x v="2"/>
  </r>
  <r>
    <n v="1222"/>
    <d v="2017-04-03T00:00:00"/>
    <x v="33"/>
    <s v="Male"/>
    <n v="173"/>
    <n v="83.9"/>
    <n v="13741"/>
    <n v="807.5"/>
    <n v="8.1"/>
    <n v="74"/>
    <x v="5"/>
    <n v="27"/>
    <n v="3.19"/>
    <n v="6"/>
    <x v="1"/>
  </r>
  <r>
    <n v="1633"/>
    <d v="2017-04-04T00:00:00"/>
    <x v="34"/>
    <s v="Male"/>
    <n v="157.1"/>
    <n v="62.8"/>
    <n v="15602"/>
    <n v="815.9"/>
    <n v="6.6"/>
    <n v="59"/>
    <x v="2"/>
    <n v="39"/>
    <n v="1.36"/>
    <n v="10"/>
    <x v="1"/>
  </r>
  <r>
    <n v="1132"/>
    <d v="2017-04-05T00:00:00"/>
    <x v="29"/>
    <s v="Male"/>
    <n v="179.2"/>
    <n v="48.3"/>
    <n v="13603"/>
    <n v="726.6"/>
    <n v="7.8"/>
    <n v="94"/>
    <x v="1"/>
    <n v="84"/>
    <n v="3.79"/>
    <n v="10"/>
    <x v="2"/>
  </r>
  <r>
    <n v="1162"/>
    <d v="2017-04-06T00:00:00"/>
    <x v="36"/>
    <s v="Female"/>
    <n v="177.4"/>
    <n v="61.2"/>
    <n v="14987"/>
    <n v="812.6"/>
    <n v="6.9"/>
    <n v="95"/>
    <x v="4"/>
    <n v="40"/>
    <n v="3.31"/>
    <n v="8"/>
    <x v="2"/>
  </r>
  <r>
    <n v="1214"/>
    <d v="2017-04-07T00:00:00"/>
    <x v="2"/>
    <s v="Female"/>
    <n v="162.9"/>
    <n v="74.900000000000006"/>
    <n v="18147"/>
    <n v="825.6"/>
    <n v="5.8"/>
    <n v="84"/>
    <x v="5"/>
    <n v="26"/>
    <n v="2.86"/>
    <n v="6"/>
    <x v="1"/>
  </r>
  <r>
    <n v="1732"/>
    <d v="2017-04-08T00:00:00"/>
    <x v="34"/>
    <s v="Male"/>
    <n v="173.6"/>
    <n v="88.6"/>
    <n v="14543"/>
    <n v="842.4"/>
    <n v="6"/>
    <n v="71"/>
    <x v="3"/>
    <n v="28"/>
    <n v="3.15"/>
    <n v="9"/>
    <x v="2"/>
  </r>
  <r>
    <n v="1234"/>
    <d v="2017-04-09T00:00:00"/>
    <x v="5"/>
    <s v="Male"/>
    <n v="170.8"/>
    <n v="66.099999999999994"/>
    <n v="10144"/>
    <n v="645"/>
    <n v="4.5"/>
    <n v="70"/>
    <x v="2"/>
    <n v="21"/>
    <n v="3.18"/>
    <n v="1"/>
    <x v="1"/>
  </r>
  <r>
    <n v="1842"/>
    <d v="2017-04-10T00:00:00"/>
    <x v="23"/>
    <s v="Male"/>
    <n v="184.8"/>
    <n v="85.8"/>
    <n v="12114"/>
    <n v="644.9"/>
    <n v="5.3"/>
    <n v="78"/>
    <x v="2"/>
    <n v="38"/>
    <n v="2.7"/>
    <n v="9"/>
    <x v="0"/>
  </r>
  <r>
    <n v="1657"/>
    <d v="2017-04-11T00:00:00"/>
    <x v="22"/>
    <s v="Female"/>
    <n v="159.69999999999999"/>
    <n v="84.2"/>
    <n v="6691"/>
    <n v="411.1"/>
    <n v="7.9"/>
    <n v="81"/>
    <x v="1"/>
    <n v="79"/>
    <n v="3.5"/>
    <n v="3"/>
    <x v="2"/>
  </r>
  <r>
    <n v="1750"/>
    <d v="2017-04-12T00:00:00"/>
    <x v="33"/>
    <s v="Female"/>
    <n v="168.5"/>
    <n v="52.4"/>
    <n v="8059"/>
    <n v="471.9"/>
    <n v="8.8000000000000007"/>
    <n v="78"/>
    <x v="0"/>
    <n v="0"/>
    <n v="2.1800000000000002"/>
    <n v="2"/>
    <x v="2"/>
  </r>
  <r>
    <n v="1587"/>
    <d v="2017-04-13T00:00:00"/>
    <x v="41"/>
    <s v="Male"/>
    <n v="163.6"/>
    <n v="88.8"/>
    <n v="5479"/>
    <n v="348.7"/>
    <n v="6.1"/>
    <n v="62"/>
    <x v="4"/>
    <n v="78"/>
    <n v="2.82"/>
    <n v="8"/>
    <x v="1"/>
  </r>
  <r>
    <n v="1008"/>
    <d v="2017-04-14T00:00:00"/>
    <x v="18"/>
    <s v="Male"/>
    <n v="170.4"/>
    <n v="74.400000000000006"/>
    <n v="5198"/>
    <n v="323.10000000000002"/>
    <n v="4.9000000000000004"/>
    <n v="73"/>
    <x v="0"/>
    <n v="0"/>
    <n v="3.43"/>
    <n v="10"/>
    <x v="0"/>
  </r>
  <r>
    <n v="1073"/>
    <d v="2017-04-15T00:00:00"/>
    <x v="13"/>
    <s v="Female"/>
    <n v="175.3"/>
    <n v="51.9"/>
    <n v="10091"/>
    <n v="531.5"/>
    <n v="8.6999999999999993"/>
    <n v="80"/>
    <x v="0"/>
    <n v="0"/>
    <n v="0.62"/>
    <n v="5"/>
    <x v="0"/>
  </r>
  <r>
    <n v="1953"/>
    <d v="2017-04-16T00:00:00"/>
    <x v="6"/>
    <s v="Male"/>
    <n v="163.5"/>
    <n v="96.4"/>
    <n v="16068"/>
    <n v="710.4"/>
    <n v="8.8000000000000007"/>
    <n v="51"/>
    <x v="5"/>
    <n v="81"/>
    <n v="2.81"/>
    <n v="1"/>
    <x v="2"/>
  </r>
  <r>
    <n v="1491"/>
    <d v="2017-04-17T00:00:00"/>
    <x v="27"/>
    <s v="Male"/>
    <n v="166.4"/>
    <n v="68.099999999999994"/>
    <n v="5205"/>
    <n v="390"/>
    <n v="8.1"/>
    <n v="64"/>
    <x v="3"/>
    <n v="29"/>
    <n v="3.01"/>
    <n v="1"/>
    <x v="1"/>
  </r>
  <r>
    <n v="1912"/>
    <d v="2017-04-18T00:00:00"/>
    <x v="33"/>
    <s v="Female"/>
    <n v="179.7"/>
    <n v="45"/>
    <n v="4641"/>
    <n v="378.8"/>
    <n v="4.8"/>
    <n v="80"/>
    <x v="1"/>
    <n v="84"/>
    <n v="1.3"/>
    <n v="2"/>
    <x v="1"/>
  </r>
  <r>
    <n v="1252"/>
    <d v="2017-04-19T00:00:00"/>
    <x v="23"/>
    <s v="Male"/>
    <n v="183.6"/>
    <n v="59.4"/>
    <n v="4543"/>
    <n v="445.8"/>
    <n v="7.8"/>
    <n v="72"/>
    <x v="4"/>
    <n v="45"/>
    <n v="2.7"/>
    <n v="7"/>
    <x v="2"/>
  </r>
  <r>
    <n v="1229"/>
    <d v="2017-04-20T00:00:00"/>
    <x v="20"/>
    <s v="Female"/>
    <n v="174.9"/>
    <n v="55.7"/>
    <n v="16424"/>
    <n v="900"/>
    <n v="7.8"/>
    <n v="72"/>
    <x v="1"/>
    <n v="79"/>
    <n v="1.94"/>
    <n v="2"/>
    <x v="0"/>
  </r>
  <r>
    <n v="1518"/>
    <d v="2017-04-21T00:00:00"/>
    <x v="34"/>
    <s v="Male"/>
    <n v="168.6"/>
    <n v="59.8"/>
    <n v="6591"/>
    <n v="426.9"/>
    <n v="8.4"/>
    <n v="86"/>
    <x v="1"/>
    <n v="37"/>
    <n v="2.78"/>
    <n v="9"/>
    <x v="1"/>
  </r>
  <r>
    <n v="1173"/>
    <d v="2017-04-22T00:00:00"/>
    <x v="21"/>
    <s v="Male"/>
    <n v="167.7"/>
    <n v="63.3"/>
    <n v="12833"/>
    <n v="700.9"/>
    <n v="7.2"/>
    <n v="74"/>
    <x v="2"/>
    <n v="78"/>
    <n v="2.4300000000000002"/>
    <n v="6"/>
    <x v="1"/>
  </r>
  <r>
    <n v="1652"/>
    <d v="2017-04-23T00:00:00"/>
    <x v="0"/>
    <s v="Female"/>
    <n v="175.5"/>
    <n v="66.099999999999994"/>
    <n v="7116"/>
    <n v="539.79999999999995"/>
    <n v="5.9"/>
    <n v="70"/>
    <x v="0"/>
    <n v="0"/>
    <n v="1.84"/>
    <n v="4"/>
    <x v="2"/>
  </r>
  <r>
    <n v="1167"/>
    <d v="2017-04-24T00:00:00"/>
    <x v="28"/>
    <s v="Female"/>
    <n v="172.3"/>
    <n v="65.599999999999994"/>
    <n v="1761"/>
    <n v="248"/>
    <n v="6.4"/>
    <n v="72"/>
    <x v="3"/>
    <n v="65"/>
    <n v="3.28"/>
    <n v="4"/>
    <x v="2"/>
  </r>
  <r>
    <n v="1169"/>
    <d v="2017-04-25T00:00:00"/>
    <x v="40"/>
    <s v="Male"/>
    <n v="153.5"/>
    <n v="68.5"/>
    <n v="3407"/>
    <n v="344.8"/>
    <n v="8.8000000000000007"/>
    <n v="72"/>
    <x v="3"/>
    <n v="31"/>
    <n v="2.21"/>
    <n v="3"/>
    <x v="0"/>
  </r>
  <r>
    <n v="1392"/>
    <d v="2017-04-26T00:00:00"/>
    <x v="27"/>
    <s v="Female"/>
    <n v="175.7"/>
    <n v="78.8"/>
    <n v="1885"/>
    <n v="245.1"/>
    <n v="7.6"/>
    <n v="67"/>
    <x v="3"/>
    <n v="51"/>
    <n v="2.69"/>
    <n v="9"/>
    <x v="0"/>
  </r>
  <r>
    <n v="1945"/>
    <d v="2017-04-27T00:00:00"/>
    <x v="19"/>
    <s v="Male"/>
    <n v="161.4"/>
    <n v="58.8"/>
    <n v="3643"/>
    <n v="347.7"/>
    <n v="5"/>
    <n v="73"/>
    <x v="3"/>
    <n v="58"/>
    <n v="3.42"/>
    <n v="2"/>
    <x v="1"/>
  </r>
  <r>
    <n v="1794"/>
    <d v="2017-04-28T00:00:00"/>
    <x v="6"/>
    <s v="Male"/>
    <n v="155.80000000000001"/>
    <n v="87.7"/>
    <n v="12125"/>
    <n v="689.2"/>
    <n v="9.6"/>
    <n v="64"/>
    <x v="5"/>
    <n v="74"/>
    <n v="1.86"/>
    <n v="9"/>
    <x v="2"/>
  </r>
  <r>
    <n v="1633"/>
    <d v="2017-04-29T00:00:00"/>
    <x v="19"/>
    <s v="Female"/>
    <n v="153.30000000000001"/>
    <n v="51.6"/>
    <n v="2468"/>
    <n v="281.3"/>
    <n v="8.6999999999999993"/>
    <n v="72"/>
    <x v="5"/>
    <n v="74"/>
    <n v="2.5099999999999998"/>
    <n v="3"/>
    <x v="2"/>
  </r>
  <r>
    <n v="1193"/>
    <d v="2017-04-30T00:00:00"/>
    <x v="13"/>
    <s v="Male"/>
    <n v="167.8"/>
    <n v="79.2"/>
    <n v="14366"/>
    <n v="827.9"/>
    <n v="9.5"/>
    <n v="70"/>
    <x v="3"/>
    <n v="29"/>
    <n v="2.15"/>
    <n v="4"/>
    <x v="2"/>
  </r>
  <r>
    <n v="1516"/>
    <d v="2017-05-01T00:00:00"/>
    <x v="1"/>
    <s v="Male"/>
    <n v="159.80000000000001"/>
    <n v="94.6"/>
    <n v="8015"/>
    <n v="477.4"/>
    <n v="8.6999999999999993"/>
    <n v="77"/>
    <x v="4"/>
    <n v="54"/>
    <n v="2.31"/>
    <n v="9"/>
    <x v="0"/>
  </r>
  <r>
    <n v="1028"/>
    <d v="2017-05-02T00:00:00"/>
    <x v="0"/>
    <s v="Female"/>
    <n v="150"/>
    <n v="67.3"/>
    <n v="7323"/>
    <n v="498.7"/>
    <n v="5.6"/>
    <n v="90"/>
    <x v="5"/>
    <n v="25"/>
    <n v="4.01"/>
    <n v="3"/>
    <x v="0"/>
  </r>
  <r>
    <n v="1164"/>
    <d v="2017-05-03T00:00:00"/>
    <x v="31"/>
    <s v="Female"/>
    <n v="166.4"/>
    <n v="72.900000000000006"/>
    <n v="9935"/>
    <n v="686.6"/>
    <n v="7.5"/>
    <n v="78"/>
    <x v="5"/>
    <n v="87"/>
    <n v="2.82"/>
    <n v="6"/>
    <x v="1"/>
  </r>
  <r>
    <n v="1421"/>
    <d v="2017-05-04T00:00:00"/>
    <x v="29"/>
    <s v="Male"/>
    <n v="165.1"/>
    <n v="55.5"/>
    <n v="3428"/>
    <n v="352.7"/>
    <n v="7.9"/>
    <n v="76"/>
    <x v="4"/>
    <n v="81"/>
    <n v="2.72"/>
    <n v="5"/>
    <x v="2"/>
  </r>
  <r>
    <n v="1338"/>
    <d v="2017-05-05T00:00:00"/>
    <x v="20"/>
    <s v="Female"/>
    <n v="168.5"/>
    <n v="62.3"/>
    <n v="12685"/>
    <n v="667.6"/>
    <n v="5"/>
    <n v="77"/>
    <x v="3"/>
    <n v="28"/>
    <n v="2.87"/>
    <n v="6"/>
    <x v="0"/>
  </r>
  <r>
    <n v="1647"/>
    <d v="2017-05-06T00:00:00"/>
    <x v="37"/>
    <s v="Female"/>
    <n v="163.69999999999999"/>
    <n v="93.5"/>
    <n v="13738"/>
    <n v="766.9"/>
    <n v="5.2"/>
    <n v="66"/>
    <x v="1"/>
    <n v="48"/>
    <n v="2.8"/>
    <n v="5"/>
    <x v="2"/>
  </r>
  <r>
    <n v="1495"/>
    <d v="2017-05-07T00:00:00"/>
    <x v="6"/>
    <s v="Female"/>
    <n v="188.3"/>
    <n v="81.2"/>
    <n v="10308"/>
    <n v="733.9"/>
    <n v="8.1"/>
    <n v="82"/>
    <x v="5"/>
    <n v="25"/>
    <n v="1.22"/>
    <n v="3"/>
    <x v="0"/>
  </r>
  <r>
    <n v="1364"/>
    <d v="2017-05-08T00:00:00"/>
    <x v="31"/>
    <s v="Female"/>
    <n v="175.2"/>
    <n v="76.3"/>
    <n v="16879"/>
    <n v="877.1"/>
    <n v="8.1999999999999993"/>
    <n v="79"/>
    <x v="1"/>
    <n v="63"/>
    <n v="4.1100000000000003"/>
    <n v="2"/>
    <x v="2"/>
  </r>
  <r>
    <n v="1832"/>
    <d v="2017-05-09T00:00:00"/>
    <x v="23"/>
    <s v="Male"/>
    <n v="165"/>
    <n v="45"/>
    <n v="16772"/>
    <n v="900"/>
    <n v="10"/>
    <n v="75"/>
    <x v="1"/>
    <n v="83"/>
    <n v="1.47"/>
    <n v="10"/>
    <x v="1"/>
  </r>
  <r>
    <n v="1341"/>
    <d v="2017-05-10T00:00:00"/>
    <x v="39"/>
    <s v="Male"/>
    <n v="169.4"/>
    <n v="59.3"/>
    <n v="11633"/>
    <n v="665.6"/>
    <n v="6.6"/>
    <n v="79"/>
    <x v="4"/>
    <n v="86"/>
    <n v="3.71"/>
    <n v="9"/>
    <x v="0"/>
  </r>
  <r>
    <n v="1499"/>
    <d v="2017-05-11T00:00:00"/>
    <x v="39"/>
    <s v="Male"/>
    <n v="184.1"/>
    <n v="96.1"/>
    <n v="18738"/>
    <n v="900"/>
    <n v="4.5"/>
    <n v="78"/>
    <x v="3"/>
    <n v="63"/>
    <n v="2.93"/>
    <n v="4"/>
    <x v="0"/>
  </r>
  <r>
    <n v="1656"/>
    <d v="2017-05-12T00:00:00"/>
    <x v="21"/>
    <s v="Female"/>
    <n v="179.6"/>
    <n v="76.2"/>
    <n v="19864"/>
    <n v="900"/>
    <n v="6.8"/>
    <n v="78"/>
    <x v="0"/>
    <n v="0"/>
    <n v="2.63"/>
    <n v="10"/>
    <x v="1"/>
  </r>
  <r>
    <n v="1510"/>
    <d v="2017-05-13T00:00:00"/>
    <x v="19"/>
    <s v="Female"/>
    <n v="156"/>
    <n v="78"/>
    <n v="12193"/>
    <n v="636.79999999999995"/>
    <n v="8.3000000000000007"/>
    <n v="85"/>
    <x v="1"/>
    <n v="28"/>
    <n v="2.29"/>
    <n v="6"/>
    <x v="1"/>
  </r>
  <r>
    <n v="1326"/>
    <d v="2017-05-14T00:00:00"/>
    <x v="26"/>
    <s v="Female"/>
    <n v="160.30000000000001"/>
    <n v="72.599999999999994"/>
    <n v="18570"/>
    <n v="900"/>
    <n v="6.5"/>
    <n v="67"/>
    <x v="3"/>
    <n v="42"/>
    <n v="4.32"/>
    <n v="9"/>
    <x v="2"/>
  </r>
  <r>
    <n v="1216"/>
    <d v="2017-05-15T00:00:00"/>
    <x v="27"/>
    <s v="Female"/>
    <n v="162.19999999999999"/>
    <n v="60.8"/>
    <n v="16281"/>
    <n v="790.1"/>
    <n v="7.2"/>
    <n v="88"/>
    <x v="2"/>
    <n v="76"/>
    <n v="2.92"/>
    <n v="5"/>
    <x v="0"/>
  </r>
  <r>
    <n v="1300"/>
    <d v="2017-05-16T00:00:00"/>
    <x v="16"/>
    <s v="Female"/>
    <n v="165.6"/>
    <n v="75"/>
    <n v="5087"/>
    <n v="387.9"/>
    <n v="6"/>
    <n v="59"/>
    <x v="0"/>
    <n v="0"/>
    <n v="2.5099999999999998"/>
    <n v="7"/>
    <x v="2"/>
  </r>
  <r>
    <n v="1131"/>
    <d v="2017-05-17T00:00:00"/>
    <x v="30"/>
    <s v="Female"/>
    <n v="164"/>
    <n v="47"/>
    <n v="7228"/>
    <n v="584.70000000000005"/>
    <n v="8.8000000000000007"/>
    <n v="82"/>
    <x v="0"/>
    <n v="0"/>
    <n v="2.13"/>
    <n v="5"/>
    <x v="2"/>
  </r>
  <r>
    <n v="1803"/>
    <d v="2017-05-18T00:00:00"/>
    <x v="39"/>
    <s v="Female"/>
    <n v="170.3"/>
    <n v="45.9"/>
    <n v="3831"/>
    <n v="349.6"/>
    <n v="8.1"/>
    <n v="77"/>
    <x v="0"/>
    <n v="0"/>
    <n v="2.04"/>
    <n v="9"/>
    <x v="2"/>
  </r>
  <r>
    <n v="1069"/>
    <d v="2017-05-19T00:00:00"/>
    <x v="12"/>
    <s v="Male"/>
    <n v="177.4"/>
    <n v="59"/>
    <n v="19132"/>
    <n v="900"/>
    <n v="5.8"/>
    <n v="65"/>
    <x v="3"/>
    <n v="26"/>
    <n v="2.54"/>
    <n v="2"/>
    <x v="0"/>
  </r>
  <r>
    <n v="1251"/>
    <d v="2017-05-20T00:00:00"/>
    <x v="13"/>
    <s v="Male"/>
    <n v="179"/>
    <n v="72.900000000000006"/>
    <n v="12055"/>
    <n v="694.2"/>
    <n v="6.2"/>
    <n v="85"/>
    <x v="4"/>
    <n v="39"/>
    <n v="1.85"/>
    <n v="3"/>
    <x v="1"/>
  </r>
  <r>
    <n v="1414"/>
    <d v="2017-05-21T00:00:00"/>
    <x v="30"/>
    <s v="Female"/>
    <n v="166.7"/>
    <n v="46.5"/>
    <n v="14795"/>
    <n v="764.1"/>
    <n v="6"/>
    <n v="57"/>
    <x v="4"/>
    <n v="83"/>
    <n v="2.98"/>
    <n v="5"/>
    <x v="2"/>
  </r>
  <r>
    <n v="1786"/>
    <d v="2017-05-22T00:00:00"/>
    <x v="32"/>
    <s v="Female"/>
    <n v="153.69999999999999"/>
    <n v="71.900000000000006"/>
    <n v="8552"/>
    <n v="547.5"/>
    <n v="4.2"/>
    <n v="91"/>
    <x v="2"/>
    <n v="38"/>
    <n v="2.0499999999999998"/>
    <n v="2"/>
    <x v="0"/>
  </r>
  <r>
    <n v="1444"/>
    <d v="2017-05-23T00:00:00"/>
    <x v="28"/>
    <s v="Female"/>
    <n v="159.6"/>
    <n v="55.1"/>
    <n v="15605"/>
    <n v="765.4"/>
    <n v="5.9"/>
    <n v="98"/>
    <x v="4"/>
    <n v="25"/>
    <n v="3.2"/>
    <n v="6"/>
    <x v="2"/>
  </r>
  <r>
    <n v="1875"/>
    <d v="2017-05-24T00:00:00"/>
    <x v="28"/>
    <s v="Male"/>
    <n v="164.8"/>
    <n v="57.1"/>
    <n v="12282"/>
    <n v="730.3"/>
    <n v="4.3"/>
    <n v="73"/>
    <x v="3"/>
    <n v="70"/>
    <n v="3.19"/>
    <n v="10"/>
    <x v="1"/>
  </r>
  <r>
    <n v="1181"/>
    <d v="2017-05-25T00:00:00"/>
    <x v="28"/>
    <s v="Male"/>
    <n v="157.5"/>
    <n v="89.5"/>
    <n v="2063"/>
    <n v="288.8"/>
    <n v="8.4"/>
    <n v="65"/>
    <x v="0"/>
    <n v="0"/>
    <n v="2.46"/>
    <n v="3"/>
    <x v="1"/>
  </r>
  <r>
    <n v="1166"/>
    <d v="2017-05-26T00:00:00"/>
    <x v="29"/>
    <s v="Female"/>
    <n v="181.4"/>
    <n v="70.599999999999994"/>
    <n v="14344"/>
    <n v="723.7"/>
    <n v="8.5"/>
    <n v="69"/>
    <x v="3"/>
    <n v="84"/>
    <n v="2.91"/>
    <n v="5"/>
    <x v="0"/>
  </r>
  <r>
    <n v="1090"/>
    <d v="2017-05-27T00:00:00"/>
    <x v="34"/>
    <s v="Female"/>
    <n v="158.19999999999999"/>
    <n v="56.4"/>
    <n v="16898"/>
    <n v="893.9"/>
    <n v="6.6"/>
    <n v="85"/>
    <x v="0"/>
    <n v="0"/>
    <n v="2.94"/>
    <n v="5"/>
    <x v="0"/>
  </r>
  <r>
    <n v="1713"/>
    <d v="2017-05-28T00:00:00"/>
    <x v="22"/>
    <s v="Male"/>
    <n v="176.2"/>
    <n v="72.8"/>
    <n v="3732"/>
    <n v="446"/>
    <n v="7.3"/>
    <n v="72"/>
    <x v="3"/>
    <n v="42"/>
    <n v="1.48"/>
    <n v="10"/>
    <x v="1"/>
  </r>
  <r>
    <n v="1857"/>
    <d v="2017-05-29T00:00:00"/>
    <x v="7"/>
    <s v="Male"/>
    <n v="153.19999999999999"/>
    <n v="48"/>
    <n v="2872"/>
    <n v="275.10000000000002"/>
    <n v="8.6"/>
    <n v="50"/>
    <x v="4"/>
    <n v="77"/>
    <n v="3.71"/>
    <n v="8"/>
    <x v="0"/>
  </r>
  <r>
    <n v="1530"/>
    <d v="2017-05-30T00:00:00"/>
    <x v="36"/>
    <s v="Male"/>
    <n v="176.6"/>
    <n v="75.7"/>
    <n v="5720"/>
    <n v="466.7"/>
    <n v="8.1999999999999993"/>
    <n v="79"/>
    <x v="3"/>
    <n v="30"/>
    <n v="2.3199999999999998"/>
    <n v="9"/>
    <x v="1"/>
  </r>
  <r>
    <n v="1038"/>
    <d v="2017-05-31T00:00:00"/>
    <x v="2"/>
    <s v="Male"/>
    <n v="168.6"/>
    <n v="86.6"/>
    <n v="2969"/>
    <n v="339.7"/>
    <n v="10"/>
    <n v="84"/>
    <x v="5"/>
    <n v="53"/>
    <n v="2.99"/>
    <n v="4"/>
    <x v="2"/>
  </r>
  <r>
    <n v="1125"/>
    <d v="2017-06-01T00:00:00"/>
    <x v="11"/>
    <s v="Female"/>
    <n v="185.1"/>
    <n v="79.900000000000006"/>
    <n v="13155"/>
    <n v="746.4"/>
    <n v="7.4"/>
    <n v="80"/>
    <x v="0"/>
    <n v="0"/>
    <n v="3.01"/>
    <n v="10"/>
    <x v="1"/>
  </r>
  <r>
    <n v="1450"/>
    <d v="2017-06-02T00:00:00"/>
    <x v="7"/>
    <s v="Male"/>
    <n v="158.69999999999999"/>
    <n v="102.4"/>
    <n v="12870"/>
    <n v="759.8"/>
    <n v="9.1999999999999993"/>
    <n v="82"/>
    <x v="0"/>
    <n v="0"/>
    <n v="0.76"/>
    <n v="1"/>
    <x v="2"/>
  </r>
  <r>
    <n v="1172"/>
    <d v="2017-06-03T00:00:00"/>
    <x v="11"/>
    <s v="Male"/>
    <n v="164.4"/>
    <n v="45"/>
    <n v="17702"/>
    <n v="894.2"/>
    <n v="7.1"/>
    <n v="91"/>
    <x v="2"/>
    <n v="65"/>
    <n v="2.04"/>
    <n v="5"/>
    <x v="0"/>
  </r>
  <r>
    <n v="1652"/>
    <d v="2017-06-04T00:00:00"/>
    <x v="14"/>
    <s v="Female"/>
    <n v="166.3"/>
    <n v="71.900000000000006"/>
    <n v="4717"/>
    <n v="396.3"/>
    <n v="6.8"/>
    <n v="73"/>
    <x v="5"/>
    <n v="31"/>
    <n v="3.09"/>
    <n v="4"/>
    <x v="2"/>
  </r>
  <r>
    <n v="1753"/>
    <d v="2017-06-05T00:00:00"/>
    <x v="1"/>
    <s v="Male"/>
    <n v="168.5"/>
    <n v="49.8"/>
    <n v="2374"/>
    <n v="299.89999999999998"/>
    <n v="8"/>
    <n v="92"/>
    <x v="3"/>
    <n v="28"/>
    <n v="2.54"/>
    <n v="5"/>
    <x v="1"/>
  </r>
  <r>
    <n v="1219"/>
    <d v="2017-06-06T00:00:00"/>
    <x v="1"/>
    <s v="Male"/>
    <n v="166.5"/>
    <n v="67.400000000000006"/>
    <n v="9679"/>
    <n v="544.4"/>
    <n v="7.8"/>
    <n v="73"/>
    <x v="4"/>
    <n v="32"/>
    <n v="2.98"/>
    <n v="9"/>
    <x v="0"/>
  </r>
  <r>
    <n v="1637"/>
    <d v="2017-06-07T00:00:00"/>
    <x v="36"/>
    <s v="Male"/>
    <n v="166.7"/>
    <n v="70"/>
    <n v="17834"/>
    <n v="900"/>
    <n v="6.1"/>
    <n v="86"/>
    <x v="2"/>
    <n v="83"/>
    <n v="2.56"/>
    <n v="8"/>
    <x v="0"/>
  </r>
  <r>
    <n v="1057"/>
    <d v="2017-06-08T00:00:00"/>
    <x v="18"/>
    <s v="Female"/>
    <n v="166.6"/>
    <n v="104.2"/>
    <n v="14427"/>
    <n v="759"/>
    <n v="5.8"/>
    <n v="74"/>
    <x v="5"/>
    <n v="39"/>
    <n v="3.36"/>
    <n v="8"/>
    <x v="1"/>
  </r>
  <r>
    <n v="1659"/>
    <d v="2017-06-09T00:00:00"/>
    <x v="10"/>
    <s v="Male"/>
    <n v="150"/>
    <n v="69.099999999999994"/>
    <n v="2940"/>
    <n v="409.1"/>
    <n v="7.1"/>
    <n v="95"/>
    <x v="3"/>
    <n v="78"/>
    <n v="2.58"/>
    <n v="8"/>
    <x v="0"/>
  </r>
  <r>
    <n v="1475"/>
    <d v="2017-06-10T00:00:00"/>
    <x v="7"/>
    <s v="Female"/>
    <n v="179.9"/>
    <n v="68.8"/>
    <n v="3367"/>
    <n v="309.3"/>
    <n v="4.2"/>
    <n v="81"/>
    <x v="4"/>
    <n v="41"/>
    <n v="3.5"/>
    <n v="1"/>
    <x v="1"/>
  </r>
  <r>
    <n v="1455"/>
    <d v="2017-06-11T00:00:00"/>
    <x v="9"/>
    <s v="Female"/>
    <n v="198.6"/>
    <n v="85.1"/>
    <n v="12428"/>
    <n v="631.1"/>
    <n v="6.5"/>
    <n v="74"/>
    <x v="3"/>
    <n v="84"/>
    <n v="1.81"/>
    <n v="7"/>
    <x v="2"/>
  </r>
  <r>
    <n v="1828"/>
    <d v="2017-06-12T00:00:00"/>
    <x v="12"/>
    <s v="Male"/>
    <n v="173"/>
    <n v="69.2"/>
    <n v="17631"/>
    <n v="900"/>
    <n v="5.5"/>
    <n v="63"/>
    <x v="0"/>
    <n v="0"/>
    <n v="2.41"/>
    <n v="4"/>
    <x v="2"/>
  </r>
  <r>
    <n v="1894"/>
    <d v="2017-06-13T00:00:00"/>
    <x v="26"/>
    <s v="Male"/>
    <n v="158.6"/>
    <n v="97.5"/>
    <n v="17862"/>
    <n v="877.3"/>
    <n v="6.1"/>
    <n v="77"/>
    <x v="5"/>
    <n v="60"/>
    <n v="2.08"/>
    <n v="6"/>
    <x v="0"/>
  </r>
  <r>
    <n v="1360"/>
    <d v="2017-06-14T00:00:00"/>
    <x v="32"/>
    <s v="Male"/>
    <n v="159.69999999999999"/>
    <n v="80"/>
    <n v="13655"/>
    <n v="685.5"/>
    <n v="5.8"/>
    <n v="67"/>
    <x v="5"/>
    <n v="64"/>
    <n v="2.77"/>
    <n v="4"/>
    <x v="1"/>
  </r>
  <r>
    <n v="1934"/>
    <d v="2017-06-15T00:00:00"/>
    <x v="37"/>
    <s v="Male"/>
    <n v="176.1"/>
    <n v="82.4"/>
    <n v="8968"/>
    <n v="578.1"/>
    <n v="8.1999999999999993"/>
    <n v="79"/>
    <x v="2"/>
    <n v="23"/>
    <n v="2.2999999999999998"/>
    <n v="5"/>
    <x v="1"/>
  </r>
  <r>
    <n v="1000"/>
    <d v="2017-06-16T00:00:00"/>
    <x v="19"/>
    <s v="Female"/>
    <n v="173.9"/>
    <n v="45"/>
    <n v="17292"/>
    <n v="900"/>
    <n v="7.7"/>
    <n v="82"/>
    <x v="4"/>
    <n v="89"/>
    <n v="2.34"/>
    <n v="5"/>
    <x v="2"/>
  </r>
  <r>
    <n v="1386"/>
    <d v="2017-06-17T00:00:00"/>
    <x v="29"/>
    <s v="Male"/>
    <n v="167.2"/>
    <n v="99.8"/>
    <n v="15743"/>
    <n v="866.6"/>
    <n v="7.1"/>
    <n v="85"/>
    <x v="1"/>
    <n v="64"/>
    <n v="2.0099999999999998"/>
    <n v="1"/>
    <x v="2"/>
  </r>
  <r>
    <n v="1972"/>
    <d v="2017-06-18T00:00:00"/>
    <x v="38"/>
    <s v="Male"/>
    <n v="177.5"/>
    <n v="60.2"/>
    <n v="2368"/>
    <n v="266.10000000000002"/>
    <n v="6.4"/>
    <n v="80"/>
    <x v="3"/>
    <n v="77"/>
    <n v="2.1800000000000002"/>
    <n v="6"/>
    <x v="0"/>
  </r>
  <r>
    <n v="1347"/>
    <d v="2017-06-19T00:00:00"/>
    <x v="12"/>
    <s v="Male"/>
    <n v="150"/>
    <n v="69.900000000000006"/>
    <n v="3226"/>
    <n v="335.5"/>
    <n v="8.6"/>
    <n v="76"/>
    <x v="4"/>
    <n v="42"/>
    <n v="2.4900000000000002"/>
    <n v="10"/>
    <x v="1"/>
  </r>
  <r>
    <n v="1189"/>
    <d v="2017-06-20T00:00:00"/>
    <x v="14"/>
    <s v="Female"/>
    <n v="177.5"/>
    <n v="60.2"/>
    <n v="12688"/>
    <n v="693.2"/>
    <n v="8.4"/>
    <n v="88"/>
    <x v="1"/>
    <n v="51"/>
    <n v="1.0900000000000001"/>
    <n v="8"/>
    <x v="0"/>
  </r>
  <r>
    <n v="1504"/>
    <d v="2017-06-21T00:00:00"/>
    <x v="25"/>
    <s v="Male"/>
    <n v="172.4"/>
    <n v="54.6"/>
    <n v="4612"/>
    <n v="467.5"/>
    <n v="6.8"/>
    <n v="89"/>
    <x v="4"/>
    <n v="82"/>
    <n v="0.89"/>
    <n v="5"/>
    <x v="0"/>
  </r>
  <r>
    <n v="1190"/>
    <d v="2017-06-22T00:00:00"/>
    <x v="36"/>
    <s v="Male"/>
    <n v="160"/>
    <n v="52"/>
    <n v="13199"/>
    <n v="706.1"/>
    <n v="9"/>
    <n v="64"/>
    <x v="3"/>
    <n v="27"/>
    <n v="2.54"/>
    <n v="10"/>
    <x v="0"/>
  </r>
  <r>
    <n v="1507"/>
    <d v="2017-06-23T00:00:00"/>
    <x v="25"/>
    <s v="Female"/>
    <n v="155.69999999999999"/>
    <n v="71.5"/>
    <n v="11034"/>
    <n v="646.29999999999995"/>
    <n v="6.7"/>
    <n v="93"/>
    <x v="3"/>
    <n v="44"/>
    <n v="0.56000000000000005"/>
    <n v="6"/>
    <x v="1"/>
  </r>
  <r>
    <n v="1368"/>
    <d v="2017-06-24T00:00:00"/>
    <x v="27"/>
    <s v="Female"/>
    <n v="171.2"/>
    <n v="45"/>
    <n v="12569"/>
    <n v="711.2"/>
    <n v="7.3"/>
    <n v="87"/>
    <x v="2"/>
    <n v="52"/>
    <n v="2.36"/>
    <n v="5"/>
    <x v="2"/>
  </r>
  <r>
    <n v="1408"/>
    <d v="2017-06-25T00:00:00"/>
    <x v="31"/>
    <s v="Male"/>
    <n v="184.1"/>
    <n v="66.400000000000006"/>
    <n v="2059"/>
    <n v="224.3"/>
    <n v="6.1"/>
    <n v="66"/>
    <x v="5"/>
    <n v="85"/>
    <n v="2.2400000000000002"/>
    <n v="1"/>
    <x v="1"/>
  </r>
  <r>
    <n v="1823"/>
    <d v="2017-06-26T00:00:00"/>
    <x v="12"/>
    <s v="Male"/>
    <n v="167.7"/>
    <n v="85.9"/>
    <n v="19028"/>
    <n v="900"/>
    <n v="6.4"/>
    <n v="56"/>
    <x v="5"/>
    <n v="35"/>
    <n v="2.88"/>
    <n v="5"/>
    <x v="1"/>
  </r>
  <r>
    <n v="1928"/>
    <d v="2017-06-27T00:00:00"/>
    <x v="6"/>
    <s v="Male"/>
    <n v="161.5"/>
    <n v="79.5"/>
    <n v="14115"/>
    <n v="755.8"/>
    <n v="6.1"/>
    <n v="87"/>
    <x v="5"/>
    <n v="74"/>
    <n v="2.0299999999999998"/>
    <n v="2"/>
    <x v="1"/>
  </r>
  <r>
    <n v="1933"/>
    <d v="2017-06-28T00:00:00"/>
    <x v="35"/>
    <s v="Male"/>
    <n v="171.9"/>
    <n v="76.5"/>
    <n v="19195"/>
    <n v="900"/>
    <n v="8"/>
    <n v="77"/>
    <x v="2"/>
    <n v="55"/>
    <n v="3.6"/>
    <n v="4"/>
    <x v="0"/>
  </r>
  <r>
    <n v="1116"/>
    <d v="2017-06-29T00:00:00"/>
    <x v="36"/>
    <s v="Male"/>
    <n v="188.2"/>
    <n v="56.6"/>
    <n v="3193"/>
    <n v="337.5"/>
    <n v="7.6"/>
    <n v="70"/>
    <x v="5"/>
    <n v="26"/>
    <n v="3.09"/>
    <n v="2"/>
    <x v="0"/>
  </r>
  <r>
    <n v="1133"/>
    <d v="2017-06-30T00:00:00"/>
    <x v="38"/>
    <s v="Female"/>
    <n v="174.3"/>
    <n v="46.2"/>
    <n v="17551"/>
    <n v="883.1"/>
    <n v="5.4"/>
    <n v="78"/>
    <x v="4"/>
    <n v="88"/>
    <n v="1.44"/>
    <n v="8"/>
    <x v="1"/>
  </r>
  <r>
    <n v="1057"/>
    <d v="2017-07-01T00:00:00"/>
    <x v="20"/>
    <s v="Female"/>
    <n v="175.4"/>
    <n v="85.6"/>
    <n v="17128"/>
    <n v="877.9"/>
    <n v="7.8"/>
    <n v="87"/>
    <x v="5"/>
    <n v="27"/>
    <n v="2.2999999999999998"/>
    <n v="7"/>
    <x v="0"/>
  </r>
  <r>
    <n v="1555"/>
    <d v="2017-07-02T00:00:00"/>
    <x v="29"/>
    <s v="Male"/>
    <n v="182.2"/>
    <n v="63.3"/>
    <n v="5182"/>
    <n v="403.9"/>
    <n v="9.6999999999999993"/>
    <n v="55"/>
    <x v="5"/>
    <n v="22"/>
    <n v="3.57"/>
    <n v="9"/>
    <x v="0"/>
  </r>
  <r>
    <n v="1684"/>
    <d v="2017-07-03T00:00:00"/>
    <x v="1"/>
    <s v="Male"/>
    <n v="174.7"/>
    <n v="68.8"/>
    <n v="19928"/>
    <n v="900"/>
    <n v="6"/>
    <n v="76"/>
    <x v="0"/>
    <n v="0"/>
    <n v="2.0099999999999998"/>
    <n v="4"/>
    <x v="2"/>
  </r>
  <r>
    <n v="1671"/>
    <d v="2017-07-04T00:00:00"/>
    <x v="17"/>
    <s v="Female"/>
    <n v="162.19999999999999"/>
    <n v="67"/>
    <n v="4868"/>
    <n v="441.1"/>
    <n v="5.9"/>
    <n v="76"/>
    <x v="3"/>
    <n v="55"/>
    <n v="2.46"/>
    <n v="5"/>
    <x v="1"/>
  </r>
  <r>
    <n v="1172"/>
    <d v="2017-07-05T00:00:00"/>
    <x v="2"/>
    <s v="Male"/>
    <n v="152.6"/>
    <n v="80.099999999999994"/>
    <n v="9506"/>
    <n v="629.20000000000005"/>
    <n v="7"/>
    <n v="90"/>
    <x v="2"/>
    <n v="49"/>
    <n v="3.48"/>
    <n v="9"/>
    <x v="1"/>
  </r>
  <r>
    <n v="1828"/>
    <d v="2017-07-06T00:00:00"/>
    <x v="36"/>
    <s v="Male"/>
    <n v="160.80000000000001"/>
    <n v="97.6"/>
    <n v="6950"/>
    <n v="428.5"/>
    <n v="9.1"/>
    <n v="83"/>
    <x v="2"/>
    <n v="34"/>
    <n v="2.12"/>
    <n v="9"/>
    <x v="0"/>
  </r>
  <r>
    <n v="1814"/>
    <d v="2017-07-07T00:00:00"/>
    <x v="12"/>
    <s v="Male"/>
    <n v="159"/>
    <n v="91.9"/>
    <n v="9914"/>
    <n v="650"/>
    <n v="6.3"/>
    <n v="83"/>
    <x v="5"/>
    <n v="87"/>
    <n v="3.29"/>
    <n v="2"/>
    <x v="1"/>
  </r>
  <r>
    <n v="1148"/>
    <d v="2017-07-08T00:00:00"/>
    <x v="2"/>
    <s v="Male"/>
    <n v="176.6"/>
    <n v="45"/>
    <n v="15141"/>
    <n v="843.2"/>
    <n v="9.8000000000000007"/>
    <n v="71"/>
    <x v="0"/>
    <n v="0"/>
    <n v="1.86"/>
    <n v="1"/>
    <x v="1"/>
  </r>
  <r>
    <n v="1079"/>
    <d v="2017-07-09T00:00:00"/>
    <x v="16"/>
    <s v="Male"/>
    <n v="178"/>
    <n v="65.400000000000006"/>
    <n v="12537"/>
    <n v="698.8"/>
    <n v="5.4"/>
    <n v="82"/>
    <x v="1"/>
    <n v="47"/>
    <n v="0.5"/>
    <n v="3"/>
    <x v="1"/>
  </r>
  <r>
    <n v="1885"/>
    <d v="2017-07-10T00:00:00"/>
    <x v="37"/>
    <s v="Female"/>
    <n v="171.8"/>
    <n v="49.8"/>
    <n v="17154"/>
    <n v="812.5"/>
    <n v="7.3"/>
    <n v="70"/>
    <x v="3"/>
    <n v="61"/>
    <n v="3.36"/>
    <n v="10"/>
    <x v="1"/>
  </r>
  <r>
    <n v="1212"/>
    <d v="2017-07-11T00:00:00"/>
    <x v="28"/>
    <s v="Male"/>
    <n v="157.30000000000001"/>
    <n v="84.1"/>
    <n v="3309"/>
    <n v="343"/>
    <n v="4.4000000000000004"/>
    <n v="74"/>
    <x v="5"/>
    <n v="37"/>
    <n v="2.81"/>
    <n v="1"/>
    <x v="0"/>
  </r>
  <r>
    <n v="1202"/>
    <d v="2017-07-12T00:00:00"/>
    <x v="11"/>
    <s v="Male"/>
    <n v="187.9"/>
    <n v="70.099999999999994"/>
    <n v="7630"/>
    <n v="487.5"/>
    <n v="5.6"/>
    <n v="81"/>
    <x v="1"/>
    <n v="24"/>
    <n v="2.85"/>
    <n v="6"/>
    <x v="2"/>
  </r>
  <r>
    <n v="1763"/>
    <d v="2017-07-13T00:00:00"/>
    <x v="1"/>
    <s v="Male"/>
    <n v="165.8"/>
    <n v="79.099999999999994"/>
    <n v="11693"/>
    <n v="695.5"/>
    <n v="6.7"/>
    <n v="76"/>
    <x v="4"/>
    <n v="28"/>
    <n v="1.73"/>
    <n v="8"/>
    <x v="0"/>
  </r>
  <r>
    <n v="1228"/>
    <d v="2017-07-14T00:00:00"/>
    <x v="34"/>
    <s v="Female"/>
    <n v="176"/>
    <n v="64.099999999999994"/>
    <n v="15778"/>
    <n v="863.5"/>
    <n v="7.4"/>
    <n v="78"/>
    <x v="0"/>
    <n v="0"/>
    <n v="1.79"/>
    <n v="4"/>
    <x v="2"/>
  </r>
  <r>
    <n v="1675"/>
    <d v="2017-07-15T00:00:00"/>
    <x v="0"/>
    <s v="Female"/>
    <n v="170.5"/>
    <n v="54.4"/>
    <n v="12525"/>
    <n v="767"/>
    <n v="8.9"/>
    <n v="88"/>
    <x v="0"/>
    <n v="0"/>
    <n v="3.31"/>
    <n v="4"/>
    <x v="1"/>
  </r>
  <r>
    <n v="1226"/>
    <d v="2017-07-16T00:00:00"/>
    <x v="3"/>
    <s v="Female"/>
    <n v="172.1"/>
    <n v="57"/>
    <n v="14416"/>
    <n v="723.6"/>
    <n v="6"/>
    <n v="71"/>
    <x v="3"/>
    <n v="75"/>
    <n v="2.67"/>
    <n v="10"/>
    <x v="1"/>
  </r>
  <r>
    <n v="1658"/>
    <d v="2017-07-17T00:00:00"/>
    <x v="33"/>
    <s v="Female"/>
    <n v="175.7"/>
    <n v="47"/>
    <n v="19407"/>
    <n v="900"/>
    <n v="7.6"/>
    <n v="65"/>
    <x v="0"/>
    <n v="0"/>
    <n v="2.42"/>
    <n v="1"/>
    <x v="1"/>
  </r>
  <r>
    <n v="1531"/>
    <d v="2017-07-18T00:00:00"/>
    <x v="30"/>
    <s v="Male"/>
    <n v="163"/>
    <n v="51"/>
    <n v="17733"/>
    <n v="900"/>
    <n v="5"/>
    <n v="66"/>
    <x v="2"/>
    <n v="81"/>
    <n v="2.65"/>
    <n v="9"/>
    <x v="1"/>
  </r>
  <r>
    <n v="1440"/>
    <d v="2017-07-19T00:00:00"/>
    <x v="4"/>
    <s v="Female"/>
    <n v="183.1"/>
    <n v="47.9"/>
    <n v="9629"/>
    <n v="620.9"/>
    <n v="8.5"/>
    <n v="64"/>
    <x v="1"/>
    <n v="54"/>
    <n v="3.56"/>
    <n v="10"/>
    <x v="1"/>
  </r>
  <r>
    <n v="1401"/>
    <d v="2017-07-20T00:00:00"/>
    <x v="12"/>
    <s v="Male"/>
    <n v="154.19999999999999"/>
    <n v="54.5"/>
    <n v="9360"/>
    <n v="670.2"/>
    <n v="9"/>
    <n v="91"/>
    <x v="5"/>
    <n v="59"/>
    <n v="3.01"/>
    <n v="8"/>
    <x v="1"/>
  </r>
  <r>
    <n v="1046"/>
    <d v="2017-07-21T00:00:00"/>
    <x v="37"/>
    <s v="Male"/>
    <n v="159.6"/>
    <n v="53.6"/>
    <n v="13011"/>
    <n v="736.3"/>
    <n v="8.6"/>
    <n v="82"/>
    <x v="1"/>
    <n v="70"/>
    <n v="2.17"/>
    <n v="3"/>
    <x v="1"/>
  </r>
  <r>
    <n v="1232"/>
    <d v="2017-07-22T00:00:00"/>
    <x v="21"/>
    <s v="Female"/>
    <n v="182.9"/>
    <n v="75.900000000000006"/>
    <n v="8953"/>
    <n v="609.79999999999995"/>
    <n v="8.6"/>
    <n v="86"/>
    <x v="2"/>
    <n v="79"/>
    <n v="1.52"/>
    <n v="3"/>
    <x v="2"/>
  </r>
  <r>
    <n v="1304"/>
    <d v="2017-07-23T00:00:00"/>
    <x v="14"/>
    <s v="Female"/>
    <n v="175.9"/>
    <n v="75.3"/>
    <n v="4301"/>
    <n v="380.5"/>
    <n v="6.9"/>
    <n v="84"/>
    <x v="4"/>
    <n v="75"/>
    <n v="2.91"/>
    <n v="10"/>
    <x v="0"/>
  </r>
  <r>
    <n v="1525"/>
    <d v="2017-07-24T00:00:00"/>
    <x v="18"/>
    <s v="Female"/>
    <n v="195.4"/>
    <n v="75.900000000000006"/>
    <n v="12227"/>
    <n v="731.1"/>
    <n v="7.4"/>
    <n v="73"/>
    <x v="1"/>
    <n v="60"/>
    <n v="1.85"/>
    <n v="4"/>
    <x v="1"/>
  </r>
  <r>
    <n v="1142"/>
    <d v="2017-07-25T00:00:00"/>
    <x v="22"/>
    <s v="Female"/>
    <n v="170.7"/>
    <n v="87.6"/>
    <n v="7819"/>
    <n v="570.79999999999995"/>
    <n v="6.9"/>
    <n v="91"/>
    <x v="5"/>
    <n v="73"/>
    <n v="1.67"/>
    <n v="4"/>
    <x v="1"/>
  </r>
  <r>
    <n v="1414"/>
    <d v="2017-07-26T00:00:00"/>
    <x v="41"/>
    <s v="Female"/>
    <n v="187"/>
    <n v="68.8"/>
    <n v="12782"/>
    <n v="764.2"/>
    <n v="6.9"/>
    <n v="68"/>
    <x v="1"/>
    <n v="36"/>
    <n v="3.42"/>
    <n v="2"/>
    <x v="1"/>
  </r>
  <r>
    <n v="1512"/>
    <d v="2017-07-27T00:00:00"/>
    <x v="11"/>
    <s v="Male"/>
    <n v="151.4"/>
    <n v="58.3"/>
    <n v="3769"/>
    <n v="275.2"/>
    <n v="5.9"/>
    <n v="95"/>
    <x v="0"/>
    <n v="0"/>
    <n v="3.11"/>
    <n v="4"/>
    <x v="2"/>
  </r>
  <r>
    <n v="1372"/>
    <d v="2017-07-28T00:00:00"/>
    <x v="14"/>
    <s v="Female"/>
    <n v="155.9"/>
    <n v="103.2"/>
    <n v="11492"/>
    <n v="639"/>
    <n v="7.4"/>
    <n v="76"/>
    <x v="4"/>
    <n v="28"/>
    <n v="2.77"/>
    <n v="2"/>
    <x v="1"/>
  </r>
  <r>
    <n v="1565"/>
    <d v="2017-07-29T00:00:00"/>
    <x v="2"/>
    <s v="Female"/>
    <n v="179"/>
    <n v="83.6"/>
    <n v="19564"/>
    <n v="900"/>
    <n v="7.6"/>
    <n v="93"/>
    <x v="1"/>
    <n v="75"/>
    <n v="1.63"/>
    <n v="7"/>
    <x v="0"/>
  </r>
  <r>
    <n v="1885"/>
    <d v="2017-07-30T00:00:00"/>
    <x v="15"/>
    <s v="Female"/>
    <n v="152.6"/>
    <n v="72.3"/>
    <n v="4345"/>
    <n v="398.7"/>
    <n v="8.5"/>
    <n v="65"/>
    <x v="4"/>
    <n v="42"/>
    <n v="3.75"/>
    <n v="5"/>
    <x v="2"/>
  </r>
  <r>
    <n v="1258"/>
    <d v="2017-07-31T00:00:00"/>
    <x v="28"/>
    <s v="Male"/>
    <n v="168"/>
    <n v="71.2"/>
    <n v="3665"/>
    <n v="344.1"/>
    <n v="7.6"/>
    <n v="71"/>
    <x v="4"/>
    <n v="21"/>
    <n v="3.22"/>
    <n v="7"/>
    <x v="2"/>
  </r>
  <r>
    <n v="1655"/>
    <d v="2017-08-01T00:00:00"/>
    <x v="40"/>
    <s v="Female"/>
    <n v="181.7"/>
    <n v="74.3"/>
    <n v="11784"/>
    <n v="696.7"/>
    <n v="8.3000000000000007"/>
    <n v="59"/>
    <x v="3"/>
    <n v="64"/>
    <n v="2.29"/>
    <n v="6"/>
    <x v="1"/>
  </r>
  <r>
    <n v="1470"/>
    <d v="2017-08-02T00:00:00"/>
    <x v="20"/>
    <s v="Male"/>
    <n v="175"/>
    <n v="67"/>
    <n v="13366"/>
    <n v="679.5"/>
    <n v="5.9"/>
    <n v="85"/>
    <x v="3"/>
    <n v="84"/>
    <n v="2.14"/>
    <n v="2"/>
    <x v="2"/>
  </r>
  <r>
    <n v="1952"/>
    <d v="2017-08-03T00:00:00"/>
    <x v="34"/>
    <s v="Female"/>
    <n v="170.1"/>
    <n v="71.900000000000006"/>
    <n v="19926"/>
    <n v="900"/>
    <n v="9.1"/>
    <n v="78"/>
    <x v="5"/>
    <n v="57"/>
    <n v="2.5499999999999998"/>
    <n v="2"/>
    <x v="1"/>
  </r>
  <r>
    <n v="1970"/>
    <d v="2017-08-04T00:00:00"/>
    <x v="28"/>
    <s v="Female"/>
    <n v="165.5"/>
    <n v="77.5"/>
    <n v="10325"/>
    <n v="631.6"/>
    <n v="6.6"/>
    <n v="95"/>
    <x v="5"/>
    <n v="25"/>
    <n v="2.17"/>
    <n v="1"/>
    <x v="0"/>
  </r>
  <r>
    <n v="1011"/>
    <d v="2017-08-05T00:00:00"/>
    <x v="8"/>
    <s v="Male"/>
    <n v="172"/>
    <n v="59.1"/>
    <n v="6440"/>
    <n v="461.9"/>
    <n v="3.9"/>
    <n v="70"/>
    <x v="5"/>
    <n v="67"/>
    <n v="4.05"/>
    <n v="1"/>
    <x v="0"/>
  </r>
  <r>
    <n v="1329"/>
    <d v="2017-08-06T00:00:00"/>
    <x v="21"/>
    <s v="Female"/>
    <n v="175.8"/>
    <n v="45.5"/>
    <n v="8110"/>
    <n v="515.5"/>
    <n v="6.4"/>
    <n v="88"/>
    <x v="4"/>
    <n v="63"/>
    <n v="2.23"/>
    <n v="5"/>
    <x v="2"/>
  </r>
  <r>
    <n v="1735"/>
    <d v="2017-08-07T00:00:00"/>
    <x v="34"/>
    <s v="Male"/>
    <n v="163.4"/>
    <n v="45"/>
    <n v="19815"/>
    <n v="900"/>
    <n v="7.9"/>
    <n v="76"/>
    <x v="4"/>
    <n v="26"/>
    <n v="1.75"/>
    <n v="5"/>
    <x v="2"/>
  </r>
  <r>
    <n v="1783"/>
    <d v="2017-08-08T00:00:00"/>
    <x v="26"/>
    <s v="Male"/>
    <n v="173.7"/>
    <n v="83.3"/>
    <n v="18771"/>
    <n v="900"/>
    <n v="7.1"/>
    <n v="74"/>
    <x v="3"/>
    <n v="85"/>
    <n v="3.61"/>
    <n v="7"/>
    <x v="1"/>
  </r>
  <r>
    <n v="1967"/>
    <d v="2017-08-09T00:00:00"/>
    <x v="12"/>
    <s v="Male"/>
    <n v="180.8"/>
    <n v="46.3"/>
    <n v="12495"/>
    <n v="683.6"/>
    <n v="4.0999999999999996"/>
    <n v="72"/>
    <x v="0"/>
    <n v="0"/>
    <n v="2.1"/>
    <n v="1"/>
    <x v="2"/>
  </r>
  <r>
    <n v="1357"/>
    <d v="2017-08-10T00:00:00"/>
    <x v="29"/>
    <s v="Female"/>
    <n v="167.8"/>
    <n v="77"/>
    <n v="10629"/>
    <n v="714.6"/>
    <n v="7.3"/>
    <n v="67"/>
    <x v="4"/>
    <n v="49"/>
    <n v="3.05"/>
    <n v="5"/>
    <x v="0"/>
  </r>
  <r>
    <n v="1971"/>
    <d v="2017-08-11T00:00:00"/>
    <x v="11"/>
    <s v="Female"/>
    <n v="170.7"/>
    <n v="52.7"/>
    <n v="16533"/>
    <n v="782"/>
    <n v="7.2"/>
    <n v="79"/>
    <x v="3"/>
    <n v="71"/>
    <n v="2.97"/>
    <n v="2"/>
    <x v="2"/>
  </r>
  <r>
    <n v="1407"/>
    <d v="2017-08-12T00:00:00"/>
    <x v="5"/>
    <s v="Female"/>
    <n v="174.8"/>
    <n v="52.9"/>
    <n v="19823"/>
    <n v="900"/>
    <n v="5.5"/>
    <n v="77"/>
    <x v="1"/>
    <n v="55"/>
    <n v="2.46"/>
    <n v="10"/>
    <x v="0"/>
  </r>
  <r>
    <n v="1667"/>
    <d v="2017-08-13T00:00:00"/>
    <x v="20"/>
    <s v="Male"/>
    <n v="175.5"/>
    <n v="59.2"/>
    <n v="12365"/>
    <n v="733.7"/>
    <n v="7.8"/>
    <n v="59"/>
    <x v="5"/>
    <n v="54"/>
    <n v="1.82"/>
    <n v="1"/>
    <x v="1"/>
  </r>
  <r>
    <n v="1372"/>
    <d v="2017-08-14T00:00:00"/>
    <x v="36"/>
    <s v="Female"/>
    <n v="178.8"/>
    <n v="72.900000000000006"/>
    <n v="13099"/>
    <n v="663"/>
    <n v="6.8"/>
    <n v="50"/>
    <x v="5"/>
    <n v="85"/>
    <n v="2.4700000000000002"/>
    <n v="7"/>
    <x v="0"/>
  </r>
  <r>
    <n v="1007"/>
    <d v="2017-08-15T00:00:00"/>
    <x v="6"/>
    <s v="Male"/>
    <n v="159.9"/>
    <n v="50.7"/>
    <n v="2316"/>
    <n v="192.5"/>
    <n v="4.0999999999999996"/>
    <n v="72"/>
    <x v="2"/>
    <n v="69"/>
    <n v="1.68"/>
    <n v="3"/>
    <x v="2"/>
  </r>
  <r>
    <n v="1121"/>
    <d v="2017-08-16T00:00:00"/>
    <x v="22"/>
    <s v="Female"/>
    <n v="164.7"/>
    <n v="60.7"/>
    <n v="6204"/>
    <n v="498.9"/>
    <n v="8"/>
    <n v="87"/>
    <x v="0"/>
    <n v="0"/>
    <n v="2.48"/>
    <n v="9"/>
    <x v="0"/>
  </r>
  <r>
    <n v="1347"/>
    <d v="2017-08-17T00:00:00"/>
    <x v="33"/>
    <s v="Male"/>
    <n v="165.1"/>
    <n v="69.599999999999994"/>
    <n v="14512"/>
    <n v="843.5"/>
    <n v="7.3"/>
    <n v="77"/>
    <x v="3"/>
    <n v="23"/>
    <n v="3.04"/>
    <n v="5"/>
    <x v="0"/>
  </r>
  <r>
    <n v="1675"/>
    <d v="2017-08-18T00:00:00"/>
    <x v="38"/>
    <s v="Male"/>
    <n v="161"/>
    <n v="51.8"/>
    <n v="1684"/>
    <n v="202"/>
    <n v="9.3000000000000007"/>
    <n v="62"/>
    <x v="2"/>
    <n v="74"/>
    <n v="3.7"/>
    <n v="5"/>
    <x v="2"/>
  </r>
  <r>
    <n v="1089"/>
    <d v="2017-08-19T00:00:00"/>
    <x v="23"/>
    <s v="Male"/>
    <n v="152"/>
    <n v="91.4"/>
    <n v="7440"/>
    <n v="407.8"/>
    <n v="5.7"/>
    <n v="57"/>
    <x v="5"/>
    <n v="71"/>
    <n v="1.74"/>
    <n v="5"/>
    <x v="1"/>
  </r>
  <r>
    <n v="1647"/>
    <d v="2017-08-20T00:00:00"/>
    <x v="35"/>
    <s v="Female"/>
    <n v="150"/>
    <n v="45"/>
    <n v="12735"/>
    <n v="648.5"/>
    <n v="6.7"/>
    <n v="87"/>
    <x v="2"/>
    <n v="78"/>
    <n v="2.3199999999999998"/>
    <n v="9"/>
    <x v="0"/>
  </r>
  <r>
    <n v="1697"/>
    <d v="2017-08-21T00:00:00"/>
    <x v="28"/>
    <s v="Male"/>
    <n v="182"/>
    <n v="66.7"/>
    <n v="4087"/>
    <n v="328.5"/>
    <n v="8.6"/>
    <n v="58"/>
    <x v="1"/>
    <n v="39"/>
    <n v="2.13"/>
    <n v="10"/>
    <x v="2"/>
  </r>
  <r>
    <n v="1315"/>
    <d v="2017-08-22T00:00:00"/>
    <x v="17"/>
    <s v="Male"/>
    <n v="154.5"/>
    <n v="89.1"/>
    <n v="10867"/>
    <n v="730.4"/>
    <n v="5.6"/>
    <n v="83"/>
    <x v="2"/>
    <n v="38"/>
    <n v="2.69"/>
    <n v="1"/>
    <x v="0"/>
  </r>
  <r>
    <n v="1177"/>
    <d v="2017-08-23T00:00:00"/>
    <x v="15"/>
    <s v="Male"/>
    <n v="185.7"/>
    <n v="50.1"/>
    <n v="19497"/>
    <n v="900"/>
    <n v="8.5"/>
    <n v="81"/>
    <x v="1"/>
    <n v="27"/>
    <n v="1.43"/>
    <n v="5"/>
    <x v="0"/>
  </r>
  <r>
    <n v="1539"/>
    <d v="2017-08-24T00:00:00"/>
    <x v="29"/>
    <s v="Male"/>
    <n v="177.4"/>
    <n v="68.400000000000006"/>
    <n v="18341"/>
    <n v="900"/>
    <n v="8.6"/>
    <n v="91"/>
    <x v="5"/>
    <n v="86"/>
    <n v="1.85"/>
    <n v="10"/>
    <x v="0"/>
  </r>
  <r>
    <n v="1731"/>
    <d v="2017-08-25T00:00:00"/>
    <x v="40"/>
    <s v="Male"/>
    <n v="165.9"/>
    <n v="72"/>
    <n v="6778"/>
    <n v="507.2"/>
    <n v="7.5"/>
    <n v="69"/>
    <x v="4"/>
    <n v="46"/>
    <n v="1.32"/>
    <n v="6"/>
    <x v="1"/>
  </r>
  <r>
    <n v="1868"/>
    <d v="2017-08-26T00:00:00"/>
    <x v="11"/>
    <s v="Male"/>
    <n v="176.2"/>
    <n v="57.9"/>
    <n v="17029"/>
    <n v="900"/>
    <n v="6.8"/>
    <n v="84"/>
    <x v="3"/>
    <n v="27"/>
    <n v="1.49"/>
    <n v="9"/>
    <x v="0"/>
  </r>
  <r>
    <n v="1040"/>
    <d v="2017-08-27T00:00:00"/>
    <x v="0"/>
    <s v="Female"/>
    <n v="174.3"/>
    <n v="68.8"/>
    <n v="9079"/>
    <n v="531.9"/>
    <n v="6"/>
    <n v="89"/>
    <x v="2"/>
    <n v="37"/>
    <n v="2.04"/>
    <n v="3"/>
    <x v="2"/>
  </r>
  <r>
    <n v="1739"/>
    <d v="2017-08-28T00:00:00"/>
    <x v="34"/>
    <s v="Female"/>
    <n v="159"/>
    <n v="78.400000000000006"/>
    <n v="4094"/>
    <n v="363.3"/>
    <n v="5.9"/>
    <n v="62"/>
    <x v="0"/>
    <n v="0"/>
    <n v="3.67"/>
    <n v="1"/>
    <x v="2"/>
  </r>
  <r>
    <n v="1703"/>
    <d v="2017-08-29T00:00:00"/>
    <x v="37"/>
    <s v="Male"/>
    <n v="169.9"/>
    <n v="63"/>
    <n v="15821"/>
    <n v="821.9"/>
    <n v="7.5"/>
    <n v="76"/>
    <x v="1"/>
    <n v="65"/>
    <n v="2.74"/>
    <n v="8"/>
    <x v="0"/>
  </r>
  <r>
    <n v="1922"/>
    <d v="2017-08-30T00:00:00"/>
    <x v="27"/>
    <s v="Female"/>
    <n v="160.19999999999999"/>
    <n v="81.5"/>
    <n v="8582"/>
    <n v="570.20000000000005"/>
    <n v="3"/>
    <n v="75"/>
    <x v="0"/>
    <n v="0"/>
    <n v="2.5499999999999998"/>
    <n v="9"/>
    <x v="1"/>
  </r>
  <r>
    <n v="1501"/>
    <d v="2017-08-31T00:00:00"/>
    <x v="11"/>
    <s v="Female"/>
    <n v="176.5"/>
    <n v="75.900000000000006"/>
    <n v="10012"/>
    <n v="661.3"/>
    <n v="6.2"/>
    <n v="64"/>
    <x v="5"/>
    <n v="22"/>
    <n v="3.44"/>
    <n v="6"/>
    <x v="2"/>
  </r>
  <r>
    <n v="1958"/>
    <d v="2017-09-01T00:00:00"/>
    <x v="11"/>
    <s v="Male"/>
    <n v="162.80000000000001"/>
    <n v="61.3"/>
    <n v="1887"/>
    <n v="384.4"/>
    <n v="6"/>
    <n v="78"/>
    <x v="0"/>
    <n v="0"/>
    <n v="2.77"/>
    <n v="5"/>
    <x v="1"/>
  </r>
  <r>
    <n v="1144"/>
    <d v="2017-09-02T00:00:00"/>
    <x v="18"/>
    <s v="Male"/>
    <n v="169"/>
    <n v="86.9"/>
    <n v="12920"/>
    <n v="697.3"/>
    <n v="5.5"/>
    <n v="63"/>
    <x v="0"/>
    <n v="0"/>
    <n v="2.83"/>
    <n v="8"/>
    <x v="1"/>
  </r>
  <r>
    <n v="1200"/>
    <d v="2017-09-03T00:00:00"/>
    <x v="0"/>
    <s v="Male"/>
    <n v="168.6"/>
    <n v="58.9"/>
    <n v="7015"/>
    <n v="487.7"/>
    <n v="7.3"/>
    <n v="79"/>
    <x v="5"/>
    <n v="85"/>
    <n v="2.17"/>
    <n v="6"/>
    <x v="2"/>
  </r>
  <r>
    <n v="1928"/>
    <d v="2017-09-04T00:00:00"/>
    <x v="19"/>
    <s v="Female"/>
    <n v="171.2"/>
    <n v="82.8"/>
    <n v="15530"/>
    <n v="864.5"/>
    <n v="4.8"/>
    <n v="97"/>
    <x v="4"/>
    <n v="20"/>
    <n v="2.0499999999999998"/>
    <n v="6"/>
    <x v="2"/>
  </r>
  <r>
    <n v="1723"/>
    <d v="2017-09-05T00:00:00"/>
    <x v="16"/>
    <s v="Male"/>
    <n v="186.6"/>
    <n v="59.2"/>
    <n v="18259"/>
    <n v="900"/>
    <n v="8.8000000000000007"/>
    <n v="73"/>
    <x v="0"/>
    <n v="0"/>
    <n v="1.58"/>
    <n v="9"/>
    <x v="1"/>
  </r>
  <r>
    <n v="1460"/>
    <d v="2017-09-06T00:00:00"/>
    <x v="3"/>
    <s v="Female"/>
    <n v="167.6"/>
    <n v="65.3"/>
    <n v="13453"/>
    <n v="823.9"/>
    <n v="8.4"/>
    <n v="74"/>
    <x v="0"/>
    <n v="0"/>
    <n v="2.08"/>
    <n v="9"/>
    <x v="0"/>
  </r>
  <r>
    <n v="1731"/>
    <d v="2017-09-07T00:00:00"/>
    <x v="19"/>
    <s v="Male"/>
    <n v="182.2"/>
    <n v="67.599999999999994"/>
    <n v="8508"/>
    <n v="534.9"/>
    <n v="9"/>
    <n v="89"/>
    <x v="0"/>
    <n v="0"/>
    <n v="2.2999999999999998"/>
    <n v="1"/>
    <x v="1"/>
  </r>
  <r>
    <n v="1751"/>
    <d v="2017-09-08T00:00:00"/>
    <x v="9"/>
    <s v="Female"/>
    <n v="174.8"/>
    <n v="75.099999999999994"/>
    <n v="1556"/>
    <n v="242.4"/>
    <n v="6.2"/>
    <n v="88"/>
    <x v="5"/>
    <n v="64"/>
    <n v="2.74"/>
    <n v="2"/>
    <x v="2"/>
  </r>
  <r>
    <n v="1924"/>
    <d v="2017-09-09T00:00:00"/>
    <x v="11"/>
    <s v="Male"/>
    <n v="184.2"/>
    <n v="45"/>
    <n v="9900"/>
    <n v="664.8"/>
    <n v="7.3"/>
    <n v="69"/>
    <x v="0"/>
    <n v="0"/>
    <n v="2.4700000000000002"/>
    <n v="1"/>
    <x v="1"/>
  </r>
  <r>
    <n v="1908"/>
    <d v="2017-09-10T00:00:00"/>
    <x v="32"/>
    <s v="Male"/>
    <n v="166.6"/>
    <n v="76.900000000000006"/>
    <n v="1717"/>
    <n v="283.8"/>
    <n v="8.1999999999999993"/>
    <n v="82"/>
    <x v="5"/>
    <n v="70"/>
    <n v="2.2400000000000002"/>
    <n v="2"/>
    <x v="2"/>
  </r>
  <r>
    <n v="1557"/>
    <d v="2017-09-11T00:00:00"/>
    <x v="24"/>
    <s v="Female"/>
    <n v="177"/>
    <n v="68.5"/>
    <n v="4665"/>
    <n v="413.6"/>
    <n v="6.8"/>
    <n v="50"/>
    <x v="4"/>
    <n v="80"/>
    <n v="1.86"/>
    <n v="3"/>
    <x v="0"/>
  </r>
  <r>
    <n v="1546"/>
    <d v="2017-09-12T00:00:00"/>
    <x v="6"/>
    <s v="Female"/>
    <n v="169.4"/>
    <n v="74.3"/>
    <n v="14891"/>
    <n v="792"/>
    <n v="6.2"/>
    <n v="65"/>
    <x v="5"/>
    <n v="23"/>
    <n v="2.78"/>
    <n v="2"/>
    <x v="0"/>
  </r>
  <r>
    <n v="1252"/>
    <d v="2017-09-13T00:00:00"/>
    <x v="38"/>
    <s v="Female"/>
    <n v="150"/>
    <n v="77.5"/>
    <n v="11336"/>
    <n v="699.8"/>
    <n v="7.2"/>
    <n v="86"/>
    <x v="0"/>
    <n v="0"/>
    <n v="2.15"/>
    <n v="6"/>
    <x v="0"/>
  </r>
  <r>
    <n v="1389"/>
    <d v="2017-09-14T00:00:00"/>
    <x v="2"/>
    <s v="Female"/>
    <n v="159.1"/>
    <n v="75.900000000000006"/>
    <n v="16014"/>
    <n v="797.3"/>
    <n v="6.7"/>
    <n v="70"/>
    <x v="1"/>
    <n v="30"/>
    <n v="2.75"/>
    <n v="4"/>
    <x v="0"/>
  </r>
  <r>
    <n v="1593"/>
    <d v="2017-09-15T00:00:00"/>
    <x v="2"/>
    <s v="Female"/>
    <n v="175.8"/>
    <n v="45"/>
    <n v="7547"/>
    <n v="479"/>
    <n v="5.4"/>
    <n v="73"/>
    <x v="0"/>
    <n v="0"/>
    <n v="1.1599999999999999"/>
    <n v="5"/>
    <x v="0"/>
  </r>
  <r>
    <n v="1882"/>
    <d v="2017-09-16T00:00:00"/>
    <x v="35"/>
    <s v="Female"/>
    <n v="175.2"/>
    <n v="54.1"/>
    <n v="6196"/>
    <n v="315.39999999999998"/>
    <n v="3.4"/>
    <n v="66"/>
    <x v="2"/>
    <n v="76"/>
    <n v="2.74"/>
    <n v="10"/>
    <x v="2"/>
  </r>
  <r>
    <n v="1255"/>
    <d v="2017-09-17T00:00:00"/>
    <x v="29"/>
    <s v="Male"/>
    <n v="157.1"/>
    <n v="75"/>
    <n v="19403"/>
    <n v="900"/>
    <n v="5.6"/>
    <n v="64"/>
    <x v="2"/>
    <n v="73"/>
    <n v="3.02"/>
    <n v="9"/>
    <x v="1"/>
  </r>
  <r>
    <n v="1708"/>
    <d v="2017-09-18T00:00:00"/>
    <x v="1"/>
    <s v="Female"/>
    <n v="172.2"/>
    <n v="73"/>
    <n v="12971"/>
    <n v="765.4"/>
    <n v="3.5"/>
    <n v="50"/>
    <x v="1"/>
    <n v="84"/>
    <n v="2.93"/>
    <n v="2"/>
    <x v="0"/>
  </r>
  <r>
    <n v="1814"/>
    <d v="2017-09-19T00:00:00"/>
    <x v="33"/>
    <s v="Male"/>
    <n v="175"/>
    <n v="58.2"/>
    <n v="19567"/>
    <n v="900"/>
    <n v="5.7"/>
    <n v="71"/>
    <x v="2"/>
    <n v="66"/>
    <n v="2.36"/>
    <n v="3"/>
    <x v="2"/>
  </r>
  <r>
    <n v="1920"/>
    <d v="2017-09-20T00:00:00"/>
    <x v="33"/>
    <s v="Male"/>
    <n v="169.7"/>
    <n v="81.099999999999994"/>
    <n v="16216"/>
    <n v="802.4"/>
    <n v="9.1"/>
    <n v="80"/>
    <x v="0"/>
    <n v="0"/>
    <n v="3.14"/>
    <n v="10"/>
    <x v="1"/>
  </r>
  <r>
    <n v="1449"/>
    <d v="2017-09-21T00:00:00"/>
    <x v="19"/>
    <s v="Female"/>
    <n v="177.3"/>
    <n v="66.2"/>
    <n v="11606"/>
    <n v="735.7"/>
    <n v="4.2"/>
    <n v="77"/>
    <x v="5"/>
    <n v="53"/>
    <n v="1.61"/>
    <n v="1"/>
    <x v="1"/>
  </r>
  <r>
    <n v="1009"/>
    <d v="2017-09-22T00:00:00"/>
    <x v="2"/>
    <s v="Male"/>
    <n v="175.9"/>
    <n v="83.3"/>
    <n v="7691"/>
    <n v="514.6"/>
    <n v="7.7"/>
    <n v="67"/>
    <x v="0"/>
    <n v="0"/>
    <n v="2.44"/>
    <n v="2"/>
    <x v="0"/>
  </r>
  <r>
    <n v="1823"/>
    <d v="2017-09-23T00:00:00"/>
    <x v="10"/>
    <s v="Female"/>
    <n v="169.6"/>
    <n v="88.2"/>
    <n v="8045"/>
    <n v="606.5"/>
    <n v="8.8000000000000007"/>
    <n v="61"/>
    <x v="2"/>
    <n v="80"/>
    <n v="2.36"/>
    <n v="1"/>
    <x v="0"/>
  </r>
  <r>
    <n v="1797"/>
    <d v="2017-09-24T00:00:00"/>
    <x v="15"/>
    <s v="Female"/>
    <n v="164.9"/>
    <n v="74.2"/>
    <n v="11487"/>
    <n v="702.3"/>
    <n v="4.5999999999999996"/>
    <n v="71"/>
    <x v="2"/>
    <n v="39"/>
    <n v="3.23"/>
    <n v="9"/>
    <x v="1"/>
  </r>
  <r>
    <n v="1241"/>
    <d v="2017-09-25T00:00:00"/>
    <x v="13"/>
    <s v="Male"/>
    <n v="180.4"/>
    <n v="78.3"/>
    <n v="2237"/>
    <n v="298.89999999999998"/>
    <n v="9.6999999999999993"/>
    <n v="62"/>
    <x v="5"/>
    <n v="22"/>
    <n v="1.0900000000000001"/>
    <n v="3"/>
    <x v="1"/>
  </r>
  <r>
    <n v="1250"/>
    <d v="2017-09-26T00:00:00"/>
    <x v="24"/>
    <s v="Male"/>
    <n v="174.6"/>
    <n v="60.9"/>
    <n v="11309"/>
    <n v="744.1"/>
    <n v="6.9"/>
    <n v="67"/>
    <x v="2"/>
    <n v="59"/>
    <n v="1.76"/>
    <n v="3"/>
    <x v="2"/>
  </r>
  <r>
    <n v="1876"/>
    <d v="2017-09-27T00:00:00"/>
    <x v="6"/>
    <s v="Female"/>
    <n v="156.19999999999999"/>
    <n v="83.4"/>
    <n v="7472"/>
    <n v="480.1"/>
    <n v="9"/>
    <n v="76"/>
    <x v="5"/>
    <n v="88"/>
    <n v="3.72"/>
    <n v="7"/>
    <x v="0"/>
  </r>
  <r>
    <n v="1004"/>
    <d v="2017-09-28T00:00:00"/>
    <x v="27"/>
    <s v="Female"/>
    <n v="172.2"/>
    <n v="73.3"/>
    <n v="4558"/>
    <n v="327.60000000000002"/>
    <n v="7.4"/>
    <n v="66"/>
    <x v="4"/>
    <n v="42"/>
    <n v="0.8"/>
    <n v="1"/>
    <x v="1"/>
  </r>
  <r>
    <n v="1118"/>
    <d v="2017-09-29T00:00:00"/>
    <x v="4"/>
    <s v="Male"/>
    <n v="158.5"/>
    <n v="65.599999999999994"/>
    <n v="6293"/>
    <n v="531.70000000000005"/>
    <n v="6.3"/>
    <n v="88"/>
    <x v="0"/>
    <n v="0"/>
    <n v="3.07"/>
    <n v="9"/>
    <x v="1"/>
  </r>
  <r>
    <n v="1800"/>
    <d v="2017-09-30T00:00:00"/>
    <x v="37"/>
    <s v="Male"/>
    <n v="160.4"/>
    <n v="51.7"/>
    <n v="13811"/>
    <n v="782.7"/>
    <n v="3"/>
    <n v="65"/>
    <x v="4"/>
    <n v="51"/>
    <n v="2.0099999999999998"/>
    <n v="7"/>
    <x v="0"/>
  </r>
  <r>
    <n v="1373"/>
    <d v="2017-10-01T00:00:00"/>
    <x v="28"/>
    <s v="Male"/>
    <n v="163.5"/>
    <n v="62.7"/>
    <n v="19229"/>
    <n v="900"/>
    <n v="5.3"/>
    <n v="69"/>
    <x v="2"/>
    <n v="43"/>
    <n v="2.68"/>
    <n v="9"/>
    <x v="2"/>
  </r>
  <r>
    <n v="1064"/>
    <d v="2017-10-02T00:00:00"/>
    <x v="10"/>
    <s v="Male"/>
    <n v="170.4"/>
    <n v="53.4"/>
    <n v="7362"/>
    <n v="538.5"/>
    <n v="8"/>
    <n v="83"/>
    <x v="4"/>
    <n v="70"/>
    <n v="3.49"/>
    <n v="8"/>
    <x v="2"/>
  </r>
  <r>
    <n v="1145"/>
    <d v="2017-10-03T00:00:00"/>
    <x v="26"/>
    <s v="Female"/>
    <n v="173.7"/>
    <n v="81.400000000000006"/>
    <n v="14311"/>
    <n v="854.6"/>
    <n v="9.3000000000000007"/>
    <n v="82"/>
    <x v="2"/>
    <n v="77"/>
    <n v="2.71"/>
    <n v="5"/>
    <x v="0"/>
  </r>
  <r>
    <n v="1223"/>
    <d v="2017-10-04T00:00:00"/>
    <x v="21"/>
    <s v="Female"/>
    <n v="165.9"/>
    <n v="88.3"/>
    <n v="4182"/>
    <n v="341.7"/>
    <n v="4.9000000000000004"/>
    <n v="80"/>
    <x v="4"/>
    <n v="61"/>
    <n v="3.5"/>
    <n v="3"/>
    <x v="2"/>
  </r>
  <r>
    <n v="1238"/>
    <d v="2017-10-05T00:00:00"/>
    <x v="11"/>
    <s v="Female"/>
    <n v="166.3"/>
    <n v="83.7"/>
    <n v="15298"/>
    <n v="802.5"/>
    <n v="6.9"/>
    <n v="69"/>
    <x v="2"/>
    <n v="54"/>
    <n v="2.16"/>
    <n v="9"/>
    <x v="2"/>
  </r>
  <r>
    <n v="1176"/>
    <d v="2017-10-06T00:00:00"/>
    <x v="37"/>
    <s v="Female"/>
    <n v="165"/>
    <n v="107.3"/>
    <n v="17847"/>
    <n v="900"/>
    <n v="6.3"/>
    <n v="81"/>
    <x v="3"/>
    <n v="51"/>
    <n v="2.25"/>
    <n v="5"/>
    <x v="2"/>
  </r>
  <r>
    <n v="1778"/>
    <d v="2017-10-07T00:00:00"/>
    <x v="15"/>
    <s v="Male"/>
    <n v="180.5"/>
    <n v="63.1"/>
    <n v="6760"/>
    <n v="461.1"/>
    <n v="7.6"/>
    <n v="83"/>
    <x v="0"/>
    <n v="0"/>
    <n v="3.05"/>
    <n v="9"/>
    <x v="1"/>
  </r>
  <r>
    <n v="1852"/>
    <d v="2017-10-08T00:00:00"/>
    <x v="36"/>
    <s v="Male"/>
    <n v="150"/>
    <n v="78.900000000000006"/>
    <n v="8260"/>
    <n v="452"/>
    <n v="7.1"/>
    <n v="79"/>
    <x v="1"/>
    <n v="64"/>
    <n v="2.19"/>
    <n v="3"/>
    <x v="1"/>
  </r>
  <r>
    <n v="1281"/>
    <d v="2017-10-09T00:00:00"/>
    <x v="37"/>
    <s v="Female"/>
    <n v="166.9"/>
    <n v="52.3"/>
    <n v="1450"/>
    <n v="266.2"/>
    <n v="6.4"/>
    <n v="75"/>
    <x v="0"/>
    <n v="0"/>
    <n v="2.92"/>
    <n v="6"/>
    <x v="2"/>
  </r>
  <r>
    <n v="1062"/>
    <d v="2017-10-10T00:00:00"/>
    <x v="7"/>
    <s v="Female"/>
    <n v="185.4"/>
    <n v="67"/>
    <n v="14707"/>
    <n v="827.8"/>
    <n v="8"/>
    <n v="81"/>
    <x v="4"/>
    <n v="68"/>
    <n v="3.33"/>
    <n v="2"/>
    <x v="0"/>
  </r>
  <r>
    <n v="1216"/>
    <d v="2017-10-11T00:00:00"/>
    <x v="38"/>
    <s v="Female"/>
    <n v="175.2"/>
    <n v="47.8"/>
    <n v="2915"/>
    <n v="282.60000000000002"/>
    <n v="6"/>
    <n v="74"/>
    <x v="5"/>
    <n v="53"/>
    <n v="3.11"/>
    <n v="3"/>
    <x v="0"/>
  </r>
  <r>
    <n v="1853"/>
    <d v="2017-10-12T00:00:00"/>
    <x v="38"/>
    <s v="Female"/>
    <n v="182.7"/>
    <n v="78.5"/>
    <n v="10115"/>
    <n v="558.9"/>
    <n v="7"/>
    <n v="79"/>
    <x v="1"/>
    <n v="35"/>
    <n v="1.39"/>
    <n v="2"/>
    <x v="0"/>
  </r>
  <r>
    <n v="1826"/>
    <d v="2017-10-13T00:00:00"/>
    <x v="3"/>
    <s v="Female"/>
    <n v="150"/>
    <n v="64.7"/>
    <n v="8076"/>
    <n v="516.20000000000005"/>
    <n v="8.1999999999999993"/>
    <n v="76"/>
    <x v="2"/>
    <n v="30"/>
    <n v="2.2599999999999998"/>
    <n v="2"/>
    <x v="2"/>
  </r>
  <r>
    <n v="1794"/>
    <d v="2017-10-14T00:00:00"/>
    <x v="25"/>
    <s v="Female"/>
    <n v="157.6"/>
    <n v="45"/>
    <n v="15814"/>
    <n v="871.8"/>
    <n v="5.9"/>
    <n v="60"/>
    <x v="1"/>
    <n v="38"/>
    <n v="2.7"/>
    <n v="5"/>
    <x v="0"/>
  </r>
  <r>
    <n v="1688"/>
    <d v="2017-10-15T00:00:00"/>
    <x v="2"/>
    <s v="Female"/>
    <n v="175.1"/>
    <n v="59.7"/>
    <n v="1315"/>
    <n v="198.8"/>
    <n v="6.5"/>
    <n v="69"/>
    <x v="5"/>
    <n v="48"/>
    <n v="2.33"/>
    <n v="10"/>
    <x v="1"/>
  </r>
  <r>
    <n v="1460"/>
    <d v="2017-10-16T00:00:00"/>
    <x v="35"/>
    <s v="Female"/>
    <n v="185.5"/>
    <n v="96.9"/>
    <n v="5793"/>
    <n v="548.5"/>
    <n v="6.2"/>
    <n v="96"/>
    <x v="5"/>
    <n v="73"/>
    <n v="2.56"/>
    <n v="4"/>
    <x v="0"/>
  </r>
  <r>
    <n v="1928"/>
    <d v="2017-10-17T00:00:00"/>
    <x v="18"/>
    <s v="Female"/>
    <n v="158.6"/>
    <n v="76.2"/>
    <n v="18760"/>
    <n v="885.4"/>
    <n v="7.7"/>
    <n v="56"/>
    <x v="0"/>
    <n v="0"/>
    <n v="2.71"/>
    <n v="4"/>
    <x v="0"/>
  </r>
  <r>
    <n v="1609"/>
    <d v="2017-10-18T00:00:00"/>
    <x v="3"/>
    <s v="Male"/>
    <n v="166.1"/>
    <n v="81.5"/>
    <n v="2262"/>
    <n v="261.89999999999998"/>
    <n v="7.5"/>
    <n v="91"/>
    <x v="2"/>
    <n v="86"/>
    <n v="2.13"/>
    <n v="8"/>
    <x v="1"/>
  </r>
  <r>
    <n v="1104"/>
    <d v="2017-10-19T00:00:00"/>
    <x v="7"/>
    <s v="Female"/>
    <n v="174"/>
    <n v="71.900000000000006"/>
    <n v="10319"/>
    <n v="669.5"/>
    <n v="6.2"/>
    <n v="81"/>
    <x v="0"/>
    <n v="0"/>
    <n v="2.36"/>
    <n v="6"/>
    <x v="1"/>
  </r>
  <r>
    <n v="1098"/>
    <d v="2017-10-20T00:00:00"/>
    <x v="35"/>
    <s v="Male"/>
    <n v="155.5"/>
    <n v="67.3"/>
    <n v="14194"/>
    <n v="816.1"/>
    <n v="7.5"/>
    <n v="75"/>
    <x v="4"/>
    <n v="75"/>
    <n v="1.67"/>
    <n v="10"/>
    <x v="2"/>
  </r>
  <r>
    <n v="1510"/>
    <d v="2017-10-21T00:00:00"/>
    <x v="32"/>
    <s v="Male"/>
    <n v="175.2"/>
    <n v="70.2"/>
    <n v="4468"/>
    <n v="422.7"/>
    <n v="3"/>
    <n v="58"/>
    <x v="4"/>
    <n v="82"/>
    <n v="2.17"/>
    <n v="2"/>
    <x v="2"/>
  </r>
  <r>
    <n v="1384"/>
    <d v="2017-10-22T00:00:00"/>
    <x v="18"/>
    <s v="Female"/>
    <n v="150"/>
    <n v="73.7"/>
    <n v="14874"/>
    <n v="760.7"/>
    <n v="8.3000000000000007"/>
    <n v="75"/>
    <x v="3"/>
    <n v="23"/>
    <n v="1.43"/>
    <n v="1"/>
    <x v="2"/>
  </r>
  <r>
    <n v="1404"/>
    <d v="2017-10-23T00:00:00"/>
    <x v="39"/>
    <s v="Female"/>
    <n v="174.9"/>
    <n v="53.6"/>
    <n v="13651"/>
    <n v="721.3"/>
    <n v="8.3000000000000007"/>
    <n v="68"/>
    <x v="0"/>
    <n v="0"/>
    <n v="2.58"/>
    <n v="5"/>
    <x v="2"/>
  </r>
  <r>
    <n v="1822"/>
    <d v="2017-10-24T00:00:00"/>
    <x v="13"/>
    <s v="Male"/>
    <n v="160"/>
    <n v="81.400000000000006"/>
    <n v="15482"/>
    <n v="776.5"/>
    <n v="6.2"/>
    <n v="87"/>
    <x v="5"/>
    <n v="22"/>
    <n v="2.36"/>
    <n v="7"/>
    <x v="2"/>
  </r>
  <r>
    <n v="1517"/>
    <d v="2017-10-25T00:00:00"/>
    <x v="7"/>
    <s v="Male"/>
    <n v="165.5"/>
    <n v="86.8"/>
    <n v="5409"/>
    <n v="400.4"/>
    <n v="5.9"/>
    <n v="68"/>
    <x v="3"/>
    <n v="46"/>
    <n v="1.86"/>
    <n v="5"/>
    <x v="1"/>
  </r>
  <r>
    <n v="1475"/>
    <d v="2017-10-26T00:00:00"/>
    <x v="19"/>
    <s v="Female"/>
    <n v="176.5"/>
    <n v="67.099999999999994"/>
    <n v="1547"/>
    <n v="281"/>
    <n v="6.9"/>
    <n v="72"/>
    <x v="5"/>
    <n v="63"/>
    <n v="3.75"/>
    <n v="4"/>
    <x v="1"/>
  </r>
  <r>
    <n v="1976"/>
    <d v="2017-10-27T00:00:00"/>
    <x v="38"/>
    <s v="Male"/>
    <n v="174.5"/>
    <n v="62.2"/>
    <n v="5891"/>
    <n v="392.6"/>
    <n v="5.6"/>
    <n v="77"/>
    <x v="3"/>
    <n v="37"/>
    <n v="2.33"/>
    <n v="5"/>
    <x v="1"/>
  </r>
  <r>
    <n v="1708"/>
    <d v="2017-10-28T00:00:00"/>
    <x v="22"/>
    <s v="Female"/>
    <n v="169.9"/>
    <n v="58.9"/>
    <n v="10721"/>
    <n v="541.4"/>
    <n v="5.9"/>
    <n v="69"/>
    <x v="0"/>
    <n v="0"/>
    <n v="2.7"/>
    <n v="10"/>
    <x v="0"/>
  </r>
  <r>
    <n v="1862"/>
    <d v="2017-10-29T00:00:00"/>
    <x v="19"/>
    <s v="Female"/>
    <n v="179.7"/>
    <n v="96.4"/>
    <n v="15436"/>
    <n v="875.9"/>
    <n v="7.5"/>
    <n v="85"/>
    <x v="4"/>
    <n v="89"/>
    <n v="2.0499999999999998"/>
    <n v="8"/>
    <x v="0"/>
  </r>
  <r>
    <n v="1644"/>
    <d v="2017-10-30T00:00:00"/>
    <x v="33"/>
    <s v="Female"/>
    <n v="153"/>
    <n v="63.2"/>
    <n v="17490"/>
    <n v="890.6"/>
    <n v="8.1999999999999993"/>
    <n v="72"/>
    <x v="5"/>
    <n v="66"/>
    <n v="2.21"/>
    <n v="5"/>
    <x v="0"/>
  </r>
  <r>
    <n v="1869"/>
    <d v="2017-10-31T00:00:00"/>
    <x v="34"/>
    <s v="Male"/>
    <n v="172"/>
    <n v="79.8"/>
    <n v="6468"/>
    <n v="496.1"/>
    <n v="7.5"/>
    <n v="56"/>
    <x v="0"/>
    <n v="0"/>
    <n v="2.73"/>
    <n v="9"/>
    <x v="2"/>
  </r>
  <r>
    <n v="1770"/>
    <d v="2017-11-01T00:00:00"/>
    <x v="3"/>
    <s v="Male"/>
    <n v="162.1"/>
    <n v="67.2"/>
    <n v="15923"/>
    <n v="821.5"/>
    <n v="10"/>
    <n v="77"/>
    <x v="0"/>
    <n v="0"/>
    <n v="2.27"/>
    <n v="10"/>
    <x v="0"/>
  </r>
  <r>
    <n v="1436"/>
    <d v="2017-11-02T00:00:00"/>
    <x v="40"/>
    <s v="Female"/>
    <n v="179.2"/>
    <n v="66.3"/>
    <n v="2250"/>
    <n v="317.10000000000002"/>
    <n v="8.9"/>
    <n v="83"/>
    <x v="4"/>
    <n v="42"/>
    <n v="2.5"/>
    <n v="7"/>
    <x v="2"/>
  </r>
  <r>
    <n v="1022"/>
    <d v="2017-11-03T00:00:00"/>
    <x v="35"/>
    <s v="Male"/>
    <n v="176.9"/>
    <n v="58.5"/>
    <n v="14264"/>
    <n v="886.9"/>
    <n v="8.1"/>
    <n v="89"/>
    <x v="1"/>
    <n v="59"/>
    <n v="3.06"/>
    <n v="2"/>
    <x v="2"/>
  </r>
  <r>
    <n v="1996"/>
    <d v="2017-11-04T00:00:00"/>
    <x v="17"/>
    <s v="Male"/>
    <n v="177.2"/>
    <n v="55.4"/>
    <n v="2611"/>
    <n v="247.3"/>
    <n v="8"/>
    <n v="81"/>
    <x v="4"/>
    <n v="34"/>
    <n v="2.14"/>
    <n v="9"/>
    <x v="2"/>
  </r>
  <r>
    <n v="1564"/>
    <d v="2017-11-05T00:00:00"/>
    <x v="38"/>
    <s v="Male"/>
    <n v="186.5"/>
    <n v="81.099999999999994"/>
    <n v="8928"/>
    <n v="518.20000000000005"/>
    <n v="7.1"/>
    <n v="87"/>
    <x v="5"/>
    <n v="76"/>
    <n v="1.57"/>
    <n v="2"/>
    <x v="2"/>
  </r>
  <r>
    <n v="1676"/>
    <d v="2017-11-06T00:00:00"/>
    <x v="34"/>
    <s v="Male"/>
    <n v="181.3"/>
    <n v="55.1"/>
    <n v="2790"/>
    <n v="266.60000000000002"/>
    <n v="7.8"/>
    <n v="80"/>
    <x v="1"/>
    <n v="33"/>
    <n v="1.43"/>
    <n v="6"/>
    <x v="0"/>
  </r>
  <r>
    <n v="1713"/>
    <d v="2017-11-07T00:00:00"/>
    <x v="29"/>
    <s v="Male"/>
    <n v="168.4"/>
    <n v="76.900000000000006"/>
    <n v="1867"/>
    <n v="379.9"/>
    <n v="7.3"/>
    <n v="65"/>
    <x v="3"/>
    <n v="31"/>
    <n v="3.51"/>
    <n v="8"/>
    <x v="1"/>
  </r>
  <r>
    <n v="1457"/>
    <d v="2017-11-08T00:00:00"/>
    <x v="7"/>
    <s v="Male"/>
    <n v="170"/>
    <n v="71.400000000000006"/>
    <n v="13445"/>
    <n v="736.9"/>
    <n v="8.6"/>
    <n v="67"/>
    <x v="2"/>
    <n v="54"/>
    <n v="3.15"/>
    <n v="2"/>
    <x v="2"/>
  </r>
  <r>
    <n v="1082"/>
    <d v="2017-11-09T00:00:00"/>
    <x v="26"/>
    <s v="Male"/>
    <n v="176"/>
    <n v="81.3"/>
    <n v="1327"/>
    <n v="297.5"/>
    <n v="6.6"/>
    <n v="52"/>
    <x v="5"/>
    <n v="44"/>
    <n v="2.96"/>
    <n v="6"/>
    <x v="0"/>
  </r>
  <r>
    <n v="1144"/>
    <d v="2017-11-10T00:00:00"/>
    <x v="26"/>
    <s v="Female"/>
    <n v="171.4"/>
    <n v="60.9"/>
    <n v="4816"/>
    <n v="260.39999999999998"/>
    <n v="6.5"/>
    <n v="73"/>
    <x v="2"/>
    <n v="21"/>
    <n v="2.19"/>
    <n v="5"/>
    <x v="2"/>
  </r>
  <r>
    <n v="1084"/>
    <d v="2017-11-11T00:00:00"/>
    <x v="38"/>
    <s v="Male"/>
    <n v="177.1"/>
    <n v="86.2"/>
    <n v="4148"/>
    <n v="384.6"/>
    <n v="8.8000000000000007"/>
    <n v="82"/>
    <x v="2"/>
    <n v="37"/>
    <n v="1.57"/>
    <n v="7"/>
    <x v="2"/>
  </r>
  <r>
    <n v="1077"/>
    <d v="2017-11-12T00:00:00"/>
    <x v="2"/>
    <s v="Male"/>
    <n v="150"/>
    <n v="67.900000000000006"/>
    <n v="16070"/>
    <n v="824.8"/>
    <n v="6.3"/>
    <n v="59"/>
    <x v="1"/>
    <n v="54"/>
    <n v="2.2999999999999998"/>
    <n v="10"/>
    <x v="1"/>
  </r>
  <r>
    <n v="1456"/>
    <d v="2017-11-13T00:00:00"/>
    <x v="17"/>
    <s v="Male"/>
    <n v="188.8"/>
    <n v="108.9"/>
    <n v="12573"/>
    <n v="772.4"/>
    <n v="5.6"/>
    <n v="88"/>
    <x v="3"/>
    <n v="28"/>
    <n v="2.4300000000000002"/>
    <n v="5"/>
    <x v="2"/>
  </r>
  <r>
    <n v="1877"/>
    <d v="2017-11-14T00:00:00"/>
    <x v="10"/>
    <s v="Male"/>
    <n v="170.6"/>
    <n v="45.8"/>
    <n v="11566"/>
    <n v="695.6"/>
    <n v="5.9"/>
    <n v="74"/>
    <x v="4"/>
    <n v="30"/>
    <n v="1.71"/>
    <n v="3"/>
    <x v="1"/>
  </r>
  <r>
    <n v="1000"/>
    <d v="2017-11-15T00:00:00"/>
    <x v="5"/>
    <s v="Male"/>
    <n v="153.80000000000001"/>
    <n v="106.4"/>
    <n v="19939"/>
    <n v="900"/>
    <n v="8.1"/>
    <n v="66"/>
    <x v="1"/>
    <n v="86"/>
    <n v="1.47"/>
    <n v="6"/>
    <x v="0"/>
  </r>
  <r>
    <n v="1050"/>
    <d v="2017-11-16T00:00:00"/>
    <x v="36"/>
    <s v="Male"/>
    <n v="160.9"/>
    <n v="68.099999999999994"/>
    <n v="14157"/>
    <n v="845.3"/>
    <n v="10"/>
    <n v="59"/>
    <x v="3"/>
    <n v="88"/>
    <n v="1.29"/>
    <n v="7"/>
    <x v="2"/>
  </r>
  <r>
    <n v="1684"/>
    <d v="2017-11-17T00:00:00"/>
    <x v="2"/>
    <s v="Male"/>
    <n v="150"/>
    <n v="73.3"/>
    <n v="10322"/>
    <n v="696.5"/>
    <n v="5.7"/>
    <n v="92"/>
    <x v="4"/>
    <n v="57"/>
    <n v="2.96"/>
    <n v="1"/>
    <x v="1"/>
  </r>
  <r>
    <n v="1716"/>
    <d v="2017-11-18T00:00:00"/>
    <x v="26"/>
    <s v="Male"/>
    <n v="159.1"/>
    <n v="60.9"/>
    <n v="3482"/>
    <n v="414.6"/>
    <n v="8"/>
    <n v="87"/>
    <x v="4"/>
    <n v="89"/>
    <n v="1.66"/>
    <n v="8"/>
    <x v="2"/>
  </r>
  <r>
    <n v="1771"/>
    <d v="2017-11-19T00:00:00"/>
    <x v="11"/>
    <s v="Female"/>
    <n v="168.6"/>
    <n v="46.5"/>
    <n v="4099"/>
    <n v="402.1"/>
    <n v="7.2"/>
    <n v="71"/>
    <x v="3"/>
    <n v="78"/>
    <n v="2.72"/>
    <n v="8"/>
    <x v="2"/>
  </r>
  <r>
    <n v="1445"/>
    <d v="2017-11-20T00:00:00"/>
    <x v="33"/>
    <s v="Male"/>
    <n v="185.1"/>
    <n v="62.1"/>
    <n v="12512"/>
    <n v="686.6"/>
    <n v="8.6999999999999993"/>
    <n v="84"/>
    <x v="4"/>
    <n v="85"/>
    <n v="2.2200000000000002"/>
    <n v="4"/>
    <x v="2"/>
  </r>
  <r>
    <n v="1448"/>
    <d v="2017-11-21T00:00:00"/>
    <x v="10"/>
    <s v="Male"/>
    <n v="174.1"/>
    <n v="64.5"/>
    <n v="14675"/>
    <n v="798.6"/>
    <n v="8"/>
    <n v="73"/>
    <x v="5"/>
    <n v="60"/>
    <n v="2.91"/>
    <n v="8"/>
    <x v="1"/>
  </r>
  <r>
    <n v="1880"/>
    <d v="2017-11-22T00:00:00"/>
    <x v="37"/>
    <s v="Male"/>
    <n v="172.3"/>
    <n v="72.7"/>
    <n v="10748"/>
    <n v="609.1"/>
    <n v="8.8000000000000007"/>
    <n v="69"/>
    <x v="5"/>
    <n v="43"/>
    <n v="2.74"/>
    <n v="3"/>
    <x v="0"/>
  </r>
  <r>
    <n v="1487"/>
    <d v="2017-11-23T00:00:00"/>
    <x v="31"/>
    <s v="Male"/>
    <n v="158.6"/>
    <n v="86.8"/>
    <n v="12735"/>
    <n v="720.5"/>
    <n v="7.4"/>
    <n v="68"/>
    <x v="1"/>
    <n v="69"/>
    <n v="2.34"/>
    <n v="5"/>
    <x v="1"/>
  </r>
  <r>
    <n v="1799"/>
    <d v="2017-11-24T00:00:00"/>
    <x v="24"/>
    <s v="Female"/>
    <n v="161.80000000000001"/>
    <n v="72.900000000000006"/>
    <n v="14850"/>
    <n v="764.3"/>
    <n v="5.7"/>
    <n v="73"/>
    <x v="4"/>
    <n v="24"/>
    <n v="2.59"/>
    <n v="3"/>
    <x v="0"/>
  </r>
  <r>
    <n v="1033"/>
    <d v="2017-11-25T00:00:00"/>
    <x v="2"/>
    <s v="Female"/>
    <n v="162.5"/>
    <n v="73.099999999999994"/>
    <n v="7732"/>
    <n v="500.8"/>
    <n v="6"/>
    <n v="71"/>
    <x v="4"/>
    <n v="40"/>
    <n v="2.42"/>
    <n v="2"/>
    <x v="1"/>
  </r>
  <r>
    <n v="1347"/>
    <d v="2017-11-26T00:00:00"/>
    <x v="3"/>
    <s v="Female"/>
    <n v="162.9"/>
    <n v="75.8"/>
    <n v="8985"/>
    <n v="666.6"/>
    <n v="7.3"/>
    <n v="76"/>
    <x v="3"/>
    <n v="25"/>
    <n v="2.0699999999999998"/>
    <n v="5"/>
    <x v="1"/>
  </r>
  <r>
    <n v="1094"/>
    <d v="2017-11-27T00:00:00"/>
    <x v="29"/>
    <s v="Female"/>
    <n v="166.5"/>
    <n v="45"/>
    <n v="13700"/>
    <n v="763.5"/>
    <n v="7.7"/>
    <n v="91"/>
    <x v="5"/>
    <n v="23"/>
    <n v="3.19"/>
    <n v="8"/>
    <x v="0"/>
  </r>
  <r>
    <n v="1071"/>
    <d v="2017-11-28T00:00:00"/>
    <x v="20"/>
    <s v="Female"/>
    <n v="167.2"/>
    <n v="45.1"/>
    <n v="7054"/>
    <n v="460.7"/>
    <n v="6.4"/>
    <n v="98"/>
    <x v="2"/>
    <n v="28"/>
    <n v="2.2000000000000002"/>
    <n v="9"/>
    <x v="0"/>
  </r>
  <r>
    <n v="1550"/>
    <d v="2017-11-29T00:00:00"/>
    <x v="32"/>
    <s v="Female"/>
    <n v="166.6"/>
    <n v="47.5"/>
    <n v="17952"/>
    <n v="863.1"/>
    <n v="10"/>
    <n v="63"/>
    <x v="1"/>
    <n v="88"/>
    <n v="2.44"/>
    <n v="5"/>
    <x v="0"/>
  </r>
  <r>
    <n v="1153"/>
    <d v="2017-11-30T00:00:00"/>
    <x v="0"/>
    <s v="Female"/>
    <n v="163.30000000000001"/>
    <n v="64.400000000000006"/>
    <n v="2654"/>
    <n v="301.2"/>
    <n v="8.4"/>
    <n v="80"/>
    <x v="0"/>
    <n v="0"/>
    <n v="1.51"/>
    <n v="3"/>
    <x v="1"/>
  </r>
  <r>
    <n v="1249"/>
    <d v="2017-12-01T00:00:00"/>
    <x v="6"/>
    <s v="Female"/>
    <n v="171.4"/>
    <n v="45"/>
    <n v="12428"/>
    <n v="734.4"/>
    <n v="3.9"/>
    <n v="77"/>
    <x v="5"/>
    <n v="28"/>
    <n v="2.69"/>
    <n v="3"/>
    <x v="0"/>
  </r>
  <r>
    <n v="1673"/>
    <d v="2017-12-02T00:00:00"/>
    <x v="7"/>
    <s v="Female"/>
    <n v="166.9"/>
    <n v="59.7"/>
    <n v="12311"/>
    <n v="699.3"/>
    <n v="6.8"/>
    <n v="80"/>
    <x v="3"/>
    <n v="37"/>
    <n v="2.0699999999999998"/>
    <n v="8"/>
    <x v="2"/>
  </r>
  <r>
    <n v="1437"/>
    <d v="2017-12-03T00:00:00"/>
    <x v="24"/>
    <s v="Female"/>
    <n v="154"/>
    <n v="49.5"/>
    <n v="4733"/>
    <n v="386.6"/>
    <n v="5.5"/>
    <n v="70"/>
    <x v="1"/>
    <n v="78"/>
    <n v="2.17"/>
    <n v="3"/>
    <x v="2"/>
  </r>
  <r>
    <n v="1117"/>
    <d v="2017-12-04T00:00:00"/>
    <x v="12"/>
    <s v="Female"/>
    <n v="170.3"/>
    <n v="77.3"/>
    <n v="7811"/>
    <n v="533.70000000000005"/>
    <n v="9.9"/>
    <n v="80"/>
    <x v="2"/>
    <n v="62"/>
    <n v="1.91"/>
    <n v="9"/>
    <x v="2"/>
  </r>
  <r>
    <n v="1770"/>
    <d v="2017-12-05T00:00:00"/>
    <x v="4"/>
    <s v="Female"/>
    <n v="168.8"/>
    <n v="76.599999999999994"/>
    <n v="9342"/>
    <n v="593.4"/>
    <n v="3.7"/>
    <n v="61"/>
    <x v="0"/>
    <n v="0"/>
    <n v="2.41"/>
    <n v="10"/>
    <x v="2"/>
  </r>
  <r>
    <n v="1890"/>
    <d v="2017-12-06T00:00:00"/>
    <x v="19"/>
    <s v="Female"/>
    <n v="154.19999999999999"/>
    <n v="65.5"/>
    <n v="11464"/>
    <n v="693.8"/>
    <n v="7.6"/>
    <n v="109"/>
    <x v="1"/>
    <n v="48"/>
    <n v="1.1000000000000001"/>
    <n v="1"/>
    <x v="0"/>
  </r>
  <r>
    <n v="1305"/>
    <d v="2017-12-07T00:00:00"/>
    <x v="26"/>
    <s v="Female"/>
    <n v="164.1"/>
    <n v="45"/>
    <n v="16746"/>
    <n v="900"/>
    <n v="7.2"/>
    <n v="78"/>
    <x v="5"/>
    <n v="67"/>
    <n v="2.98"/>
    <n v="1"/>
    <x v="0"/>
  </r>
  <r>
    <n v="1267"/>
    <d v="2017-12-08T00:00:00"/>
    <x v="10"/>
    <s v="Female"/>
    <n v="176"/>
    <n v="66.400000000000006"/>
    <n v="13543"/>
    <n v="737.3"/>
    <n v="8.1999999999999993"/>
    <n v="82"/>
    <x v="2"/>
    <n v="70"/>
    <n v="2.4700000000000002"/>
    <n v="5"/>
    <x v="2"/>
  </r>
  <r>
    <n v="1960"/>
    <d v="2017-12-09T00:00:00"/>
    <x v="35"/>
    <s v="Female"/>
    <n v="158.6"/>
    <n v="74.900000000000006"/>
    <n v="11300"/>
    <n v="645.1"/>
    <n v="7.5"/>
    <n v="64"/>
    <x v="0"/>
    <n v="0"/>
    <n v="2.17"/>
    <n v="4"/>
    <x v="0"/>
  </r>
  <r>
    <n v="1053"/>
    <d v="2017-12-10T00:00:00"/>
    <x v="18"/>
    <s v="Male"/>
    <n v="157.6"/>
    <n v="82.2"/>
    <n v="2795"/>
    <n v="311.8"/>
    <n v="10"/>
    <n v="68"/>
    <x v="3"/>
    <n v="55"/>
    <n v="1.42"/>
    <n v="3"/>
    <x v="2"/>
  </r>
  <r>
    <n v="1235"/>
    <d v="2017-12-11T00:00:00"/>
    <x v="9"/>
    <s v="Female"/>
    <n v="166.8"/>
    <n v="96.3"/>
    <n v="17192"/>
    <n v="900"/>
    <n v="8.4"/>
    <n v="60"/>
    <x v="1"/>
    <n v="64"/>
    <n v="2.8"/>
    <n v="1"/>
    <x v="1"/>
  </r>
  <r>
    <n v="1388"/>
    <d v="2017-12-12T00:00:00"/>
    <x v="6"/>
    <s v="Male"/>
    <n v="176.2"/>
    <n v="86.8"/>
    <n v="14708"/>
    <n v="844.4"/>
    <n v="4.2"/>
    <n v="90"/>
    <x v="5"/>
    <n v="54"/>
    <n v="2.06"/>
    <n v="7"/>
    <x v="0"/>
  </r>
  <r>
    <n v="1989"/>
    <d v="2017-12-13T00:00:00"/>
    <x v="13"/>
    <s v="Female"/>
    <n v="188.1"/>
    <n v="72.5"/>
    <n v="17383"/>
    <n v="878.5"/>
    <n v="9.1"/>
    <n v="64"/>
    <x v="3"/>
    <n v="25"/>
    <n v="3.41"/>
    <n v="1"/>
    <x v="1"/>
  </r>
  <r>
    <n v="1733"/>
    <d v="2017-12-14T00:00:00"/>
    <x v="32"/>
    <s v="Female"/>
    <n v="176.6"/>
    <n v="65.7"/>
    <n v="9540"/>
    <n v="573.4"/>
    <n v="7.3"/>
    <n v="73"/>
    <x v="2"/>
    <n v="56"/>
    <n v="2.84"/>
    <n v="6"/>
    <x v="0"/>
  </r>
  <r>
    <n v="1762"/>
    <d v="2017-12-15T00:00:00"/>
    <x v="2"/>
    <s v="Male"/>
    <n v="180.8"/>
    <n v="58.9"/>
    <n v="17328"/>
    <n v="852.4"/>
    <n v="9.1"/>
    <n v="74"/>
    <x v="1"/>
    <n v="55"/>
    <n v="3.57"/>
    <n v="10"/>
    <x v="0"/>
  </r>
  <r>
    <n v="1824"/>
    <d v="2017-12-16T00:00:00"/>
    <x v="25"/>
    <s v="Female"/>
    <n v="173.5"/>
    <n v="90.3"/>
    <n v="7214"/>
    <n v="413.8"/>
    <n v="6.5"/>
    <n v="80"/>
    <x v="4"/>
    <n v="35"/>
    <n v="2.6"/>
    <n v="2"/>
    <x v="0"/>
  </r>
  <r>
    <n v="1400"/>
    <d v="2017-12-17T00:00:00"/>
    <x v="35"/>
    <s v="Male"/>
    <n v="163.1"/>
    <n v="72.5"/>
    <n v="7145"/>
    <n v="423.9"/>
    <n v="5.4"/>
    <n v="62"/>
    <x v="5"/>
    <n v="41"/>
    <n v="3.25"/>
    <n v="4"/>
    <x v="1"/>
  </r>
  <r>
    <n v="1623"/>
    <d v="2017-12-18T00:00:00"/>
    <x v="23"/>
    <s v="Male"/>
    <n v="176.5"/>
    <n v="79.5"/>
    <n v="3609"/>
    <n v="294.2"/>
    <n v="5.0999999999999996"/>
    <n v="84"/>
    <x v="5"/>
    <n v="88"/>
    <n v="2.82"/>
    <n v="8"/>
    <x v="1"/>
  </r>
  <r>
    <n v="1766"/>
    <d v="2017-12-19T00:00:00"/>
    <x v="38"/>
    <s v="Male"/>
    <n v="169.1"/>
    <n v="61.1"/>
    <n v="19610"/>
    <n v="900"/>
    <n v="8.6"/>
    <n v="87"/>
    <x v="4"/>
    <n v="88"/>
    <n v="2.1800000000000002"/>
    <n v="3"/>
    <x v="2"/>
  </r>
  <r>
    <n v="1302"/>
    <d v="2017-12-20T00:00:00"/>
    <x v="28"/>
    <s v="Female"/>
    <n v="173.8"/>
    <n v="51.4"/>
    <n v="14622"/>
    <n v="807.9"/>
    <n v="8.1999999999999993"/>
    <n v="68"/>
    <x v="3"/>
    <n v="82"/>
    <n v="2.63"/>
    <n v="9"/>
    <x v="1"/>
  </r>
  <r>
    <n v="1918"/>
    <d v="2017-12-21T00:00:00"/>
    <x v="3"/>
    <s v="Female"/>
    <n v="160.5"/>
    <n v="64"/>
    <n v="11298"/>
    <n v="598.4"/>
    <n v="6.1"/>
    <n v="75"/>
    <x v="5"/>
    <n v="38"/>
    <n v="1.92"/>
    <n v="5"/>
    <x v="1"/>
  </r>
  <r>
    <n v="1206"/>
    <d v="2017-12-22T00:00:00"/>
    <x v="7"/>
    <s v="Female"/>
    <n v="174.7"/>
    <n v="65.5"/>
    <n v="4080"/>
    <n v="364.1"/>
    <n v="3"/>
    <n v="81"/>
    <x v="3"/>
    <n v="37"/>
    <n v="3.95"/>
    <n v="6"/>
    <x v="2"/>
  </r>
  <r>
    <n v="1228"/>
    <d v="2017-12-23T00:00:00"/>
    <x v="8"/>
    <s v="Male"/>
    <n v="168.8"/>
    <n v="72.900000000000006"/>
    <n v="1987"/>
    <n v="321.39999999999998"/>
    <n v="8.6"/>
    <n v="78"/>
    <x v="2"/>
    <n v="36"/>
    <n v="2.4300000000000002"/>
    <n v="2"/>
    <x v="1"/>
  </r>
  <r>
    <n v="1852"/>
    <d v="2017-12-24T00:00:00"/>
    <x v="24"/>
    <s v="Male"/>
    <n v="172.3"/>
    <n v="58.9"/>
    <n v="18744"/>
    <n v="900"/>
    <n v="3.9"/>
    <n v="65"/>
    <x v="4"/>
    <n v="60"/>
    <n v="2.52"/>
    <n v="1"/>
    <x v="1"/>
  </r>
  <r>
    <n v="1909"/>
    <d v="2017-12-25T00:00:00"/>
    <x v="23"/>
    <s v="Female"/>
    <n v="169.1"/>
    <n v="70.400000000000006"/>
    <n v="8546"/>
    <n v="517.20000000000005"/>
    <n v="10"/>
    <n v="82"/>
    <x v="3"/>
    <n v="52"/>
    <n v="2.77"/>
    <n v="5"/>
    <x v="2"/>
  </r>
  <r>
    <n v="1577"/>
    <d v="2017-12-26T00:00:00"/>
    <x v="27"/>
    <s v="Female"/>
    <n v="167.2"/>
    <n v="87.7"/>
    <n v="16233"/>
    <n v="783.3"/>
    <n v="4.8"/>
    <n v="90"/>
    <x v="2"/>
    <n v="74"/>
    <n v="1.74"/>
    <n v="1"/>
    <x v="1"/>
  </r>
  <r>
    <n v="1074"/>
    <d v="2017-12-27T00:00:00"/>
    <x v="22"/>
    <s v="Female"/>
    <n v="174.8"/>
    <n v="45"/>
    <n v="2726"/>
    <n v="261.39999999999998"/>
    <n v="7"/>
    <n v="90"/>
    <x v="1"/>
    <n v="43"/>
    <n v="3.42"/>
    <n v="4"/>
    <x v="2"/>
  </r>
  <r>
    <n v="1434"/>
    <d v="2017-12-28T00:00:00"/>
    <x v="26"/>
    <s v="Female"/>
    <n v="165.9"/>
    <n v="45"/>
    <n v="17149"/>
    <n v="900"/>
    <n v="7.3"/>
    <n v="81"/>
    <x v="5"/>
    <n v="59"/>
    <n v="1.78"/>
    <n v="8"/>
    <x v="0"/>
  </r>
  <r>
    <n v="1102"/>
    <d v="2017-12-29T00:00:00"/>
    <x v="14"/>
    <s v="Female"/>
    <n v="154.1"/>
    <n v="88.7"/>
    <n v="15268"/>
    <n v="836"/>
    <n v="7.5"/>
    <n v="83"/>
    <x v="4"/>
    <n v="47"/>
    <n v="1.62"/>
    <n v="2"/>
    <x v="0"/>
  </r>
  <r>
    <n v="1421"/>
    <d v="2017-12-30T00:00:00"/>
    <x v="16"/>
    <s v="Male"/>
    <n v="151.30000000000001"/>
    <n v="48"/>
    <n v="14977"/>
    <n v="900"/>
    <n v="7.5"/>
    <n v="71"/>
    <x v="1"/>
    <n v="86"/>
    <n v="2.38"/>
    <n v="6"/>
    <x v="1"/>
  </r>
  <r>
    <n v="1703"/>
    <d v="2017-12-31T00:00:00"/>
    <x v="7"/>
    <s v="Male"/>
    <n v="171.8"/>
    <n v="64.3"/>
    <n v="1907"/>
    <n v="239.4"/>
    <n v="7.2"/>
    <n v="66"/>
    <x v="1"/>
    <n v="58"/>
    <n v="1.6"/>
    <n v="10"/>
    <x v="0"/>
  </r>
  <r>
    <n v="1763"/>
    <d v="2018-01-01T00:00:00"/>
    <x v="6"/>
    <s v="Male"/>
    <n v="165.5"/>
    <n v="79.099999999999994"/>
    <n v="14764"/>
    <n v="866"/>
    <n v="6.3"/>
    <n v="74"/>
    <x v="1"/>
    <n v="40"/>
    <n v="3.59"/>
    <n v="5"/>
    <x v="1"/>
  </r>
  <r>
    <n v="1737"/>
    <d v="2018-01-02T00:00:00"/>
    <x v="14"/>
    <s v="Female"/>
    <n v="152.69999999999999"/>
    <n v="69.099999999999994"/>
    <n v="9390"/>
    <n v="539.20000000000005"/>
    <n v="6.7"/>
    <n v="98"/>
    <x v="3"/>
    <n v="56"/>
    <n v="2.34"/>
    <n v="1"/>
    <x v="2"/>
  </r>
  <r>
    <n v="1805"/>
    <d v="2018-01-03T00:00:00"/>
    <x v="27"/>
    <s v="Male"/>
    <n v="171.1"/>
    <n v="68.900000000000006"/>
    <n v="3455"/>
    <n v="313.10000000000002"/>
    <n v="6"/>
    <n v="70"/>
    <x v="5"/>
    <n v="21"/>
    <n v="0.5"/>
    <n v="8"/>
    <x v="2"/>
  </r>
  <r>
    <n v="1305"/>
    <d v="2018-01-04T00:00:00"/>
    <x v="13"/>
    <s v="Male"/>
    <n v="169.1"/>
    <n v="71.099999999999994"/>
    <n v="6208"/>
    <n v="584.4"/>
    <n v="7.2"/>
    <n v="79"/>
    <x v="4"/>
    <n v="25"/>
    <n v="2.64"/>
    <n v="5"/>
    <x v="2"/>
  </r>
  <r>
    <n v="1097"/>
    <d v="2018-01-05T00:00:00"/>
    <x v="10"/>
    <s v="Male"/>
    <n v="165"/>
    <n v="107.8"/>
    <n v="8774"/>
    <n v="509.2"/>
    <n v="4.4000000000000004"/>
    <n v="79"/>
    <x v="0"/>
    <n v="0"/>
    <n v="2.89"/>
    <n v="9"/>
    <x v="0"/>
  </r>
  <r>
    <n v="1849"/>
    <d v="2018-01-06T00:00:00"/>
    <x v="14"/>
    <s v="Male"/>
    <n v="172.5"/>
    <n v="96.7"/>
    <n v="15556"/>
    <n v="900"/>
    <n v="7.5"/>
    <n v="71"/>
    <x v="0"/>
    <n v="0"/>
    <n v="2.2000000000000002"/>
    <n v="2"/>
    <x v="2"/>
  </r>
  <r>
    <n v="1797"/>
    <d v="2018-01-07T00:00:00"/>
    <x v="30"/>
    <s v="Male"/>
    <n v="183.2"/>
    <n v="59.6"/>
    <n v="16428"/>
    <n v="855.5"/>
    <n v="6.9"/>
    <n v="90"/>
    <x v="5"/>
    <n v="66"/>
    <n v="1.55"/>
    <n v="6"/>
    <x v="2"/>
  </r>
  <r>
    <n v="1334"/>
    <d v="2018-01-08T00:00:00"/>
    <x v="1"/>
    <s v="Female"/>
    <n v="182.8"/>
    <n v="85.8"/>
    <n v="4365"/>
    <n v="320.8"/>
    <n v="8.3000000000000007"/>
    <n v="91"/>
    <x v="5"/>
    <n v="62"/>
    <n v="2.4300000000000002"/>
    <n v="7"/>
    <x v="1"/>
  </r>
  <r>
    <n v="1858"/>
    <d v="2018-01-09T00:00:00"/>
    <x v="6"/>
    <s v="Male"/>
    <n v="171.4"/>
    <n v="77.599999999999994"/>
    <n v="6951"/>
    <n v="406.5"/>
    <n v="6.5"/>
    <n v="102"/>
    <x v="5"/>
    <n v="59"/>
    <n v="2.16"/>
    <n v="1"/>
    <x v="1"/>
  </r>
  <r>
    <n v="1434"/>
    <d v="2018-01-10T00:00:00"/>
    <x v="6"/>
    <s v="Female"/>
    <n v="169.2"/>
    <n v="69.7"/>
    <n v="16175"/>
    <n v="852.3"/>
    <n v="7.9"/>
    <n v="67"/>
    <x v="2"/>
    <n v="30"/>
    <n v="1.82"/>
    <n v="10"/>
    <x v="1"/>
  </r>
  <r>
    <n v="1446"/>
    <d v="2018-01-11T00:00:00"/>
    <x v="20"/>
    <s v="Female"/>
    <n v="171.6"/>
    <n v="56.4"/>
    <n v="12027"/>
    <n v="624.9"/>
    <n v="7.8"/>
    <n v="79"/>
    <x v="2"/>
    <n v="33"/>
    <n v="1.76"/>
    <n v="4"/>
    <x v="1"/>
  </r>
  <r>
    <n v="1993"/>
    <d v="2018-01-12T00:00:00"/>
    <x v="16"/>
    <s v="Female"/>
    <n v="173.1"/>
    <n v="76.8"/>
    <n v="10505"/>
    <n v="605.4"/>
    <n v="6.8"/>
    <n v="76"/>
    <x v="2"/>
    <n v="21"/>
    <n v="2.61"/>
    <n v="2"/>
    <x v="2"/>
  </r>
  <r>
    <n v="1307"/>
    <d v="2018-01-13T00:00:00"/>
    <x v="8"/>
    <s v="Female"/>
    <n v="167.3"/>
    <n v="65.400000000000006"/>
    <n v="11094"/>
    <n v="548.5"/>
    <n v="7.5"/>
    <n v="68"/>
    <x v="2"/>
    <n v="58"/>
    <n v="3.13"/>
    <n v="7"/>
    <x v="1"/>
  </r>
  <r>
    <n v="1248"/>
    <d v="2018-01-14T00:00:00"/>
    <x v="0"/>
    <s v="Female"/>
    <n v="171.7"/>
    <n v="64.3"/>
    <n v="13167"/>
    <n v="744.4"/>
    <n v="5"/>
    <n v="68"/>
    <x v="5"/>
    <n v="82"/>
    <n v="2.82"/>
    <n v="3"/>
    <x v="0"/>
  </r>
  <r>
    <n v="1165"/>
    <d v="2018-01-15T00:00:00"/>
    <x v="0"/>
    <s v="Male"/>
    <n v="154.30000000000001"/>
    <n v="58.5"/>
    <n v="9769"/>
    <n v="513.6"/>
    <n v="9"/>
    <n v="77"/>
    <x v="5"/>
    <n v="82"/>
    <n v="1.29"/>
    <n v="9"/>
    <x v="0"/>
  </r>
  <r>
    <n v="1480"/>
    <d v="2018-01-16T00:00:00"/>
    <x v="36"/>
    <s v="Male"/>
    <n v="170.8"/>
    <n v="85"/>
    <n v="2020"/>
    <n v="277.8"/>
    <n v="6.2"/>
    <n v="70"/>
    <x v="0"/>
    <n v="0"/>
    <n v="2.93"/>
    <n v="8"/>
    <x v="0"/>
  </r>
  <r>
    <n v="1983"/>
    <d v="2018-01-17T00:00:00"/>
    <x v="34"/>
    <s v="Female"/>
    <n v="174.8"/>
    <n v="58.5"/>
    <n v="12845"/>
    <n v="644.6"/>
    <n v="6.7"/>
    <n v="65"/>
    <x v="4"/>
    <n v="20"/>
    <n v="3.04"/>
    <n v="10"/>
    <x v="1"/>
  </r>
  <r>
    <n v="1334"/>
    <d v="2018-01-18T00:00:00"/>
    <x v="14"/>
    <s v="Female"/>
    <n v="165.1"/>
    <n v="58.6"/>
    <n v="4844"/>
    <n v="455.1"/>
    <n v="5.4"/>
    <n v="76"/>
    <x v="0"/>
    <n v="0"/>
    <n v="3.48"/>
    <n v="7"/>
    <x v="2"/>
  </r>
  <r>
    <n v="1541"/>
    <d v="2018-01-19T00:00:00"/>
    <x v="24"/>
    <s v="Female"/>
    <n v="169"/>
    <n v="81.7"/>
    <n v="4573"/>
    <n v="277.39999999999998"/>
    <n v="5.8"/>
    <n v="64"/>
    <x v="0"/>
    <n v="0"/>
    <n v="1.84"/>
    <n v="8"/>
    <x v="1"/>
  </r>
  <r>
    <n v="1758"/>
    <d v="2018-01-20T00:00:00"/>
    <x v="6"/>
    <s v="Male"/>
    <n v="158.9"/>
    <n v="67.8"/>
    <n v="11485"/>
    <n v="645.29999999999995"/>
    <n v="9.5"/>
    <n v="70"/>
    <x v="4"/>
    <n v="58"/>
    <n v="2.46"/>
    <n v="1"/>
    <x v="0"/>
  </r>
  <r>
    <n v="1105"/>
    <d v="2018-01-21T00:00:00"/>
    <x v="36"/>
    <s v="Female"/>
    <n v="157.5"/>
    <n v="68.2"/>
    <n v="6442"/>
    <n v="485.7"/>
    <n v="7.2"/>
    <n v="79"/>
    <x v="4"/>
    <n v="67"/>
    <n v="2.9"/>
    <n v="10"/>
    <x v="1"/>
  </r>
  <r>
    <n v="1562"/>
    <d v="2018-01-22T00:00:00"/>
    <x v="12"/>
    <s v="Male"/>
    <n v="172.1"/>
    <n v="85.5"/>
    <n v="8914"/>
    <n v="574.5"/>
    <n v="6.6"/>
    <n v="74"/>
    <x v="0"/>
    <n v="0"/>
    <n v="2.13"/>
    <n v="6"/>
    <x v="0"/>
  </r>
  <r>
    <n v="1080"/>
    <d v="2018-01-23T00:00:00"/>
    <x v="21"/>
    <s v="Female"/>
    <n v="162.69999999999999"/>
    <n v="89.7"/>
    <n v="8951"/>
    <n v="495.7"/>
    <n v="6.5"/>
    <n v="72"/>
    <x v="0"/>
    <n v="0"/>
    <n v="2.89"/>
    <n v="7"/>
    <x v="2"/>
  </r>
  <r>
    <n v="1132"/>
    <d v="2018-01-24T00:00:00"/>
    <x v="27"/>
    <s v="Male"/>
    <n v="152.19999999999999"/>
    <n v="45"/>
    <n v="9802"/>
    <n v="505.1"/>
    <n v="7"/>
    <n v="93"/>
    <x v="0"/>
    <n v="0"/>
    <n v="2.48"/>
    <n v="7"/>
    <x v="2"/>
  </r>
  <r>
    <n v="1796"/>
    <d v="2018-01-25T00:00:00"/>
    <x v="36"/>
    <s v="Female"/>
    <n v="158.9"/>
    <n v="68.099999999999994"/>
    <n v="9520"/>
    <n v="619.9"/>
    <n v="8.1"/>
    <n v="89"/>
    <x v="4"/>
    <n v="39"/>
    <n v="1.91"/>
    <n v="9"/>
    <x v="2"/>
  </r>
  <r>
    <n v="1899"/>
    <d v="2018-01-26T00:00:00"/>
    <x v="6"/>
    <s v="Male"/>
    <n v="160.30000000000001"/>
    <n v="48.8"/>
    <n v="1546"/>
    <n v="255.7"/>
    <n v="7.3"/>
    <n v="76"/>
    <x v="4"/>
    <n v="62"/>
    <n v="1.97"/>
    <n v="7"/>
    <x v="2"/>
  </r>
  <r>
    <n v="1137"/>
    <d v="2018-01-27T00:00:00"/>
    <x v="30"/>
    <s v="Female"/>
    <n v="177.7"/>
    <n v="64.2"/>
    <n v="16530"/>
    <n v="807.6"/>
    <n v="7.3"/>
    <n v="65"/>
    <x v="2"/>
    <n v="75"/>
    <n v="3.37"/>
    <n v="7"/>
    <x v="2"/>
  </r>
  <r>
    <n v="1183"/>
    <d v="2018-01-28T00:00:00"/>
    <x v="33"/>
    <s v="Male"/>
    <n v="171.8"/>
    <n v="69.900000000000006"/>
    <n v="9998"/>
    <n v="640.79999999999995"/>
    <n v="5.6"/>
    <n v="83"/>
    <x v="5"/>
    <n v="43"/>
    <n v="1.8"/>
    <n v="6"/>
    <x v="1"/>
  </r>
  <r>
    <n v="1400"/>
    <d v="2018-01-29T00:00:00"/>
    <x v="34"/>
    <s v="Male"/>
    <n v="161.30000000000001"/>
    <n v="64.7"/>
    <n v="12465"/>
    <n v="670.5"/>
    <n v="6.6"/>
    <n v="100"/>
    <x v="4"/>
    <n v="62"/>
    <n v="1.68"/>
    <n v="3"/>
    <x v="2"/>
  </r>
  <r>
    <n v="1329"/>
    <d v="2018-01-30T00:00:00"/>
    <x v="5"/>
    <s v="Male"/>
    <n v="164.1"/>
    <n v="54.6"/>
    <n v="16616"/>
    <n v="831.8"/>
    <n v="7.2"/>
    <n v="89"/>
    <x v="3"/>
    <n v="40"/>
    <n v="2.74"/>
    <n v="6"/>
    <x v="1"/>
  </r>
  <r>
    <n v="1784"/>
    <d v="2018-01-31T00:00:00"/>
    <x v="1"/>
    <s v="Male"/>
    <n v="183.1"/>
    <n v="53.9"/>
    <n v="13717"/>
    <n v="705.3"/>
    <n v="7"/>
    <n v="62"/>
    <x v="4"/>
    <n v="67"/>
    <n v="2.48"/>
    <n v="9"/>
    <x v="0"/>
  </r>
  <r>
    <n v="1507"/>
    <d v="2018-02-01T00:00:00"/>
    <x v="36"/>
    <s v="Male"/>
    <n v="179.4"/>
    <n v="80.900000000000006"/>
    <n v="16425"/>
    <n v="819"/>
    <n v="6.4"/>
    <n v="73"/>
    <x v="4"/>
    <n v="85"/>
    <n v="1.58"/>
    <n v="10"/>
    <x v="0"/>
  </r>
  <r>
    <n v="1851"/>
    <d v="2018-02-02T00:00:00"/>
    <x v="21"/>
    <s v="Male"/>
    <n v="158.80000000000001"/>
    <n v="93"/>
    <n v="5901"/>
    <n v="396.3"/>
    <n v="6.2"/>
    <n v="68"/>
    <x v="5"/>
    <n v="35"/>
    <n v="2.14"/>
    <n v="3"/>
    <x v="2"/>
  </r>
  <r>
    <n v="1983"/>
    <d v="2018-02-03T00:00:00"/>
    <x v="30"/>
    <s v="Male"/>
    <n v="181.6"/>
    <n v="45"/>
    <n v="12842"/>
    <n v="730.1"/>
    <n v="7.7"/>
    <n v="66"/>
    <x v="0"/>
    <n v="0"/>
    <n v="1.93"/>
    <n v="3"/>
    <x v="1"/>
  </r>
  <r>
    <n v="1068"/>
    <d v="2018-02-04T00:00:00"/>
    <x v="25"/>
    <s v="Female"/>
    <n v="169.2"/>
    <n v="65.099999999999994"/>
    <n v="6708"/>
    <n v="545.9"/>
    <n v="7.7"/>
    <n v="86"/>
    <x v="2"/>
    <n v="40"/>
    <n v="2.0499999999999998"/>
    <n v="7"/>
    <x v="2"/>
  </r>
  <r>
    <n v="1545"/>
    <d v="2018-02-05T00:00:00"/>
    <x v="35"/>
    <s v="Female"/>
    <n v="178"/>
    <n v="81"/>
    <n v="3082"/>
    <n v="253.4"/>
    <n v="8.5"/>
    <n v="86"/>
    <x v="1"/>
    <n v="71"/>
    <n v="4.2699999999999996"/>
    <n v="7"/>
    <x v="0"/>
  </r>
  <r>
    <n v="1773"/>
    <d v="2018-02-06T00:00:00"/>
    <x v="18"/>
    <s v="Female"/>
    <n v="168.4"/>
    <n v="69.5"/>
    <n v="10795"/>
    <n v="614.70000000000005"/>
    <n v="7.3"/>
    <n v="93"/>
    <x v="0"/>
    <n v="0"/>
    <n v="2.29"/>
    <n v="5"/>
    <x v="1"/>
  </r>
  <r>
    <n v="1052"/>
    <d v="2018-02-07T00:00:00"/>
    <x v="35"/>
    <s v="Female"/>
    <n v="181.9"/>
    <n v="53.3"/>
    <n v="13541"/>
    <n v="733.4"/>
    <n v="3.9"/>
    <n v="82"/>
    <x v="0"/>
    <n v="0"/>
    <n v="1.88"/>
    <n v="8"/>
    <x v="0"/>
  </r>
  <r>
    <n v="1449"/>
    <d v="2018-02-08T00:00:00"/>
    <x v="9"/>
    <s v="Female"/>
    <n v="158.4"/>
    <n v="62.8"/>
    <n v="1260"/>
    <n v="273.60000000000002"/>
    <n v="10"/>
    <n v="75"/>
    <x v="5"/>
    <n v="77"/>
    <n v="3.92"/>
    <n v="8"/>
    <x v="1"/>
  </r>
  <r>
    <n v="1204"/>
    <d v="2018-02-09T00:00:00"/>
    <x v="27"/>
    <s v="Male"/>
    <n v="167.4"/>
    <n v="74.5"/>
    <n v="14567"/>
    <n v="832.1"/>
    <n v="7"/>
    <n v="77"/>
    <x v="2"/>
    <n v="24"/>
    <n v="3.12"/>
    <n v="2"/>
    <x v="0"/>
  </r>
  <r>
    <n v="1125"/>
    <d v="2018-02-10T00:00:00"/>
    <x v="15"/>
    <s v="Male"/>
    <n v="182.2"/>
    <n v="65.400000000000006"/>
    <n v="6982"/>
    <n v="471.3"/>
    <n v="6.4"/>
    <n v="66"/>
    <x v="3"/>
    <n v="61"/>
    <n v="3.01"/>
    <n v="6"/>
    <x v="2"/>
  </r>
  <r>
    <n v="1746"/>
    <d v="2018-02-11T00:00:00"/>
    <x v="3"/>
    <s v="Male"/>
    <n v="150"/>
    <n v="69.3"/>
    <n v="1500"/>
    <n v="228.1"/>
    <n v="6.9"/>
    <n v="89"/>
    <x v="1"/>
    <n v="49"/>
    <n v="1.92"/>
    <n v="5"/>
    <x v="2"/>
  </r>
  <r>
    <n v="1042"/>
    <d v="2018-02-12T00:00:00"/>
    <x v="3"/>
    <s v="Male"/>
    <n v="169.5"/>
    <n v="69.7"/>
    <n v="2015"/>
    <n v="309.5"/>
    <n v="6.4"/>
    <n v="68"/>
    <x v="2"/>
    <n v="28"/>
    <n v="3.33"/>
    <n v="4"/>
    <x v="2"/>
  </r>
  <r>
    <n v="1751"/>
    <d v="2018-02-13T00:00:00"/>
    <x v="23"/>
    <s v="Male"/>
    <n v="166.1"/>
    <n v="62.1"/>
    <n v="11525"/>
    <n v="579"/>
    <n v="5.8"/>
    <n v="71"/>
    <x v="0"/>
    <n v="0"/>
    <n v="3.07"/>
    <n v="7"/>
    <x v="0"/>
  </r>
  <r>
    <n v="1970"/>
    <d v="2018-02-14T00:00:00"/>
    <x v="3"/>
    <s v="Female"/>
    <n v="176.8"/>
    <n v="82.2"/>
    <n v="4963"/>
    <n v="291.3"/>
    <n v="7.9"/>
    <n v="72"/>
    <x v="2"/>
    <n v="70"/>
    <n v="2.6"/>
    <n v="4"/>
    <x v="0"/>
  </r>
  <r>
    <n v="1882"/>
    <d v="2018-02-15T00:00:00"/>
    <x v="3"/>
    <s v="Female"/>
    <n v="180.7"/>
    <n v="62.8"/>
    <n v="12866"/>
    <n v="844.2"/>
    <n v="6.8"/>
    <n v="50"/>
    <x v="5"/>
    <n v="76"/>
    <n v="1.3"/>
    <n v="5"/>
    <x v="0"/>
  </r>
  <r>
    <n v="1110"/>
    <d v="2018-02-16T00:00:00"/>
    <x v="9"/>
    <s v="Female"/>
    <n v="177.3"/>
    <n v="54.9"/>
    <n v="13247"/>
    <n v="689.5"/>
    <n v="6.9"/>
    <n v="84"/>
    <x v="2"/>
    <n v="80"/>
    <n v="2.4900000000000002"/>
    <n v="8"/>
    <x v="2"/>
  </r>
  <r>
    <n v="1760"/>
    <d v="2018-02-17T00:00:00"/>
    <x v="36"/>
    <s v="Female"/>
    <n v="172.4"/>
    <n v="103.4"/>
    <n v="3706"/>
    <n v="327.60000000000002"/>
    <n v="3.2"/>
    <n v="66"/>
    <x v="4"/>
    <n v="25"/>
    <n v="3.71"/>
    <n v="5"/>
    <x v="0"/>
  </r>
  <r>
    <n v="1662"/>
    <d v="2018-02-18T00:00:00"/>
    <x v="10"/>
    <s v="Male"/>
    <n v="170.4"/>
    <n v="68.8"/>
    <n v="16272"/>
    <n v="878.1"/>
    <n v="6.7"/>
    <n v="82"/>
    <x v="2"/>
    <n v="45"/>
    <n v="2.65"/>
    <n v="9"/>
    <x v="0"/>
  </r>
  <r>
    <n v="1182"/>
    <d v="2018-02-19T00:00:00"/>
    <x v="17"/>
    <s v="Male"/>
    <n v="166.6"/>
    <n v="45"/>
    <n v="3099"/>
    <n v="341.3"/>
    <n v="5.4"/>
    <n v="71"/>
    <x v="1"/>
    <n v="25"/>
    <n v="2.2400000000000002"/>
    <n v="10"/>
    <x v="2"/>
  </r>
  <r>
    <n v="1847"/>
    <d v="2018-02-20T00:00:00"/>
    <x v="13"/>
    <s v="Male"/>
    <n v="172.1"/>
    <n v="88.8"/>
    <n v="7386"/>
    <n v="539.70000000000005"/>
    <n v="6.2"/>
    <n v="70"/>
    <x v="2"/>
    <n v="72"/>
    <n v="2.34"/>
    <n v="2"/>
    <x v="0"/>
  </r>
  <r>
    <n v="1094"/>
    <d v="2018-02-21T00:00:00"/>
    <x v="7"/>
    <s v="Female"/>
    <n v="184.6"/>
    <n v="88.8"/>
    <n v="6338"/>
    <n v="500.4"/>
    <n v="7.4"/>
    <n v="64"/>
    <x v="3"/>
    <n v="80"/>
    <n v="2.39"/>
    <n v="2"/>
    <x v="1"/>
  </r>
  <r>
    <n v="1970"/>
    <d v="2018-02-22T00:00:00"/>
    <x v="12"/>
    <s v="Male"/>
    <n v="161.69999999999999"/>
    <n v="76.900000000000006"/>
    <n v="19949"/>
    <n v="900"/>
    <n v="6.1"/>
    <n v="89"/>
    <x v="4"/>
    <n v="52"/>
    <n v="1.94"/>
    <n v="9"/>
    <x v="0"/>
  </r>
  <r>
    <n v="1373"/>
    <d v="2018-02-23T00:00:00"/>
    <x v="15"/>
    <s v="Female"/>
    <n v="166"/>
    <n v="79.5"/>
    <n v="9300"/>
    <n v="635.5"/>
    <n v="6.3"/>
    <n v="91"/>
    <x v="1"/>
    <n v="64"/>
    <n v="2.4700000000000002"/>
    <n v="2"/>
    <x v="2"/>
  </r>
  <r>
    <n v="1911"/>
    <d v="2018-02-24T00:00:00"/>
    <x v="6"/>
    <s v="Male"/>
    <n v="169.2"/>
    <n v="102.4"/>
    <n v="5297"/>
    <n v="437.4"/>
    <n v="7.1"/>
    <n v="85"/>
    <x v="1"/>
    <n v="59"/>
    <n v="3.51"/>
    <n v="3"/>
    <x v="1"/>
  </r>
  <r>
    <n v="1519"/>
    <d v="2018-02-25T00:00:00"/>
    <x v="7"/>
    <s v="Male"/>
    <n v="180"/>
    <n v="55.6"/>
    <n v="9405"/>
    <n v="595.1"/>
    <n v="6.2"/>
    <n v="78"/>
    <x v="0"/>
    <n v="0"/>
    <n v="3.43"/>
    <n v="6"/>
    <x v="2"/>
  </r>
  <r>
    <n v="1899"/>
    <d v="2018-02-26T00:00:00"/>
    <x v="4"/>
    <s v="Female"/>
    <n v="172.2"/>
    <n v="72"/>
    <n v="16094"/>
    <n v="864.9"/>
    <n v="5.4"/>
    <n v="76"/>
    <x v="5"/>
    <n v="64"/>
    <n v="1.97"/>
    <n v="4"/>
    <x v="2"/>
  </r>
  <r>
    <n v="1359"/>
    <d v="2018-02-27T00:00:00"/>
    <x v="17"/>
    <s v="Male"/>
    <n v="179.8"/>
    <n v="99.5"/>
    <n v="16201"/>
    <n v="736.4"/>
    <n v="4.4000000000000004"/>
    <n v="86"/>
    <x v="5"/>
    <n v="57"/>
    <n v="3.39"/>
    <n v="8"/>
    <x v="2"/>
  </r>
  <r>
    <n v="1899"/>
    <d v="2018-02-28T00:00:00"/>
    <x v="3"/>
    <s v="Male"/>
    <n v="180.3"/>
    <n v="102.7"/>
    <n v="13614"/>
    <n v="734.1"/>
    <n v="7.5"/>
    <n v="74"/>
    <x v="4"/>
    <n v="48"/>
    <n v="3.03"/>
    <n v="8"/>
    <x v="1"/>
  </r>
  <r>
    <n v="1695"/>
    <d v="2018-03-01T00:00:00"/>
    <x v="40"/>
    <s v="Female"/>
    <n v="175.9"/>
    <n v="64.5"/>
    <n v="14361"/>
    <n v="726.1"/>
    <n v="6.2"/>
    <n v="88"/>
    <x v="1"/>
    <n v="27"/>
    <n v="2.94"/>
    <n v="2"/>
    <x v="1"/>
  </r>
  <r>
    <n v="1280"/>
    <d v="2018-03-02T00:00:00"/>
    <x v="41"/>
    <s v="Male"/>
    <n v="159.4"/>
    <n v="100.2"/>
    <n v="2040"/>
    <n v="226.1"/>
    <n v="4.5"/>
    <n v="65"/>
    <x v="0"/>
    <n v="0"/>
    <n v="2.8"/>
    <n v="2"/>
    <x v="2"/>
  </r>
  <r>
    <n v="1194"/>
    <d v="2018-03-03T00:00:00"/>
    <x v="32"/>
    <s v="Female"/>
    <n v="186.6"/>
    <n v="82"/>
    <n v="13810"/>
    <n v="728"/>
    <n v="8.9"/>
    <n v="85"/>
    <x v="3"/>
    <n v="70"/>
    <n v="1.85"/>
    <n v="3"/>
    <x v="0"/>
  </r>
  <r>
    <n v="1863"/>
    <d v="2018-03-04T00:00:00"/>
    <x v="2"/>
    <s v="Male"/>
    <n v="184.1"/>
    <n v="92.4"/>
    <n v="8988"/>
    <n v="600.79999999999995"/>
    <n v="7.5"/>
    <n v="88"/>
    <x v="2"/>
    <n v="25"/>
    <n v="2.2200000000000002"/>
    <n v="2"/>
    <x v="1"/>
  </r>
  <r>
    <n v="1194"/>
    <d v="2018-03-05T00:00:00"/>
    <x v="32"/>
    <s v="Male"/>
    <n v="170.6"/>
    <n v="81.5"/>
    <n v="8559"/>
    <n v="556.70000000000005"/>
    <n v="5.2"/>
    <n v="64"/>
    <x v="2"/>
    <n v="66"/>
    <n v="3.08"/>
    <n v="5"/>
    <x v="2"/>
  </r>
  <r>
    <n v="1666"/>
    <d v="2018-03-06T00:00:00"/>
    <x v="19"/>
    <s v="Male"/>
    <n v="156.19999999999999"/>
    <n v="74.599999999999994"/>
    <n v="18371"/>
    <n v="900"/>
    <n v="5.9"/>
    <n v="67"/>
    <x v="2"/>
    <n v="68"/>
    <n v="1.66"/>
    <n v="1"/>
    <x v="0"/>
  </r>
  <r>
    <n v="1092"/>
    <d v="2018-03-07T00:00:00"/>
    <x v="14"/>
    <s v="Male"/>
    <n v="154.4"/>
    <n v="103.1"/>
    <n v="1503"/>
    <n v="237.8"/>
    <n v="8.6"/>
    <n v="75"/>
    <x v="5"/>
    <n v="51"/>
    <n v="1.77"/>
    <n v="7"/>
    <x v="2"/>
  </r>
  <r>
    <n v="1671"/>
    <d v="2018-03-08T00:00:00"/>
    <x v="11"/>
    <s v="Male"/>
    <n v="172.5"/>
    <n v="62.1"/>
    <n v="6344"/>
    <n v="472.6"/>
    <n v="6.7"/>
    <n v="79"/>
    <x v="1"/>
    <n v="73"/>
    <n v="2.71"/>
    <n v="8"/>
    <x v="1"/>
  </r>
  <r>
    <n v="1945"/>
    <d v="2018-03-09T00:00:00"/>
    <x v="23"/>
    <s v="Male"/>
    <n v="163"/>
    <n v="98.5"/>
    <n v="9947"/>
    <n v="587.9"/>
    <n v="6.4"/>
    <n v="69"/>
    <x v="1"/>
    <n v="55"/>
    <n v="1.95"/>
    <n v="4"/>
    <x v="1"/>
  </r>
  <r>
    <n v="1060"/>
    <d v="2018-03-10T00:00:00"/>
    <x v="24"/>
    <s v="Male"/>
    <n v="152.80000000000001"/>
    <n v="100.9"/>
    <n v="10533"/>
    <n v="668.8"/>
    <n v="8.1"/>
    <n v="76"/>
    <x v="3"/>
    <n v="38"/>
    <n v="3.08"/>
    <n v="7"/>
    <x v="0"/>
  </r>
  <r>
    <n v="1633"/>
    <d v="2018-03-11T00:00:00"/>
    <x v="19"/>
    <s v="Male"/>
    <n v="154.19999999999999"/>
    <n v="90.4"/>
    <n v="15808"/>
    <n v="867.1"/>
    <n v="6.7"/>
    <n v="54"/>
    <x v="5"/>
    <n v="56"/>
    <n v="1.97"/>
    <n v="9"/>
    <x v="1"/>
  </r>
  <r>
    <n v="1050"/>
    <d v="2018-03-12T00:00:00"/>
    <x v="19"/>
    <s v="Female"/>
    <n v="165.3"/>
    <n v="68.900000000000006"/>
    <n v="9148"/>
    <n v="573.9"/>
    <n v="8.8000000000000007"/>
    <n v="83"/>
    <x v="3"/>
    <n v="36"/>
    <n v="2.67"/>
    <n v="7"/>
    <x v="2"/>
  </r>
  <r>
    <n v="1402"/>
    <d v="2018-03-13T00:00:00"/>
    <x v="41"/>
    <s v="Female"/>
    <n v="171.9"/>
    <n v="73.7"/>
    <n v="15155"/>
    <n v="766.1"/>
    <n v="6.4"/>
    <n v="83"/>
    <x v="1"/>
    <n v="35"/>
    <n v="2.73"/>
    <n v="2"/>
    <x v="2"/>
  </r>
  <r>
    <n v="1788"/>
    <d v="2018-03-14T00:00:00"/>
    <x v="34"/>
    <s v="Male"/>
    <n v="184.1"/>
    <n v="50.9"/>
    <n v="16193"/>
    <n v="861.4"/>
    <n v="6.1"/>
    <n v="90"/>
    <x v="2"/>
    <n v="77"/>
    <n v="2.16"/>
    <n v="2"/>
    <x v="0"/>
  </r>
  <r>
    <n v="1004"/>
    <d v="2018-03-15T00:00:00"/>
    <x v="31"/>
    <s v="Male"/>
    <n v="174.8"/>
    <n v="63.2"/>
    <n v="2381"/>
    <n v="307.39999999999998"/>
    <n v="7"/>
    <n v="81"/>
    <x v="5"/>
    <n v="63"/>
    <n v="2.33"/>
    <n v="10"/>
    <x v="0"/>
  </r>
  <r>
    <n v="1465"/>
    <d v="2018-03-16T00:00:00"/>
    <x v="9"/>
    <s v="Female"/>
    <n v="166.2"/>
    <n v="79.3"/>
    <n v="8012"/>
    <n v="526.4"/>
    <n v="8.4"/>
    <n v="71"/>
    <x v="5"/>
    <n v="87"/>
    <n v="2.02"/>
    <n v="10"/>
    <x v="0"/>
  </r>
  <r>
    <n v="1603"/>
    <d v="2018-03-17T00:00:00"/>
    <x v="37"/>
    <s v="Male"/>
    <n v="173.8"/>
    <n v="48.6"/>
    <n v="16213"/>
    <n v="824.7"/>
    <n v="7.4"/>
    <n v="65"/>
    <x v="5"/>
    <n v="68"/>
    <n v="2.4900000000000002"/>
    <n v="10"/>
    <x v="0"/>
  </r>
  <r>
    <n v="1681"/>
    <d v="2018-03-18T00:00:00"/>
    <x v="19"/>
    <s v="Male"/>
    <n v="172.9"/>
    <n v="65.5"/>
    <n v="16212"/>
    <n v="815.8"/>
    <n v="7.2"/>
    <n v="67"/>
    <x v="0"/>
    <n v="0"/>
    <n v="1.83"/>
    <n v="6"/>
    <x v="2"/>
  </r>
  <r>
    <n v="1828"/>
    <d v="2018-03-19T00:00:00"/>
    <x v="21"/>
    <s v="Female"/>
    <n v="177.4"/>
    <n v="99.2"/>
    <n v="14808"/>
    <n v="808.4"/>
    <n v="5.8"/>
    <n v="74"/>
    <x v="0"/>
    <n v="0"/>
    <n v="2.34"/>
    <n v="8"/>
    <x v="2"/>
  </r>
  <r>
    <n v="1533"/>
    <d v="2018-03-20T00:00:00"/>
    <x v="19"/>
    <s v="Male"/>
    <n v="169.6"/>
    <n v="67.7"/>
    <n v="11711"/>
    <n v="625.6"/>
    <n v="5.6"/>
    <n v="67"/>
    <x v="2"/>
    <n v="77"/>
    <n v="3.02"/>
    <n v="10"/>
    <x v="2"/>
  </r>
  <r>
    <n v="1404"/>
    <d v="2018-03-21T00:00:00"/>
    <x v="2"/>
    <s v="Male"/>
    <n v="180.4"/>
    <n v="85.5"/>
    <n v="16173"/>
    <n v="834.3"/>
    <n v="8.4"/>
    <n v="67"/>
    <x v="0"/>
    <n v="0"/>
    <n v="1.7"/>
    <n v="10"/>
    <x v="2"/>
  </r>
  <r>
    <n v="1837"/>
    <d v="2018-03-22T00:00:00"/>
    <x v="26"/>
    <s v="Female"/>
    <n v="178.2"/>
    <n v="78.5"/>
    <n v="19271"/>
    <n v="900"/>
    <n v="8.6"/>
    <n v="75"/>
    <x v="5"/>
    <n v="74"/>
    <n v="2.16"/>
    <n v="3"/>
    <x v="0"/>
  </r>
  <r>
    <n v="1512"/>
    <d v="2018-03-23T00:00:00"/>
    <x v="33"/>
    <s v="Male"/>
    <n v="170.8"/>
    <n v="65.400000000000006"/>
    <n v="10515"/>
    <n v="642.70000000000005"/>
    <n v="8.6"/>
    <n v="59"/>
    <x v="0"/>
    <n v="0"/>
    <n v="2.86"/>
    <n v="1"/>
    <x v="1"/>
  </r>
  <r>
    <n v="1644"/>
    <d v="2018-03-24T00:00:00"/>
    <x v="3"/>
    <s v="Male"/>
    <n v="168.8"/>
    <n v="67.7"/>
    <n v="12939"/>
    <n v="659.7"/>
    <n v="8.1999999999999993"/>
    <n v="65"/>
    <x v="0"/>
    <n v="0"/>
    <n v="1.05"/>
    <n v="1"/>
    <x v="2"/>
  </r>
  <r>
    <n v="1232"/>
    <d v="2018-03-25T00:00:00"/>
    <x v="3"/>
    <s v="Female"/>
    <n v="179.2"/>
    <n v="72.5"/>
    <n v="3131"/>
    <n v="340.2"/>
    <n v="7.7"/>
    <n v="77"/>
    <x v="4"/>
    <n v="43"/>
    <n v="3.8"/>
    <n v="2"/>
    <x v="1"/>
  </r>
  <r>
    <n v="1523"/>
    <d v="2018-03-26T00:00:00"/>
    <x v="33"/>
    <s v="Male"/>
    <n v="162.9"/>
    <n v="45"/>
    <n v="3424"/>
    <n v="438.6"/>
    <n v="7.6"/>
    <n v="78"/>
    <x v="5"/>
    <n v="75"/>
    <n v="3.23"/>
    <n v="10"/>
    <x v="0"/>
  </r>
  <r>
    <n v="1345"/>
    <d v="2018-03-27T00:00:00"/>
    <x v="2"/>
    <s v="Female"/>
    <n v="154.9"/>
    <n v="84.2"/>
    <n v="12576"/>
    <n v="736.8"/>
    <n v="7.2"/>
    <n v="84"/>
    <x v="0"/>
    <n v="0"/>
    <n v="1.42"/>
    <n v="6"/>
    <x v="0"/>
  </r>
  <r>
    <n v="1045"/>
    <d v="2018-03-28T00:00:00"/>
    <x v="7"/>
    <s v="Male"/>
    <n v="154.9"/>
    <n v="68.2"/>
    <n v="10200"/>
    <n v="594.29999999999995"/>
    <n v="7.8"/>
    <n v="77"/>
    <x v="2"/>
    <n v="35"/>
    <n v="1.03"/>
    <n v="2"/>
    <x v="1"/>
  </r>
  <r>
    <n v="1545"/>
    <d v="2018-03-29T00:00:00"/>
    <x v="3"/>
    <s v="Male"/>
    <n v="162"/>
    <n v="84.7"/>
    <n v="18701"/>
    <n v="900"/>
    <n v="6.9"/>
    <n v="75"/>
    <x v="0"/>
    <n v="0"/>
    <n v="2.52"/>
    <n v="6"/>
    <x v="0"/>
  </r>
  <r>
    <n v="1944"/>
    <d v="2018-03-30T00:00:00"/>
    <x v="21"/>
    <s v="Female"/>
    <n v="176.6"/>
    <n v="75.8"/>
    <n v="4216"/>
    <n v="478.6"/>
    <n v="7.8"/>
    <n v="81"/>
    <x v="0"/>
    <n v="0"/>
    <n v="1.72"/>
    <n v="1"/>
    <x v="1"/>
  </r>
  <r>
    <n v="1077"/>
    <d v="2018-03-31T00:00:00"/>
    <x v="17"/>
    <s v="Female"/>
    <n v="165.8"/>
    <n v="67.599999999999994"/>
    <n v="13826"/>
    <n v="796.2"/>
    <n v="8.4"/>
    <n v="77"/>
    <x v="5"/>
    <n v="62"/>
    <n v="3.17"/>
    <n v="9"/>
    <x v="2"/>
  </r>
  <r>
    <n v="1729"/>
    <d v="2018-04-01T00:00:00"/>
    <x v="1"/>
    <s v="Male"/>
    <n v="172"/>
    <n v="73"/>
    <n v="1016"/>
    <n v="154.1"/>
    <n v="5.0999999999999996"/>
    <n v="65"/>
    <x v="0"/>
    <n v="0"/>
    <n v="2.78"/>
    <n v="7"/>
    <x v="0"/>
  </r>
  <r>
    <n v="1812"/>
    <d v="2018-04-02T00:00:00"/>
    <x v="3"/>
    <s v="Female"/>
    <n v="165"/>
    <n v="73"/>
    <n v="5670"/>
    <n v="457.6"/>
    <n v="8.6"/>
    <n v="67"/>
    <x v="4"/>
    <n v="27"/>
    <n v="2.59"/>
    <n v="1"/>
    <x v="0"/>
  </r>
  <r>
    <n v="1922"/>
    <d v="2018-04-03T00:00:00"/>
    <x v="8"/>
    <s v="Female"/>
    <n v="165.1"/>
    <n v="92.1"/>
    <n v="3623"/>
    <n v="412.4"/>
    <n v="6.9"/>
    <n v="92"/>
    <x v="4"/>
    <n v="68"/>
    <n v="2.1"/>
    <n v="9"/>
    <x v="1"/>
  </r>
  <r>
    <n v="1072"/>
    <d v="2018-04-04T00:00:00"/>
    <x v="13"/>
    <s v="Male"/>
    <n v="159.69999999999999"/>
    <n v="70.900000000000006"/>
    <n v="14350"/>
    <n v="670.8"/>
    <n v="9.1999999999999993"/>
    <n v="107"/>
    <x v="0"/>
    <n v="0"/>
    <n v="3.62"/>
    <n v="9"/>
    <x v="1"/>
  </r>
  <r>
    <n v="1793"/>
    <d v="2018-04-05T00:00:00"/>
    <x v="33"/>
    <s v="Male"/>
    <n v="169.1"/>
    <n v="74.3"/>
    <n v="17513"/>
    <n v="900"/>
    <n v="8.9"/>
    <n v="82"/>
    <x v="5"/>
    <n v="66"/>
    <n v="3.03"/>
    <n v="10"/>
    <x v="1"/>
  </r>
  <r>
    <n v="1248"/>
    <d v="2018-04-06T00:00:00"/>
    <x v="20"/>
    <s v="Male"/>
    <n v="168.2"/>
    <n v="51.1"/>
    <n v="15450"/>
    <n v="807.8"/>
    <n v="5.5"/>
    <n v="65"/>
    <x v="1"/>
    <n v="55"/>
    <n v="2.92"/>
    <n v="6"/>
    <x v="1"/>
  </r>
  <r>
    <n v="1046"/>
    <d v="2018-04-07T00:00:00"/>
    <x v="4"/>
    <s v="Female"/>
    <n v="174.1"/>
    <n v="69.3"/>
    <n v="2473"/>
    <n v="364.7"/>
    <n v="7"/>
    <n v="94"/>
    <x v="1"/>
    <n v="42"/>
    <n v="3.34"/>
    <n v="2"/>
    <x v="1"/>
  </r>
  <r>
    <n v="1120"/>
    <d v="2018-04-08T00:00:00"/>
    <x v="3"/>
    <s v="Female"/>
    <n v="172.9"/>
    <n v="91.8"/>
    <n v="10260"/>
    <n v="606.79999999999995"/>
    <n v="4.2"/>
    <n v="71"/>
    <x v="3"/>
    <n v="50"/>
    <n v="1.79"/>
    <n v="2"/>
    <x v="0"/>
  </r>
  <r>
    <n v="1213"/>
    <d v="2018-04-09T00:00:00"/>
    <x v="7"/>
    <s v="Female"/>
    <n v="168"/>
    <n v="76.400000000000006"/>
    <n v="5311"/>
    <n v="429.6"/>
    <n v="6.4"/>
    <n v="79"/>
    <x v="4"/>
    <n v="81"/>
    <n v="3.4"/>
    <n v="8"/>
    <x v="1"/>
  </r>
  <r>
    <n v="1238"/>
    <d v="2018-04-10T00:00:00"/>
    <x v="25"/>
    <s v="Female"/>
    <n v="154.9"/>
    <n v="53.8"/>
    <n v="3736"/>
    <n v="367.4"/>
    <n v="7.5"/>
    <n v="75"/>
    <x v="1"/>
    <n v="76"/>
    <n v="2.31"/>
    <n v="9"/>
    <x v="2"/>
  </r>
  <r>
    <n v="1055"/>
    <d v="2018-04-11T00:00:00"/>
    <x v="33"/>
    <s v="Male"/>
    <n v="180.7"/>
    <n v="55.4"/>
    <n v="2946"/>
    <n v="353.5"/>
    <n v="8.3000000000000007"/>
    <n v="77"/>
    <x v="3"/>
    <n v="89"/>
    <n v="2.73"/>
    <n v="4"/>
    <x v="1"/>
  </r>
  <r>
    <n v="1349"/>
    <d v="2018-04-12T00:00:00"/>
    <x v="14"/>
    <s v="Female"/>
    <n v="169.1"/>
    <n v="58.9"/>
    <n v="16740"/>
    <n v="892"/>
    <n v="7.1"/>
    <n v="71"/>
    <x v="1"/>
    <n v="84"/>
    <n v="2.39"/>
    <n v="2"/>
    <x v="0"/>
  </r>
  <r>
    <n v="1106"/>
    <d v="2018-04-13T00:00:00"/>
    <x v="29"/>
    <s v="Male"/>
    <n v="170.8"/>
    <n v="85"/>
    <n v="17684"/>
    <n v="862.4"/>
    <n v="7.7"/>
    <n v="88"/>
    <x v="5"/>
    <n v="56"/>
    <n v="1.19"/>
    <n v="5"/>
    <x v="2"/>
  </r>
  <r>
    <n v="1830"/>
    <d v="2018-04-14T00:00:00"/>
    <x v="3"/>
    <s v="Female"/>
    <n v="186"/>
    <n v="83.1"/>
    <n v="10176"/>
    <n v="593.9"/>
    <n v="5.9"/>
    <n v="73"/>
    <x v="0"/>
    <n v="0"/>
    <n v="3.17"/>
    <n v="7"/>
    <x v="0"/>
  </r>
  <r>
    <n v="1047"/>
    <d v="2018-04-15T00:00:00"/>
    <x v="0"/>
    <s v="Male"/>
    <n v="179.1"/>
    <n v="45"/>
    <n v="12883"/>
    <n v="715"/>
    <n v="7"/>
    <n v="81"/>
    <x v="4"/>
    <n v="36"/>
    <n v="1.22"/>
    <n v="4"/>
    <x v="1"/>
  </r>
  <r>
    <n v="1572"/>
    <d v="2018-04-16T00:00:00"/>
    <x v="9"/>
    <s v="Male"/>
    <n v="174.5"/>
    <n v="68.8"/>
    <n v="5501"/>
    <n v="481.6"/>
    <n v="6.1"/>
    <n v="81"/>
    <x v="1"/>
    <n v="26"/>
    <n v="1.82"/>
    <n v="9"/>
    <x v="0"/>
  </r>
  <r>
    <n v="1336"/>
    <d v="2018-04-17T00:00:00"/>
    <x v="32"/>
    <s v="Male"/>
    <n v="170"/>
    <n v="72.2"/>
    <n v="12618"/>
    <n v="728.9"/>
    <n v="7.4"/>
    <n v="74"/>
    <x v="5"/>
    <n v="71"/>
    <n v="2.1800000000000002"/>
    <n v="4"/>
    <x v="0"/>
  </r>
  <r>
    <n v="1025"/>
    <d v="2018-04-18T00:00:00"/>
    <x v="16"/>
    <s v="Female"/>
    <n v="169.9"/>
    <n v="55.6"/>
    <n v="6914"/>
    <n v="443.7"/>
    <n v="9.1"/>
    <n v="60"/>
    <x v="3"/>
    <n v="54"/>
    <n v="1.1299999999999999"/>
    <n v="8"/>
    <x v="1"/>
  </r>
  <r>
    <n v="1803"/>
    <d v="2018-04-19T00:00:00"/>
    <x v="13"/>
    <s v="Male"/>
    <n v="172.4"/>
    <n v="64.099999999999994"/>
    <n v="1082"/>
    <n v="197.3"/>
    <n v="6.9"/>
    <n v="67"/>
    <x v="5"/>
    <n v="21"/>
    <n v="1.73"/>
    <n v="3"/>
    <x v="0"/>
  </r>
  <r>
    <n v="1256"/>
    <d v="2018-04-20T00:00:00"/>
    <x v="12"/>
    <s v="Male"/>
    <n v="174.1"/>
    <n v="90"/>
    <n v="9364"/>
    <n v="607.29999999999995"/>
    <n v="4.9000000000000004"/>
    <n v="82"/>
    <x v="3"/>
    <n v="59"/>
    <n v="2.67"/>
    <n v="6"/>
    <x v="0"/>
  </r>
  <r>
    <n v="1007"/>
    <d v="2018-04-21T00:00:00"/>
    <x v="30"/>
    <s v="Female"/>
    <n v="187.1"/>
    <n v="76.099999999999994"/>
    <n v="18382"/>
    <n v="900"/>
    <n v="7.3"/>
    <n v="78"/>
    <x v="1"/>
    <n v="56"/>
    <n v="2.2599999999999998"/>
    <n v="6"/>
    <x v="0"/>
  </r>
  <r>
    <n v="1624"/>
    <d v="2018-04-22T00:00:00"/>
    <x v="38"/>
    <s v="Male"/>
    <n v="194.7"/>
    <n v="62.5"/>
    <n v="6804"/>
    <n v="509.8"/>
    <n v="8.1"/>
    <n v="67"/>
    <x v="0"/>
    <n v="0"/>
    <n v="2.3199999999999998"/>
    <n v="3"/>
    <x v="2"/>
  </r>
  <r>
    <n v="1866"/>
    <d v="2018-04-23T00:00:00"/>
    <x v="35"/>
    <s v="Female"/>
    <n v="172.9"/>
    <n v="67.2"/>
    <n v="13293"/>
    <n v="728.9"/>
    <n v="5.6"/>
    <n v="75"/>
    <x v="2"/>
    <n v="29"/>
    <n v="1.86"/>
    <n v="2"/>
    <x v="0"/>
  </r>
  <r>
    <n v="1252"/>
    <d v="2018-04-24T00:00:00"/>
    <x v="25"/>
    <s v="Female"/>
    <n v="150"/>
    <n v="66.599999999999994"/>
    <n v="13812"/>
    <n v="825.5"/>
    <n v="8.9"/>
    <n v="77"/>
    <x v="0"/>
    <n v="0"/>
    <n v="2.5299999999999998"/>
    <n v="6"/>
    <x v="1"/>
  </r>
  <r>
    <n v="1691"/>
    <d v="2018-04-25T00:00:00"/>
    <x v="38"/>
    <s v="Male"/>
    <n v="160.5"/>
    <n v="74.2"/>
    <n v="4084"/>
    <n v="326.5"/>
    <n v="6.1"/>
    <n v="81"/>
    <x v="5"/>
    <n v="24"/>
    <n v="2.27"/>
    <n v="7"/>
    <x v="1"/>
  </r>
  <r>
    <n v="1718"/>
    <d v="2018-04-26T00:00:00"/>
    <x v="6"/>
    <s v="Male"/>
    <n v="188.1"/>
    <n v="48.6"/>
    <n v="3045"/>
    <n v="393.7"/>
    <n v="5.9"/>
    <n v="93"/>
    <x v="2"/>
    <n v="24"/>
    <n v="1.35"/>
    <n v="7"/>
    <x v="0"/>
  </r>
  <r>
    <n v="1302"/>
    <d v="2018-04-27T00:00:00"/>
    <x v="13"/>
    <s v="Female"/>
    <n v="177.2"/>
    <n v="60"/>
    <n v="17588"/>
    <n v="900"/>
    <n v="4.3"/>
    <n v="52"/>
    <x v="4"/>
    <n v="46"/>
    <n v="2.36"/>
    <n v="10"/>
    <x v="1"/>
  </r>
  <r>
    <n v="1638"/>
    <d v="2018-04-28T00:00:00"/>
    <x v="21"/>
    <s v="Male"/>
    <n v="174.3"/>
    <n v="85.5"/>
    <n v="14184"/>
    <n v="745.3"/>
    <n v="7.4"/>
    <n v="87"/>
    <x v="2"/>
    <n v="24"/>
    <n v="1.63"/>
    <n v="1"/>
    <x v="2"/>
  </r>
  <r>
    <n v="1055"/>
    <d v="2018-04-29T00:00:00"/>
    <x v="21"/>
    <s v="Female"/>
    <n v="168.3"/>
    <n v="68.900000000000006"/>
    <n v="15375"/>
    <n v="771.1"/>
    <n v="9.6999999999999993"/>
    <n v="77"/>
    <x v="0"/>
    <n v="0"/>
    <n v="3.13"/>
    <n v="6"/>
    <x v="1"/>
  </r>
  <r>
    <n v="1725"/>
    <d v="2018-04-30T00:00:00"/>
    <x v="17"/>
    <s v="Female"/>
    <n v="158.1"/>
    <n v="57.3"/>
    <n v="2552"/>
    <n v="398.5"/>
    <n v="7.6"/>
    <n v="65"/>
    <x v="4"/>
    <n v="27"/>
    <n v="2.23"/>
    <n v="9"/>
    <x v="1"/>
  </r>
  <r>
    <n v="1525"/>
    <d v="2018-05-01T00:00:00"/>
    <x v="4"/>
    <s v="Female"/>
    <n v="186.8"/>
    <n v="57.9"/>
    <n v="8816"/>
    <n v="507.5"/>
    <n v="5.9"/>
    <n v="77"/>
    <x v="1"/>
    <n v="50"/>
    <n v="4.2699999999999996"/>
    <n v="9"/>
    <x v="0"/>
  </r>
  <r>
    <n v="1473"/>
    <d v="2018-05-02T00:00:00"/>
    <x v="16"/>
    <s v="Male"/>
    <n v="161.80000000000001"/>
    <n v="80.8"/>
    <n v="1824"/>
    <n v="288.3"/>
    <n v="7.8"/>
    <n v="89"/>
    <x v="1"/>
    <n v="40"/>
    <n v="3.18"/>
    <n v="2"/>
    <x v="2"/>
  </r>
  <r>
    <n v="1027"/>
    <d v="2018-05-03T00:00:00"/>
    <x v="13"/>
    <s v="Female"/>
    <n v="177.3"/>
    <n v="62.2"/>
    <n v="4748"/>
    <n v="407.2"/>
    <n v="8.1999999999999993"/>
    <n v="92"/>
    <x v="5"/>
    <n v="40"/>
    <n v="2.41"/>
    <n v="4"/>
    <x v="2"/>
  </r>
  <r>
    <n v="1982"/>
    <d v="2018-05-04T00:00:00"/>
    <x v="32"/>
    <s v="Male"/>
    <n v="157"/>
    <n v="77.7"/>
    <n v="6578"/>
    <n v="463.6"/>
    <n v="8.6999999999999993"/>
    <n v="65"/>
    <x v="2"/>
    <n v="70"/>
    <n v="2.91"/>
    <n v="6"/>
    <x v="1"/>
  </r>
  <r>
    <n v="1077"/>
    <d v="2018-05-05T00:00:00"/>
    <x v="33"/>
    <s v="Male"/>
    <n v="167.8"/>
    <n v="60.6"/>
    <n v="6197"/>
    <n v="486.9"/>
    <n v="5.0999999999999996"/>
    <n v="67"/>
    <x v="4"/>
    <n v="78"/>
    <n v="1.04"/>
    <n v="4"/>
    <x v="1"/>
  </r>
  <r>
    <n v="1215"/>
    <d v="2018-05-06T00:00:00"/>
    <x v="19"/>
    <s v="Male"/>
    <n v="179.9"/>
    <n v="53.1"/>
    <n v="10030"/>
    <n v="554.70000000000005"/>
    <n v="9.3000000000000007"/>
    <n v="62"/>
    <x v="4"/>
    <n v="21"/>
    <n v="3.17"/>
    <n v="9"/>
    <x v="0"/>
  </r>
  <r>
    <n v="1385"/>
    <d v="2018-05-07T00:00:00"/>
    <x v="15"/>
    <s v="Male"/>
    <n v="167.5"/>
    <n v="73.7"/>
    <n v="19345"/>
    <n v="900"/>
    <n v="7.3"/>
    <n v="77"/>
    <x v="2"/>
    <n v="49"/>
    <n v="1.93"/>
    <n v="2"/>
    <x v="0"/>
  </r>
  <r>
    <n v="1364"/>
    <d v="2018-05-08T00:00:00"/>
    <x v="29"/>
    <s v="Female"/>
    <n v="166.3"/>
    <n v="68.5"/>
    <n v="1937"/>
    <n v="236.3"/>
    <n v="9.6"/>
    <n v="78"/>
    <x v="0"/>
    <n v="0"/>
    <n v="2.56"/>
    <n v="10"/>
    <x v="2"/>
  </r>
  <r>
    <n v="1665"/>
    <d v="2018-05-09T00:00:00"/>
    <x v="37"/>
    <s v="Male"/>
    <n v="170.1"/>
    <n v="80.3"/>
    <n v="8595"/>
    <n v="536.6"/>
    <n v="7.2"/>
    <n v="85"/>
    <x v="1"/>
    <n v="39"/>
    <n v="1.99"/>
    <n v="6"/>
    <x v="0"/>
  </r>
  <r>
    <n v="1525"/>
    <d v="2018-05-10T00:00:00"/>
    <x v="25"/>
    <s v="Female"/>
    <n v="156.6"/>
    <n v="83.3"/>
    <n v="1424"/>
    <n v="185.1"/>
    <n v="7.9"/>
    <n v="79"/>
    <x v="0"/>
    <n v="0"/>
    <n v="2.0699999999999998"/>
    <n v="1"/>
    <x v="2"/>
  </r>
  <r>
    <n v="1698"/>
    <d v="2018-05-11T00:00:00"/>
    <x v="32"/>
    <s v="Female"/>
    <n v="154.80000000000001"/>
    <n v="64.599999999999994"/>
    <n v="12502"/>
    <n v="752.4"/>
    <n v="5.6"/>
    <n v="84"/>
    <x v="1"/>
    <n v="48"/>
    <n v="2.37"/>
    <n v="9"/>
    <x v="2"/>
  </r>
  <r>
    <n v="1311"/>
    <d v="2018-05-12T00:00:00"/>
    <x v="28"/>
    <s v="Male"/>
    <n v="177.1"/>
    <n v="75.2"/>
    <n v="4051"/>
    <n v="456.4"/>
    <n v="8.5"/>
    <n v="61"/>
    <x v="4"/>
    <n v="24"/>
    <n v="2.5499999999999998"/>
    <n v="1"/>
    <x v="1"/>
  </r>
  <r>
    <n v="1882"/>
    <d v="2018-05-13T00:00:00"/>
    <x v="36"/>
    <s v="Female"/>
    <n v="165.8"/>
    <n v="64.2"/>
    <n v="3905"/>
    <n v="456.6"/>
    <n v="5.4"/>
    <n v="93"/>
    <x v="5"/>
    <n v="29"/>
    <n v="2.48"/>
    <n v="8"/>
    <x v="2"/>
  </r>
  <r>
    <n v="1006"/>
    <d v="2018-05-14T00:00:00"/>
    <x v="4"/>
    <s v="Female"/>
    <n v="177.1"/>
    <n v="79.5"/>
    <n v="13238"/>
    <n v="786.3"/>
    <n v="7.4"/>
    <n v="88"/>
    <x v="1"/>
    <n v="80"/>
    <n v="2.5"/>
    <n v="9"/>
    <x v="2"/>
  </r>
  <r>
    <n v="1002"/>
    <d v="2018-05-15T00:00:00"/>
    <x v="20"/>
    <s v="Male"/>
    <n v="181.2"/>
    <n v="73.5"/>
    <n v="3694"/>
    <n v="329.2"/>
    <n v="6.4"/>
    <n v="70"/>
    <x v="3"/>
    <n v="20"/>
    <n v="1.36"/>
    <n v="1"/>
    <x v="2"/>
  </r>
  <r>
    <n v="1622"/>
    <d v="2018-05-16T00:00:00"/>
    <x v="16"/>
    <s v="Female"/>
    <n v="182"/>
    <n v="60.6"/>
    <n v="4595"/>
    <n v="383.9"/>
    <n v="6.9"/>
    <n v="67"/>
    <x v="4"/>
    <n v="66"/>
    <n v="4.13"/>
    <n v="1"/>
    <x v="2"/>
  </r>
  <r>
    <n v="1918"/>
    <d v="2018-05-17T00:00:00"/>
    <x v="2"/>
    <s v="Female"/>
    <n v="153.80000000000001"/>
    <n v="59.4"/>
    <n v="2267"/>
    <n v="274.5"/>
    <n v="8.6"/>
    <n v="82"/>
    <x v="2"/>
    <n v="76"/>
    <n v="2.66"/>
    <n v="10"/>
    <x v="1"/>
  </r>
  <r>
    <n v="1749"/>
    <d v="2018-05-18T00:00:00"/>
    <x v="10"/>
    <s v="Female"/>
    <n v="163"/>
    <n v="74"/>
    <n v="1421"/>
    <n v="196.2"/>
    <n v="6.5"/>
    <n v="59"/>
    <x v="2"/>
    <n v="33"/>
    <n v="2.81"/>
    <n v="7"/>
    <x v="0"/>
  </r>
  <r>
    <n v="1362"/>
    <d v="2018-05-19T00:00:00"/>
    <x v="15"/>
    <s v="Female"/>
    <n v="175.4"/>
    <n v="87.4"/>
    <n v="8017"/>
    <n v="505.9"/>
    <n v="8.6999999999999993"/>
    <n v="68"/>
    <x v="0"/>
    <n v="0"/>
    <n v="2.2599999999999998"/>
    <n v="10"/>
    <x v="0"/>
  </r>
  <r>
    <n v="1750"/>
    <d v="2018-05-20T00:00:00"/>
    <x v="37"/>
    <s v="Male"/>
    <n v="175.5"/>
    <n v="83.5"/>
    <n v="10849"/>
    <n v="679.4"/>
    <n v="6.4"/>
    <n v="65"/>
    <x v="0"/>
    <n v="0"/>
    <n v="1.89"/>
    <n v="5"/>
    <x v="2"/>
  </r>
  <r>
    <n v="1507"/>
    <d v="2018-05-21T00:00:00"/>
    <x v="21"/>
    <s v="Female"/>
    <n v="192.5"/>
    <n v="55.9"/>
    <n v="19484"/>
    <n v="900"/>
    <n v="7.2"/>
    <n v="74"/>
    <x v="4"/>
    <n v="35"/>
    <n v="2.61"/>
    <n v="3"/>
    <x v="0"/>
  </r>
  <r>
    <n v="1273"/>
    <d v="2018-05-22T00:00:00"/>
    <x v="18"/>
    <s v="Female"/>
    <n v="160.9"/>
    <n v="57.4"/>
    <n v="17349"/>
    <n v="779.9"/>
    <n v="10"/>
    <n v="71"/>
    <x v="0"/>
    <n v="0"/>
    <n v="2.7"/>
    <n v="9"/>
    <x v="0"/>
  </r>
  <r>
    <n v="1505"/>
    <d v="2018-05-23T00:00:00"/>
    <x v="27"/>
    <s v="Female"/>
    <n v="181.7"/>
    <n v="59.6"/>
    <n v="13131"/>
    <n v="662.6"/>
    <n v="7.2"/>
    <n v="67"/>
    <x v="0"/>
    <n v="0"/>
    <n v="3.41"/>
    <n v="2"/>
    <x v="2"/>
  </r>
  <r>
    <n v="1805"/>
    <d v="2018-05-24T00:00:00"/>
    <x v="2"/>
    <s v="Female"/>
    <n v="173.7"/>
    <n v="61.1"/>
    <n v="9876"/>
    <n v="636"/>
    <n v="6.9"/>
    <n v="66"/>
    <x v="4"/>
    <n v="83"/>
    <n v="3.95"/>
    <n v="6"/>
    <x v="2"/>
  </r>
  <r>
    <n v="1738"/>
    <d v="2018-05-25T00:00:00"/>
    <x v="39"/>
    <s v="Male"/>
    <n v="153.6"/>
    <n v="45"/>
    <n v="3226"/>
    <n v="243.1"/>
    <n v="7.2"/>
    <n v="69"/>
    <x v="1"/>
    <n v="79"/>
    <n v="3.53"/>
    <n v="4"/>
    <x v="0"/>
  </r>
  <r>
    <n v="1882"/>
    <d v="2018-05-26T00:00:00"/>
    <x v="8"/>
    <s v="Female"/>
    <n v="164.5"/>
    <n v="81.900000000000006"/>
    <n v="5388"/>
    <n v="391.9"/>
    <n v="6.5"/>
    <n v="63"/>
    <x v="4"/>
    <n v="38"/>
    <n v="1.26"/>
    <n v="5"/>
    <x v="1"/>
  </r>
  <r>
    <n v="1014"/>
    <d v="2018-05-27T00:00:00"/>
    <x v="35"/>
    <s v="Male"/>
    <n v="172.6"/>
    <n v="63.2"/>
    <n v="3422"/>
    <n v="317.7"/>
    <n v="5.5"/>
    <n v="80"/>
    <x v="4"/>
    <n v="66"/>
    <n v="2.1800000000000002"/>
    <n v="2"/>
    <x v="0"/>
  </r>
  <r>
    <n v="1191"/>
    <d v="2018-05-28T00:00:00"/>
    <x v="17"/>
    <s v="Female"/>
    <n v="153"/>
    <n v="76.900000000000006"/>
    <n v="8226"/>
    <n v="541.9"/>
    <n v="10"/>
    <n v="86"/>
    <x v="0"/>
    <n v="0"/>
    <n v="2.74"/>
    <n v="1"/>
    <x v="2"/>
  </r>
  <r>
    <n v="1984"/>
    <d v="2018-05-29T00:00:00"/>
    <x v="39"/>
    <s v="Male"/>
    <n v="150"/>
    <n v="65.3"/>
    <n v="10269"/>
    <n v="622.5"/>
    <n v="6.4"/>
    <n v="79"/>
    <x v="3"/>
    <n v="49"/>
    <n v="2.2200000000000002"/>
    <n v="9"/>
    <x v="0"/>
  </r>
  <r>
    <n v="1630"/>
    <d v="2018-05-30T00:00:00"/>
    <x v="38"/>
    <s v="Male"/>
    <n v="152.4"/>
    <n v="69.7"/>
    <n v="13177"/>
    <n v="747.1"/>
    <n v="4.7"/>
    <n v="89"/>
    <x v="2"/>
    <n v="66"/>
    <n v="2.4700000000000002"/>
    <n v="3"/>
    <x v="0"/>
  </r>
  <r>
    <n v="1484"/>
    <d v="2018-05-31T00:00:00"/>
    <x v="27"/>
    <s v="Male"/>
    <n v="172.6"/>
    <n v="59.7"/>
    <n v="13032"/>
    <n v="713.8"/>
    <n v="6.8"/>
    <n v="67"/>
    <x v="0"/>
    <n v="0"/>
    <n v="1"/>
    <n v="6"/>
    <x v="1"/>
  </r>
  <r>
    <n v="1027"/>
    <d v="2018-06-01T00:00:00"/>
    <x v="30"/>
    <s v="Male"/>
    <n v="165.2"/>
    <n v="69.599999999999994"/>
    <n v="12508"/>
    <n v="653.1"/>
    <n v="7.5"/>
    <n v="68"/>
    <x v="1"/>
    <n v="40"/>
    <n v="3.14"/>
    <n v="9"/>
    <x v="0"/>
  </r>
  <r>
    <n v="1713"/>
    <d v="2018-06-02T00:00:00"/>
    <x v="35"/>
    <s v="Male"/>
    <n v="163.80000000000001"/>
    <n v="56.9"/>
    <n v="8316"/>
    <n v="577.70000000000005"/>
    <n v="6.7"/>
    <n v="79"/>
    <x v="5"/>
    <n v="82"/>
    <n v="1.19"/>
    <n v="1"/>
    <x v="0"/>
  </r>
  <r>
    <n v="1038"/>
    <d v="2018-06-03T00:00:00"/>
    <x v="17"/>
    <s v="Female"/>
    <n v="164.1"/>
    <n v="69.7"/>
    <n v="3843"/>
    <n v="265.5"/>
    <n v="6.9"/>
    <n v="81"/>
    <x v="1"/>
    <n v="61"/>
    <n v="1.4"/>
    <n v="5"/>
    <x v="2"/>
  </r>
  <r>
    <n v="1952"/>
    <d v="2018-06-04T00:00:00"/>
    <x v="34"/>
    <s v="Female"/>
    <n v="155.80000000000001"/>
    <n v="91.9"/>
    <n v="5111"/>
    <n v="443.5"/>
    <n v="6.8"/>
    <n v="75"/>
    <x v="2"/>
    <n v="80"/>
    <n v="1.79"/>
    <n v="4"/>
    <x v="1"/>
  </r>
  <r>
    <n v="1272"/>
    <d v="2018-06-05T00:00:00"/>
    <x v="37"/>
    <s v="Female"/>
    <n v="165.4"/>
    <n v="77.8"/>
    <n v="13463"/>
    <n v="795.7"/>
    <n v="7.6"/>
    <n v="75"/>
    <x v="5"/>
    <n v="62"/>
    <n v="2.4300000000000002"/>
    <n v="3"/>
    <x v="0"/>
  </r>
  <r>
    <n v="1230"/>
    <d v="2018-06-06T00:00:00"/>
    <x v="6"/>
    <s v="Male"/>
    <n v="151.80000000000001"/>
    <n v="74.400000000000006"/>
    <n v="14778"/>
    <n v="900"/>
    <n v="8.1999999999999993"/>
    <n v="64"/>
    <x v="4"/>
    <n v="87"/>
    <n v="1.36"/>
    <n v="2"/>
    <x v="0"/>
  </r>
  <r>
    <n v="1085"/>
    <d v="2018-06-07T00:00:00"/>
    <x v="3"/>
    <s v="Female"/>
    <n v="181.9"/>
    <n v="50.2"/>
    <n v="19287"/>
    <n v="900"/>
    <n v="6.7"/>
    <n v="50"/>
    <x v="3"/>
    <n v="45"/>
    <n v="1.76"/>
    <n v="3"/>
    <x v="2"/>
  </r>
  <r>
    <n v="1473"/>
    <d v="2018-06-08T00:00:00"/>
    <x v="0"/>
    <s v="Male"/>
    <n v="186.9"/>
    <n v="78.5"/>
    <n v="5224"/>
    <n v="381"/>
    <n v="10"/>
    <n v="81"/>
    <x v="3"/>
    <n v="52"/>
    <n v="3.3"/>
    <n v="1"/>
    <x v="2"/>
  </r>
  <r>
    <n v="1125"/>
    <d v="2018-06-09T00:00:00"/>
    <x v="41"/>
    <s v="Male"/>
    <n v="150"/>
    <n v="80"/>
    <n v="5979"/>
    <n v="441.8"/>
    <n v="8.6"/>
    <n v="85"/>
    <x v="2"/>
    <n v="52"/>
    <n v="2.42"/>
    <n v="1"/>
    <x v="1"/>
  </r>
  <r>
    <n v="1811"/>
    <d v="2018-06-10T00:00:00"/>
    <x v="0"/>
    <s v="Female"/>
    <n v="165.3"/>
    <n v="74"/>
    <n v="17809"/>
    <n v="900"/>
    <n v="7"/>
    <n v="71"/>
    <x v="0"/>
    <n v="0"/>
    <n v="2.8"/>
    <n v="8"/>
    <x v="1"/>
  </r>
  <r>
    <n v="1536"/>
    <d v="2018-06-11T00:00:00"/>
    <x v="8"/>
    <s v="Female"/>
    <n v="166"/>
    <n v="73.2"/>
    <n v="3401"/>
    <n v="377.8"/>
    <n v="5"/>
    <n v="69"/>
    <x v="2"/>
    <n v="60"/>
    <n v="1.63"/>
    <n v="5"/>
    <x v="1"/>
  </r>
  <r>
    <n v="1144"/>
    <d v="2018-06-12T00:00:00"/>
    <x v="22"/>
    <s v="Male"/>
    <n v="168.3"/>
    <n v="67.900000000000006"/>
    <n v="9941"/>
    <n v="623.79999999999995"/>
    <n v="7.2"/>
    <n v="68"/>
    <x v="3"/>
    <n v="55"/>
    <n v="2.46"/>
    <n v="2"/>
    <x v="2"/>
  </r>
  <r>
    <n v="1524"/>
    <d v="2018-06-13T00:00:00"/>
    <x v="41"/>
    <s v="Male"/>
    <n v="180"/>
    <n v="79.7"/>
    <n v="16685"/>
    <n v="849.8"/>
    <n v="8.1999999999999993"/>
    <n v="71"/>
    <x v="5"/>
    <n v="41"/>
    <n v="2.4"/>
    <n v="3"/>
    <x v="2"/>
  </r>
  <r>
    <n v="1211"/>
    <d v="2018-06-14T00:00:00"/>
    <x v="12"/>
    <s v="Female"/>
    <n v="165.3"/>
    <n v="91"/>
    <n v="16963"/>
    <n v="873.6"/>
    <n v="8.1999999999999993"/>
    <n v="85"/>
    <x v="5"/>
    <n v="66"/>
    <n v="1.94"/>
    <n v="2"/>
    <x v="2"/>
  </r>
  <r>
    <n v="1024"/>
    <d v="2018-06-15T00:00:00"/>
    <x v="14"/>
    <s v="Female"/>
    <n v="169.1"/>
    <n v="75"/>
    <n v="17427"/>
    <n v="900"/>
    <n v="4.2"/>
    <n v="66"/>
    <x v="0"/>
    <n v="0"/>
    <n v="2.46"/>
    <n v="10"/>
    <x v="2"/>
  </r>
  <r>
    <n v="1579"/>
    <d v="2018-06-16T00:00:00"/>
    <x v="40"/>
    <s v="Female"/>
    <n v="199.8"/>
    <n v="55.4"/>
    <n v="18943"/>
    <n v="894.4"/>
    <n v="7.2"/>
    <n v="81"/>
    <x v="1"/>
    <n v="43"/>
    <n v="1.18"/>
    <n v="2"/>
    <x v="1"/>
  </r>
  <r>
    <n v="1393"/>
    <d v="2018-06-17T00:00:00"/>
    <x v="33"/>
    <s v="Female"/>
    <n v="168.9"/>
    <n v="56.6"/>
    <n v="7035"/>
    <n v="469.7"/>
    <n v="6.3"/>
    <n v="70"/>
    <x v="4"/>
    <n v="62"/>
    <n v="2.81"/>
    <n v="4"/>
    <x v="1"/>
  </r>
  <r>
    <n v="1066"/>
    <d v="2018-06-18T00:00:00"/>
    <x v="33"/>
    <s v="Male"/>
    <n v="187.7"/>
    <n v="80.900000000000006"/>
    <n v="8071"/>
    <n v="550.6"/>
    <n v="9.1999999999999993"/>
    <n v="55"/>
    <x v="0"/>
    <n v="0"/>
    <n v="2.2200000000000002"/>
    <n v="4"/>
    <x v="1"/>
  </r>
  <r>
    <n v="1232"/>
    <d v="2018-06-19T00:00:00"/>
    <x v="24"/>
    <s v="Female"/>
    <n v="175"/>
    <n v="55.5"/>
    <n v="17531"/>
    <n v="847.9"/>
    <n v="7.2"/>
    <n v="72"/>
    <x v="5"/>
    <n v="46"/>
    <n v="2.3199999999999998"/>
    <n v="7"/>
    <x v="2"/>
  </r>
  <r>
    <n v="1108"/>
    <d v="2018-06-20T00:00:00"/>
    <x v="4"/>
    <s v="Female"/>
    <n v="164.5"/>
    <n v="73"/>
    <n v="3170"/>
    <n v="149.80000000000001"/>
    <n v="3.6"/>
    <n v="91"/>
    <x v="4"/>
    <n v="64"/>
    <n v="3.1"/>
    <n v="2"/>
    <x v="2"/>
  </r>
  <r>
    <n v="1145"/>
    <d v="2018-06-21T00:00:00"/>
    <x v="22"/>
    <s v="Female"/>
    <n v="162.80000000000001"/>
    <n v="64.8"/>
    <n v="6118"/>
    <n v="517"/>
    <n v="7.6"/>
    <n v="68"/>
    <x v="2"/>
    <n v="56"/>
    <n v="2.8"/>
    <n v="9"/>
    <x v="2"/>
  </r>
  <r>
    <n v="1110"/>
    <d v="2018-06-22T00:00:00"/>
    <x v="29"/>
    <s v="Male"/>
    <n v="169.9"/>
    <n v="53.9"/>
    <n v="8297"/>
    <n v="530.9"/>
    <n v="4.0999999999999996"/>
    <n v="73"/>
    <x v="5"/>
    <n v="32"/>
    <n v="2.2799999999999998"/>
    <n v="7"/>
    <x v="2"/>
  </r>
  <r>
    <n v="1227"/>
    <d v="2018-06-23T00:00:00"/>
    <x v="26"/>
    <s v="Male"/>
    <n v="158.69999999999999"/>
    <n v="82.5"/>
    <n v="5163"/>
    <n v="343.6"/>
    <n v="7.7"/>
    <n v="75"/>
    <x v="5"/>
    <n v="70"/>
    <n v="1.72"/>
    <n v="4"/>
    <x v="0"/>
  </r>
  <r>
    <n v="1110"/>
    <d v="2018-06-24T00:00:00"/>
    <x v="24"/>
    <s v="Male"/>
    <n v="161.4"/>
    <n v="80.599999999999994"/>
    <n v="9026"/>
    <n v="607.1"/>
    <n v="10"/>
    <n v="77"/>
    <x v="5"/>
    <n v="21"/>
    <n v="3.43"/>
    <n v="7"/>
    <x v="1"/>
  </r>
  <r>
    <n v="1469"/>
    <d v="2018-06-25T00:00:00"/>
    <x v="6"/>
    <s v="Male"/>
    <n v="165.8"/>
    <n v="49.7"/>
    <n v="10019"/>
    <n v="590.29999999999995"/>
    <n v="9"/>
    <n v="90"/>
    <x v="1"/>
    <n v="78"/>
    <n v="1.56"/>
    <n v="10"/>
    <x v="1"/>
  </r>
  <r>
    <n v="1033"/>
    <d v="2018-06-26T00:00:00"/>
    <x v="6"/>
    <s v="Female"/>
    <n v="172.9"/>
    <n v="77.2"/>
    <n v="10944"/>
    <n v="586"/>
    <n v="7.4"/>
    <n v="67"/>
    <x v="0"/>
    <n v="0"/>
    <n v="2.94"/>
    <n v="1"/>
    <x v="0"/>
  </r>
  <r>
    <n v="1622"/>
    <d v="2018-06-27T00:00:00"/>
    <x v="17"/>
    <s v="Male"/>
    <n v="188.3"/>
    <n v="75"/>
    <n v="3939"/>
    <n v="376"/>
    <n v="6"/>
    <n v="75"/>
    <x v="2"/>
    <n v="68"/>
    <n v="1.38"/>
    <n v="7"/>
    <x v="1"/>
  </r>
  <r>
    <n v="1775"/>
    <d v="2018-06-28T00:00:00"/>
    <x v="5"/>
    <s v="Female"/>
    <n v="165.2"/>
    <n v="82.6"/>
    <n v="6727"/>
    <n v="471.7"/>
    <n v="8.9"/>
    <n v="83"/>
    <x v="3"/>
    <n v="49"/>
    <n v="3.14"/>
    <n v="6"/>
    <x v="2"/>
  </r>
  <r>
    <n v="1935"/>
    <d v="2018-06-29T00:00:00"/>
    <x v="11"/>
    <s v="Female"/>
    <n v="174.6"/>
    <n v="72.5"/>
    <n v="12920"/>
    <n v="686.1"/>
    <n v="8"/>
    <n v="68"/>
    <x v="1"/>
    <n v="28"/>
    <n v="3.21"/>
    <n v="9"/>
    <x v="1"/>
  </r>
  <r>
    <n v="1368"/>
    <d v="2018-06-30T00:00:00"/>
    <x v="4"/>
    <s v="Female"/>
    <n v="153.69999999999999"/>
    <n v="91.4"/>
    <n v="4616"/>
    <n v="346.2"/>
    <n v="6.6"/>
    <n v="76"/>
    <x v="1"/>
    <n v="43"/>
    <n v="1.1599999999999999"/>
    <n v="8"/>
    <x v="2"/>
  </r>
  <r>
    <n v="1747"/>
    <d v="2018-07-01T00:00:00"/>
    <x v="31"/>
    <s v="Female"/>
    <n v="180.6"/>
    <n v="68.099999999999994"/>
    <n v="6405"/>
    <n v="404.9"/>
    <n v="6.2"/>
    <n v="85"/>
    <x v="5"/>
    <n v="60"/>
    <n v="2.81"/>
    <n v="2"/>
    <x v="2"/>
  </r>
  <r>
    <n v="1594"/>
    <d v="2018-07-02T00:00:00"/>
    <x v="1"/>
    <s v="Male"/>
    <n v="152.80000000000001"/>
    <n v="65.900000000000006"/>
    <n v="11469"/>
    <n v="695.5"/>
    <n v="5.6"/>
    <n v="70"/>
    <x v="1"/>
    <n v="79"/>
    <n v="2.76"/>
    <n v="3"/>
    <x v="2"/>
  </r>
  <r>
    <n v="1553"/>
    <d v="2018-07-03T00:00:00"/>
    <x v="12"/>
    <s v="Male"/>
    <n v="178"/>
    <n v="55.4"/>
    <n v="9351"/>
    <n v="511.6"/>
    <n v="7.6"/>
    <n v="73"/>
    <x v="0"/>
    <n v="0"/>
    <n v="2.99"/>
    <n v="3"/>
    <x v="0"/>
  </r>
  <r>
    <n v="1424"/>
    <d v="2018-07-04T00:00:00"/>
    <x v="25"/>
    <s v="Male"/>
    <n v="169.2"/>
    <n v="56"/>
    <n v="12557"/>
    <n v="662.4"/>
    <n v="6.4"/>
    <n v="63"/>
    <x v="0"/>
    <n v="0"/>
    <n v="2.76"/>
    <n v="6"/>
    <x v="1"/>
  </r>
  <r>
    <n v="1612"/>
    <d v="2018-07-05T00:00:00"/>
    <x v="29"/>
    <s v="Female"/>
    <n v="168.8"/>
    <n v="54.6"/>
    <n v="6880"/>
    <n v="480.3"/>
    <n v="7.3"/>
    <n v="84"/>
    <x v="0"/>
    <n v="0"/>
    <n v="1.83"/>
    <n v="2"/>
    <x v="2"/>
  </r>
  <r>
    <n v="1517"/>
    <d v="2018-07-06T00:00:00"/>
    <x v="12"/>
    <s v="Female"/>
    <n v="167"/>
    <n v="73.3"/>
    <n v="15096"/>
    <n v="876.8"/>
    <n v="8.4"/>
    <n v="77"/>
    <x v="3"/>
    <n v="61"/>
    <n v="2.35"/>
    <n v="2"/>
    <x v="1"/>
  </r>
  <r>
    <n v="1691"/>
    <d v="2018-07-07T00:00:00"/>
    <x v="0"/>
    <s v="Female"/>
    <n v="157"/>
    <n v="66"/>
    <n v="2013"/>
    <n v="287.2"/>
    <n v="6.3"/>
    <n v="71"/>
    <x v="1"/>
    <n v="89"/>
    <n v="3.67"/>
    <n v="4"/>
    <x v="0"/>
  </r>
  <r>
    <n v="1281"/>
    <d v="2018-07-08T00:00:00"/>
    <x v="28"/>
    <s v="Female"/>
    <n v="157.5"/>
    <n v="75"/>
    <n v="9743"/>
    <n v="619.1"/>
    <n v="8"/>
    <n v="72"/>
    <x v="0"/>
    <n v="0"/>
    <n v="1.72"/>
    <n v="1"/>
    <x v="1"/>
  </r>
  <r>
    <n v="1319"/>
    <d v="2018-07-09T00:00:00"/>
    <x v="1"/>
    <s v="Female"/>
    <n v="178.4"/>
    <n v="51.9"/>
    <n v="8391"/>
    <n v="540.79999999999995"/>
    <n v="8.8000000000000007"/>
    <n v="75"/>
    <x v="1"/>
    <n v="50"/>
    <n v="2.73"/>
    <n v="1"/>
    <x v="1"/>
  </r>
  <r>
    <n v="1737"/>
    <d v="2018-07-10T00:00:00"/>
    <x v="36"/>
    <s v="Male"/>
    <n v="170.1"/>
    <n v="57.2"/>
    <n v="18559"/>
    <n v="900"/>
    <n v="7.6"/>
    <n v="78"/>
    <x v="5"/>
    <n v="75"/>
    <n v="3.31"/>
    <n v="1"/>
    <x v="1"/>
  </r>
  <r>
    <n v="1442"/>
    <d v="2018-07-11T00:00:00"/>
    <x v="39"/>
    <s v="Female"/>
    <n v="166.9"/>
    <n v="56.9"/>
    <n v="10355"/>
    <n v="711.1"/>
    <n v="8"/>
    <n v="68"/>
    <x v="2"/>
    <n v="49"/>
    <n v="1.81"/>
    <n v="5"/>
    <x v="1"/>
  </r>
  <r>
    <n v="1951"/>
    <d v="2018-07-12T00:00:00"/>
    <x v="15"/>
    <s v="Male"/>
    <n v="174.4"/>
    <n v="102.5"/>
    <n v="6247"/>
    <n v="428"/>
    <n v="7.6"/>
    <n v="69"/>
    <x v="0"/>
    <n v="0"/>
    <n v="1.51"/>
    <n v="9"/>
    <x v="0"/>
  </r>
  <r>
    <n v="1314"/>
    <d v="2018-07-13T00:00:00"/>
    <x v="13"/>
    <s v="Female"/>
    <n v="171"/>
    <n v="67.5"/>
    <n v="8518"/>
    <n v="541.4"/>
    <n v="7"/>
    <n v="72"/>
    <x v="3"/>
    <n v="34"/>
    <n v="1.61"/>
    <n v="4"/>
    <x v="1"/>
  </r>
  <r>
    <n v="1876"/>
    <d v="2018-07-14T00:00:00"/>
    <x v="4"/>
    <s v="Female"/>
    <n v="162.1"/>
    <n v="69"/>
    <n v="7290"/>
    <n v="500.3"/>
    <n v="8.3000000000000007"/>
    <n v="77"/>
    <x v="5"/>
    <n v="37"/>
    <n v="2.78"/>
    <n v="8"/>
    <x v="2"/>
  </r>
  <r>
    <n v="1965"/>
    <d v="2018-07-15T00:00:00"/>
    <x v="6"/>
    <s v="Male"/>
    <n v="194.6"/>
    <n v="68.8"/>
    <n v="2308"/>
    <n v="318.8"/>
    <n v="9.4"/>
    <n v="91"/>
    <x v="1"/>
    <n v="51"/>
    <n v="1.61"/>
    <n v="7"/>
    <x v="0"/>
  </r>
  <r>
    <n v="1740"/>
    <d v="2018-07-16T00:00:00"/>
    <x v="24"/>
    <s v="Male"/>
    <n v="177.4"/>
    <n v="93.3"/>
    <n v="10684"/>
    <n v="634"/>
    <n v="8.3000000000000007"/>
    <n v="67"/>
    <x v="0"/>
    <n v="0"/>
    <n v="2.41"/>
    <n v="6"/>
    <x v="1"/>
  </r>
  <r>
    <n v="1376"/>
    <d v="2018-07-17T00:00:00"/>
    <x v="29"/>
    <s v="Female"/>
    <n v="171.3"/>
    <n v="45.8"/>
    <n v="13723"/>
    <n v="721.7"/>
    <n v="6.7"/>
    <n v="58"/>
    <x v="3"/>
    <n v="81"/>
    <n v="3.46"/>
    <n v="9"/>
    <x v="1"/>
  </r>
  <r>
    <n v="1288"/>
    <d v="2018-07-18T00:00:00"/>
    <x v="37"/>
    <s v="Female"/>
    <n v="164.9"/>
    <n v="69.099999999999994"/>
    <n v="5827"/>
    <n v="432.7"/>
    <n v="6.7"/>
    <n v="89"/>
    <x v="4"/>
    <n v="71"/>
    <n v="2.46"/>
    <n v="10"/>
    <x v="2"/>
  </r>
  <r>
    <n v="1436"/>
    <d v="2018-07-19T00:00:00"/>
    <x v="41"/>
    <s v="Female"/>
    <n v="179.5"/>
    <n v="45.7"/>
    <n v="19161"/>
    <n v="900"/>
    <n v="6.8"/>
    <n v="66"/>
    <x v="0"/>
    <n v="0"/>
    <n v="1.96"/>
    <n v="1"/>
    <x v="0"/>
  </r>
  <r>
    <n v="1661"/>
    <d v="2018-07-20T00:00:00"/>
    <x v="8"/>
    <s v="Female"/>
    <n v="162.1"/>
    <n v="45"/>
    <n v="1059"/>
    <n v="258.10000000000002"/>
    <n v="8.4"/>
    <n v="90"/>
    <x v="0"/>
    <n v="0"/>
    <n v="2.59"/>
    <n v="7"/>
    <x v="0"/>
  </r>
  <r>
    <n v="1276"/>
    <d v="2018-07-21T00:00:00"/>
    <x v="4"/>
    <s v="Male"/>
    <n v="161.30000000000001"/>
    <n v="59"/>
    <n v="7986"/>
    <n v="423.9"/>
    <n v="6.2"/>
    <n v="87"/>
    <x v="1"/>
    <n v="53"/>
    <n v="2.4500000000000002"/>
    <n v="9"/>
    <x v="2"/>
  </r>
  <r>
    <n v="1709"/>
    <d v="2018-07-22T00:00:00"/>
    <x v="30"/>
    <s v="Female"/>
    <n v="186.9"/>
    <n v="76.2"/>
    <n v="11643"/>
    <n v="646"/>
    <n v="5.5"/>
    <n v="80"/>
    <x v="2"/>
    <n v="75"/>
    <n v="2.82"/>
    <n v="10"/>
    <x v="1"/>
  </r>
  <r>
    <n v="1581"/>
    <d v="2018-07-23T00:00:00"/>
    <x v="13"/>
    <s v="Male"/>
    <n v="170.3"/>
    <n v="58"/>
    <n v="16216"/>
    <n v="849.3"/>
    <n v="7.7"/>
    <n v="87"/>
    <x v="1"/>
    <n v="72"/>
    <n v="3.63"/>
    <n v="2"/>
    <x v="1"/>
  </r>
  <r>
    <n v="1502"/>
    <d v="2018-07-24T00:00:00"/>
    <x v="41"/>
    <s v="Female"/>
    <n v="162.4"/>
    <n v="75.900000000000006"/>
    <n v="8860"/>
    <n v="547.4"/>
    <n v="7"/>
    <n v="57"/>
    <x v="2"/>
    <n v="68"/>
    <n v="2.78"/>
    <n v="4"/>
    <x v="0"/>
  </r>
  <r>
    <n v="1623"/>
    <d v="2018-07-25T00:00:00"/>
    <x v="8"/>
    <s v="Male"/>
    <n v="170.1"/>
    <n v="71.599999999999994"/>
    <n v="14425"/>
    <n v="773.6"/>
    <n v="9.1999999999999993"/>
    <n v="61"/>
    <x v="4"/>
    <n v="82"/>
    <n v="3.92"/>
    <n v="5"/>
    <x v="0"/>
  </r>
  <r>
    <n v="1515"/>
    <d v="2018-07-26T00:00:00"/>
    <x v="32"/>
    <s v="Male"/>
    <n v="178.5"/>
    <n v="67.900000000000006"/>
    <n v="14806"/>
    <n v="806.6"/>
    <n v="3.6"/>
    <n v="78"/>
    <x v="5"/>
    <n v="35"/>
    <n v="2.82"/>
    <n v="5"/>
    <x v="1"/>
  </r>
  <r>
    <n v="1349"/>
    <d v="2018-07-27T00:00:00"/>
    <x v="24"/>
    <s v="Female"/>
    <n v="176.2"/>
    <n v="89"/>
    <n v="15950"/>
    <n v="863.4"/>
    <n v="7.3"/>
    <n v="71"/>
    <x v="5"/>
    <n v="59"/>
    <n v="1.96"/>
    <n v="7"/>
    <x v="2"/>
  </r>
  <r>
    <n v="1842"/>
    <d v="2018-07-28T00:00:00"/>
    <x v="0"/>
    <s v="Male"/>
    <n v="179.7"/>
    <n v="61.1"/>
    <n v="2592"/>
    <n v="316.60000000000002"/>
    <n v="6.4"/>
    <n v="67"/>
    <x v="0"/>
    <n v="0"/>
    <n v="4.0999999999999996"/>
    <n v="10"/>
    <x v="2"/>
  </r>
  <r>
    <n v="1445"/>
    <d v="2018-07-29T00:00:00"/>
    <x v="21"/>
    <s v="Female"/>
    <n v="157.5"/>
    <n v="75.7"/>
    <n v="15464"/>
    <n v="866.1"/>
    <n v="8.1999999999999993"/>
    <n v="83"/>
    <x v="5"/>
    <n v="37"/>
    <n v="2.41"/>
    <n v="8"/>
    <x v="1"/>
  </r>
  <r>
    <n v="1829"/>
    <d v="2018-07-30T00:00:00"/>
    <x v="41"/>
    <s v="Male"/>
    <n v="179.5"/>
    <n v="45"/>
    <n v="7097"/>
    <n v="409.1"/>
    <n v="6.6"/>
    <n v="78"/>
    <x v="3"/>
    <n v="42"/>
    <n v="1.76"/>
    <n v="9"/>
    <x v="2"/>
  </r>
  <r>
    <n v="1349"/>
    <d v="2018-07-31T00:00:00"/>
    <x v="32"/>
    <s v="Female"/>
    <n v="168.2"/>
    <n v="71.5"/>
    <n v="7458"/>
    <n v="485.7"/>
    <n v="6.1"/>
    <n v="85"/>
    <x v="2"/>
    <n v="67"/>
    <n v="4.13"/>
    <n v="5"/>
    <x v="0"/>
  </r>
  <r>
    <n v="1606"/>
    <d v="2018-08-01T00:00:00"/>
    <x v="34"/>
    <s v="Male"/>
    <n v="170.9"/>
    <n v="66.099999999999994"/>
    <n v="10151"/>
    <n v="627.79999999999995"/>
    <n v="8.4"/>
    <n v="71"/>
    <x v="1"/>
    <n v="65"/>
    <n v="1.99"/>
    <n v="2"/>
    <x v="1"/>
  </r>
  <r>
    <n v="1663"/>
    <d v="2018-08-02T00:00:00"/>
    <x v="12"/>
    <s v="Female"/>
    <n v="182.1"/>
    <n v="52.3"/>
    <n v="5166"/>
    <n v="419.4"/>
    <n v="8.9"/>
    <n v="75"/>
    <x v="3"/>
    <n v="41"/>
    <n v="1.96"/>
    <n v="2"/>
    <x v="2"/>
  </r>
  <r>
    <n v="1822"/>
    <d v="2018-08-03T00:00:00"/>
    <x v="4"/>
    <s v="Female"/>
    <n v="177"/>
    <n v="76"/>
    <n v="7488"/>
    <n v="466.9"/>
    <n v="6.9"/>
    <n v="90"/>
    <x v="3"/>
    <n v="73"/>
    <n v="2.11"/>
    <n v="5"/>
    <x v="2"/>
  </r>
  <r>
    <n v="1136"/>
    <d v="2018-08-04T00:00:00"/>
    <x v="33"/>
    <s v="Male"/>
    <n v="173.5"/>
    <n v="58.9"/>
    <n v="11415"/>
    <n v="630"/>
    <n v="6.9"/>
    <n v="62"/>
    <x v="1"/>
    <n v="59"/>
    <n v="2.62"/>
    <n v="5"/>
    <x v="0"/>
  </r>
  <r>
    <n v="1758"/>
    <d v="2018-08-05T00:00:00"/>
    <x v="0"/>
    <s v="Male"/>
    <n v="150.19999999999999"/>
    <n v="96"/>
    <n v="13008"/>
    <n v="678.2"/>
    <n v="8.9"/>
    <n v="74"/>
    <x v="4"/>
    <n v="49"/>
    <n v="3.15"/>
    <n v="5"/>
    <x v="0"/>
  </r>
  <r>
    <n v="1898"/>
    <d v="2018-08-06T00:00:00"/>
    <x v="28"/>
    <s v="Male"/>
    <n v="169.5"/>
    <n v="45"/>
    <n v="12170"/>
    <n v="735.6"/>
    <n v="8.6999999999999993"/>
    <n v="66"/>
    <x v="5"/>
    <n v="74"/>
    <n v="0.65"/>
    <n v="6"/>
    <x v="1"/>
  </r>
  <r>
    <n v="1242"/>
    <d v="2018-08-07T00:00:00"/>
    <x v="0"/>
    <s v="Male"/>
    <n v="162.19999999999999"/>
    <n v="73.7"/>
    <n v="18430"/>
    <n v="844.6"/>
    <n v="8.5"/>
    <n v="92"/>
    <x v="4"/>
    <n v="75"/>
    <n v="3.15"/>
    <n v="8"/>
    <x v="0"/>
  </r>
  <r>
    <n v="1542"/>
    <d v="2018-08-08T00:00:00"/>
    <x v="20"/>
    <s v="Female"/>
    <n v="177.1"/>
    <n v="70.599999999999994"/>
    <n v="15516"/>
    <n v="756.6"/>
    <n v="6.4"/>
    <n v="99"/>
    <x v="4"/>
    <n v="61"/>
    <n v="2.11"/>
    <n v="5"/>
    <x v="0"/>
  </r>
  <r>
    <n v="1039"/>
    <d v="2018-08-09T00:00:00"/>
    <x v="31"/>
    <s v="Male"/>
    <n v="179.9"/>
    <n v="65.8"/>
    <n v="10260"/>
    <n v="631.29999999999995"/>
    <n v="6"/>
    <n v="77"/>
    <x v="5"/>
    <n v="61"/>
    <n v="2.21"/>
    <n v="3"/>
    <x v="1"/>
  </r>
  <r>
    <n v="1228"/>
    <d v="2018-08-10T00:00:00"/>
    <x v="21"/>
    <s v="Female"/>
    <n v="167"/>
    <n v="62.1"/>
    <n v="8636"/>
    <n v="572.6"/>
    <n v="9.5"/>
    <n v="80"/>
    <x v="4"/>
    <n v="81"/>
    <n v="3.7"/>
    <n v="9"/>
    <x v="2"/>
  </r>
  <r>
    <n v="1547"/>
    <d v="2018-08-11T00:00:00"/>
    <x v="14"/>
    <s v="Male"/>
    <n v="163.30000000000001"/>
    <n v="71"/>
    <n v="5187"/>
    <n v="328.3"/>
    <n v="7.9"/>
    <n v="74"/>
    <x v="3"/>
    <n v="72"/>
    <n v="2.65"/>
    <n v="4"/>
    <x v="0"/>
  </r>
  <r>
    <n v="1919"/>
    <d v="2018-08-12T00:00:00"/>
    <x v="38"/>
    <s v="Female"/>
    <n v="185.6"/>
    <n v="85.9"/>
    <n v="4340"/>
    <n v="404.9"/>
    <n v="5.9"/>
    <n v="74"/>
    <x v="0"/>
    <n v="0"/>
    <n v="2.81"/>
    <n v="8"/>
    <x v="1"/>
  </r>
  <r>
    <n v="1222"/>
    <d v="2018-08-13T00:00:00"/>
    <x v="2"/>
    <s v="Female"/>
    <n v="164"/>
    <n v="45"/>
    <n v="7177"/>
    <n v="496.1"/>
    <n v="6.8"/>
    <n v="76"/>
    <x v="1"/>
    <n v="83"/>
    <n v="2.4700000000000002"/>
    <n v="9"/>
    <x v="0"/>
  </r>
  <r>
    <n v="1005"/>
    <d v="2018-08-14T00:00:00"/>
    <x v="30"/>
    <s v="Female"/>
    <n v="158.1"/>
    <n v="57.9"/>
    <n v="16941"/>
    <n v="900"/>
    <n v="7.1"/>
    <n v="62"/>
    <x v="0"/>
    <n v="0"/>
    <n v="3.03"/>
    <n v="7"/>
    <x v="0"/>
  </r>
  <r>
    <n v="1321"/>
    <d v="2018-08-15T00:00:00"/>
    <x v="11"/>
    <s v="Female"/>
    <n v="161.69999999999999"/>
    <n v="54.2"/>
    <n v="4435"/>
    <n v="381"/>
    <n v="6.8"/>
    <n v="82"/>
    <x v="3"/>
    <n v="88"/>
    <n v="3.63"/>
    <n v="3"/>
    <x v="2"/>
  </r>
  <r>
    <n v="1467"/>
    <d v="2018-08-16T00:00:00"/>
    <x v="3"/>
    <s v="Male"/>
    <n v="164.5"/>
    <n v="53.5"/>
    <n v="8300"/>
    <n v="553.29999999999995"/>
    <n v="6.6"/>
    <n v="65"/>
    <x v="0"/>
    <n v="0"/>
    <n v="0.77"/>
    <n v="10"/>
    <x v="0"/>
  </r>
  <r>
    <n v="1731"/>
    <d v="2018-08-17T00:00:00"/>
    <x v="22"/>
    <s v="Male"/>
    <n v="161.4"/>
    <n v="75.099999999999994"/>
    <n v="13669"/>
    <n v="769.8"/>
    <n v="8.8000000000000007"/>
    <n v="71"/>
    <x v="3"/>
    <n v="36"/>
    <n v="3.26"/>
    <n v="6"/>
    <x v="0"/>
  </r>
  <r>
    <n v="1074"/>
    <d v="2018-08-18T00:00:00"/>
    <x v="22"/>
    <s v="Female"/>
    <n v="178.5"/>
    <n v="78.8"/>
    <n v="1965"/>
    <n v="302.2"/>
    <n v="7.8"/>
    <n v="75"/>
    <x v="2"/>
    <n v="82"/>
    <n v="3.58"/>
    <n v="7"/>
    <x v="0"/>
  </r>
  <r>
    <n v="1003"/>
    <d v="2018-08-19T00:00:00"/>
    <x v="28"/>
    <s v="Male"/>
    <n v="150"/>
    <n v="86"/>
    <n v="8444"/>
    <n v="550"/>
    <n v="10"/>
    <n v="67"/>
    <x v="5"/>
    <n v="60"/>
    <n v="2.85"/>
    <n v="7"/>
    <x v="2"/>
  </r>
  <r>
    <n v="1846"/>
    <d v="2018-08-20T00:00:00"/>
    <x v="24"/>
    <s v="Male"/>
    <n v="161.19999999999999"/>
    <n v="79.099999999999994"/>
    <n v="11626"/>
    <n v="660.8"/>
    <n v="8.9"/>
    <n v="81"/>
    <x v="5"/>
    <n v="77"/>
    <n v="2.0299999999999998"/>
    <n v="8"/>
    <x v="0"/>
  </r>
  <r>
    <n v="1645"/>
    <d v="2018-08-21T00:00:00"/>
    <x v="37"/>
    <s v="Female"/>
    <n v="169.5"/>
    <n v="80.3"/>
    <n v="15610"/>
    <n v="820.4"/>
    <n v="7.2"/>
    <n v="70"/>
    <x v="0"/>
    <n v="0"/>
    <n v="1.69"/>
    <n v="10"/>
    <x v="1"/>
  </r>
  <r>
    <n v="1117"/>
    <d v="2018-08-22T00:00:00"/>
    <x v="6"/>
    <s v="Male"/>
    <n v="172.1"/>
    <n v="48.8"/>
    <n v="1500"/>
    <n v="271.5"/>
    <n v="9.1"/>
    <n v="86"/>
    <x v="3"/>
    <n v="57"/>
    <n v="4.1500000000000004"/>
    <n v="5"/>
    <x v="1"/>
  </r>
  <r>
    <n v="1880"/>
    <d v="2018-08-23T00:00:00"/>
    <x v="22"/>
    <s v="Male"/>
    <n v="186.9"/>
    <n v="92.3"/>
    <n v="5554"/>
    <n v="463.4"/>
    <n v="7.5"/>
    <n v="66"/>
    <x v="5"/>
    <n v="85"/>
    <n v="1.87"/>
    <n v="5"/>
    <x v="2"/>
  </r>
  <r>
    <n v="1605"/>
    <d v="2018-08-24T00:00:00"/>
    <x v="14"/>
    <s v="Male"/>
    <n v="185.5"/>
    <n v="66.900000000000006"/>
    <n v="17433"/>
    <n v="900"/>
    <n v="10"/>
    <n v="73"/>
    <x v="2"/>
    <n v="64"/>
    <n v="3.56"/>
    <n v="2"/>
    <x v="2"/>
  </r>
  <r>
    <n v="1503"/>
    <d v="2018-08-25T00:00:00"/>
    <x v="24"/>
    <s v="Female"/>
    <n v="154"/>
    <n v="85.5"/>
    <n v="18371"/>
    <n v="900"/>
    <n v="6.5"/>
    <n v="64"/>
    <x v="0"/>
    <n v="0"/>
    <n v="2.77"/>
    <n v="2"/>
    <x v="2"/>
  </r>
  <r>
    <n v="1997"/>
    <d v="2018-08-26T00:00:00"/>
    <x v="41"/>
    <s v="Male"/>
    <n v="150.9"/>
    <n v="49.4"/>
    <n v="14291"/>
    <n v="790.5"/>
    <n v="7.7"/>
    <n v="85"/>
    <x v="1"/>
    <n v="39"/>
    <n v="3.93"/>
    <n v="4"/>
    <x v="0"/>
  </r>
  <r>
    <n v="1946"/>
    <d v="2018-08-27T00:00:00"/>
    <x v="0"/>
    <s v="Female"/>
    <n v="170.2"/>
    <n v="66.400000000000006"/>
    <n v="7771"/>
    <n v="571.6"/>
    <n v="6.1"/>
    <n v="72"/>
    <x v="4"/>
    <n v="55"/>
    <n v="2.2799999999999998"/>
    <n v="7"/>
    <x v="2"/>
  </r>
  <r>
    <n v="1573"/>
    <d v="2018-08-28T00:00:00"/>
    <x v="37"/>
    <s v="Male"/>
    <n v="163.30000000000001"/>
    <n v="84.1"/>
    <n v="18499"/>
    <n v="900"/>
    <n v="6.4"/>
    <n v="69"/>
    <x v="5"/>
    <n v="61"/>
    <n v="1.37"/>
    <n v="8"/>
    <x v="1"/>
  </r>
  <r>
    <n v="1440"/>
    <d v="2018-08-29T00:00:00"/>
    <x v="0"/>
    <s v="Male"/>
    <n v="158.1"/>
    <n v="70.400000000000006"/>
    <n v="4932"/>
    <n v="344.3"/>
    <n v="6.5"/>
    <n v="73"/>
    <x v="3"/>
    <n v="41"/>
    <n v="2.5"/>
    <n v="3"/>
    <x v="1"/>
  </r>
  <r>
    <n v="1193"/>
    <d v="2018-08-30T00:00:00"/>
    <x v="31"/>
    <s v="Male"/>
    <n v="170.2"/>
    <n v="58.7"/>
    <n v="5434"/>
    <n v="380.7"/>
    <n v="8.9"/>
    <n v="74"/>
    <x v="5"/>
    <n v="79"/>
    <n v="1.46"/>
    <n v="1"/>
    <x v="0"/>
  </r>
  <r>
    <n v="1846"/>
    <d v="2018-08-31T00:00:00"/>
    <x v="14"/>
    <s v="Female"/>
    <n v="172.3"/>
    <n v="89.6"/>
    <n v="4567"/>
    <n v="474.1"/>
    <n v="7.3"/>
    <n v="79"/>
    <x v="3"/>
    <n v="30"/>
    <n v="4.37"/>
    <n v="4"/>
    <x v="0"/>
  </r>
  <r>
    <n v="1714"/>
    <d v="2018-09-01T00:00:00"/>
    <x v="7"/>
    <s v="Female"/>
    <n v="161.6"/>
    <n v="52.4"/>
    <n v="2658"/>
    <n v="270.60000000000002"/>
    <n v="3.3"/>
    <n v="80"/>
    <x v="0"/>
    <n v="0"/>
    <n v="2.94"/>
    <n v="6"/>
    <x v="0"/>
  </r>
  <r>
    <n v="1391"/>
    <d v="2018-09-02T00:00:00"/>
    <x v="36"/>
    <s v="Male"/>
    <n v="163.80000000000001"/>
    <n v="69.7"/>
    <n v="11068"/>
    <n v="671.2"/>
    <n v="7.1"/>
    <n v="73"/>
    <x v="0"/>
    <n v="0"/>
    <n v="3.04"/>
    <n v="6"/>
    <x v="0"/>
  </r>
  <r>
    <n v="1025"/>
    <d v="2018-09-03T00:00:00"/>
    <x v="9"/>
    <s v="Female"/>
    <n v="162.4"/>
    <n v="79.599999999999994"/>
    <n v="15161"/>
    <n v="757"/>
    <n v="5.5"/>
    <n v="75"/>
    <x v="4"/>
    <n v="41"/>
    <n v="3.05"/>
    <n v="9"/>
    <x v="1"/>
  </r>
  <r>
    <n v="1434"/>
    <d v="2018-09-04T00:00:00"/>
    <x v="10"/>
    <s v="Male"/>
    <n v="165.9"/>
    <n v="101.4"/>
    <n v="8944"/>
    <n v="622"/>
    <n v="6.3"/>
    <n v="50"/>
    <x v="5"/>
    <n v="82"/>
    <n v="2.0099999999999998"/>
    <n v="7"/>
    <x v="1"/>
  </r>
  <r>
    <n v="1172"/>
    <d v="2018-09-05T00:00:00"/>
    <x v="4"/>
    <s v="Female"/>
    <n v="175.4"/>
    <n v="63.1"/>
    <n v="6800"/>
    <n v="449"/>
    <n v="8.6999999999999993"/>
    <n v="70"/>
    <x v="4"/>
    <n v="50"/>
    <n v="2.41"/>
    <n v="9"/>
    <x v="2"/>
  </r>
  <r>
    <n v="1299"/>
    <d v="2018-09-06T00:00:00"/>
    <x v="12"/>
    <s v="Female"/>
    <n v="159.19999999999999"/>
    <n v="65.900000000000006"/>
    <n v="15408"/>
    <n v="820.5"/>
    <n v="5"/>
    <n v="89"/>
    <x v="3"/>
    <n v="30"/>
    <n v="2.58"/>
    <n v="10"/>
    <x v="0"/>
  </r>
  <r>
    <n v="1644"/>
    <d v="2018-09-07T00:00:00"/>
    <x v="18"/>
    <s v="Male"/>
    <n v="163.6"/>
    <n v="63.3"/>
    <n v="9017"/>
    <n v="549.29999999999995"/>
    <n v="5.2"/>
    <n v="79"/>
    <x v="2"/>
    <n v="55"/>
    <n v="3.86"/>
    <n v="5"/>
    <x v="1"/>
  </r>
  <r>
    <n v="1325"/>
    <d v="2018-09-08T00:00:00"/>
    <x v="24"/>
    <s v="Male"/>
    <n v="166"/>
    <n v="73.599999999999994"/>
    <n v="3815"/>
    <n v="377.8"/>
    <n v="4.5"/>
    <n v="64"/>
    <x v="2"/>
    <n v="54"/>
    <n v="1.69"/>
    <n v="5"/>
    <x v="1"/>
  </r>
  <r>
    <n v="1409"/>
    <d v="2018-09-09T00:00:00"/>
    <x v="12"/>
    <s v="Male"/>
    <n v="169.9"/>
    <n v="78.8"/>
    <n v="1970"/>
    <n v="287.39999999999998"/>
    <n v="6.4"/>
    <n v="71"/>
    <x v="1"/>
    <n v="42"/>
    <n v="1.99"/>
    <n v="5"/>
    <x v="2"/>
  </r>
  <r>
    <n v="1117"/>
    <d v="2018-09-10T00:00:00"/>
    <x v="10"/>
    <s v="Male"/>
    <n v="172.8"/>
    <n v="86.4"/>
    <n v="14285"/>
    <n v="816.9"/>
    <n v="4.5"/>
    <n v="69"/>
    <x v="3"/>
    <n v="48"/>
    <n v="2.25"/>
    <n v="5"/>
    <x v="1"/>
  </r>
  <r>
    <n v="1835"/>
    <d v="2018-09-11T00:00:00"/>
    <x v="12"/>
    <s v="Female"/>
    <n v="190.4"/>
    <n v="81.3"/>
    <n v="1207"/>
    <n v="281"/>
    <n v="4.5999999999999996"/>
    <n v="86"/>
    <x v="3"/>
    <n v="42"/>
    <n v="2.0299999999999998"/>
    <n v="4"/>
    <x v="1"/>
  </r>
  <r>
    <n v="1786"/>
    <d v="2018-09-12T00:00:00"/>
    <x v="3"/>
    <s v="Female"/>
    <n v="175.7"/>
    <n v="62.5"/>
    <n v="17643"/>
    <n v="900"/>
    <n v="6.7"/>
    <n v="85"/>
    <x v="3"/>
    <n v="35"/>
    <n v="1.48"/>
    <n v="6"/>
    <x v="0"/>
  </r>
  <r>
    <n v="1723"/>
    <d v="2018-09-13T00:00:00"/>
    <x v="23"/>
    <s v="Female"/>
    <n v="176"/>
    <n v="82.2"/>
    <n v="6025"/>
    <n v="473.6"/>
    <n v="7.5"/>
    <n v="67"/>
    <x v="0"/>
    <n v="0"/>
    <n v="0.61"/>
    <n v="1"/>
    <x v="2"/>
  </r>
  <r>
    <n v="1224"/>
    <d v="2018-09-14T00:00:00"/>
    <x v="8"/>
    <s v="Male"/>
    <n v="167.3"/>
    <n v="71.400000000000006"/>
    <n v="5358"/>
    <n v="449.3"/>
    <n v="5.6"/>
    <n v="75"/>
    <x v="0"/>
    <n v="0"/>
    <n v="1.22"/>
    <n v="2"/>
    <x v="0"/>
  </r>
  <r>
    <n v="1531"/>
    <d v="2018-09-15T00:00:00"/>
    <x v="38"/>
    <s v="Male"/>
    <n v="160.19999999999999"/>
    <n v="81.2"/>
    <n v="17888"/>
    <n v="895.6"/>
    <n v="7.5"/>
    <n v="64"/>
    <x v="2"/>
    <n v="69"/>
    <n v="3.27"/>
    <n v="9"/>
    <x v="0"/>
  </r>
  <r>
    <n v="1112"/>
    <d v="2018-09-16T00:00:00"/>
    <x v="29"/>
    <s v="Female"/>
    <n v="164.7"/>
    <n v="82"/>
    <n v="13490"/>
    <n v="715.9"/>
    <n v="7.2"/>
    <n v="69"/>
    <x v="2"/>
    <n v="62"/>
    <n v="2.4900000000000002"/>
    <n v="6"/>
    <x v="2"/>
  </r>
  <r>
    <n v="1139"/>
    <d v="2018-09-17T00:00:00"/>
    <x v="16"/>
    <s v="Male"/>
    <n v="162.9"/>
    <n v="94.5"/>
    <n v="2759"/>
    <n v="388"/>
    <n v="7.8"/>
    <n v="69"/>
    <x v="2"/>
    <n v="38"/>
    <n v="3.08"/>
    <n v="6"/>
    <x v="2"/>
  </r>
  <r>
    <n v="1558"/>
    <d v="2018-09-18T00:00:00"/>
    <x v="38"/>
    <s v="Female"/>
    <n v="173.9"/>
    <n v="64.7"/>
    <n v="15301"/>
    <n v="847.4"/>
    <n v="5.4"/>
    <n v="68"/>
    <x v="5"/>
    <n v="37"/>
    <n v="2.09"/>
    <n v="10"/>
    <x v="0"/>
  </r>
  <r>
    <n v="1000"/>
    <d v="2018-09-19T00:00:00"/>
    <x v="34"/>
    <s v="Female"/>
    <n v="153.5"/>
    <n v="61.8"/>
    <n v="15387"/>
    <n v="835.7"/>
    <n v="10"/>
    <n v="79"/>
    <x v="5"/>
    <n v="25"/>
    <n v="2.4300000000000002"/>
    <n v="4"/>
    <x v="0"/>
  </r>
  <r>
    <n v="1089"/>
    <d v="2018-09-20T00:00:00"/>
    <x v="5"/>
    <s v="Female"/>
    <n v="175.9"/>
    <n v="76.7"/>
    <n v="14667"/>
    <n v="746.6"/>
    <n v="5.3"/>
    <n v="88"/>
    <x v="2"/>
    <n v="54"/>
    <n v="3.63"/>
    <n v="5"/>
    <x v="0"/>
  </r>
  <r>
    <n v="1653"/>
    <d v="2018-09-21T00:00:00"/>
    <x v="2"/>
    <s v="Female"/>
    <n v="168.8"/>
    <n v="87.7"/>
    <n v="4794"/>
    <n v="302.3"/>
    <n v="6.1"/>
    <n v="74"/>
    <x v="4"/>
    <n v="33"/>
    <n v="3.59"/>
    <n v="9"/>
    <x v="0"/>
  </r>
  <r>
    <n v="1319"/>
    <d v="2018-09-22T00:00:00"/>
    <x v="16"/>
    <s v="Female"/>
    <n v="177.3"/>
    <n v="70.900000000000006"/>
    <n v="4590"/>
    <n v="369"/>
    <n v="7.8"/>
    <n v="64"/>
    <x v="5"/>
    <n v="83"/>
    <n v="3.16"/>
    <n v="2"/>
    <x v="2"/>
  </r>
  <r>
    <n v="1549"/>
    <d v="2018-09-23T00:00:00"/>
    <x v="7"/>
    <s v="Male"/>
    <n v="162.80000000000001"/>
    <n v="88.7"/>
    <n v="15698"/>
    <n v="805.3"/>
    <n v="7.2"/>
    <n v="77"/>
    <x v="0"/>
    <n v="0"/>
    <n v="2.64"/>
    <n v="3"/>
    <x v="1"/>
  </r>
  <r>
    <n v="1804"/>
    <d v="2018-09-24T00:00:00"/>
    <x v="0"/>
    <s v="Male"/>
    <n v="161"/>
    <n v="80.400000000000006"/>
    <n v="13332"/>
    <n v="717.8"/>
    <n v="8.3000000000000007"/>
    <n v="77"/>
    <x v="5"/>
    <n v="54"/>
    <n v="2.86"/>
    <n v="10"/>
    <x v="2"/>
  </r>
  <r>
    <n v="1893"/>
    <d v="2018-09-25T00:00:00"/>
    <x v="13"/>
    <s v="Male"/>
    <n v="165.9"/>
    <n v="67"/>
    <n v="7970"/>
    <n v="561.4"/>
    <n v="6.5"/>
    <n v="73"/>
    <x v="5"/>
    <n v="21"/>
    <n v="2.76"/>
    <n v="8"/>
    <x v="1"/>
  </r>
  <r>
    <n v="1138"/>
    <d v="2018-09-26T00:00:00"/>
    <x v="36"/>
    <s v="Female"/>
    <n v="165.7"/>
    <n v="78.5"/>
    <n v="10593"/>
    <n v="700.1"/>
    <n v="5.2"/>
    <n v="94"/>
    <x v="5"/>
    <n v="25"/>
    <n v="2.38"/>
    <n v="9"/>
    <x v="2"/>
  </r>
  <r>
    <n v="1510"/>
    <d v="2018-09-27T00:00:00"/>
    <x v="7"/>
    <s v="Female"/>
    <n v="178.1"/>
    <n v="63.5"/>
    <n v="4329"/>
    <n v="428.6"/>
    <n v="4.7"/>
    <n v="77"/>
    <x v="1"/>
    <n v="44"/>
    <n v="2.2200000000000002"/>
    <n v="5"/>
    <x v="0"/>
  </r>
  <r>
    <n v="1867"/>
    <d v="2018-09-28T00:00:00"/>
    <x v="27"/>
    <s v="Female"/>
    <n v="178"/>
    <n v="73.599999999999994"/>
    <n v="12036"/>
    <n v="651.20000000000005"/>
    <n v="9.6999999999999993"/>
    <n v="81"/>
    <x v="5"/>
    <n v="69"/>
    <n v="3.29"/>
    <n v="3"/>
    <x v="1"/>
  </r>
  <r>
    <n v="1844"/>
    <d v="2018-09-29T00:00:00"/>
    <x v="29"/>
    <s v="Female"/>
    <n v="189.1"/>
    <n v="53.9"/>
    <n v="15372"/>
    <n v="841.8"/>
    <n v="6.5"/>
    <n v="53"/>
    <x v="4"/>
    <n v="26"/>
    <n v="1.59"/>
    <n v="1"/>
    <x v="2"/>
  </r>
  <r>
    <n v="1258"/>
    <d v="2018-09-30T00:00:00"/>
    <x v="21"/>
    <s v="Male"/>
    <n v="165"/>
    <n v="69"/>
    <n v="3092"/>
    <n v="299.3"/>
    <n v="6.7"/>
    <n v="65"/>
    <x v="1"/>
    <n v="82"/>
    <n v="3.54"/>
    <n v="2"/>
    <x v="2"/>
  </r>
  <r>
    <n v="1672"/>
    <d v="2018-10-01T00:00:00"/>
    <x v="40"/>
    <s v="Male"/>
    <n v="150"/>
    <n v="85"/>
    <n v="19059"/>
    <n v="870.3"/>
    <n v="9.6999999999999993"/>
    <n v="80"/>
    <x v="0"/>
    <n v="0"/>
    <n v="2.31"/>
    <n v="4"/>
    <x v="2"/>
  </r>
  <r>
    <n v="1901"/>
    <d v="2018-10-02T00:00:00"/>
    <x v="36"/>
    <s v="Female"/>
    <n v="165.9"/>
    <n v="81.5"/>
    <n v="1287"/>
    <n v="247.7"/>
    <n v="6.3"/>
    <n v="78"/>
    <x v="0"/>
    <n v="0"/>
    <n v="1.58"/>
    <n v="4"/>
    <x v="0"/>
  </r>
  <r>
    <n v="1689"/>
    <d v="2018-10-03T00:00:00"/>
    <x v="14"/>
    <s v="Female"/>
    <n v="172.3"/>
    <n v="79.3"/>
    <n v="18169"/>
    <n v="900"/>
    <n v="7"/>
    <n v="71"/>
    <x v="5"/>
    <n v="84"/>
    <n v="2.12"/>
    <n v="5"/>
    <x v="2"/>
  </r>
  <r>
    <n v="1009"/>
    <d v="2018-10-04T00:00:00"/>
    <x v="41"/>
    <s v="Female"/>
    <n v="177.1"/>
    <n v="74.3"/>
    <n v="3316"/>
    <n v="315.89999999999998"/>
    <n v="5.5"/>
    <n v="80"/>
    <x v="3"/>
    <n v="78"/>
    <n v="1.89"/>
    <n v="9"/>
    <x v="2"/>
  </r>
  <r>
    <n v="1260"/>
    <d v="2018-10-05T00:00:00"/>
    <x v="20"/>
    <s v="Male"/>
    <n v="173"/>
    <n v="72.400000000000006"/>
    <n v="17259"/>
    <n v="900"/>
    <n v="5"/>
    <n v="84"/>
    <x v="1"/>
    <n v="43"/>
    <n v="2.1"/>
    <n v="2"/>
    <x v="0"/>
  </r>
  <r>
    <n v="1918"/>
    <d v="2018-10-06T00:00:00"/>
    <x v="24"/>
    <s v="Male"/>
    <n v="165"/>
    <n v="51"/>
    <n v="3838"/>
    <n v="320.2"/>
    <n v="9.8000000000000007"/>
    <n v="70"/>
    <x v="0"/>
    <n v="0"/>
    <n v="2.08"/>
    <n v="2"/>
    <x v="1"/>
  </r>
  <r>
    <n v="1649"/>
    <d v="2018-10-07T00:00:00"/>
    <x v="38"/>
    <s v="Male"/>
    <n v="187.1"/>
    <n v="66.900000000000006"/>
    <n v="12829"/>
    <n v="747.6"/>
    <n v="9.9"/>
    <n v="69"/>
    <x v="5"/>
    <n v="57"/>
    <n v="2.06"/>
    <n v="5"/>
    <x v="1"/>
  </r>
  <r>
    <n v="1171"/>
    <d v="2018-10-08T00:00:00"/>
    <x v="8"/>
    <s v="Female"/>
    <n v="159.69999999999999"/>
    <n v="72.7"/>
    <n v="9137"/>
    <n v="553.29999999999995"/>
    <n v="8.5"/>
    <n v="72"/>
    <x v="4"/>
    <n v="81"/>
    <n v="2.2799999999999998"/>
    <n v="2"/>
    <x v="0"/>
  </r>
  <r>
    <n v="1897"/>
    <d v="2018-10-09T00:00:00"/>
    <x v="13"/>
    <s v="Female"/>
    <n v="167.3"/>
    <n v="53.1"/>
    <n v="2265"/>
    <n v="366.8"/>
    <n v="8.5"/>
    <n v="80"/>
    <x v="2"/>
    <n v="84"/>
    <n v="2.4500000000000002"/>
    <n v="10"/>
    <x v="1"/>
  </r>
  <r>
    <n v="1012"/>
    <d v="2018-10-10T00:00:00"/>
    <x v="3"/>
    <s v="Male"/>
    <n v="159.19999999999999"/>
    <n v="45"/>
    <n v="3983"/>
    <n v="343.7"/>
    <n v="8.1"/>
    <n v="69"/>
    <x v="0"/>
    <n v="0"/>
    <n v="3.03"/>
    <n v="5"/>
    <x v="2"/>
  </r>
  <r>
    <n v="1167"/>
    <d v="2018-10-11T00:00:00"/>
    <x v="32"/>
    <s v="Female"/>
    <n v="170.2"/>
    <n v="86.9"/>
    <n v="15689"/>
    <n v="800.4"/>
    <n v="5.9"/>
    <n v="84"/>
    <x v="5"/>
    <n v="71"/>
    <n v="2.33"/>
    <n v="5"/>
    <x v="2"/>
  </r>
  <r>
    <n v="1641"/>
    <d v="2018-10-12T00:00:00"/>
    <x v="7"/>
    <s v="Male"/>
    <n v="185.9"/>
    <n v="70.8"/>
    <n v="15107"/>
    <n v="877.9"/>
    <n v="7.4"/>
    <n v="70"/>
    <x v="3"/>
    <n v="82"/>
    <n v="2.73"/>
    <n v="7"/>
    <x v="1"/>
  </r>
  <r>
    <n v="1595"/>
    <d v="2018-10-13T00:00:00"/>
    <x v="25"/>
    <s v="Female"/>
    <n v="168.6"/>
    <n v="73.099999999999994"/>
    <n v="9143"/>
    <n v="536.9"/>
    <n v="6.2"/>
    <n v="69"/>
    <x v="4"/>
    <n v="30"/>
    <n v="2.5099999999999998"/>
    <n v="4"/>
    <x v="1"/>
  </r>
  <r>
    <n v="1320"/>
    <d v="2018-10-14T00:00:00"/>
    <x v="16"/>
    <s v="Male"/>
    <n v="168.7"/>
    <n v="78.3"/>
    <n v="9030"/>
    <n v="571.79999999999995"/>
    <n v="3.1"/>
    <n v="98"/>
    <x v="0"/>
    <n v="0"/>
    <n v="2.88"/>
    <n v="2"/>
    <x v="1"/>
  </r>
  <r>
    <n v="1318"/>
    <d v="2018-10-15T00:00:00"/>
    <x v="23"/>
    <s v="Female"/>
    <n v="153"/>
    <n v="55.3"/>
    <n v="14122"/>
    <n v="736.4"/>
    <n v="8.6999999999999993"/>
    <n v="63"/>
    <x v="1"/>
    <n v="73"/>
    <n v="2.5299999999999998"/>
    <n v="8"/>
    <x v="0"/>
  </r>
  <r>
    <n v="1612"/>
    <d v="2018-10-16T00:00:00"/>
    <x v="1"/>
    <s v="Male"/>
    <n v="167.1"/>
    <n v="63.9"/>
    <n v="11652"/>
    <n v="712.3"/>
    <n v="7.8"/>
    <n v="83"/>
    <x v="4"/>
    <n v="69"/>
    <n v="2.0499999999999998"/>
    <n v="1"/>
    <x v="1"/>
  </r>
  <r>
    <n v="1328"/>
    <d v="2018-10-17T00:00:00"/>
    <x v="12"/>
    <s v="Male"/>
    <n v="181.5"/>
    <n v="92.6"/>
    <n v="1611"/>
    <n v="329.3"/>
    <n v="5"/>
    <n v="57"/>
    <x v="5"/>
    <n v="57"/>
    <n v="1.86"/>
    <n v="10"/>
    <x v="0"/>
  </r>
  <r>
    <n v="1784"/>
    <d v="2018-10-18T00:00:00"/>
    <x v="15"/>
    <s v="Male"/>
    <n v="167.5"/>
    <n v="62.7"/>
    <n v="4523"/>
    <n v="347.2"/>
    <n v="6.5"/>
    <n v="82"/>
    <x v="0"/>
    <n v="0"/>
    <n v="2.65"/>
    <n v="1"/>
    <x v="1"/>
  </r>
  <r>
    <n v="1776"/>
    <d v="2018-10-19T00:00:00"/>
    <x v="36"/>
    <s v="Male"/>
    <n v="166.8"/>
    <n v="66"/>
    <n v="6424"/>
    <n v="484.3"/>
    <n v="8.6"/>
    <n v="102"/>
    <x v="0"/>
    <n v="0"/>
    <n v="3.39"/>
    <n v="7"/>
    <x v="0"/>
  </r>
  <r>
    <n v="1970"/>
    <d v="2018-10-20T00:00:00"/>
    <x v="27"/>
    <s v="Male"/>
    <n v="181.1"/>
    <n v="60"/>
    <n v="10939"/>
    <n v="669.5"/>
    <n v="7.2"/>
    <n v="86"/>
    <x v="3"/>
    <n v="87"/>
    <n v="2.34"/>
    <n v="4"/>
    <x v="0"/>
  </r>
  <r>
    <n v="1910"/>
    <d v="2018-10-21T00:00:00"/>
    <x v="20"/>
    <s v="Male"/>
    <n v="166.9"/>
    <n v="58.9"/>
    <n v="2628"/>
    <n v="311.39999999999998"/>
    <n v="4.5"/>
    <n v="88"/>
    <x v="0"/>
    <n v="0"/>
    <n v="2.0099999999999998"/>
    <n v="3"/>
    <x v="2"/>
  </r>
  <r>
    <n v="1919"/>
    <d v="2018-10-22T00:00:00"/>
    <x v="15"/>
    <s v="Female"/>
    <n v="182.9"/>
    <n v="86.6"/>
    <n v="14176"/>
    <n v="843.3"/>
    <n v="5.2"/>
    <n v="74"/>
    <x v="4"/>
    <n v="25"/>
    <n v="2.3199999999999998"/>
    <n v="1"/>
    <x v="1"/>
  </r>
  <r>
    <n v="1549"/>
    <d v="2018-10-23T00:00:00"/>
    <x v="38"/>
    <s v="Female"/>
    <n v="157.19999999999999"/>
    <n v="45"/>
    <n v="8907"/>
    <n v="632.20000000000005"/>
    <n v="9.8000000000000007"/>
    <n v="84"/>
    <x v="0"/>
    <n v="0"/>
    <n v="2.11"/>
    <n v="8"/>
    <x v="2"/>
  </r>
  <r>
    <n v="1418"/>
    <d v="2018-10-24T00:00:00"/>
    <x v="19"/>
    <s v="Female"/>
    <n v="176.8"/>
    <n v="63.1"/>
    <n v="4372"/>
    <n v="332.2"/>
    <n v="7.1"/>
    <n v="77"/>
    <x v="4"/>
    <n v="57"/>
    <n v="2.0299999999999998"/>
    <n v="8"/>
    <x v="2"/>
  </r>
  <r>
    <n v="1605"/>
    <d v="2018-10-25T00:00:00"/>
    <x v="11"/>
    <s v="Male"/>
    <n v="186.5"/>
    <n v="73.400000000000006"/>
    <n v="14102"/>
    <n v="824.5"/>
    <n v="8.6"/>
    <n v="95"/>
    <x v="2"/>
    <n v="76"/>
    <n v="1.49"/>
    <n v="4"/>
    <x v="0"/>
  </r>
  <r>
    <n v="1094"/>
    <d v="2018-10-26T00:00:00"/>
    <x v="4"/>
    <s v="Male"/>
    <n v="180.1"/>
    <n v="95.5"/>
    <n v="10789"/>
    <n v="656.9"/>
    <n v="9.8000000000000007"/>
    <n v="64"/>
    <x v="2"/>
    <n v="83"/>
    <n v="2.33"/>
    <n v="2"/>
    <x v="0"/>
  </r>
  <r>
    <n v="1816"/>
    <d v="2018-10-27T00:00:00"/>
    <x v="14"/>
    <s v="Female"/>
    <n v="151.30000000000001"/>
    <n v="53"/>
    <n v="4139"/>
    <n v="377.8"/>
    <n v="6.3"/>
    <n v="87"/>
    <x v="5"/>
    <n v="73"/>
    <n v="2.67"/>
    <n v="4"/>
    <x v="0"/>
  </r>
  <r>
    <n v="1580"/>
    <d v="2018-10-28T00:00:00"/>
    <x v="29"/>
    <s v="Male"/>
    <n v="163.6"/>
    <n v="50.4"/>
    <n v="12643"/>
    <n v="694.1"/>
    <n v="7.5"/>
    <n v="79"/>
    <x v="1"/>
    <n v="33"/>
    <n v="1.74"/>
    <n v="7"/>
    <x v="0"/>
  </r>
  <r>
    <n v="1317"/>
    <d v="2018-10-29T00:00:00"/>
    <x v="41"/>
    <s v="Male"/>
    <n v="167.6"/>
    <n v="57.1"/>
    <n v="19643"/>
    <n v="900"/>
    <n v="4.0999999999999996"/>
    <n v="66"/>
    <x v="1"/>
    <n v="83"/>
    <n v="1.89"/>
    <n v="4"/>
    <x v="2"/>
  </r>
  <r>
    <n v="1955"/>
    <d v="2018-10-30T00:00:00"/>
    <x v="36"/>
    <s v="Male"/>
    <n v="180.1"/>
    <n v="80.5"/>
    <n v="3250"/>
    <n v="344.2"/>
    <n v="6.1"/>
    <n v="72"/>
    <x v="3"/>
    <n v="69"/>
    <n v="1.84"/>
    <n v="3"/>
    <x v="0"/>
  </r>
  <r>
    <n v="1235"/>
    <d v="2018-10-31T00:00:00"/>
    <x v="39"/>
    <s v="Male"/>
    <n v="156.69999999999999"/>
    <n v="71.900000000000006"/>
    <n v="7121"/>
    <n v="500.2"/>
    <n v="7.9"/>
    <n v="59"/>
    <x v="5"/>
    <n v="66"/>
    <n v="1.53"/>
    <n v="10"/>
    <x v="2"/>
  </r>
  <r>
    <n v="1945"/>
    <d v="2018-11-01T00:00:00"/>
    <x v="3"/>
    <s v="Male"/>
    <n v="159.80000000000001"/>
    <n v="48.4"/>
    <n v="9181"/>
    <n v="667"/>
    <n v="6.7"/>
    <n v="50"/>
    <x v="1"/>
    <n v="73"/>
    <n v="1.83"/>
    <n v="1"/>
    <x v="2"/>
  </r>
  <r>
    <n v="1333"/>
    <d v="2018-11-02T00:00:00"/>
    <x v="20"/>
    <s v="Female"/>
    <n v="153.9"/>
    <n v="71.5"/>
    <n v="16303"/>
    <n v="818.4"/>
    <n v="7.7"/>
    <n v="63"/>
    <x v="0"/>
    <n v="0"/>
    <n v="2.36"/>
    <n v="9"/>
    <x v="1"/>
  </r>
  <r>
    <n v="1884"/>
    <d v="2018-11-03T00:00:00"/>
    <x v="25"/>
    <s v="Female"/>
    <n v="161.69999999999999"/>
    <n v="93.3"/>
    <n v="17667"/>
    <n v="826.3"/>
    <n v="8.4"/>
    <n v="71"/>
    <x v="4"/>
    <n v="58"/>
    <n v="1.56"/>
    <n v="5"/>
    <x v="1"/>
  </r>
  <r>
    <n v="1375"/>
    <d v="2018-11-04T00:00:00"/>
    <x v="15"/>
    <s v="Female"/>
    <n v="157.5"/>
    <n v="74"/>
    <n v="6725"/>
    <n v="410"/>
    <n v="7.8"/>
    <n v="76"/>
    <x v="5"/>
    <n v="84"/>
    <n v="2.4"/>
    <n v="2"/>
    <x v="0"/>
  </r>
  <r>
    <n v="1458"/>
    <d v="2018-11-05T00:00:00"/>
    <x v="34"/>
    <s v="Female"/>
    <n v="186"/>
    <n v="72.5"/>
    <n v="16584"/>
    <n v="900"/>
    <n v="7.5"/>
    <n v="62"/>
    <x v="4"/>
    <n v="79"/>
    <n v="2.0099999999999998"/>
    <n v="6"/>
    <x v="2"/>
  </r>
  <r>
    <n v="1136"/>
    <d v="2018-11-06T00:00:00"/>
    <x v="17"/>
    <s v="Female"/>
    <n v="163.5"/>
    <n v="73.400000000000006"/>
    <n v="14219"/>
    <n v="746.4"/>
    <n v="7.3"/>
    <n v="72"/>
    <x v="3"/>
    <n v="52"/>
    <n v="1.85"/>
    <n v="2"/>
    <x v="2"/>
  </r>
  <r>
    <n v="1929"/>
    <d v="2018-11-07T00:00:00"/>
    <x v="3"/>
    <s v="Male"/>
    <n v="176.9"/>
    <n v="76.2"/>
    <n v="9794"/>
    <n v="660"/>
    <n v="6.1"/>
    <n v="77"/>
    <x v="0"/>
    <n v="0"/>
    <n v="2.76"/>
    <n v="6"/>
    <x v="2"/>
  </r>
  <r>
    <n v="1587"/>
    <d v="2018-11-08T00:00:00"/>
    <x v="16"/>
    <s v="Male"/>
    <n v="170.2"/>
    <n v="51"/>
    <n v="15112"/>
    <n v="804.8"/>
    <n v="5.6"/>
    <n v="69"/>
    <x v="5"/>
    <n v="55"/>
    <n v="2.0499999999999998"/>
    <n v="9"/>
    <x v="1"/>
  </r>
  <r>
    <n v="1994"/>
    <d v="2018-11-09T00:00:00"/>
    <x v="4"/>
    <s v="Male"/>
    <n v="170"/>
    <n v="66.5"/>
    <n v="12544"/>
    <n v="653"/>
    <n v="9"/>
    <n v="64"/>
    <x v="0"/>
    <n v="0"/>
    <n v="2.17"/>
    <n v="2"/>
    <x v="2"/>
  </r>
  <r>
    <n v="1546"/>
    <d v="2018-11-10T00:00:00"/>
    <x v="13"/>
    <s v="Male"/>
    <n v="164.1"/>
    <n v="67.3"/>
    <n v="5075"/>
    <n v="503.1"/>
    <n v="8.1999999999999993"/>
    <n v="68"/>
    <x v="0"/>
    <n v="0"/>
    <n v="3.41"/>
    <n v="1"/>
    <x v="2"/>
  </r>
  <r>
    <n v="1512"/>
    <d v="2018-11-11T00:00:00"/>
    <x v="8"/>
    <s v="Female"/>
    <n v="177.7"/>
    <n v="62.7"/>
    <n v="13778"/>
    <n v="817"/>
    <n v="5.8"/>
    <n v="88"/>
    <x v="0"/>
    <n v="0"/>
    <n v="1.86"/>
    <n v="7"/>
    <x v="2"/>
  </r>
  <r>
    <n v="1295"/>
    <d v="2018-11-12T00:00:00"/>
    <x v="9"/>
    <s v="Female"/>
    <n v="171.5"/>
    <n v="80.3"/>
    <n v="7162"/>
    <n v="477.5"/>
    <n v="7.1"/>
    <n v="58"/>
    <x v="3"/>
    <n v="66"/>
    <n v="3.6"/>
    <n v="8"/>
    <x v="1"/>
  </r>
  <r>
    <n v="1319"/>
    <d v="2018-11-13T00:00:00"/>
    <x v="36"/>
    <s v="Female"/>
    <n v="171"/>
    <n v="60.5"/>
    <n v="8636"/>
    <n v="595.29999999999995"/>
    <n v="4.9000000000000004"/>
    <n v="87"/>
    <x v="2"/>
    <n v="88"/>
    <n v="2.2599999999999998"/>
    <n v="2"/>
    <x v="0"/>
  </r>
  <r>
    <n v="1917"/>
    <d v="2018-11-14T00:00:00"/>
    <x v="25"/>
    <s v="Male"/>
    <n v="164.1"/>
    <n v="64.599999999999994"/>
    <n v="9002"/>
    <n v="566.20000000000005"/>
    <n v="6.3"/>
    <n v="89"/>
    <x v="3"/>
    <n v="33"/>
    <n v="1.7"/>
    <n v="4"/>
    <x v="0"/>
  </r>
  <r>
    <n v="1571"/>
    <d v="2018-11-15T00:00:00"/>
    <x v="27"/>
    <s v="Female"/>
    <n v="165.7"/>
    <n v="51.1"/>
    <n v="14453"/>
    <n v="800"/>
    <n v="7.8"/>
    <n v="71"/>
    <x v="0"/>
    <n v="0"/>
    <n v="2.11"/>
    <n v="8"/>
    <x v="0"/>
  </r>
  <r>
    <n v="1831"/>
    <d v="2018-11-16T00:00:00"/>
    <x v="28"/>
    <s v="Male"/>
    <n v="175.9"/>
    <n v="75.7"/>
    <n v="15633"/>
    <n v="900"/>
    <n v="7.4"/>
    <n v="80"/>
    <x v="2"/>
    <n v="71"/>
    <n v="2.5499999999999998"/>
    <n v="4"/>
    <x v="1"/>
  </r>
  <r>
    <n v="1348"/>
    <d v="2018-11-17T00:00:00"/>
    <x v="4"/>
    <s v="Female"/>
    <n v="172.3"/>
    <n v="84.1"/>
    <n v="18877"/>
    <n v="879.1"/>
    <n v="7.2"/>
    <n v="67"/>
    <x v="5"/>
    <n v="69"/>
    <n v="3.38"/>
    <n v="9"/>
    <x v="1"/>
  </r>
  <r>
    <n v="1839"/>
    <d v="2018-11-18T00:00:00"/>
    <x v="13"/>
    <s v="Female"/>
    <n v="171.2"/>
    <n v="64.599999999999994"/>
    <n v="13992"/>
    <n v="741.7"/>
    <n v="5.7"/>
    <n v="78"/>
    <x v="4"/>
    <n v="84"/>
    <n v="3.06"/>
    <n v="1"/>
    <x v="0"/>
  </r>
  <r>
    <n v="1778"/>
    <d v="2018-11-19T00:00:00"/>
    <x v="27"/>
    <s v="Male"/>
    <n v="162.5"/>
    <n v="82.1"/>
    <n v="13126"/>
    <n v="726.5"/>
    <n v="5.4"/>
    <n v="97"/>
    <x v="4"/>
    <n v="83"/>
    <n v="2.54"/>
    <n v="10"/>
    <x v="0"/>
  </r>
  <r>
    <n v="1872"/>
    <d v="2018-11-20T00:00:00"/>
    <x v="2"/>
    <s v="Male"/>
    <n v="189.4"/>
    <n v="67.8"/>
    <n v="14090"/>
    <n v="780.3"/>
    <n v="8.4"/>
    <n v="88"/>
    <x v="4"/>
    <n v="42"/>
    <n v="3.38"/>
    <n v="7"/>
    <x v="1"/>
  </r>
  <r>
    <n v="1228"/>
    <d v="2018-11-21T00:00:00"/>
    <x v="3"/>
    <s v="Female"/>
    <n v="165.2"/>
    <n v="45"/>
    <n v="17756"/>
    <n v="847.8"/>
    <n v="9.5"/>
    <n v="70"/>
    <x v="3"/>
    <n v="89"/>
    <n v="1.18"/>
    <n v="3"/>
    <x v="0"/>
  </r>
  <r>
    <n v="1269"/>
    <d v="2018-11-22T00:00:00"/>
    <x v="3"/>
    <s v="Female"/>
    <n v="169.7"/>
    <n v="69.2"/>
    <n v="8071"/>
    <n v="568.70000000000005"/>
    <n v="7.8"/>
    <n v="62"/>
    <x v="5"/>
    <n v="78"/>
    <n v="2.67"/>
    <n v="10"/>
    <x v="2"/>
  </r>
  <r>
    <n v="1827"/>
    <d v="2018-11-23T00:00:00"/>
    <x v="14"/>
    <s v="Male"/>
    <n v="168.1"/>
    <n v="67.400000000000006"/>
    <n v="14749"/>
    <n v="732.3"/>
    <n v="6.7"/>
    <n v="72"/>
    <x v="5"/>
    <n v="73"/>
    <n v="2.72"/>
    <n v="3"/>
    <x v="1"/>
  </r>
  <r>
    <n v="1797"/>
    <d v="2018-11-24T00:00:00"/>
    <x v="4"/>
    <s v="Female"/>
    <n v="189.5"/>
    <n v="71.5"/>
    <n v="12983"/>
    <n v="656.8"/>
    <n v="8.8000000000000007"/>
    <n v="78"/>
    <x v="2"/>
    <n v="45"/>
    <n v="2.73"/>
    <n v="7"/>
    <x v="0"/>
  </r>
  <r>
    <n v="1290"/>
    <d v="2018-11-25T00:00:00"/>
    <x v="19"/>
    <s v="Female"/>
    <n v="167.1"/>
    <n v="73.8"/>
    <n v="7586"/>
    <n v="490.9"/>
    <n v="5.7"/>
    <n v="82"/>
    <x v="5"/>
    <n v="63"/>
    <n v="1.37"/>
    <n v="6"/>
    <x v="0"/>
  </r>
  <r>
    <n v="1724"/>
    <d v="2018-11-26T00:00:00"/>
    <x v="38"/>
    <s v="Male"/>
    <n v="166.2"/>
    <n v="59.7"/>
    <n v="11641"/>
    <n v="760.4"/>
    <n v="8.6"/>
    <n v="74"/>
    <x v="4"/>
    <n v="32"/>
    <n v="1.79"/>
    <n v="3"/>
    <x v="1"/>
  </r>
  <r>
    <n v="1164"/>
    <d v="2018-11-27T00:00:00"/>
    <x v="16"/>
    <s v="Female"/>
    <n v="171.2"/>
    <n v="92.1"/>
    <n v="4967"/>
    <n v="525.79999999999995"/>
    <n v="6.1"/>
    <n v="93"/>
    <x v="5"/>
    <n v="73"/>
    <n v="2.38"/>
    <n v="2"/>
    <x v="1"/>
  </r>
  <r>
    <n v="1004"/>
    <d v="2018-11-28T00:00:00"/>
    <x v="30"/>
    <s v="Male"/>
    <n v="163.1"/>
    <n v="69"/>
    <n v="1822"/>
    <n v="297.3"/>
    <n v="6.2"/>
    <n v="75"/>
    <x v="2"/>
    <n v="59"/>
    <n v="3.28"/>
    <n v="6"/>
    <x v="2"/>
  </r>
  <r>
    <n v="1850"/>
    <d v="2018-11-29T00:00:00"/>
    <x v="10"/>
    <s v="Female"/>
    <n v="171.1"/>
    <n v="67"/>
    <n v="1221"/>
    <n v="236.9"/>
    <n v="6.5"/>
    <n v="70"/>
    <x v="5"/>
    <n v="23"/>
    <n v="3.84"/>
    <n v="10"/>
    <x v="1"/>
  </r>
  <r>
    <n v="1378"/>
    <d v="2018-11-30T00:00:00"/>
    <x v="35"/>
    <s v="Male"/>
    <n v="193.7"/>
    <n v="81.2"/>
    <n v="7880"/>
    <n v="523"/>
    <n v="6.8"/>
    <n v="80"/>
    <x v="5"/>
    <n v="72"/>
    <n v="2.0299999999999998"/>
    <n v="7"/>
    <x v="1"/>
  </r>
  <r>
    <n v="1077"/>
    <d v="2018-12-01T00:00:00"/>
    <x v="27"/>
    <s v="Female"/>
    <n v="173"/>
    <n v="70.3"/>
    <n v="13129"/>
    <n v="741.9"/>
    <n v="8.4"/>
    <n v="82"/>
    <x v="4"/>
    <n v="20"/>
    <n v="1.58"/>
    <n v="9"/>
    <x v="2"/>
  </r>
  <r>
    <n v="1409"/>
    <d v="2018-12-02T00:00:00"/>
    <x v="25"/>
    <s v="Male"/>
    <n v="172.6"/>
    <n v="108.5"/>
    <n v="16543"/>
    <n v="900"/>
    <n v="5"/>
    <n v="67"/>
    <x v="5"/>
    <n v="25"/>
    <n v="3.07"/>
    <n v="9"/>
    <x v="0"/>
  </r>
  <r>
    <n v="1573"/>
    <d v="2018-12-03T00:00:00"/>
    <x v="39"/>
    <s v="Female"/>
    <n v="162.80000000000001"/>
    <n v="66.900000000000006"/>
    <n v="4888"/>
    <n v="334.6"/>
    <n v="6.1"/>
    <n v="66"/>
    <x v="3"/>
    <n v="74"/>
    <n v="4.33"/>
    <n v="9"/>
    <x v="1"/>
  </r>
  <r>
    <n v="1131"/>
    <d v="2018-12-04T00:00:00"/>
    <x v="8"/>
    <s v="Male"/>
    <n v="187.1"/>
    <n v="75.3"/>
    <n v="14499"/>
    <n v="839.7"/>
    <n v="7.3"/>
    <n v="59"/>
    <x v="2"/>
    <n v="85"/>
    <n v="3.27"/>
    <n v="10"/>
    <x v="0"/>
  </r>
  <r>
    <n v="1600"/>
    <d v="2018-12-05T00:00:00"/>
    <x v="24"/>
    <s v="Female"/>
    <n v="189.4"/>
    <n v="58.8"/>
    <n v="11352"/>
    <n v="582.70000000000005"/>
    <n v="7.8"/>
    <n v="72"/>
    <x v="2"/>
    <n v="37"/>
    <n v="1.98"/>
    <n v="1"/>
    <x v="2"/>
  </r>
  <r>
    <n v="1748"/>
    <d v="2018-12-06T00:00:00"/>
    <x v="25"/>
    <s v="Female"/>
    <n v="178.5"/>
    <n v="83.1"/>
    <n v="11117"/>
    <n v="620.6"/>
    <n v="4.4000000000000004"/>
    <n v="87"/>
    <x v="2"/>
    <n v="48"/>
    <n v="4.5"/>
    <n v="4"/>
    <x v="1"/>
  </r>
  <r>
    <n v="1041"/>
    <d v="2018-12-07T00:00:00"/>
    <x v="26"/>
    <s v="Female"/>
    <n v="176.5"/>
    <n v="74.599999999999994"/>
    <n v="13772"/>
    <n v="750.8"/>
    <n v="5.8"/>
    <n v="82"/>
    <x v="5"/>
    <n v="72"/>
    <n v="2.98"/>
    <n v="4"/>
    <x v="2"/>
  </r>
  <r>
    <n v="1088"/>
    <d v="2018-12-08T00:00:00"/>
    <x v="35"/>
    <s v="Female"/>
    <n v="167.7"/>
    <n v="64.900000000000006"/>
    <n v="4993"/>
    <n v="420.3"/>
    <n v="4.4000000000000004"/>
    <n v="86"/>
    <x v="3"/>
    <n v="52"/>
    <n v="1.95"/>
    <n v="10"/>
    <x v="0"/>
  </r>
  <r>
    <n v="1401"/>
    <d v="2018-12-09T00:00:00"/>
    <x v="12"/>
    <s v="Female"/>
    <n v="173.9"/>
    <n v="56.9"/>
    <n v="19982"/>
    <n v="900"/>
    <n v="6"/>
    <n v="68"/>
    <x v="0"/>
    <n v="0"/>
    <n v="3.85"/>
    <n v="8"/>
    <x v="2"/>
  </r>
  <r>
    <n v="1295"/>
    <d v="2018-12-10T00:00:00"/>
    <x v="2"/>
    <s v="Female"/>
    <n v="161.6"/>
    <n v="50.4"/>
    <n v="2666"/>
    <n v="315.39999999999998"/>
    <n v="6.3"/>
    <n v="73"/>
    <x v="0"/>
    <n v="0"/>
    <n v="1.89"/>
    <n v="3"/>
    <x v="1"/>
  </r>
  <r>
    <n v="1839"/>
    <d v="2018-12-11T00:00:00"/>
    <x v="16"/>
    <s v="Female"/>
    <n v="158.69999999999999"/>
    <n v="76.3"/>
    <n v="17312"/>
    <n v="894.5"/>
    <n v="7.8"/>
    <n v="56"/>
    <x v="2"/>
    <n v="23"/>
    <n v="2.0699999999999998"/>
    <n v="1"/>
    <x v="1"/>
  </r>
  <r>
    <n v="1294"/>
    <d v="2018-12-12T00:00:00"/>
    <x v="9"/>
    <s v="Female"/>
    <n v="155.1"/>
    <n v="49.2"/>
    <n v="12273"/>
    <n v="614.9"/>
    <n v="3.6"/>
    <n v="85"/>
    <x v="1"/>
    <n v="27"/>
    <n v="3.01"/>
    <n v="3"/>
    <x v="0"/>
  </r>
  <r>
    <n v="1615"/>
    <d v="2018-12-13T00:00:00"/>
    <x v="10"/>
    <s v="Female"/>
    <n v="174.1"/>
    <n v="89.6"/>
    <n v="15338"/>
    <n v="842.3"/>
    <n v="8"/>
    <n v="88"/>
    <x v="0"/>
    <n v="0"/>
    <n v="2.48"/>
    <n v="6"/>
    <x v="0"/>
  </r>
  <r>
    <n v="1525"/>
    <d v="2018-12-14T00:00:00"/>
    <x v="40"/>
    <s v="Male"/>
    <n v="156.19999999999999"/>
    <n v="51.1"/>
    <n v="5757"/>
    <n v="470.8"/>
    <n v="6.2"/>
    <n v="64"/>
    <x v="0"/>
    <n v="0"/>
    <n v="2.5299999999999998"/>
    <n v="7"/>
    <x v="0"/>
  </r>
  <r>
    <n v="1799"/>
    <d v="2018-12-15T00:00:00"/>
    <x v="35"/>
    <s v="Male"/>
    <n v="165"/>
    <n v="67.3"/>
    <n v="12360"/>
    <n v="761.5"/>
    <n v="6.5"/>
    <n v="91"/>
    <x v="4"/>
    <n v="45"/>
    <n v="2.5299999999999998"/>
    <n v="9"/>
    <x v="0"/>
  </r>
  <r>
    <n v="1690"/>
    <d v="2018-12-16T00:00:00"/>
    <x v="32"/>
    <s v="Female"/>
    <n v="169.4"/>
    <n v="56.8"/>
    <n v="18938"/>
    <n v="900"/>
    <n v="8.5"/>
    <n v="73"/>
    <x v="1"/>
    <n v="53"/>
    <n v="3.28"/>
    <n v="5"/>
    <x v="1"/>
  </r>
  <r>
    <n v="1636"/>
    <d v="2018-12-17T00:00:00"/>
    <x v="0"/>
    <s v="Male"/>
    <n v="180"/>
    <n v="70.5"/>
    <n v="7115"/>
    <n v="505.1"/>
    <n v="9"/>
    <n v="64"/>
    <x v="1"/>
    <n v="68"/>
    <n v="0.87"/>
    <n v="5"/>
    <x v="1"/>
  </r>
  <r>
    <n v="1421"/>
    <d v="2018-12-18T00:00:00"/>
    <x v="37"/>
    <s v="Female"/>
    <n v="164.2"/>
    <n v="70.400000000000006"/>
    <n v="6437"/>
    <n v="528.1"/>
    <n v="6"/>
    <n v="72"/>
    <x v="2"/>
    <n v="68"/>
    <n v="2.7"/>
    <n v="3"/>
    <x v="1"/>
  </r>
  <r>
    <n v="1864"/>
    <d v="2018-12-19T00:00:00"/>
    <x v="11"/>
    <s v="Female"/>
    <n v="181.1"/>
    <n v="76.7"/>
    <n v="10272"/>
    <n v="611.79999999999995"/>
    <n v="6"/>
    <n v="81"/>
    <x v="1"/>
    <n v="46"/>
    <n v="2.2999999999999998"/>
    <n v="3"/>
    <x v="2"/>
  </r>
  <r>
    <n v="1022"/>
    <d v="2018-12-20T00:00:00"/>
    <x v="1"/>
    <s v="Male"/>
    <n v="179.4"/>
    <n v="47.1"/>
    <n v="13126"/>
    <n v="652.5"/>
    <n v="6.5"/>
    <n v="74"/>
    <x v="1"/>
    <n v="84"/>
    <n v="1.97"/>
    <n v="9"/>
    <x v="2"/>
  </r>
  <r>
    <n v="1574"/>
    <d v="2018-12-21T00:00:00"/>
    <x v="8"/>
    <s v="Female"/>
    <n v="159.30000000000001"/>
    <n v="58.5"/>
    <n v="17471"/>
    <n v="900"/>
    <n v="6"/>
    <n v="69"/>
    <x v="0"/>
    <n v="0"/>
    <n v="1.97"/>
    <n v="3"/>
    <x v="0"/>
  </r>
  <r>
    <n v="1142"/>
    <d v="2018-12-22T00:00:00"/>
    <x v="3"/>
    <s v="Female"/>
    <n v="181.2"/>
    <n v="84.6"/>
    <n v="8115"/>
    <n v="561.6"/>
    <n v="4.8"/>
    <n v="81"/>
    <x v="3"/>
    <n v="68"/>
    <n v="0.65"/>
    <n v="3"/>
    <x v="0"/>
  </r>
  <r>
    <n v="1992"/>
    <d v="2018-12-23T00:00:00"/>
    <x v="27"/>
    <s v="Male"/>
    <n v="167.2"/>
    <n v="79.900000000000006"/>
    <n v="3703"/>
    <n v="348.2"/>
    <n v="7"/>
    <n v="82"/>
    <x v="4"/>
    <n v="82"/>
    <n v="1.94"/>
    <n v="9"/>
    <x v="0"/>
  </r>
  <r>
    <n v="1664"/>
    <d v="2018-12-24T00:00:00"/>
    <x v="38"/>
    <s v="Male"/>
    <n v="165"/>
    <n v="45"/>
    <n v="12151"/>
    <n v="682.9"/>
    <n v="6"/>
    <n v="73"/>
    <x v="5"/>
    <n v="51"/>
    <n v="3.4"/>
    <n v="4"/>
    <x v="1"/>
  </r>
  <r>
    <n v="1144"/>
    <d v="2018-12-25T00:00:00"/>
    <x v="34"/>
    <s v="Female"/>
    <n v="167.2"/>
    <n v="75.7"/>
    <n v="19802"/>
    <n v="900"/>
    <n v="7.1"/>
    <n v="71"/>
    <x v="2"/>
    <n v="38"/>
    <n v="3.08"/>
    <n v="6"/>
    <x v="2"/>
  </r>
  <r>
    <n v="1224"/>
    <d v="2018-12-26T00:00:00"/>
    <x v="0"/>
    <s v="Male"/>
    <n v="170"/>
    <n v="54.5"/>
    <n v="5147"/>
    <n v="389"/>
    <n v="9.6"/>
    <n v="70"/>
    <x v="0"/>
    <n v="0"/>
    <n v="2.37"/>
    <n v="1"/>
    <x v="0"/>
  </r>
  <r>
    <n v="1502"/>
    <d v="2018-12-27T00:00:00"/>
    <x v="18"/>
    <s v="Male"/>
    <n v="165.8"/>
    <n v="61.1"/>
    <n v="2747"/>
    <n v="332"/>
    <n v="6.8"/>
    <n v="80"/>
    <x v="0"/>
    <n v="0"/>
    <n v="1.51"/>
    <n v="2"/>
    <x v="0"/>
  </r>
  <r>
    <n v="1961"/>
    <d v="2018-12-28T00:00:00"/>
    <x v="31"/>
    <s v="Female"/>
    <n v="161.6"/>
    <n v="66.599999999999994"/>
    <n v="9232"/>
    <n v="523.20000000000005"/>
    <n v="5.9"/>
    <n v="59"/>
    <x v="2"/>
    <n v="86"/>
    <n v="3.08"/>
    <n v="3"/>
    <x v="1"/>
  </r>
  <r>
    <n v="1973"/>
    <d v="2018-12-29T00:00:00"/>
    <x v="16"/>
    <s v="Male"/>
    <n v="162.5"/>
    <n v="93.4"/>
    <n v="16151"/>
    <n v="805.5"/>
    <n v="6.6"/>
    <n v="67"/>
    <x v="1"/>
    <n v="28"/>
    <n v="3.42"/>
    <n v="2"/>
    <x v="2"/>
  </r>
  <r>
    <n v="1820"/>
    <d v="2018-12-30T00:00:00"/>
    <x v="25"/>
    <s v="Male"/>
    <n v="171.4"/>
    <n v="54.4"/>
    <n v="11330"/>
    <n v="587.20000000000005"/>
    <n v="7.2"/>
    <n v="73"/>
    <x v="5"/>
    <n v="54"/>
    <n v="3.22"/>
    <n v="10"/>
    <x v="0"/>
  </r>
  <r>
    <n v="1615"/>
    <d v="2018-12-31T00:00:00"/>
    <x v="38"/>
    <s v="Female"/>
    <n v="168.4"/>
    <n v="48.9"/>
    <n v="17422"/>
    <n v="900"/>
    <n v="6.8"/>
    <n v="67"/>
    <x v="0"/>
    <n v="0"/>
    <n v="1.82"/>
    <n v="3"/>
    <x v="0"/>
  </r>
  <r>
    <n v="1103"/>
    <d v="2019-01-01T00:00:00"/>
    <x v="19"/>
    <s v="Male"/>
    <n v="175.3"/>
    <n v="76.8"/>
    <n v="12276"/>
    <n v="694.7"/>
    <n v="6.2"/>
    <n v="78"/>
    <x v="5"/>
    <n v="56"/>
    <n v="1.89"/>
    <n v="5"/>
    <x v="0"/>
  </r>
  <r>
    <n v="1946"/>
    <d v="2019-01-02T00:00:00"/>
    <x v="20"/>
    <s v="Male"/>
    <n v="170.5"/>
    <n v="69.599999999999994"/>
    <n v="19535"/>
    <n v="900"/>
    <n v="4.5"/>
    <n v="77"/>
    <x v="5"/>
    <n v="47"/>
    <n v="3.66"/>
    <n v="1"/>
    <x v="0"/>
  </r>
  <r>
    <n v="1038"/>
    <d v="2019-01-03T00:00:00"/>
    <x v="1"/>
    <s v="Female"/>
    <n v="170.8"/>
    <n v="88.1"/>
    <n v="4937"/>
    <n v="342.6"/>
    <n v="8"/>
    <n v="100"/>
    <x v="2"/>
    <n v="28"/>
    <n v="1.65"/>
    <n v="1"/>
    <x v="2"/>
  </r>
  <r>
    <n v="1946"/>
    <d v="2019-01-04T00:00:00"/>
    <x v="16"/>
    <s v="Female"/>
    <n v="175.9"/>
    <n v="64.7"/>
    <n v="7886"/>
    <n v="506.4"/>
    <n v="5.7"/>
    <n v="67"/>
    <x v="2"/>
    <n v="54"/>
    <n v="2.83"/>
    <n v="7"/>
    <x v="2"/>
  </r>
  <r>
    <n v="1197"/>
    <d v="2019-01-05T00:00:00"/>
    <x v="19"/>
    <s v="Female"/>
    <n v="184.2"/>
    <n v="88.2"/>
    <n v="11282"/>
    <n v="678.9"/>
    <n v="9.1999999999999993"/>
    <n v="75"/>
    <x v="0"/>
    <n v="0"/>
    <n v="1.26"/>
    <n v="9"/>
    <x v="0"/>
  </r>
  <r>
    <n v="1645"/>
    <d v="2019-01-06T00:00:00"/>
    <x v="5"/>
    <s v="Male"/>
    <n v="184.6"/>
    <n v="70.2"/>
    <n v="1208"/>
    <n v="321.89999999999998"/>
    <n v="6.4"/>
    <n v="65"/>
    <x v="0"/>
    <n v="0"/>
    <n v="2.29"/>
    <n v="9"/>
    <x v="1"/>
  </r>
  <r>
    <n v="1578"/>
    <d v="2019-01-07T00:00:00"/>
    <x v="12"/>
    <s v="Female"/>
    <n v="183.4"/>
    <n v="77.900000000000006"/>
    <n v="1599"/>
    <n v="233.8"/>
    <n v="6.2"/>
    <n v="94"/>
    <x v="0"/>
    <n v="0"/>
    <n v="2.91"/>
    <n v="7"/>
    <x v="0"/>
  </r>
  <r>
    <n v="1390"/>
    <d v="2019-01-08T00:00:00"/>
    <x v="23"/>
    <s v="Female"/>
    <n v="178.7"/>
    <n v="94.4"/>
    <n v="4709"/>
    <n v="368.2"/>
    <n v="6.3"/>
    <n v="92"/>
    <x v="3"/>
    <n v="71"/>
    <n v="2.48"/>
    <n v="2"/>
    <x v="1"/>
  </r>
  <r>
    <n v="1178"/>
    <d v="2019-01-09T00:00:00"/>
    <x v="4"/>
    <s v="Male"/>
    <n v="190.9"/>
    <n v="67.5"/>
    <n v="17597"/>
    <n v="864.3"/>
    <n v="7.2"/>
    <n v="59"/>
    <x v="2"/>
    <n v="36"/>
    <n v="2.87"/>
    <n v="7"/>
    <x v="0"/>
  </r>
  <r>
    <n v="1967"/>
    <d v="2019-01-10T00:00:00"/>
    <x v="3"/>
    <s v="Female"/>
    <n v="174.4"/>
    <n v="85.7"/>
    <n v="6723"/>
    <n v="462.9"/>
    <n v="5.7"/>
    <n v="73"/>
    <x v="2"/>
    <n v="28"/>
    <n v="1.64"/>
    <n v="9"/>
    <x v="0"/>
  </r>
  <r>
    <n v="1553"/>
    <d v="2019-01-11T00:00:00"/>
    <x v="27"/>
    <s v="Female"/>
    <n v="173.3"/>
    <n v="60.8"/>
    <n v="15004"/>
    <n v="749.2"/>
    <n v="6"/>
    <n v="75"/>
    <x v="3"/>
    <n v="73"/>
    <n v="1.93"/>
    <n v="7"/>
    <x v="1"/>
  </r>
  <r>
    <n v="1447"/>
    <d v="2019-01-12T00:00:00"/>
    <x v="7"/>
    <s v="Female"/>
    <n v="192.4"/>
    <n v="73.400000000000006"/>
    <n v="10768"/>
    <n v="558.9"/>
    <n v="7.9"/>
    <n v="72"/>
    <x v="2"/>
    <n v="24"/>
    <n v="2.84"/>
    <n v="2"/>
    <x v="0"/>
  </r>
  <r>
    <n v="1499"/>
    <d v="2019-01-13T00:00:00"/>
    <x v="9"/>
    <s v="Female"/>
    <n v="150"/>
    <n v="48.3"/>
    <n v="11316"/>
    <n v="665.6"/>
    <n v="5.5"/>
    <n v="70"/>
    <x v="1"/>
    <n v="82"/>
    <n v="2.99"/>
    <n v="7"/>
    <x v="2"/>
  </r>
  <r>
    <n v="1014"/>
    <d v="2019-01-14T00:00:00"/>
    <x v="30"/>
    <s v="Male"/>
    <n v="167.9"/>
    <n v="62.4"/>
    <n v="19792"/>
    <n v="900"/>
    <n v="7.8"/>
    <n v="83"/>
    <x v="1"/>
    <n v="66"/>
    <n v="2.65"/>
    <n v="4"/>
    <x v="1"/>
  </r>
  <r>
    <n v="1622"/>
    <d v="2019-01-15T00:00:00"/>
    <x v="4"/>
    <s v="Female"/>
    <n v="182.5"/>
    <n v="54.1"/>
    <n v="8972"/>
    <n v="501.9"/>
    <n v="8.1999999999999993"/>
    <n v="93"/>
    <x v="3"/>
    <n v="38"/>
    <n v="3.16"/>
    <n v="8"/>
    <x v="2"/>
  </r>
  <r>
    <n v="1668"/>
    <d v="2019-01-16T00:00:00"/>
    <x v="39"/>
    <s v="Female"/>
    <n v="179.8"/>
    <n v="88.3"/>
    <n v="18206"/>
    <n v="894.5"/>
    <n v="8"/>
    <n v="83"/>
    <x v="0"/>
    <n v="0"/>
    <n v="1.34"/>
    <n v="3"/>
    <x v="1"/>
  </r>
  <r>
    <n v="1288"/>
    <d v="2019-01-17T00:00:00"/>
    <x v="9"/>
    <s v="Male"/>
    <n v="195.7"/>
    <n v="96.1"/>
    <n v="19979"/>
    <n v="900"/>
    <n v="7.4"/>
    <n v="84"/>
    <x v="3"/>
    <n v="64"/>
    <n v="2.17"/>
    <n v="5"/>
    <x v="2"/>
  </r>
  <r>
    <n v="1477"/>
    <d v="2019-01-18T00:00:00"/>
    <x v="40"/>
    <s v="Female"/>
    <n v="171.1"/>
    <n v="64.7"/>
    <n v="16546"/>
    <n v="900"/>
    <n v="4.3"/>
    <n v="71"/>
    <x v="1"/>
    <n v="52"/>
    <n v="3.78"/>
    <n v="3"/>
    <x v="0"/>
  </r>
  <r>
    <n v="1230"/>
    <d v="2019-01-19T00:00:00"/>
    <x v="39"/>
    <s v="Male"/>
    <n v="165.7"/>
    <n v="58.4"/>
    <n v="11291"/>
    <n v="510"/>
    <n v="5.2"/>
    <n v="85"/>
    <x v="5"/>
    <n v="62"/>
    <n v="3.4"/>
    <n v="7"/>
    <x v="0"/>
  </r>
  <r>
    <n v="1922"/>
    <d v="2019-01-20T00:00:00"/>
    <x v="29"/>
    <s v="Male"/>
    <n v="166.7"/>
    <n v="50.3"/>
    <n v="12794"/>
    <n v="734"/>
    <n v="5"/>
    <n v="85"/>
    <x v="2"/>
    <n v="45"/>
    <n v="2.94"/>
    <n v="3"/>
    <x v="1"/>
  </r>
  <r>
    <n v="1419"/>
    <d v="2019-01-21T00:00:00"/>
    <x v="29"/>
    <s v="Male"/>
    <n v="173.2"/>
    <n v="74"/>
    <n v="12659"/>
    <n v="740.3"/>
    <n v="6.4"/>
    <n v="70"/>
    <x v="4"/>
    <n v="64"/>
    <n v="2.39"/>
    <n v="10"/>
    <x v="2"/>
  </r>
  <r>
    <n v="1156"/>
    <d v="2019-01-22T00:00:00"/>
    <x v="25"/>
    <s v="Female"/>
    <n v="186.2"/>
    <n v="61"/>
    <n v="8983"/>
    <n v="523.70000000000005"/>
    <n v="7"/>
    <n v="73"/>
    <x v="4"/>
    <n v="54"/>
    <n v="3.22"/>
    <n v="5"/>
    <x v="0"/>
  </r>
  <r>
    <n v="1549"/>
    <d v="2019-01-23T00:00:00"/>
    <x v="31"/>
    <s v="Male"/>
    <n v="186.3"/>
    <n v="61.8"/>
    <n v="7500"/>
    <n v="482.5"/>
    <n v="5.2"/>
    <n v="59"/>
    <x v="3"/>
    <n v="72"/>
    <n v="2.8"/>
    <n v="1"/>
    <x v="2"/>
  </r>
  <r>
    <n v="1440"/>
    <d v="2019-01-24T00:00:00"/>
    <x v="12"/>
    <s v="Male"/>
    <n v="169.4"/>
    <n v="94.4"/>
    <n v="2634"/>
    <n v="322"/>
    <n v="6.7"/>
    <n v="61"/>
    <x v="4"/>
    <n v="29"/>
    <n v="1.44"/>
    <n v="4"/>
    <x v="2"/>
  </r>
  <r>
    <n v="1096"/>
    <d v="2019-01-25T00:00:00"/>
    <x v="33"/>
    <s v="Male"/>
    <n v="172.5"/>
    <n v="65.599999999999994"/>
    <n v="15059"/>
    <n v="800.9"/>
    <n v="8"/>
    <n v="71"/>
    <x v="5"/>
    <n v="60"/>
    <n v="3.2"/>
    <n v="6"/>
    <x v="1"/>
  </r>
  <r>
    <n v="1996"/>
    <d v="2019-01-26T00:00:00"/>
    <x v="8"/>
    <s v="Female"/>
    <n v="163.9"/>
    <n v="78.8"/>
    <n v="5814"/>
    <n v="517.5"/>
    <n v="5.5"/>
    <n v="64"/>
    <x v="4"/>
    <n v="36"/>
    <n v="1.89"/>
    <n v="2"/>
    <x v="0"/>
  </r>
  <r>
    <n v="1410"/>
    <d v="2019-01-27T00:00:00"/>
    <x v="12"/>
    <s v="Female"/>
    <n v="164.9"/>
    <n v="70.8"/>
    <n v="18551"/>
    <n v="900"/>
    <n v="5.8"/>
    <n v="83"/>
    <x v="1"/>
    <n v="85"/>
    <n v="3.03"/>
    <n v="6"/>
    <x v="1"/>
  </r>
  <r>
    <n v="1950"/>
    <d v="2019-01-28T00:00:00"/>
    <x v="22"/>
    <s v="Female"/>
    <n v="180.5"/>
    <n v="49.7"/>
    <n v="5076"/>
    <n v="446.1"/>
    <n v="8.8000000000000007"/>
    <n v="73"/>
    <x v="3"/>
    <n v="30"/>
    <n v="1.37"/>
    <n v="10"/>
    <x v="1"/>
  </r>
  <r>
    <n v="1288"/>
    <d v="2019-01-29T00:00:00"/>
    <x v="1"/>
    <s v="Female"/>
    <n v="186"/>
    <n v="45"/>
    <n v="9390"/>
    <n v="598.1"/>
    <n v="5.6"/>
    <n v="80"/>
    <x v="0"/>
    <n v="0"/>
    <n v="3.62"/>
    <n v="7"/>
    <x v="0"/>
  </r>
  <r>
    <n v="1253"/>
    <d v="2019-01-30T00:00:00"/>
    <x v="7"/>
    <s v="Female"/>
    <n v="163"/>
    <n v="77.3"/>
    <n v="6442"/>
    <n v="492.4"/>
    <n v="7.5"/>
    <n v="63"/>
    <x v="4"/>
    <n v="86"/>
    <n v="2.31"/>
    <n v="8"/>
    <x v="2"/>
  </r>
  <r>
    <n v="1195"/>
    <d v="2019-01-31T00:00:00"/>
    <x v="2"/>
    <s v="Female"/>
    <n v="172.4"/>
    <n v="95.6"/>
    <n v="4505"/>
    <n v="341.3"/>
    <n v="8.9"/>
    <n v="88"/>
    <x v="2"/>
    <n v="65"/>
    <n v="1.72"/>
    <n v="3"/>
    <x v="1"/>
  </r>
  <r>
    <n v="1597"/>
    <d v="2019-02-01T00:00:00"/>
    <x v="26"/>
    <s v="Female"/>
    <n v="167.6"/>
    <n v="74.7"/>
    <n v="18186"/>
    <n v="900"/>
    <n v="5.2"/>
    <n v="80"/>
    <x v="3"/>
    <n v="39"/>
    <n v="2.02"/>
    <n v="10"/>
    <x v="0"/>
  </r>
  <r>
    <n v="1833"/>
    <d v="2019-02-02T00:00:00"/>
    <x v="41"/>
    <s v="Male"/>
    <n v="178.6"/>
    <n v="79.400000000000006"/>
    <n v="1502"/>
    <n v="256.8"/>
    <n v="5.3"/>
    <n v="79"/>
    <x v="5"/>
    <n v="32"/>
    <n v="2.2599999999999998"/>
    <n v="3"/>
    <x v="2"/>
  </r>
  <r>
    <n v="1521"/>
    <d v="2019-02-03T00:00:00"/>
    <x v="27"/>
    <s v="Male"/>
    <n v="166.1"/>
    <n v="56.4"/>
    <n v="13756"/>
    <n v="714.4"/>
    <n v="6.7"/>
    <n v="84"/>
    <x v="1"/>
    <n v="36"/>
    <n v="2.5"/>
    <n v="5"/>
    <x v="2"/>
  </r>
  <r>
    <n v="1516"/>
    <d v="2019-02-04T00:00:00"/>
    <x v="24"/>
    <s v="Male"/>
    <n v="150.69999999999999"/>
    <n v="85.2"/>
    <n v="15262"/>
    <n v="856.7"/>
    <n v="7.1"/>
    <n v="78"/>
    <x v="4"/>
    <n v="51"/>
    <n v="3.42"/>
    <n v="3"/>
    <x v="2"/>
  </r>
  <r>
    <n v="1634"/>
    <d v="2019-02-05T00:00:00"/>
    <x v="35"/>
    <s v="Male"/>
    <n v="180"/>
    <n v="85"/>
    <n v="17141"/>
    <n v="784.9"/>
    <n v="6"/>
    <n v="65"/>
    <x v="1"/>
    <n v="35"/>
    <n v="2.5499999999999998"/>
    <n v="9"/>
    <x v="1"/>
  </r>
  <r>
    <n v="1841"/>
    <d v="2019-02-06T00:00:00"/>
    <x v="22"/>
    <s v="Female"/>
    <n v="167"/>
    <n v="59.6"/>
    <n v="11605"/>
    <n v="731.5"/>
    <n v="10"/>
    <n v="81"/>
    <x v="5"/>
    <n v="42"/>
    <n v="0.98"/>
    <n v="7"/>
    <x v="1"/>
  </r>
  <r>
    <n v="1864"/>
    <d v="2019-02-07T00:00:00"/>
    <x v="35"/>
    <s v="Male"/>
    <n v="168"/>
    <n v="78.2"/>
    <n v="8939"/>
    <n v="446.6"/>
    <n v="7.8"/>
    <n v="67"/>
    <x v="0"/>
    <n v="0"/>
    <n v="1.64"/>
    <n v="5"/>
    <x v="0"/>
  </r>
  <r>
    <n v="1117"/>
    <d v="2019-02-08T00:00:00"/>
    <x v="39"/>
    <s v="Male"/>
    <n v="174.4"/>
    <n v="45"/>
    <n v="5719"/>
    <n v="421.1"/>
    <n v="5.8"/>
    <n v="77"/>
    <x v="4"/>
    <n v="33"/>
    <n v="4.43"/>
    <n v="5"/>
    <x v="2"/>
  </r>
  <r>
    <n v="1805"/>
    <d v="2019-02-09T00:00:00"/>
    <x v="34"/>
    <s v="Male"/>
    <n v="173.5"/>
    <n v="80.900000000000006"/>
    <n v="8748"/>
    <n v="597"/>
    <n v="5"/>
    <n v="67"/>
    <x v="0"/>
    <n v="0"/>
    <n v="2.59"/>
    <n v="1"/>
    <x v="2"/>
  </r>
  <r>
    <n v="1908"/>
    <d v="2019-02-10T00:00:00"/>
    <x v="15"/>
    <s v="Male"/>
    <n v="174.6"/>
    <n v="61.4"/>
    <n v="3870"/>
    <n v="295.39999999999998"/>
    <n v="6.9"/>
    <n v="92"/>
    <x v="0"/>
    <n v="0"/>
    <n v="3.17"/>
    <n v="9"/>
    <x v="0"/>
  </r>
  <r>
    <n v="1158"/>
    <d v="2019-02-11T00:00:00"/>
    <x v="24"/>
    <s v="Female"/>
    <n v="153.69999999999999"/>
    <n v="51.6"/>
    <n v="5758"/>
    <n v="451.5"/>
    <n v="7.7"/>
    <n v="82"/>
    <x v="3"/>
    <n v="52"/>
    <n v="2.2799999999999998"/>
    <n v="2"/>
    <x v="2"/>
  </r>
  <r>
    <n v="1814"/>
    <d v="2019-02-12T00:00:00"/>
    <x v="4"/>
    <s v="Female"/>
    <n v="175.6"/>
    <n v="76"/>
    <n v="14038"/>
    <n v="777.3"/>
    <n v="9.8000000000000007"/>
    <n v="85"/>
    <x v="0"/>
    <n v="0"/>
    <n v="1.8"/>
    <n v="7"/>
    <x v="2"/>
  </r>
  <r>
    <n v="1227"/>
    <d v="2019-02-13T00:00:00"/>
    <x v="1"/>
    <s v="Female"/>
    <n v="150.9"/>
    <n v="45"/>
    <n v="6968"/>
    <n v="495.1"/>
    <n v="7.1"/>
    <n v="67"/>
    <x v="3"/>
    <n v="73"/>
    <n v="2.16"/>
    <n v="7"/>
    <x v="0"/>
  </r>
  <r>
    <n v="1876"/>
    <d v="2019-02-14T00:00:00"/>
    <x v="5"/>
    <s v="Male"/>
    <n v="177.7"/>
    <n v="75.099999999999994"/>
    <n v="12659"/>
    <n v="688.9"/>
    <n v="6.6"/>
    <n v="78"/>
    <x v="0"/>
    <n v="0"/>
    <n v="2.59"/>
    <n v="2"/>
    <x v="0"/>
  </r>
  <r>
    <n v="1215"/>
    <d v="2019-02-15T00:00:00"/>
    <x v="36"/>
    <s v="Female"/>
    <n v="181.2"/>
    <n v="53"/>
    <n v="18482"/>
    <n v="900"/>
    <n v="5.5"/>
    <n v="77"/>
    <x v="2"/>
    <n v="42"/>
    <n v="2.1800000000000002"/>
    <n v="8"/>
    <x v="1"/>
  </r>
  <r>
    <n v="1947"/>
    <d v="2019-02-16T00:00:00"/>
    <x v="19"/>
    <s v="Male"/>
    <n v="156.30000000000001"/>
    <n v="49.8"/>
    <n v="17766"/>
    <n v="832.1"/>
    <n v="7.6"/>
    <n v="76"/>
    <x v="5"/>
    <n v="48"/>
    <n v="3.84"/>
    <n v="8"/>
    <x v="1"/>
  </r>
  <r>
    <n v="1695"/>
    <d v="2019-02-17T00:00:00"/>
    <x v="16"/>
    <s v="Female"/>
    <n v="173.3"/>
    <n v="70.900000000000006"/>
    <n v="8790"/>
    <n v="546.4"/>
    <n v="8.5"/>
    <n v="56"/>
    <x v="4"/>
    <n v="25"/>
    <n v="2.0699999999999998"/>
    <n v="9"/>
    <x v="1"/>
  </r>
  <r>
    <n v="1014"/>
    <d v="2019-02-18T00:00:00"/>
    <x v="32"/>
    <s v="Female"/>
    <n v="180.6"/>
    <n v="67.400000000000006"/>
    <n v="10585"/>
    <n v="669.3"/>
    <n v="4.3"/>
    <n v="95"/>
    <x v="1"/>
    <n v="58"/>
    <n v="1.76"/>
    <n v="2"/>
    <x v="0"/>
  </r>
  <r>
    <n v="1156"/>
    <d v="2019-02-19T00:00:00"/>
    <x v="23"/>
    <s v="Female"/>
    <n v="165.5"/>
    <n v="91.9"/>
    <n v="5271"/>
    <n v="388"/>
    <n v="7.1"/>
    <n v="75"/>
    <x v="1"/>
    <n v="24"/>
    <n v="3.07"/>
    <n v="1"/>
    <x v="1"/>
  </r>
  <r>
    <n v="1647"/>
    <d v="2019-02-20T00:00:00"/>
    <x v="38"/>
    <s v="Female"/>
    <n v="176.7"/>
    <n v="50.7"/>
    <n v="5323"/>
    <n v="392.6"/>
    <n v="5.5"/>
    <n v="80"/>
    <x v="4"/>
    <n v="59"/>
    <n v="3.15"/>
    <n v="9"/>
    <x v="2"/>
  </r>
  <r>
    <n v="1260"/>
    <d v="2019-02-21T00:00:00"/>
    <x v="4"/>
    <s v="Female"/>
    <n v="150"/>
    <n v="90.6"/>
    <n v="3038"/>
    <n v="401"/>
    <n v="5"/>
    <n v="62"/>
    <x v="5"/>
    <n v="40"/>
    <n v="2.52"/>
    <n v="3"/>
    <x v="1"/>
  </r>
  <r>
    <n v="1156"/>
    <d v="2019-02-22T00:00:00"/>
    <x v="29"/>
    <s v="Male"/>
    <n v="181"/>
    <n v="52.9"/>
    <n v="16977"/>
    <n v="870.9"/>
    <n v="9.5"/>
    <n v="90"/>
    <x v="5"/>
    <n v="78"/>
    <n v="2.08"/>
    <n v="10"/>
    <x v="1"/>
  </r>
  <r>
    <n v="1046"/>
    <d v="2019-02-23T00:00:00"/>
    <x v="32"/>
    <s v="Female"/>
    <n v="170.3"/>
    <n v="83.8"/>
    <n v="6461"/>
    <n v="476"/>
    <n v="8.3000000000000007"/>
    <n v="89"/>
    <x v="0"/>
    <n v="0"/>
    <n v="1.17"/>
    <n v="2"/>
    <x v="1"/>
  </r>
  <r>
    <n v="1323"/>
    <d v="2019-02-24T00:00:00"/>
    <x v="27"/>
    <s v="Male"/>
    <n v="167.4"/>
    <n v="86.6"/>
    <n v="9063"/>
    <n v="589.29999999999995"/>
    <n v="6.1"/>
    <n v="84"/>
    <x v="1"/>
    <n v="43"/>
    <n v="3.35"/>
    <n v="10"/>
    <x v="0"/>
  </r>
  <r>
    <n v="1843"/>
    <d v="2019-02-25T00:00:00"/>
    <x v="17"/>
    <s v="Male"/>
    <n v="179.8"/>
    <n v="74.8"/>
    <n v="19369"/>
    <n v="900"/>
    <n v="6.8"/>
    <n v="78"/>
    <x v="4"/>
    <n v="22"/>
    <n v="3.11"/>
    <n v="2"/>
    <x v="2"/>
  </r>
  <r>
    <n v="1684"/>
    <d v="2019-02-26T00:00:00"/>
    <x v="30"/>
    <s v="Male"/>
    <n v="187.3"/>
    <n v="58.1"/>
    <n v="2262"/>
    <n v="324.5"/>
    <n v="6.5"/>
    <n v="98"/>
    <x v="0"/>
    <n v="0"/>
    <n v="2.19"/>
    <n v="2"/>
    <x v="0"/>
  </r>
  <r>
    <n v="1129"/>
    <d v="2019-02-27T00:00:00"/>
    <x v="36"/>
    <s v="Male"/>
    <n v="174.9"/>
    <n v="47.2"/>
    <n v="6731"/>
    <n v="518.70000000000005"/>
    <n v="5.3"/>
    <n v="85"/>
    <x v="4"/>
    <n v="89"/>
    <n v="2.54"/>
    <n v="8"/>
    <x v="2"/>
  </r>
  <r>
    <n v="1410"/>
    <d v="2019-02-28T00:00:00"/>
    <x v="40"/>
    <s v="Male"/>
    <n v="186.1"/>
    <n v="45"/>
    <n v="10903"/>
    <n v="681.3"/>
    <n v="6.2"/>
    <n v="61"/>
    <x v="1"/>
    <n v="89"/>
    <n v="2.34"/>
    <n v="3"/>
    <x v="1"/>
  </r>
  <r>
    <n v="1094"/>
    <d v="2019-03-01T00:00:00"/>
    <x v="29"/>
    <s v="Female"/>
    <n v="154.5"/>
    <n v="97.8"/>
    <n v="1349"/>
    <n v="304.7"/>
    <n v="8.1999999999999993"/>
    <n v="77"/>
    <x v="4"/>
    <n v="82"/>
    <n v="3.64"/>
    <n v="1"/>
    <x v="1"/>
  </r>
  <r>
    <n v="1626"/>
    <d v="2019-03-02T00:00:00"/>
    <x v="26"/>
    <s v="Female"/>
    <n v="176.7"/>
    <n v="65.5"/>
    <n v="1440"/>
    <n v="153.5"/>
    <n v="6.2"/>
    <n v="81"/>
    <x v="4"/>
    <n v="66"/>
    <n v="1.77"/>
    <n v="8"/>
    <x v="2"/>
  </r>
  <r>
    <n v="1754"/>
    <d v="2019-03-03T00:00:00"/>
    <x v="33"/>
    <s v="Female"/>
    <n v="168.7"/>
    <n v="53.4"/>
    <n v="14899"/>
    <n v="737.4"/>
    <n v="7.7"/>
    <n v="76"/>
    <x v="0"/>
    <n v="0"/>
    <n v="2.0699999999999998"/>
    <n v="2"/>
    <x v="0"/>
  </r>
  <r>
    <n v="1931"/>
    <d v="2019-03-04T00:00:00"/>
    <x v="1"/>
    <s v="Female"/>
    <n v="162.1"/>
    <n v="52.9"/>
    <n v="19946"/>
    <n v="900"/>
    <n v="6.2"/>
    <n v="81"/>
    <x v="3"/>
    <n v="32"/>
    <n v="2"/>
    <n v="6"/>
    <x v="0"/>
  </r>
  <r>
    <n v="1291"/>
    <d v="2019-03-05T00:00:00"/>
    <x v="34"/>
    <s v="Male"/>
    <n v="150.69999999999999"/>
    <n v="72.5"/>
    <n v="4152"/>
    <n v="326.3"/>
    <n v="5.2"/>
    <n v="89"/>
    <x v="3"/>
    <n v="64"/>
    <n v="2.72"/>
    <n v="8"/>
    <x v="1"/>
  </r>
  <r>
    <n v="1793"/>
    <d v="2019-03-06T00:00:00"/>
    <x v="26"/>
    <s v="Female"/>
    <n v="176.1"/>
    <n v="64.099999999999994"/>
    <n v="11247"/>
    <n v="613.9"/>
    <n v="8.8000000000000007"/>
    <n v="73"/>
    <x v="2"/>
    <n v="51"/>
    <n v="2.54"/>
    <n v="10"/>
    <x v="2"/>
  </r>
  <r>
    <n v="1810"/>
    <d v="2019-03-07T00:00:00"/>
    <x v="35"/>
    <s v="Female"/>
    <n v="178.8"/>
    <n v="45"/>
    <n v="19717"/>
    <n v="900"/>
    <n v="3.8"/>
    <n v="71"/>
    <x v="0"/>
    <n v="0"/>
    <n v="2.64"/>
    <n v="9"/>
    <x v="2"/>
  </r>
  <r>
    <n v="1282"/>
    <d v="2019-03-08T00:00:00"/>
    <x v="9"/>
    <s v="Male"/>
    <n v="183.4"/>
    <n v="83"/>
    <n v="10614"/>
    <n v="629.9"/>
    <n v="9.6999999999999993"/>
    <n v="64"/>
    <x v="2"/>
    <n v="61"/>
    <n v="1.88"/>
    <n v="1"/>
    <x v="2"/>
  </r>
  <r>
    <n v="1068"/>
    <d v="2019-03-09T00:00:00"/>
    <x v="12"/>
    <s v="Male"/>
    <n v="181.8"/>
    <n v="75"/>
    <n v="17457"/>
    <n v="891.4"/>
    <n v="8.5"/>
    <n v="56"/>
    <x v="5"/>
    <n v="61"/>
    <n v="3.54"/>
    <n v="9"/>
    <x v="2"/>
  </r>
  <r>
    <n v="1659"/>
    <d v="2019-03-10T00:00:00"/>
    <x v="19"/>
    <s v="Female"/>
    <n v="162.30000000000001"/>
    <n v="97.6"/>
    <n v="7949"/>
    <n v="506.7"/>
    <n v="7.3"/>
    <n v="72"/>
    <x v="3"/>
    <n v="26"/>
    <n v="2.1800000000000002"/>
    <n v="8"/>
    <x v="1"/>
  </r>
  <r>
    <n v="1010"/>
    <d v="2019-03-11T00:00:00"/>
    <x v="4"/>
    <s v="Female"/>
    <n v="182.9"/>
    <n v="87.1"/>
    <n v="3205"/>
    <n v="308.2"/>
    <n v="6.3"/>
    <n v="68"/>
    <x v="3"/>
    <n v="22"/>
    <n v="3.33"/>
    <n v="6"/>
    <x v="0"/>
  </r>
  <r>
    <n v="1253"/>
    <d v="2019-03-12T00:00:00"/>
    <x v="39"/>
    <s v="Male"/>
    <n v="184"/>
    <n v="45"/>
    <n v="18855"/>
    <n v="900"/>
    <n v="6.4"/>
    <n v="73"/>
    <x v="3"/>
    <n v="56"/>
    <n v="4.7"/>
    <n v="5"/>
    <x v="1"/>
  </r>
  <r>
    <n v="1841"/>
    <d v="2019-03-13T00:00:00"/>
    <x v="29"/>
    <s v="Female"/>
    <n v="167.4"/>
    <n v="91.3"/>
    <n v="14133"/>
    <n v="834.7"/>
    <n v="7.3"/>
    <n v="69"/>
    <x v="3"/>
    <n v="22"/>
    <n v="1.89"/>
    <n v="6"/>
    <x v="2"/>
  </r>
  <r>
    <n v="1871"/>
    <d v="2019-03-14T00:00:00"/>
    <x v="12"/>
    <s v="Female"/>
    <n v="170.3"/>
    <n v="88.1"/>
    <n v="19114"/>
    <n v="876.3"/>
    <n v="7.3"/>
    <n v="64"/>
    <x v="5"/>
    <n v="37"/>
    <n v="2.74"/>
    <n v="2"/>
    <x v="0"/>
  </r>
  <r>
    <n v="1549"/>
    <d v="2019-03-15T00:00:00"/>
    <x v="11"/>
    <s v="Female"/>
    <n v="160.69999999999999"/>
    <n v="59"/>
    <n v="1035"/>
    <n v="305.10000000000002"/>
    <n v="5.6"/>
    <n v="69"/>
    <x v="1"/>
    <n v="61"/>
    <n v="2.41"/>
    <n v="3"/>
    <x v="1"/>
  </r>
  <r>
    <n v="1133"/>
    <d v="2019-03-16T00:00:00"/>
    <x v="31"/>
    <s v="Female"/>
    <n v="184.8"/>
    <n v="63.5"/>
    <n v="18404"/>
    <n v="900"/>
    <n v="7.1"/>
    <n v="80"/>
    <x v="5"/>
    <n v="28"/>
    <n v="3.92"/>
    <n v="9"/>
    <x v="2"/>
  </r>
  <r>
    <n v="1711"/>
    <d v="2019-03-17T00:00:00"/>
    <x v="10"/>
    <s v="Male"/>
    <n v="154.9"/>
    <n v="76.2"/>
    <n v="6534"/>
    <n v="524.70000000000005"/>
    <n v="7.4"/>
    <n v="70"/>
    <x v="1"/>
    <n v="76"/>
    <n v="2.2999999999999998"/>
    <n v="3"/>
    <x v="1"/>
  </r>
  <r>
    <n v="1022"/>
    <d v="2019-03-18T00:00:00"/>
    <x v="3"/>
    <s v="Male"/>
    <n v="175.3"/>
    <n v="54.8"/>
    <n v="9009"/>
    <n v="510.9"/>
    <n v="6.5"/>
    <n v="73"/>
    <x v="2"/>
    <n v="43"/>
    <n v="2.67"/>
    <n v="10"/>
    <x v="2"/>
  </r>
  <r>
    <n v="1814"/>
    <d v="2019-03-19T00:00:00"/>
    <x v="6"/>
    <s v="Male"/>
    <n v="164"/>
    <n v="66.400000000000006"/>
    <n v="11952"/>
    <n v="653.79999999999995"/>
    <n v="10"/>
    <n v="96"/>
    <x v="3"/>
    <n v="26"/>
    <n v="2.66"/>
    <n v="7"/>
    <x v="1"/>
  </r>
  <r>
    <n v="1345"/>
    <d v="2019-03-20T00:00:00"/>
    <x v="18"/>
    <s v="Female"/>
    <n v="158.9"/>
    <n v="85"/>
    <n v="3535"/>
    <n v="393.1"/>
    <n v="6.8"/>
    <n v="86"/>
    <x v="0"/>
    <n v="0"/>
    <n v="2.4300000000000002"/>
    <n v="4"/>
    <x v="1"/>
  </r>
  <r>
    <n v="1301"/>
    <d v="2019-03-21T00:00:00"/>
    <x v="14"/>
    <s v="Female"/>
    <n v="151.30000000000001"/>
    <n v="77.8"/>
    <n v="5963"/>
    <n v="426.1"/>
    <n v="4.4000000000000004"/>
    <n v="77"/>
    <x v="0"/>
    <n v="0"/>
    <n v="3.03"/>
    <n v="9"/>
    <x v="1"/>
  </r>
  <r>
    <n v="1362"/>
    <d v="2019-03-22T00:00:00"/>
    <x v="40"/>
    <s v="Female"/>
    <n v="167.8"/>
    <n v="60"/>
    <n v="13707"/>
    <n v="723"/>
    <n v="5.5"/>
    <n v="78"/>
    <x v="1"/>
    <n v="75"/>
    <n v="2.57"/>
    <n v="4"/>
    <x v="2"/>
  </r>
  <r>
    <n v="1395"/>
    <d v="2019-03-23T00:00:00"/>
    <x v="12"/>
    <s v="Female"/>
    <n v="157.4"/>
    <n v="85.3"/>
    <n v="13860"/>
    <n v="749.4"/>
    <n v="8.1"/>
    <n v="68"/>
    <x v="5"/>
    <n v="77"/>
    <n v="2.84"/>
    <n v="10"/>
    <x v="0"/>
  </r>
  <r>
    <n v="1217"/>
    <d v="2019-03-24T00:00:00"/>
    <x v="31"/>
    <s v="Female"/>
    <n v="170.6"/>
    <n v="74.5"/>
    <n v="15247"/>
    <n v="753.8"/>
    <n v="5.9"/>
    <n v="71"/>
    <x v="1"/>
    <n v="37"/>
    <n v="2.65"/>
    <n v="10"/>
    <x v="0"/>
  </r>
  <r>
    <n v="1140"/>
    <d v="2019-03-25T00:00:00"/>
    <x v="3"/>
    <s v="Male"/>
    <n v="187.7"/>
    <n v="74"/>
    <n v="18410"/>
    <n v="900"/>
    <n v="5.5"/>
    <n v="72"/>
    <x v="4"/>
    <n v="58"/>
    <n v="2.08"/>
    <n v="6"/>
    <x v="2"/>
  </r>
  <r>
    <n v="1615"/>
    <d v="2019-03-26T00:00:00"/>
    <x v="22"/>
    <s v="Female"/>
    <n v="172"/>
    <n v="62.3"/>
    <n v="18670"/>
    <n v="886.5"/>
    <n v="9.1"/>
    <n v="76"/>
    <x v="2"/>
    <n v="69"/>
    <n v="2.31"/>
    <n v="2"/>
    <x v="0"/>
  </r>
  <r>
    <n v="1957"/>
    <d v="2019-03-27T00:00:00"/>
    <x v="38"/>
    <s v="Female"/>
    <n v="190"/>
    <n v="69.900000000000006"/>
    <n v="9512"/>
    <n v="616.6"/>
    <n v="7.3"/>
    <n v="75"/>
    <x v="2"/>
    <n v="52"/>
    <n v="2.89"/>
    <n v="7"/>
    <x v="0"/>
  </r>
  <r>
    <n v="1209"/>
    <d v="2019-03-28T00:00:00"/>
    <x v="28"/>
    <s v="Male"/>
    <n v="160.19999999999999"/>
    <n v="58.4"/>
    <n v="14887"/>
    <n v="753.3"/>
    <n v="6.1"/>
    <n v="64"/>
    <x v="3"/>
    <n v="47"/>
    <n v="2.89"/>
    <n v="3"/>
    <x v="1"/>
  </r>
  <r>
    <n v="1984"/>
    <d v="2019-03-29T00:00:00"/>
    <x v="1"/>
    <s v="Female"/>
    <n v="157.19999999999999"/>
    <n v="45"/>
    <n v="3293"/>
    <n v="334.3"/>
    <n v="3"/>
    <n v="81"/>
    <x v="3"/>
    <n v="75"/>
    <n v="3.37"/>
    <n v="1"/>
    <x v="1"/>
  </r>
  <r>
    <n v="1992"/>
    <d v="2019-03-30T00:00:00"/>
    <x v="30"/>
    <s v="Male"/>
    <n v="159.69999999999999"/>
    <n v="65.8"/>
    <n v="18996"/>
    <n v="900"/>
    <n v="7.9"/>
    <n v="69"/>
    <x v="5"/>
    <n v="44"/>
    <n v="3.8"/>
    <n v="7"/>
    <x v="2"/>
  </r>
  <r>
    <n v="1622"/>
    <d v="2019-03-31T00:00:00"/>
    <x v="1"/>
    <s v="Male"/>
    <n v="169.3"/>
    <n v="68.2"/>
    <n v="17860"/>
    <n v="900"/>
    <n v="7"/>
    <n v="94"/>
    <x v="1"/>
    <n v="33"/>
    <n v="2.14"/>
    <n v="5"/>
    <x v="2"/>
  </r>
  <r>
    <n v="1615"/>
    <d v="2019-04-01T00:00:00"/>
    <x v="2"/>
    <s v="Male"/>
    <n v="197.2"/>
    <n v="72.099999999999994"/>
    <n v="12356"/>
    <n v="735.4"/>
    <n v="9"/>
    <n v="87"/>
    <x v="4"/>
    <n v="74"/>
    <n v="2.59"/>
    <n v="7"/>
    <x v="1"/>
  </r>
  <r>
    <n v="1827"/>
    <d v="2019-04-02T00:00:00"/>
    <x v="38"/>
    <s v="Male"/>
    <n v="153.4"/>
    <n v="88.2"/>
    <n v="11018"/>
    <n v="655"/>
    <n v="5.4"/>
    <n v="58"/>
    <x v="2"/>
    <n v="26"/>
    <n v="2.36"/>
    <n v="1"/>
    <x v="2"/>
  </r>
  <r>
    <n v="1682"/>
    <d v="2019-04-03T00:00:00"/>
    <x v="13"/>
    <s v="Male"/>
    <n v="176.2"/>
    <n v="60.2"/>
    <n v="13820"/>
    <n v="717.8"/>
    <n v="6.4"/>
    <n v="72"/>
    <x v="1"/>
    <n v="23"/>
    <n v="1.72"/>
    <n v="5"/>
    <x v="2"/>
  </r>
  <r>
    <n v="1459"/>
    <d v="2019-04-04T00:00:00"/>
    <x v="14"/>
    <s v="Female"/>
    <n v="163"/>
    <n v="64.5"/>
    <n v="16933"/>
    <n v="849.2"/>
    <n v="7.4"/>
    <n v="91"/>
    <x v="4"/>
    <n v="49"/>
    <n v="2.9"/>
    <n v="2"/>
    <x v="0"/>
  </r>
  <r>
    <n v="1355"/>
    <d v="2019-04-05T00:00:00"/>
    <x v="16"/>
    <s v="Male"/>
    <n v="167.8"/>
    <n v="81.5"/>
    <n v="2947"/>
    <n v="435.9"/>
    <n v="8.9"/>
    <n v="82"/>
    <x v="0"/>
    <n v="0"/>
    <n v="3.04"/>
    <n v="1"/>
    <x v="2"/>
  </r>
  <r>
    <n v="1323"/>
    <d v="2019-04-06T00:00:00"/>
    <x v="5"/>
    <s v="Male"/>
    <n v="157.4"/>
    <n v="58.7"/>
    <n v="16310"/>
    <n v="899.8"/>
    <n v="7.4"/>
    <n v="76"/>
    <x v="1"/>
    <n v="76"/>
    <n v="1.75"/>
    <n v="6"/>
    <x v="2"/>
  </r>
  <r>
    <n v="1132"/>
    <d v="2019-04-07T00:00:00"/>
    <x v="5"/>
    <s v="Female"/>
    <n v="178.8"/>
    <n v="72.3"/>
    <n v="17303"/>
    <n v="882.2"/>
    <n v="5.9"/>
    <n v="52"/>
    <x v="3"/>
    <n v="56"/>
    <n v="2.2400000000000002"/>
    <n v="5"/>
    <x v="1"/>
  </r>
  <r>
    <n v="1887"/>
    <d v="2019-04-08T00:00:00"/>
    <x v="16"/>
    <s v="Female"/>
    <n v="169.6"/>
    <n v="63.9"/>
    <n v="16014"/>
    <n v="811.9"/>
    <n v="8.9"/>
    <n v="73"/>
    <x v="0"/>
    <n v="0"/>
    <n v="2.17"/>
    <n v="4"/>
    <x v="2"/>
  </r>
  <r>
    <n v="1804"/>
    <d v="2019-04-09T00:00:00"/>
    <x v="29"/>
    <s v="Male"/>
    <n v="180.9"/>
    <n v="66.3"/>
    <n v="18977"/>
    <n v="887.1"/>
    <n v="6.5"/>
    <n v="77"/>
    <x v="0"/>
    <n v="0"/>
    <n v="1.44"/>
    <n v="1"/>
    <x v="1"/>
  </r>
  <r>
    <n v="1839"/>
    <d v="2019-04-10T00:00:00"/>
    <x v="14"/>
    <s v="Female"/>
    <n v="171.8"/>
    <n v="81.400000000000006"/>
    <n v="10939"/>
    <n v="694"/>
    <n v="7.3"/>
    <n v="54"/>
    <x v="2"/>
    <n v="71"/>
    <n v="2.4700000000000002"/>
    <n v="5"/>
    <x v="2"/>
  </r>
  <r>
    <n v="1126"/>
    <d v="2019-04-11T00:00:00"/>
    <x v="3"/>
    <s v="Female"/>
    <n v="150.69999999999999"/>
    <n v="64.400000000000006"/>
    <n v="15465"/>
    <n v="783.1"/>
    <n v="8.1"/>
    <n v="81"/>
    <x v="4"/>
    <n v="22"/>
    <n v="1.7"/>
    <n v="7"/>
    <x v="0"/>
  </r>
  <r>
    <n v="1105"/>
    <d v="2019-04-12T00:00:00"/>
    <x v="19"/>
    <s v="Male"/>
    <n v="181"/>
    <n v="81.900000000000006"/>
    <n v="11225"/>
    <n v="701.7"/>
    <n v="9.3000000000000007"/>
    <n v="68"/>
    <x v="3"/>
    <n v="26"/>
    <n v="2.61"/>
    <n v="1"/>
    <x v="1"/>
  </r>
  <r>
    <n v="1603"/>
    <d v="2019-04-13T00:00:00"/>
    <x v="25"/>
    <s v="Male"/>
    <n v="150"/>
    <n v="45"/>
    <n v="8704"/>
    <n v="589.5"/>
    <n v="7.6"/>
    <n v="78"/>
    <x v="0"/>
    <n v="0"/>
    <n v="2.69"/>
    <n v="4"/>
    <x v="2"/>
  </r>
  <r>
    <n v="1798"/>
    <d v="2019-04-14T00:00:00"/>
    <x v="35"/>
    <s v="Female"/>
    <n v="151.30000000000001"/>
    <n v="48.6"/>
    <n v="17640"/>
    <n v="900"/>
    <n v="10"/>
    <n v="76"/>
    <x v="5"/>
    <n v="89"/>
    <n v="2.78"/>
    <n v="6"/>
    <x v="2"/>
  </r>
  <r>
    <n v="1377"/>
    <d v="2019-04-15T00:00:00"/>
    <x v="18"/>
    <s v="Male"/>
    <n v="160.80000000000001"/>
    <n v="45"/>
    <n v="7512"/>
    <n v="538.4"/>
    <n v="6.9"/>
    <n v="72"/>
    <x v="5"/>
    <n v="53"/>
    <n v="2.81"/>
    <n v="8"/>
    <x v="0"/>
  </r>
  <r>
    <n v="1904"/>
    <d v="2019-04-16T00:00:00"/>
    <x v="1"/>
    <s v="Male"/>
    <n v="161"/>
    <n v="52.5"/>
    <n v="3991"/>
    <n v="349.1"/>
    <n v="7.4"/>
    <n v="83"/>
    <x v="3"/>
    <n v="35"/>
    <n v="3.57"/>
    <n v="7"/>
    <x v="2"/>
  </r>
  <r>
    <n v="1050"/>
    <d v="2019-04-17T00:00:00"/>
    <x v="19"/>
    <s v="Female"/>
    <n v="184"/>
    <n v="97.9"/>
    <n v="18801"/>
    <n v="900"/>
    <n v="6.1"/>
    <n v="78"/>
    <x v="4"/>
    <n v="27"/>
    <n v="1.93"/>
    <n v="7"/>
    <x v="0"/>
  </r>
  <r>
    <n v="1028"/>
    <d v="2019-04-18T00:00:00"/>
    <x v="20"/>
    <s v="Male"/>
    <n v="168.3"/>
    <n v="69.7"/>
    <n v="8965"/>
    <n v="559.79999999999995"/>
    <n v="7.5"/>
    <n v="102"/>
    <x v="4"/>
    <n v="40"/>
    <n v="1.97"/>
    <n v="8"/>
    <x v="1"/>
  </r>
  <r>
    <n v="1461"/>
    <d v="2019-04-19T00:00:00"/>
    <x v="20"/>
    <s v="Male"/>
    <n v="182.5"/>
    <n v="59.2"/>
    <n v="14730"/>
    <n v="775.8"/>
    <n v="7.4"/>
    <n v="93"/>
    <x v="2"/>
    <n v="30"/>
    <n v="2.96"/>
    <n v="7"/>
    <x v="1"/>
  </r>
  <r>
    <n v="1295"/>
    <d v="2019-04-20T00:00:00"/>
    <x v="32"/>
    <s v="Male"/>
    <n v="164.3"/>
    <n v="81.7"/>
    <n v="9301"/>
    <n v="490.9"/>
    <n v="8.6"/>
    <n v="65"/>
    <x v="3"/>
    <n v="69"/>
    <n v="2.41"/>
    <n v="4"/>
    <x v="2"/>
  </r>
  <r>
    <n v="1296"/>
    <d v="2019-04-21T00:00:00"/>
    <x v="17"/>
    <s v="Male"/>
    <n v="173.2"/>
    <n v="83.9"/>
    <n v="19936"/>
    <n v="889.7"/>
    <n v="7.7"/>
    <n v="87"/>
    <x v="5"/>
    <n v="25"/>
    <n v="3.29"/>
    <n v="6"/>
    <x v="1"/>
  </r>
  <r>
    <n v="1725"/>
    <d v="2019-04-22T00:00:00"/>
    <x v="28"/>
    <s v="Male"/>
    <n v="174.7"/>
    <n v="51.7"/>
    <n v="10249"/>
    <n v="647.9"/>
    <n v="6.2"/>
    <n v="68"/>
    <x v="3"/>
    <n v="34"/>
    <n v="2.89"/>
    <n v="2"/>
    <x v="0"/>
  </r>
  <r>
    <n v="1778"/>
    <d v="2019-04-23T00:00:00"/>
    <x v="28"/>
    <s v="Female"/>
    <n v="177"/>
    <n v="107.5"/>
    <n v="15155"/>
    <n v="797.2"/>
    <n v="7.4"/>
    <n v="63"/>
    <x v="1"/>
    <n v="30"/>
    <n v="3.84"/>
    <n v="8"/>
    <x v="0"/>
  </r>
  <r>
    <n v="1406"/>
    <d v="2019-04-24T00:00:00"/>
    <x v="4"/>
    <s v="Female"/>
    <n v="165.4"/>
    <n v="74.099999999999994"/>
    <n v="17080"/>
    <n v="900"/>
    <n v="6"/>
    <n v="60"/>
    <x v="4"/>
    <n v="46"/>
    <n v="2.44"/>
    <n v="3"/>
    <x v="2"/>
  </r>
  <r>
    <n v="1768"/>
    <d v="2019-04-25T00:00:00"/>
    <x v="0"/>
    <s v="Male"/>
    <n v="166.2"/>
    <n v="76"/>
    <n v="3042"/>
    <n v="302.7"/>
    <n v="7.8"/>
    <n v="71"/>
    <x v="0"/>
    <n v="0"/>
    <n v="1.46"/>
    <n v="4"/>
    <x v="0"/>
  </r>
  <r>
    <n v="1813"/>
    <d v="2019-04-26T00:00:00"/>
    <x v="1"/>
    <s v="Female"/>
    <n v="167"/>
    <n v="77.5"/>
    <n v="19565"/>
    <n v="900"/>
    <n v="6.2"/>
    <n v="85"/>
    <x v="1"/>
    <n v="57"/>
    <n v="2.74"/>
    <n v="2"/>
    <x v="0"/>
  </r>
  <r>
    <n v="1612"/>
    <d v="2019-04-27T00:00:00"/>
    <x v="5"/>
    <s v="Male"/>
    <n v="153.5"/>
    <n v="77.400000000000006"/>
    <n v="15834"/>
    <n v="879.8"/>
    <n v="4.9000000000000004"/>
    <n v="77"/>
    <x v="5"/>
    <n v="23"/>
    <n v="2.4500000000000002"/>
    <n v="9"/>
    <x v="0"/>
  </r>
  <r>
    <n v="1404"/>
    <d v="2019-04-28T00:00:00"/>
    <x v="5"/>
    <s v="Male"/>
    <n v="169.2"/>
    <n v="60.7"/>
    <n v="5492"/>
    <n v="497.4"/>
    <n v="5.3"/>
    <n v="80"/>
    <x v="4"/>
    <n v="64"/>
    <n v="2.87"/>
    <n v="2"/>
    <x v="2"/>
  </r>
  <r>
    <n v="1345"/>
    <d v="2019-04-29T00:00:00"/>
    <x v="38"/>
    <s v="Male"/>
    <n v="166.2"/>
    <n v="101.7"/>
    <n v="4558"/>
    <n v="366.5"/>
    <n v="5.2"/>
    <n v="50"/>
    <x v="5"/>
    <n v="29"/>
    <n v="2.96"/>
    <n v="6"/>
    <x v="1"/>
  </r>
  <r>
    <n v="1621"/>
    <d v="2019-04-30T00:00:00"/>
    <x v="21"/>
    <s v="Male"/>
    <n v="175.8"/>
    <n v="65.7"/>
    <n v="10813"/>
    <n v="582.5"/>
    <n v="6.2"/>
    <n v="73"/>
    <x v="5"/>
    <n v="73"/>
    <n v="2.13"/>
    <n v="3"/>
    <x v="0"/>
  </r>
  <r>
    <n v="1419"/>
    <d v="2019-05-01T00:00:00"/>
    <x v="35"/>
    <s v="Male"/>
    <n v="170.9"/>
    <n v="84.4"/>
    <n v="4658"/>
    <n v="447"/>
    <n v="5.7"/>
    <n v="64"/>
    <x v="5"/>
    <n v="48"/>
    <n v="1.79"/>
    <n v="6"/>
    <x v="1"/>
  </r>
  <r>
    <n v="1181"/>
    <d v="2019-05-02T00:00:00"/>
    <x v="38"/>
    <s v="Female"/>
    <n v="183.4"/>
    <n v="62.9"/>
    <n v="17319"/>
    <n v="878.4"/>
    <n v="7"/>
    <n v="59"/>
    <x v="2"/>
    <n v="31"/>
    <n v="2.4"/>
    <n v="4"/>
    <x v="1"/>
  </r>
  <r>
    <n v="1982"/>
    <d v="2019-05-03T00:00:00"/>
    <x v="9"/>
    <s v="Female"/>
    <n v="170.7"/>
    <n v="60.2"/>
    <n v="4884"/>
    <n v="371.1"/>
    <n v="6.4"/>
    <n v="63"/>
    <x v="5"/>
    <n v="75"/>
    <n v="0.83"/>
    <n v="8"/>
    <x v="2"/>
  </r>
  <r>
    <n v="1824"/>
    <d v="2019-05-04T00:00:00"/>
    <x v="19"/>
    <s v="Male"/>
    <n v="164.4"/>
    <n v="98.5"/>
    <n v="5780"/>
    <n v="411.2"/>
    <n v="7.8"/>
    <n v="76"/>
    <x v="5"/>
    <n v="59"/>
    <n v="2.56"/>
    <n v="3"/>
    <x v="2"/>
  </r>
  <r>
    <n v="1000"/>
    <d v="2019-05-05T00:00:00"/>
    <x v="27"/>
    <s v="Female"/>
    <n v="170.6"/>
    <n v="68.400000000000006"/>
    <n v="6952"/>
    <n v="442.1"/>
    <n v="7.6"/>
    <n v="82"/>
    <x v="1"/>
    <n v="56"/>
    <n v="2.21"/>
    <n v="8"/>
    <x v="1"/>
  </r>
  <r>
    <n v="1830"/>
    <d v="2019-05-06T00:00:00"/>
    <x v="0"/>
    <s v="Male"/>
    <n v="177.2"/>
    <n v="69.5"/>
    <n v="8517"/>
    <n v="579.4"/>
    <n v="6.5"/>
    <n v="66"/>
    <x v="1"/>
    <n v="85"/>
    <n v="3.1"/>
    <n v="3"/>
    <x v="2"/>
  </r>
  <r>
    <n v="1949"/>
    <d v="2019-05-07T00:00:00"/>
    <x v="35"/>
    <s v="Female"/>
    <n v="152.30000000000001"/>
    <n v="74.3"/>
    <n v="6106"/>
    <n v="377.3"/>
    <n v="8.9"/>
    <n v="81"/>
    <x v="1"/>
    <n v="39"/>
    <n v="1.1100000000000001"/>
    <n v="5"/>
    <x v="1"/>
  </r>
  <r>
    <n v="1566"/>
    <d v="2019-05-08T00:00:00"/>
    <x v="6"/>
    <s v="Male"/>
    <n v="162.80000000000001"/>
    <n v="109"/>
    <n v="19550"/>
    <n v="900"/>
    <n v="5.6"/>
    <n v="83"/>
    <x v="4"/>
    <n v="31"/>
    <n v="2.5"/>
    <n v="2"/>
    <x v="0"/>
  </r>
  <r>
    <n v="1370"/>
    <d v="2019-05-09T00:00:00"/>
    <x v="27"/>
    <s v="Female"/>
    <n v="163.1"/>
    <n v="102.5"/>
    <n v="5397"/>
    <n v="428.4"/>
    <n v="8.5"/>
    <n v="78"/>
    <x v="2"/>
    <n v="57"/>
    <n v="3.6"/>
    <n v="6"/>
    <x v="1"/>
  </r>
  <r>
    <n v="1935"/>
    <d v="2019-05-10T00:00:00"/>
    <x v="25"/>
    <s v="Male"/>
    <n v="174.1"/>
    <n v="89.3"/>
    <n v="13643"/>
    <n v="715.8"/>
    <n v="7.2"/>
    <n v="66"/>
    <x v="4"/>
    <n v="49"/>
    <n v="2.97"/>
    <n v="7"/>
    <x v="1"/>
  </r>
  <r>
    <n v="1910"/>
    <d v="2019-05-11T00:00:00"/>
    <x v="15"/>
    <s v="Male"/>
    <n v="175.3"/>
    <n v="112.8"/>
    <n v="15822"/>
    <n v="900"/>
    <n v="6.4"/>
    <n v="70"/>
    <x v="2"/>
    <n v="66"/>
    <n v="3.19"/>
    <n v="8"/>
    <x v="0"/>
  </r>
  <r>
    <n v="1660"/>
    <d v="2019-05-12T00:00:00"/>
    <x v="20"/>
    <s v="Female"/>
    <n v="171"/>
    <n v="55.8"/>
    <n v="11462"/>
    <n v="703.4"/>
    <n v="8.6999999999999993"/>
    <n v="78"/>
    <x v="2"/>
    <n v="61"/>
    <n v="2.74"/>
    <n v="4"/>
    <x v="2"/>
  </r>
  <r>
    <n v="1430"/>
    <d v="2019-05-13T00:00:00"/>
    <x v="36"/>
    <s v="Female"/>
    <n v="150"/>
    <n v="79.8"/>
    <n v="4711"/>
    <n v="365.7"/>
    <n v="7.8"/>
    <n v="68"/>
    <x v="3"/>
    <n v="24"/>
    <n v="1.34"/>
    <n v="9"/>
    <x v="1"/>
  </r>
  <r>
    <n v="1968"/>
    <d v="2019-05-14T00:00:00"/>
    <x v="33"/>
    <s v="Male"/>
    <n v="153.5"/>
    <n v="71.099999999999994"/>
    <n v="2586"/>
    <n v="298.10000000000002"/>
    <n v="5.4"/>
    <n v="81"/>
    <x v="0"/>
    <n v="0"/>
    <n v="2.62"/>
    <n v="2"/>
    <x v="2"/>
  </r>
  <r>
    <n v="1308"/>
    <d v="2019-05-15T00:00:00"/>
    <x v="32"/>
    <s v="Female"/>
    <n v="167.6"/>
    <n v="45"/>
    <n v="10406"/>
    <n v="661"/>
    <n v="7.5"/>
    <n v="64"/>
    <x v="3"/>
    <n v="70"/>
    <n v="2.79"/>
    <n v="8"/>
    <x v="0"/>
  </r>
  <r>
    <n v="1136"/>
    <d v="2019-05-16T00:00:00"/>
    <x v="32"/>
    <s v="Male"/>
    <n v="165"/>
    <n v="76.900000000000006"/>
    <n v="8138"/>
    <n v="529.5"/>
    <n v="7.5"/>
    <n v="79"/>
    <x v="3"/>
    <n v="31"/>
    <n v="1.75"/>
    <n v="6"/>
    <x v="1"/>
  </r>
  <r>
    <n v="1201"/>
    <d v="2019-05-17T00:00:00"/>
    <x v="21"/>
    <s v="Female"/>
    <n v="170.1"/>
    <n v="62.6"/>
    <n v="8662"/>
    <n v="616.6"/>
    <n v="8.5"/>
    <n v="84"/>
    <x v="2"/>
    <n v="29"/>
    <n v="2.41"/>
    <n v="4"/>
    <x v="1"/>
  </r>
  <r>
    <n v="1435"/>
    <d v="2019-05-18T00:00:00"/>
    <x v="15"/>
    <s v="Female"/>
    <n v="165.3"/>
    <n v="93"/>
    <n v="8404"/>
    <n v="564.5"/>
    <n v="7.9"/>
    <n v="77"/>
    <x v="2"/>
    <n v="56"/>
    <n v="0.5"/>
    <n v="2"/>
    <x v="1"/>
  </r>
  <r>
    <n v="1312"/>
    <d v="2019-05-19T00:00:00"/>
    <x v="2"/>
    <s v="Male"/>
    <n v="185.3"/>
    <n v="64.099999999999994"/>
    <n v="14333"/>
    <n v="786"/>
    <n v="8"/>
    <n v="65"/>
    <x v="4"/>
    <n v="85"/>
    <n v="2.27"/>
    <n v="4"/>
    <x v="1"/>
  </r>
  <r>
    <n v="1116"/>
    <d v="2019-05-20T00:00:00"/>
    <x v="1"/>
    <s v="Female"/>
    <n v="150"/>
    <n v="63.2"/>
    <n v="10837"/>
    <n v="645.70000000000005"/>
    <n v="6.3"/>
    <n v="59"/>
    <x v="2"/>
    <n v="86"/>
    <n v="2.19"/>
    <n v="3"/>
    <x v="2"/>
  </r>
  <r>
    <n v="1665"/>
    <d v="2019-05-21T00:00:00"/>
    <x v="29"/>
    <s v="Female"/>
    <n v="173"/>
    <n v="93"/>
    <n v="10542"/>
    <n v="779.1"/>
    <n v="6.7"/>
    <n v="64"/>
    <x v="5"/>
    <n v="33"/>
    <n v="3.48"/>
    <n v="4"/>
    <x v="2"/>
  </r>
  <r>
    <n v="1936"/>
    <d v="2019-05-22T00:00:00"/>
    <x v="13"/>
    <s v="Male"/>
    <n v="178.3"/>
    <n v="69"/>
    <n v="16904"/>
    <n v="825.2"/>
    <n v="6.6"/>
    <n v="80"/>
    <x v="5"/>
    <n v="66"/>
    <n v="2.08"/>
    <n v="4"/>
    <x v="0"/>
  </r>
  <r>
    <n v="1802"/>
    <d v="2019-05-23T00:00:00"/>
    <x v="39"/>
    <s v="Female"/>
    <n v="177"/>
    <n v="87.4"/>
    <n v="9556"/>
    <n v="527.5"/>
    <n v="4.5999999999999996"/>
    <n v="73"/>
    <x v="2"/>
    <n v="39"/>
    <n v="2.31"/>
    <n v="7"/>
    <x v="2"/>
  </r>
  <r>
    <n v="1574"/>
    <d v="2019-05-24T00:00:00"/>
    <x v="24"/>
    <s v="Male"/>
    <n v="177.9"/>
    <n v="76.400000000000006"/>
    <n v="14355"/>
    <n v="762.1"/>
    <n v="8.9"/>
    <n v="69"/>
    <x v="5"/>
    <n v="71"/>
    <n v="2.44"/>
    <n v="1"/>
    <x v="1"/>
  </r>
  <r>
    <n v="1243"/>
    <d v="2019-05-25T00:00:00"/>
    <x v="10"/>
    <s v="Male"/>
    <n v="179.3"/>
    <n v="76.599999999999994"/>
    <n v="13806"/>
    <n v="822.5"/>
    <n v="5.3"/>
    <n v="79"/>
    <x v="2"/>
    <n v="87"/>
    <n v="2.09"/>
    <n v="9"/>
    <x v="0"/>
  </r>
  <r>
    <n v="1536"/>
    <d v="2019-05-26T00:00:00"/>
    <x v="12"/>
    <s v="Male"/>
    <n v="164"/>
    <n v="66.3"/>
    <n v="10818"/>
    <n v="509.5"/>
    <n v="7.4"/>
    <n v="55"/>
    <x v="3"/>
    <n v="45"/>
    <n v="3"/>
    <n v="5"/>
    <x v="1"/>
  </r>
  <r>
    <n v="1601"/>
    <d v="2019-05-27T00:00:00"/>
    <x v="26"/>
    <s v="Male"/>
    <n v="159"/>
    <n v="77.5"/>
    <n v="15864"/>
    <n v="739.4"/>
    <n v="6.5"/>
    <n v="72"/>
    <x v="2"/>
    <n v="66"/>
    <n v="1.1100000000000001"/>
    <n v="3"/>
    <x v="1"/>
  </r>
  <r>
    <n v="1074"/>
    <d v="2019-05-28T00:00:00"/>
    <x v="25"/>
    <s v="Male"/>
    <n v="150"/>
    <n v="68"/>
    <n v="1981"/>
    <n v="259.3"/>
    <n v="6.6"/>
    <n v="64"/>
    <x v="3"/>
    <n v="22"/>
    <n v="3.3"/>
    <n v="7"/>
    <x v="0"/>
  </r>
  <r>
    <n v="1805"/>
    <d v="2019-05-29T00:00:00"/>
    <x v="31"/>
    <s v="Female"/>
    <n v="166.4"/>
    <n v="57.9"/>
    <n v="11228"/>
    <n v="755.1"/>
    <n v="8"/>
    <n v="61"/>
    <x v="1"/>
    <n v="21"/>
    <n v="2.4900000000000002"/>
    <n v="7"/>
    <x v="1"/>
  </r>
  <r>
    <n v="1385"/>
    <d v="2019-05-30T00:00:00"/>
    <x v="39"/>
    <s v="Male"/>
    <n v="162.19999999999999"/>
    <n v="68.400000000000006"/>
    <n v="4552"/>
    <n v="383.4"/>
    <n v="5.8"/>
    <n v="70"/>
    <x v="5"/>
    <n v="60"/>
    <n v="3.41"/>
    <n v="8"/>
    <x v="1"/>
  </r>
  <r>
    <n v="1902"/>
    <d v="2019-05-31T00:00:00"/>
    <x v="24"/>
    <s v="Male"/>
    <n v="181.6"/>
    <n v="89.3"/>
    <n v="18305"/>
    <n v="874.1"/>
    <n v="7.7"/>
    <n v="100"/>
    <x v="1"/>
    <n v="49"/>
    <n v="0.57999999999999996"/>
    <n v="10"/>
    <x v="0"/>
  </r>
  <r>
    <n v="1209"/>
    <d v="2019-06-01T00:00:00"/>
    <x v="24"/>
    <s v="Female"/>
    <n v="167.1"/>
    <n v="78"/>
    <n v="12938"/>
    <n v="758.6"/>
    <n v="7.7"/>
    <n v="81"/>
    <x v="5"/>
    <n v="56"/>
    <n v="0.79"/>
    <n v="4"/>
    <x v="2"/>
  </r>
  <r>
    <n v="1474"/>
    <d v="2019-06-02T00:00:00"/>
    <x v="22"/>
    <s v="Female"/>
    <n v="159.69999999999999"/>
    <n v="81.5"/>
    <n v="17318"/>
    <n v="900"/>
    <n v="5.8"/>
    <n v="64"/>
    <x v="0"/>
    <n v="0"/>
    <n v="2.2999999999999998"/>
    <n v="9"/>
    <x v="0"/>
  </r>
  <r>
    <n v="1417"/>
    <d v="2019-06-03T00:00:00"/>
    <x v="18"/>
    <s v="Female"/>
    <n v="158.1"/>
    <n v="70"/>
    <n v="6052"/>
    <n v="410.1"/>
    <n v="8.4"/>
    <n v="87"/>
    <x v="0"/>
    <n v="0"/>
    <n v="2.85"/>
    <n v="2"/>
    <x v="0"/>
  </r>
  <r>
    <n v="1346"/>
    <d v="2019-06-04T00:00:00"/>
    <x v="0"/>
    <s v="Male"/>
    <n v="189.9"/>
    <n v="45"/>
    <n v="6406"/>
    <n v="479"/>
    <n v="9.1"/>
    <n v="62"/>
    <x v="0"/>
    <n v="0"/>
    <n v="2.11"/>
    <n v="6"/>
    <x v="0"/>
  </r>
  <r>
    <n v="1528"/>
    <d v="2019-06-05T00:00:00"/>
    <x v="41"/>
    <s v="Male"/>
    <n v="169.8"/>
    <n v="51.7"/>
    <n v="18858"/>
    <n v="900"/>
    <n v="10"/>
    <n v="90"/>
    <x v="1"/>
    <n v="28"/>
    <n v="2.91"/>
    <n v="3"/>
    <x v="2"/>
  </r>
  <r>
    <n v="1639"/>
    <d v="2019-06-06T00:00:00"/>
    <x v="11"/>
    <s v="Male"/>
    <n v="162.19999999999999"/>
    <n v="65.7"/>
    <n v="13850"/>
    <n v="782.6"/>
    <n v="6.6"/>
    <n v="66"/>
    <x v="0"/>
    <n v="0"/>
    <n v="3.19"/>
    <n v="8"/>
    <x v="0"/>
  </r>
  <r>
    <n v="1938"/>
    <d v="2019-06-07T00:00:00"/>
    <x v="9"/>
    <s v="Female"/>
    <n v="171.2"/>
    <n v="53"/>
    <n v="13601"/>
    <n v="721.1"/>
    <n v="7.3"/>
    <n v="76"/>
    <x v="2"/>
    <n v="43"/>
    <n v="2.97"/>
    <n v="8"/>
    <x v="2"/>
  </r>
  <r>
    <n v="1954"/>
    <d v="2019-06-08T00:00:00"/>
    <x v="31"/>
    <s v="Male"/>
    <n v="189"/>
    <n v="62.1"/>
    <n v="8098"/>
    <n v="555.4"/>
    <n v="7.4"/>
    <n v="96"/>
    <x v="0"/>
    <n v="0"/>
    <n v="2.57"/>
    <n v="6"/>
    <x v="1"/>
  </r>
  <r>
    <n v="1875"/>
    <d v="2019-06-09T00:00:00"/>
    <x v="33"/>
    <s v="Female"/>
    <n v="166.1"/>
    <n v="61.6"/>
    <n v="7719"/>
    <n v="550.70000000000005"/>
    <n v="8"/>
    <n v="71"/>
    <x v="1"/>
    <n v="73"/>
    <n v="2.57"/>
    <n v="4"/>
    <x v="0"/>
  </r>
  <r>
    <n v="1762"/>
    <d v="2019-06-10T00:00:00"/>
    <x v="0"/>
    <s v="Male"/>
    <n v="176.9"/>
    <n v="62"/>
    <n v="16856"/>
    <n v="900"/>
    <n v="9.6"/>
    <n v="93"/>
    <x v="5"/>
    <n v="37"/>
    <n v="2.0699999999999998"/>
    <n v="8"/>
    <x v="1"/>
  </r>
  <r>
    <n v="1178"/>
    <d v="2019-06-11T00:00:00"/>
    <x v="20"/>
    <s v="Female"/>
    <n v="181.9"/>
    <n v="91.6"/>
    <n v="9594"/>
    <n v="502.6"/>
    <n v="7.7"/>
    <n v="74"/>
    <x v="4"/>
    <n v="58"/>
    <n v="2.46"/>
    <n v="6"/>
    <x v="1"/>
  </r>
  <r>
    <n v="1181"/>
    <d v="2019-06-12T00:00:00"/>
    <x v="0"/>
    <s v="Male"/>
    <n v="151.1"/>
    <n v="69.2"/>
    <n v="1612"/>
    <n v="192.8"/>
    <n v="7.8"/>
    <n v="74"/>
    <x v="5"/>
    <n v="66"/>
    <n v="1.78"/>
    <n v="9"/>
    <x v="2"/>
  </r>
  <r>
    <n v="1663"/>
    <d v="2019-06-13T00:00:00"/>
    <x v="30"/>
    <s v="Male"/>
    <n v="163.6"/>
    <n v="84"/>
    <n v="8286"/>
    <n v="497"/>
    <n v="5.4"/>
    <n v="66"/>
    <x v="4"/>
    <n v="46"/>
    <n v="1.95"/>
    <n v="7"/>
    <x v="1"/>
  </r>
  <r>
    <n v="1024"/>
    <d v="2019-06-14T00:00:00"/>
    <x v="6"/>
    <s v="Male"/>
    <n v="180.6"/>
    <n v="72.5"/>
    <n v="11068"/>
    <n v="656.1"/>
    <n v="10"/>
    <n v="89"/>
    <x v="2"/>
    <n v="53"/>
    <n v="2.86"/>
    <n v="9"/>
    <x v="1"/>
  </r>
  <r>
    <n v="1966"/>
    <d v="2019-06-15T00:00:00"/>
    <x v="39"/>
    <s v="Female"/>
    <n v="163"/>
    <n v="91.2"/>
    <n v="10805"/>
    <n v="660.2"/>
    <n v="6.3"/>
    <n v="70"/>
    <x v="5"/>
    <n v="38"/>
    <n v="2.1800000000000002"/>
    <n v="8"/>
    <x v="0"/>
  </r>
  <r>
    <n v="1179"/>
    <d v="2019-06-16T00:00:00"/>
    <x v="5"/>
    <s v="Female"/>
    <n v="174.1"/>
    <n v="85.3"/>
    <n v="4017"/>
    <n v="308"/>
    <n v="3"/>
    <n v="94"/>
    <x v="1"/>
    <n v="25"/>
    <n v="1.98"/>
    <n v="4"/>
    <x v="1"/>
  </r>
  <r>
    <n v="1709"/>
    <d v="2019-06-17T00:00:00"/>
    <x v="16"/>
    <s v="Male"/>
    <n v="162.4"/>
    <n v="61.1"/>
    <n v="10926"/>
    <n v="653.29999999999995"/>
    <n v="3.6"/>
    <n v="69"/>
    <x v="2"/>
    <n v="49"/>
    <n v="2.81"/>
    <n v="6"/>
    <x v="0"/>
  </r>
  <r>
    <n v="1500"/>
    <d v="2019-06-18T00:00:00"/>
    <x v="22"/>
    <s v="Male"/>
    <n v="165.5"/>
    <n v="99.4"/>
    <n v="12740"/>
    <n v="756.9"/>
    <n v="7.5"/>
    <n v="70"/>
    <x v="5"/>
    <n v="31"/>
    <n v="2.77"/>
    <n v="7"/>
    <x v="1"/>
  </r>
  <r>
    <n v="1855"/>
    <d v="2019-06-19T00:00:00"/>
    <x v="15"/>
    <s v="Male"/>
    <n v="164.3"/>
    <n v="63.2"/>
    <n v="11572"/>
    <n v="696.3"/>
    <n v="5.0999999999999996"/>
    <n v="85"/>
    <x v="2"/>
    <n v="34"/>
    <n v="2.35"/>
    <n v="4"/>
    <x v="2"/>
  </r>
  <r>
    <n v="1160"/>
    <d v="2019-06-20T00:00:00"/>
    <x v="32"/>
    <s v="Female"/>
    <n v="176.4"/>
    <n v="73"/>
    <n v="17237"/>
    <n v="866.5"/>
    <n v="7.1"/>
    <n v="74"/>
    <x v="4"/>
    <n v="58"/>
    <n v="2.4"/>
    <n v="4"/>
    <x v="1"/>
  </r>
  <r>
    <n v="1176"/>
    <d v="2019-06-21T00:00:00"/>
    <x v="7"/>
    <s v="Male"/>
    <n v="172"/>
    <n v="75.7"/>
    <n v="11002"/>
    <n v="621.70000000000005"/>
    <n v="4.8"/>
    <n v="78"/>
    <x v="2"/>
    <n v="83"/>
    <n v="2.79"/>
    <n v="10"/>
    <x v="2"/>
  </r>
  <r>
    <n v="1284"/>
    <d v="2019-06-22T00:00:00"/>
    <x v="25"/>
    <s v="Male"/>
    <n v="171"/>
    <n v="77.3"/>
    <n v="16818"/>
    <n v="807.8"/>
    <n v="7.5"/>
    <n v="62"/>
    <x v="1"/>
    <n v="83"/>
    <n v="3.18"/>
    <n v="3"/>
    <x v="0"/>
  </r>
  <r>
    <n v="1062"/>
    <d v="2019-06-23T00:00:00"/>
    <x v="33"/>
    <s v="Male"/>
    <n v="195.1"/>
    <n v="81.900000000000006"/>
    <n v="4201"/>
    <n v="455.1"/>
    <n v="7.8"/>
    <n v="76"/>
    <x v="5"/>
    <n v="34"/>
    <n v="2.64"/>
    <n v="10"/>
    <x v="0"/>
  </r>
  <r>
    <n v="1661"/>
    <d v="2019-06-24T00:00:00"/>
    <x v="7"/>
    <s v="Male"/>
    <n v="187.4"/>
    <n v="58.6"/>
    <n v="1752"/>
    <n v="293.8"/>
    <n v="7.3"/>
    <n v="79"/>
    <x v="4"/>
    <n v="77"/>
    <n v="1.67"/>
    <n v="6"/>
    <x v="1"/>
  </r>
  <r>
    <n v="1665"/>
    <d v="2019-06-25T00:00:00"/>
    <x v="34"/>
    <s v="Female"/>
    <n v="150.19999999999999"/>
    <n v="80.7"/>
    <n v="8556"/>
    <n v="461.6"/>
    <n v="6"/>
    <n v="92"/>
    <x v="2"/>
    <n v="86"/>
    <n v="2.35"/>
    <n v="2"/>
    <x v="1"/>
  </r>
  <r>
    <n v="1155"/>
    <d v="2019-06-26T00:00:00"/>
    <x v="32"/>
    <s v="Female"/>
    <n v="165.6"/>
    <n v="78.7"/>
    <n v="2341"/>
    <n v="355"/>
    <n v="8.3000000000000007"/>
    <n v="70"/>
    <x v="3"/>
    <n v="20"/>
    <n v="2.21"/>
    <n v="4"/>
    <x v="0"/>
  </r>
  <r>
    <n v="1881"/>
    <d v="2019-06-27T00:00:00"/>
    <x v="24"/>
    <s v="Male"/>
    <n v="194.3"/>
    <n v="70"/>
    <n v="14981"/>
    <n v="832.2"/>
    <n v="6.4"/>
    <n v="78"/>
    <x v="4"/>
    <n v="26"/>
    <n v="1.76"/>
    <n v="8"/>
    <x v="0"/>
  </r>
  <r>
    <n v="1468"/>
    <d v="2019-06-28T00:00:00"/>
    <x v="5"/>
    <s v="Male"/>
    <n v="164.3"/>
    <n v="67.2"/>
    <n v="9696"/>
    <n v="647.6"/>
    <n v="6.7"/>
    <n v="87"/>
    <x v="4"/>
    <n v="28"/>
    <n v="2.85"/>
    <n v="3"/>
    <x v="0"/>
  </r>
  <r>
    <n v="1048"/>
    <d v="2019-06-29T00:00:00"/>
    <x v="37"/>
    <s v="Female"/>
    <n v="190.9"/>
    <n v="57.9"/>
    <n v="15525"/>
    <n v="793.1"/>
    <n v="6.2"/>
    <n v="75"/>
    <x v="1"/>
    <n v="20"/>
    <n v="2.9"/>
    <n v="8"/>
    <x v="2"/>
  </r>
  <r>
    <n v="1966"/>
    <d v="2019-06-30T00:00:00"/>
    <x v="11"/>
    <s v="Female"/>
    <n v="165.7"/>
    <n v="77.2"/>
    <n v="6565"/>
    <n v="441.6"/>
    <n v="6.6"/>
    <n v="86"/>
    <x v="1"/>
    <n v="24"/>
    <n v="3.01"/>
    <n v="7"/>
    <x v="1"/>
  </r>
  <r>
    <n v="1848"/>
    <d v="2019-07-01T00:00:00"/>
    <x v="2"/>
    <s v="Male"/>
    <n v="167.7"/>
    <n v="60.1"/>
    <n v="15947"/>
    <n v="797.2"/>
    <n v="9.8000000000000007"/>
    <n v="100"/>
    <x v="2"/>
    <n v="66"/>
    <n v="1.81"/>
    <n v="7"/>
    <x v="0"/>
  </r>
  <r>
    <n v="1083"/>
    <d v="2019-07-02T00:00:00"/>
    <x v="18"/>
    <s v="Female"/>
    <n v="178.6"/>
    <n v="73.599999999999994"/>
    <n v="8930"/>
    <n v="663.1"/>
    <n v="7"/>
    <n v="75"/>
    <x v="3"/>
    <n v="29"/>
    <n v="2.61"/>
    <n v="9"/>
    <x v="0"/>
  </r>
  <r>
    <n v="1360"/>
    <d v="2019-07-03T00:00:00"/>
    <x v="0"/>
    <s v="Female"/>
    <n v="169.1"/>
    <n v="68.5"/>
    <n v="7517"/>
    <n v="475.6"/>
    <n v="5.0999999999999996"/>
    <n v="88"/>
    <x v="4"/>
    <n v="21"/>
    <n v="2.5"/>
    <n v="4"/>
    <x v="1"/>
  </r>
  <r>
    <n v="1688"/>
    <d v="2019-07-04T00:00:00"/>
    <x v="9"/>
    <s v="Male"/>
    <n v="174.9"/>
    <n v="50"/>
    <n v="15287"/>
    <n v="763.7"/>
    <n v="5.6"/>
    <n v="80"/>
    <x v="2"/>
    <n v="42"/>
    <n v="2.72"/>
    <n v="8"/>
    <x v="1"/>
  </r>
  <r>
    <n v="1147"/>
    <d v="2019-07-05T00:00:00"/>
    <x v="19"/>
    <s v="Female"/>
    <n v="185.7"/>
    <n v="56"/>
    <n v="12829"/>
    <n v="680.8"/>
    <n v="6.6"/>
    <n v="84"/>
    <x v="0"/>
    <n v="0"/>
    <n v="2.59"/>
    <n v="2"/>
    <x v="2"/>
  </r>
  <r>
    <n v="1629"/>
    <d v="2019-07-06T00:00:00"/>
    <x v="38"/>
    <s v="Female"/>
    <n v="177.6"/>
    <n v="76.099999999999994"/>
    <n v="3422"/>
    <n v="320.60000000000002"/>
    <n v="5.8"/>
    <n v="82"/>
    <x v="3"/>
    <n v="38"/>
    <n v="2.4900000000000002"/>
    <n v="3"/>
    <x v="0"/>
  </r>
  <r>
    <n v="1341"/>
    <d v="2019-07-07T00:00:00"/>
    <x v="21"/>
    <s v="Male"/>
    <n v="171.4"/>
    <n v="62.1"/>
    <n v="14960"/>
    <n v="876.2"/>
    <n v="8.4"/>
    <n v="86"/>
    <x v="2"/>
    <n v="57"/>
    <n v="2.41"/>
    <n v="4"/>
    <x v="1"/>
  </r>
  <r>
    <n v="1475"/>
    <d v="2019-07-08T00:00:00"/>
    <x v="22"/>
    <s v="Male"/>
    <n v="186.7"/>
    <n v="61.6"/>
    <n v="9865"/>
    <n v="608.4"/>
    <n v="4.9000000000000004"/>
    <n v="85"/>
    <x v="4"/>
    <n v="66"/>
    <n v="3.27"/>
    <n v="9"/>
    <x v="2"/>
  </r>
  <r>
    <n v="1062"/>
    <d v="2019-07-09T00:00:00"/>
    <x v="23"/>
    <s v="Female"/>
    <n v="178.8"/>
    <n v="58.5"/>
    <n v="6985"/>
    <n v="541.1"/>
    <n v="6.8"/>
    <n v="74"/>
    <x v="2"/>
    <n v="71"/>
    <n v="1.9"/>
    <n v="1"/>
    <x v="0"/>
  </r>
  <r>
    <n v="1700"/>
    <d v="2019-07-10T00:00:00"/>
    <x v="9"/>
    <s v="Male"/>
    <n v="162.69999999999999"/>
    <n v="59"/>
    <n v="7947"/>
    <n v="532.1"/>
    <n v="8.5"/>
    <n v="69"/>
    <x v="1"/>
    <n v="68"/>
    <n v="2.38"/>
    <n v="7"/>
    <x v="2"/>
  </r>
  <r>
    <n v="1359"/>
    <d v="2019-07-11T00:00:00"/>
    <x v="39"/>
    <s v="Female"/>
    <n v="189.8"/>
    <n v="94.6"/>
    <n v="14790"/>
    <n v="782.6"/>
    <n v="6.1"/>
    <n v="79"/>
    <x v="1"/>
    <n v="42"/>
    <n v="3.26"/>
    <n v="2"/>
    <x v="1"/>
  </r>
  <r>
    <n v="1560"/>
    <d v="2019-07-12T00:00:00"/>
    <x v="0"/>
    <s v="Male"/>
    <n v="176.4"/>
    <n v="53.2"/>
    <n v="15739"/>
    <n v="777.4"/>
    <n v="7.7"/>
    <n v="60"/>
    <x v="5"/>
    <n v="69"/>
    <n v="1.93"/>
    <n v="5"/>
    <x v="2"/>
  </r>
  <r>
    <n v="1326"/>
    <d v="2019-07-13T00:00:00"/>
    <x v="36"/>
    <s v="Female"/>
    <n v="167.9"/>
    <n v="92.1"/>
    <n v="11971"/>
    <n v="758.5"/>
    <n v="6.9"/>
    <n v="81"/>
    <x v="3"/>
    <n v="36"/>
    <n v="1.97"/>
    <n v="1"/>
    <x v="0"/>
  </r>
  <r>
    <n v="1768"/>
    <d v="2019-07-14T00:00:00"/>
    <x v="37"/>
    <s v="Male"/>
    <n v="150"/>
    <n v="65"/>
    <n v="4668"/>
    <n v="436.3"/>
    <n v="7"/>
    <n v="82"/>
    <x v="0"/>
    <n v="0"/>
    <n v="3.01"/>
    <n v="6"/>
    <x v="1"/>
  </r>
  <r>
    <n v="1735"/>
    <d v="2019-07-15T00:00:00"/>
    <x v="34"/>
    <s v="Female"/>
    <n v="156.19999999999999"/>
    <n v="60.2"/>
    <n v="11744"/>
    <n v="723.9"/>
    <n v="7.8"/>
    <n v="73"/>
    <x v="4"/>
    <n v="21"/>
    <n v="1.5"/>
    <n v="3"/>
    <x v="0"/>
  </r>
  <r>
    <n v="1140"/>
    <d v="2019-07-16T00:00:00"/>
    <x v="15"/>
    <s v="Female"/>
    <n v="187"/>
    <n v="75.8"/>
    <n v="5509"/>
    <n v="466.6"/>
    <n v="4.2"/>
    <n v="75"/>
    <x v="3"/>
    <n v="88"/>
    <n v="2.96"/>
    <n v="6"/>
    <x v="2"/>
  </r>
  <r>
    <n v="1989"/>
    <d v="2019-07-17T00:00:00"/>
    <x v="7"/>
    <s v="Female"/>
    <n v="187.4"/>
    <n v="70.8"/>
    <n v="3500"/>
    <n v="304.5"/>
    <n v="8.8000000000000007"/>
    <n v="84"/>
    <x v="1"/>
    <n v="81"/>
    <n v="2.16"/>
    <n v="8"/>
    <x v="2"/>
  </r>
  <r>
    <n v="1214"/>
    <d v="2019-07-18T00:00:00"/>
    <x v="11"/>
    <s v="Male"/>
    <n v="170.9"/>
    <n v="67"/>
    <n v="10904"/>
    <n v="649.4"/>
    <n v="4.2"/>
    <n v="82"/>
    <x v="0"/>
    <n v="0"/>
    <n v="2.79"/>
    <n v="8"/>
    <x v="2"/>
  </r>
  <r>
    <n v="1434"/>
    <d v="2019-07-19T00:00:00"/>
    <x v="17"/>
    <s v="Male"/>
    <n v="152.30000000000001"/>
    <n v="73.3"/>
    <n v="17683"/>
    <n v="900"/>
    <n v="8.6999999999999993"/>
    <n v="84"/>
    <x v="4"/>
    <n v="80"/>
    <n v="1.65"/>
    <n v="4"/>
    <x v="1"/>
  </r>
  <r>
    <n v="1890"/>
    <d v="2019-07-20T00:00:00"/>
    <x v="12"/>
    <s v="Female"/>
    <n v="159.1"/>
    <n v="70.599999999999994"/>
    <n v="13416"/>
    <n v="783.9"/>
    <n v="7.7"/>
    <n v="83"/>
    <x v="5"/>
    <n v="30"/>
    <n v="3.33"/>
    <n v="7"/>
    <x v="2"/>
  </r>
  <r>
    <n v="1951"/>
    <d v="2019-07-21T00:00:00"/>
    <x v="0"/>
    <s v="Female"/>
    <n v="153.80000000000001"/>
    <n v="66.8"/>
    <n v="15833"/>
    <n v="841.1"/>
    <n v="7.7"/>
    <n v="76"/>
    <x v="1"/>
    <n v="46"/>
    <n v="1.65"/>
    <n v="6"/>
    <x v="1"/>
  </r>
  <r>
    <n v="1722"/>
    <d v="2019-07-22T00:00:00"/>
    <x v="40"/>
    <s v="Male"/>
    <n v="153.4"/>
    <n v="84"/>
    <n v="19290"/>
    <n v="900"/>
    <n v="9.4"/>
    <n v="75"/>
    <x v="1"/>
    <n v="54"/>
    <n v="3.01"/>
    <n v="2"/>
    <x v="2"/>
  </r>
  <r>
    <n v="1317"/>
    <d v="2019-07-23T00:00:00"/>
    <x v="26"/>
    <s v="Male"/>
    <n v="190.3"/>
    <n v="48.3"/>
    <n v="3485"/>
    <n v="366"/>
    <n v="8.8000000000000007"/>
    <n v="79"/>
    <x v="0"/>
    <n v="0"/>
    <n v="1.68"/>
    <n v="6"/>
    <x v="2"/>
  </r>
  <r>
    <n v="1031"/>
    <d v="2019-07-24T00:00:00"/>
    <x v="16"/>
    <s v="Male"/>
    <n v="190.6"/>
    <n v="56.3"/>
    <n v="15003"/>
    <n v="866.2"/>
    <n v="8.1999999999999993"/>
    <n v="90"/>
    <x v="3"/>
    <n v="87"/>
    <n v="3.77"/>
    <n v="2"/>
    <x v="1"/>
  </r>
  <r>
    <n v="1669"/>
    <d v="2019-07-25T00:00:00"/>
    <x v="17"/>
    <s v="Male"/>
    <n v="158.80000000000001"/>
    <n v="58.2"/>
    <n v="8459"/>
    <n v="548.4"/>
    <n v="6.6"/>
    <n v="78"/>
    <x v="2"/>
    <n v="80"/>
    <n v="2.4500000000000002"/>
    <n v="4"/>
    <x v="1"/>
  </r>
  <r>
    <n v="1284"/>
    <d v="2019-07-26T00:00:00"/>
    <x v="23"/>
    <s v="Male"/>
    <n v="169.9"/>
    <n v="54.1"/>
    <n v="7120"/>
    <n v="466.2"/>
    <n v="6.5"/>
    <n v="88"/>
    <x v="3"/>
    <n v="60"/>
    <n v="3.87"/>
    <n v="5"/>
    <x v="1"/>
  </r>
  <r>
    <n v="1304"/>
    <d v="2019-07-27T00:00:00"/>
    <x v="22"/>
    <s v="Male"/>
    <n v="157.19999999999999"/>
    <n v="71.3"/>
    <n v="9485"/>
    <n v="627.9"/>
    <n v="8.3000000000000007"/>
    <n v="55"/>
    <x v="1"/>
    <n v="62"/>
    <n v="1.93"/>
    <n v="9"/>
    <x v="0"/>
  </r>
  <r>
    <n v="1428"/>
    <d v="2019-07-28T00:00:00"/>
    <x v="21"/>
    <s v="Female"/>
    <n v="169.8"/>
    <n v="77.599999999999994"/>
    <n v="15251"/>
    <n v="846.7"/>
    <n v="7.7"/>
    <n v="78"/>
    <x v="3"/>
    <n v="68"/>
    <n v="2.19"/>
    <n v="3"/>
    <x v="2"/>
  </r>
  <r>
    <n v="1476"/>
    <d v="2019-07-29T00:00:00"/>
    <x v="29"/>
    <s v="Male"/>
    <n v="186.4"/>
    <n v="45"/>
    <n v="19257"/>
    <n v="900"/>
    <n v="7.5"/>
    <n v="76"/>
    <x v="2"/>
    <n v="30"/>
    <n v="3.35"/>
    <n v="5"/>
    <x v="0"/>
  </r>
  <r>
    <n v="1285"/>
    <d v="2019-07-30T00:00:00"/>
    <x v="0"/>
    <s v="Female"/>
    <n v="180.8"/>
    <n v="62.9"/>
    <n v="7172"/>
    <n v="444.6"/>
    <n v="6.9"/>
    <n v="58"/>
    <x v="5"/>
    <n v="86"/>
    <n v="1.5"/>
    <n v="2"/>
    <x v="2"/>
  </r>
  <r>
    <n v="1143"/>
    <d v="2019-07-31T00:00:00"/>
    <x v="38"/>
    <s v="Male"/>
    <n v="178.1"/>
    <n v="65.2"/>
    <n v="19472"/>
    <n v="900"/>
    <n v="6.4"/>
    <n v="60"/>
    <x v="4"/>
    <n v="70"/>
    <n v="2.0099999999999998"/>
    <n v="3"/>
    <x v="2"/>
  </r>
  <r>
    <n v="1423"/>
    <d v="2019-08-01T00:00:00"/>
    <x v="37"/>
    <s v="Male"/>
    <n v="168.1"/>
    <n v="65.7"/>
    <n v="7487"/>
    <n v="459.8"/>
    <n v="4.9000000000000004"/>
    <n v="80"/>
    <x v="1"/>
    <n v="71"/>
    <n v="2.85"/>
    <n v="5"/>
    <x v="2"/>
  </r>
  <r>
    <n v="1018"/>
    <d v="2019-08-02T00:00:00"/>
    <x v="25"/>
    <s v="Female"/>
    <n v="182.6"/>
    <n v="50.7"/>
    <n v="10964"/>
    <n v="677.4"/>
    <n v="8"/>
    <n v="76"/>
    <x v="3"/>
    <n v="62"/>
    <n v="1.79"/>
    <n v="7"/>
    <x v="2"/>
  </r>
  <r>
    <n v="1017"/>
    <d v="2019-08-03T00:00:00"/>
    <x v="38"/>
    <s v="Female"/>
    <n v="176.5"/>
    <n v="65.3"/>
    <n v="12055"/>
    <n v="627.4"/>
    <n v="6.7"/>
    <n v="83"/>
    <x v="1"/>
    <n v="77"/>
    <n v="2.87"/>
    <n v="6"/>
    <x v="0"/>
  </r>
  <r>
    <n v="1768"/>
    <d v="2019-08-04T00:00:00"/>
    <x v="30"/>
    <s v="Male"/>
    <n v="174"/>
    <n v="56.3"/>
    <n v="7880"/>
    <n v="472.8"/>
    <n v="6.6"/>
    <n v="50"/>
    <x v="4"/>
    <n v="89"/>
    <n v="2.62"/>
    <n v="2"/>
    <x v="2"/>
  </r>
  <r>
    <n v="1589"/>
    <d v="2019-08-05T00:00:00"/>
    <x v="6"/>
    <s v="Female"/>
    <n v="168.8"/>
    <n v="65"/>
    <n v="1528"/>
    <n v="275.7"/>
    <n v="4.3"/>
    <n v="86"/>
    <x v="3"/>
    <n v="48"/>
    <n v="1.44"/>
    <n v="9"/>
    <x v="0"/>
  </r>
  <r>
    <n v="1370"/>
    <d v="2019-08-06T00:00:00"/>
    <x v="13"/>
    <s v="Female"/>
    <n v="173.2"/>
    <n v="45"/>
    <n v="11325"/>
    <n v="681.9"/>
    <n v="7.1"/>
    <n v="86"/>
    <x v="5"/>
    <n v="50"/>
    <n v="3.18"/>
    <n v="8"/>
    <x v="1"/>
  </r>
  <r>
    <n v="1174"/>
    <d v="2019-08-07T00:00:00"/>
    <x v="15"/>
    <s v="Female"/>
    <n v="172.9"/>
    <n v="65.099999999999994"/>
    <n v="19308"/>
    <n v="900"/>
    <n v="5"/>
    <n v="61"/>
    <x v="4"/>
    <n v="47"/>
    <n v="1.62"/>
    <n v="9"/>
    <x v="0"/>
  </r>
  <r>
    <n v="1193"/>
    <d v="2019-08-08T00:00:00"/>
    <x v="15"/>
    <s v="Female"/>
    <n v="164.6"/>
    <n v="59.2"/>
    <n v="18246"/>
    <n v="900"/>
    <n v="6.3"/>
    <n v="89"/>
    <x v="2"/>
    <n v="69"/>
    <n v="3.04"/>
    <n v="9"/>
    <x v="2"/>
  </r>
  <r>
    <n v="1501"/>
    <d v="2019-08-09T00:00:00"/>
    <x v="2"/>
    <s v="Male"/>
    <n v="162.30000000000001"/>
    <n v="66.099999999999994"/>
    <n v="11554"/>
    <n v="717.8"/>
    <n v="8.1999999999999993"/>
    <n v="93"/>
    <x v="2"/>
    <n v="55"/>
    <n v="2.59"/>
    <n v="5"/>
    <x v="0"/>
  </r>
  <r>
    <n v="1987"/>
    <d v="2019-08-10T00:00:00"/>
    <x v="12"/>
    <s v="Female"/>
    <n v="160"/>
    <n v="74.5"/>
    <n v="16413"/>
    <n v="863.5"/>
    <n v="7.1"/>
    <n v="62"/>
    <x v="1"/>
    <n v="38"/>
    <n v="2.1800000000000002"/>
    <n v="7"/>
    <x v="0"/>
  </r>
  <r>
    <n v="1112"/>
    <d v="2019-08-11T00:00:00"/>
    <x v="12"/>
    <s v="Male"/>
    <n v="160.69999999999999"/>
    <n v="69.3"/>
    <n v="15127"/>
    <n v="814.7"/>
    <n v="6.8"/>
    <n v="76"/>
    <x v="2"/>
    <n v="86"/>
    <n v="1.73"/>
    <n v="7"/>
    <x v="1"/>
  </r>
  <r>
    <n v="1113"/>
    <d v="2019-08-12T00:00:00"/>
    <x v="21"/>
    <s v="Male"/>
    <n v="168.1"/>
    <n v="81.900000000000006"/>
    <n v="19026"/>
    <n v="900"/>
    <n v="5.9"/>
    <n v="77"/>
    <x v="3"/>
    <n v="31"/>
    <n v="2.73"/>
    <n v="10"/>
    <x v="1"/>
  </r>
  <r>
    <n v="1221"/>
    <d v="2019-08-13T00:00:00"/>
    <x v="30"/>
    <s v="Male"/>
    <n v="166.5"/>
    <n v="64.599999999999994"/>
    <n v="16693"/>
    <n v="831.6"/>
    <n v="6.2"/>
    <n v="57"/>
    <x v="2"/>
    <n v="43"/>
    <n v="1.89"/>
    <n v="9"/>
    <x v="1"/>
  </r>
  <r>
    <n v="1677"/>
    <d v="2019-08-14T00:00:00"/>
    <x v="6"/>
    <s v="Male"/>
    <n v="163.80000000000001"/>
    <n v="79.3"/>
    <n v="10212"/>
    <n v="664.8"/>
    <n v="9.4"/>
    <n v="72"/>
    <x v="5"/>
    <n v="84"/>
    <n v="3.35"/>
    <n v="9"/>
    <x v="2"/>
  </r>
  <r>
    <n v="1946"/>
    <d v="2019-08-15T00:00:00"/>
    <x v="18"/>
    <s v="Female"/>
    <n v="163.1"/>
    <n v="86.9"/>
    <n v="6196"/>
    <n v="415.7"/>
    <n v="8.1999999999999993"/>
    <n v="89"/>
    <x v="0"/>
    <n v="0"/>
    <n v="3.37"/>
    <n v="6"/>
    <x v="0"/>
  </r>
  <r>
    <n v="1830"/>
    <d v="2019-08-16T00:00:00"/>
    <x v="13"/>
    <s v="Female"/>
    <n v="172.9"/>
    <n v="74.099999999999994"/>
    <n v="14850"/>
    <n v="878.9"/>
    <n v="6.3"/>
    <n v="66"/>
    <x v="3"/>
    <n v="45"/>
    <n v="3.65"/>
    <n v="3"/>
    <x v="0"/>
  </r>
  <r>
    <n v="1643"/>
    <d v="2019-08-17T00:00:00"/>
    <x v="32"/>
    <s v="Male"/>
    <n v="183.8"/>
    <n v="69.7"/>
    <n v="7999"/>
    <n v="478.7"/>
    <n v="6.8"/>
    <n v="93"/>
    <x v="0"/>
    <n v="0"/>
    <n v="2.7"/>
    <n v="8"/>
    <x v="1"/>
  </r>
  <r>
    <n v="1896"/>
    <d v="2019-08-18T00:00:00"/>
    <x v="15"/>
    <s v="Male"/>
    <n v="169.9"/>
    <n v="76.2"/>
    <n v="8322"/>
    <n v="549"/>
    <n v="7.4"/>
    <n v="79"/>
    <x v="1"/>
    <n v="77"/>
    <n v="2.2200000000000002"/>
    <n v="1"/>
    <x v="2"/>
  </r>
  <r>
    <n v="1263"/>
    <d v="2019-08-19T00:00:00"/>
    <x v="6"/>
    <s v="Male"/>
    <n v="169.2"/>
    <n v="74.599999999999994"/>
    <n v="4143"/>
    <n v="369.2"/>
    <n v="7.7"/>
    <n v="67"/>
    <x v="1"/>
    <n v="61"/>
    <n v="2.29"/>
    <n v="10"/>
    <x v="2"/>
  </r>
  <r>
    <n v="1924"/>
    <d v="2019-08-20T00:00:00"/>
    <x v="39"/>
    <s v="Male"/>
    <n v="160.69999999999999"/>
    <n v="85"/>
    <n v="14812"/>
    <n v="786.8"/>
    <n v="7"/>
    <n v="75"/>
    <x v="2"/>
    <n v="48"/>
    <n v="2.2400000000000002"/>
    <n v="4"/>
    <x v="2"/>
  </r>
  <r>
    <n v="1054"/>
    <d v="2019-08-21T00:00:00"/>
    <x v="31"/>
    <s v="Female"/>
    <n v="167.8"/>
    <n v="81.900000000000006"/>
    <n v="18854"/>
    <n v="900"/>
    <n v="4.3"/>
    <n v="60"/>
    <x v="2"/>
    <n v="48"/>
    <n v="2.67"/>
    <n v="10"/>
    <x v="1"/>
  </r>
  <r>
    <n v="1870"/>
    <d v="2019-08-22T00:00:00"/>
    <x v="36"/>
    <s v="Male"/>
    <n v="181.9"/>
    <n v="82.1"/>
    <n v="6678"/>
    <n v="506.6"/>
    <n v="7"/>
    <n v="79"/>
    <x v="1"/>
    <n v="28"/>
    <n v="2.81"/>
    <n v="2"/>
    <x v="2"/>
  </r>
  <r>
    <n v="1642"/>
    <d v="2019-08-23T00:00:00"/>
    <x v="2"/>
    <s v="Female"/>
    <n v="180.4"/>
    <n v="70.7"/>
    <n v="2382"/>
    <n v="322.10000000000002"/>
    <n v="6.9"/>
    <n v="73"/>
    <x v="3"/>
    <n v="21"/>
    <n v="3.36"/>
    <n v="5"/>
    <x v="2"/>
  </r>
  <r>
    <n v="1799"/>
    <d v="2019-08-24T00:00:00"/>
    <x v="6"/>
    <s v="Male"/>
    <n v="179.7"/>
    <n v="75.099999999999994"/>
    <n v="10528"/>
    <n v="567.9"/>
    <n v="10"/>
    <n v="71"/>
    <x v="4"/>
    <n v="21"/>
    <n v="2.5099999999999998"/>
    <n v="7"/>
    <x v="2"/>
  </r>
  <r>
    <n v="1777"/>
    <d v="2019-08-25T00:00:00"/>
    <x v="31"/>
    <s v="Male"/>
    <n v="179.4"/>
    <n v="74.8"/>
    <n v="8114"/>
    <n v="466"/>
    <n v="10"/>
    <n v="61"/>
    <x v="1"/>
    <n v="37"/>
    <n v="1.52"/>
    <n v="1"/>
    <x v="1"/>
  </r>
  <r>
    <n v="1457"/>
    <d v="2019-08-26T00:00:00"/>
    <x v="32"/>
    <s v="Male"/>
    <n v="174.4"/>
    <n v="51.9"/>
    <n v="10434"/>
    <n v="555.79999999999995"/>
    <n v="8"/>
    <n v="74"/>
    <x v="5"/>
    <n v="88"/>
    <n v="2.21"/>
    <n v="4"/>
    <x v="1"/>
  </r>
  <r>
    <n v="1978"/>
    <d v="2019-08-27T00:00:00"/>
    <x v="16"/>
    <s v="Male"/>
    <n v="174"/>
    <n v="86"/>
    <n v="2705"/>
    <n v="296"/>
    <n v="6"/>
    <n v="77"/>
    <x v="3"/>
    <n v="76"/>
    <n v="3.59"/>
    <n v="3"/>
    <x v="0"/>
  </r>
  <r>
    <n v="1877"/>
    <d v="2019-08-28T00:00:00"/>
    <x v="1"/>
    <s v="Female"/>
    <n v="172.4"/>
    <n v="45"/>
    <n v="6997"/>
    <n v="585.6"/>
    <n v="8"/>
    <n v="61"/>
    <x v="4"/>
    <n v="42"/>
    <n v="1.41"/>
    <n v="4"/>
    <x v="0"/>
  </r>
  <r>
    <n v="1161"/>
    <d v="2019-08-29T00:00:00"/>
    <x v="22"/>
    <s v="Female"/>
    <n v="165.8"/>
    <n v="80.7"/>
    <n v="8962"/>
    <n v="556"/>
    <n v="4.5"/>
    <n v="86"/>
    <x v="4"/>
    <n v="38"/>
    <n v="3.02"/>
    <n v="6"/>
    <x v="0"/>
  </r>
  <r>
    <n v="1379"/>
    <d v="2019-08-30T00:00:00"/>
    <x v="23"/>
    <s v="Female"/>
    <n v="170.8"/>
    <n v="74"/>
    <n v="12391"/>
    <n v="800.7"/>
    <n v="6.2"/>
    <n v="78"/>
    <x v="3"/>
    <n v="38"/>
    <n v="2.23"/>
    <n v="10"/>
    <x v="1"/>
  </r>
  <r>
    <n v="1992"/>
    <d v="2019-08-31T00:00:00"/>
    <x v="39"/>
    <s v="Male"/>
    <n v="172.2"/>
    <n v="65.7"/>
    <n v="15535"/>
    <n v="819.7"/>
    <n v="4.5999999999999996"/>
    <n v="67"/>
    <x v="1"/>
    <n v="77"/>
    <n v="1.88"/>
    <n v="6"/>
    <x v="0"/>
  </r>
  <r>
    <n v="1086"/>
    <d v="2019-09-01T00:00:00"/>
    <x v="20"/>
    <s v="Male"/>
    <n v="176.3"/>
    <n v="75.900000000000006"/>
    <n v="19978"/>
    <n v="900"/>
    <n v="7.8"/>
    <n v="74"/>
    <x v="4"/>
    <n v="68"/>
    <n v="2.78"/>
    <n v="1"/>
    <x v="2"/>
  </r>
  <r>
    <n v="1054"/>
    <d v="2019-09-02T00:00:00"/>
    <x v="4"/>
    <s v="Female"/>
    <n v="171"/>
    <n v="76.3"/>
    <n v="13129"/>
    <n v="754.9"/>
    <n v="5.2"/>
    <n v="83"/>
    <x v="5"/>
    <n v="64"/>
    <n v="3.59"/>
    <n v="3"/>
    <x v="1"/>
  </r>
  <r>
    <n v="1475"/>
    <d v="2019-09-03T00:00:00"/>
    <x v="1"/>
    <s v="Female"/>
    <n v="191.1"/>
    <n v="50.4"/>
    <n v="18699"/>
    <n v="900"/>
    <n v="6.6"/>
    <n v="89"/>
    <x v="0"/>
    <n v="0"/>
    <n v="2.74"/>
    <n v="1"/>
    <x v="1"/>
  </r>
  <r>
    <n v="1799"/>
    <d v="2019-09-04T00:00:00"/>
    <x v="14"/>
    <s v="Male"/>
    <n v="157.9"/>
    <n v="91.2"/>
    <n v="9759"/>
    <n v="601.70000000000005"/>
    <n v="6.9"/>
    <n v="91"/>
    <x v="3"/>
    <n v="69"/>
    <n v="2.3199999999999998"/>
    <n v="1"/>
    <x v="0"/>
  </r>
  <r>
    <n v="1177"/>
    <d v="2019-09-05T00:00:00"/>
    <x v="34"/>
    <s v="Male"/>
    <n v="177.5"/>
    <n v="71.099999999999994"/>
    <n v="3704"/>
    <n v="263"/>
    <n v="7"/>
    <n v="93"/>
    <x v="2"/>
    <n v="30"/>
    <n v="1.59"/>
    <n v="1"/>
    <x v="2"/>
  </r>
  <r>
    <n v="1390"/>
    <d v="2019-09-06T00:00:00"/>
    <x v="30"/>
    <s v="Female"/>
    <n v="169.6"/>
    <n v="104.7"/>
    <n v="6725"/>
    <n v="424.5"/>
    <n v="6.3"/>
    <n v="62"/>
    <x v="0"/>
    <n v="0"/>
    <n v="2.4300000000000002"/>
    <n v="3"/>
    <x v="2"/>
  </r>
  <r>
    <n v="1348"/>
    <d v="2019-09-07T00:00:00"/>
    <x v="1"/>
    <s v="Male"/>
    <n v="170"/>
    <n v="81.8"/>
    <n v="1124"/>
    <n v="160.9"/>
    <n v="7.5"/>
    <n v="68"/>
    <x v="1"/>
    <n v="28"/>
    <n v="1.57"/>
    <n v="2"/>
    <x v="1"/>
  </r>
  <r>
    <n v="1007"/>
    <d v="2019-09-08T00:00:00"/>
    <x v="14"/>
    <s v="Male"/>
    <n v="161.9"/>
    <n v="70.7"/>
    <n v="10729"/>
    <n v="665.4"/>
    <n v="5.0999999999999996"/>
    <n v="61"/>
    <x v="3"/>
    <n v="33"/>
    <n v="2.2799999999999998"/>
    <n v="4"/>
    <x v="1"/>
  </r>
  <r>
    <n v="1832"/>
    <d v="2019-09-09T00:00:00"/>
    <x v="33"/>
    <s v="Female"/>
    <n v="180.2"/>
    <n v="59.6"/>
    <n v="13767"/>
    <n v="682.5"/>
    <n v="9.6"/>
    <n v="86"/>
    <x v="5"/>
    <n v="40"/>
    <n v="2.46"/>
    <n v="7"/>
    <x v="0"/>
  </r>
  <r>
    <n v="1312"/>
    <d v="2019-09-10T00:00:00"/>
    <x v="39"/>
    <s v="Male"/>
    <n v="176.5"/>
    <n v="68.3"/>
    <n v="5807"/>
    <n v="502.9"/>
    <n v="5.4"/>
    <n v="73"/>
    <x v="0"/>
    <n v="0"/>
    <n v="0.85"/>
    <n v="2"/>
    <x v="2"/>
  </r>
  <r>
    <n v="1758"/>
    <d v="2019-09-11T00:00:00"/>
    <x v="36"/>
    <s v="Female"/>
    <n v="178.3"/>
    <n v="72.2"/>
    <n v="19354"/>
    <n v="900"/>
    <n v="7.1"/>
    <n v="88"/>
    <x v="0"/>
    <n v="0"/>
    <n v="3.47"/>
    <n v="2"/>
    <x v="1"/>
  </r>
  <r>
    <n v="1834"/>
    <d v="2019-09-12T00:00:00"/>
    <x v="12"/>
    <s v="Male"/>
    <n v="171.7"/>
    <n v="92"/>
    <n v="17009"/>
    <n v="900"/>
    <n v="7.9"/>
    <n v="61"/>
    <x v="4"/>
    <n v="88"/>
    <n v="1.63"/>
    <n v="7"/>
    <x v="2"/>
  </r>
  <r>
    <n v="1983"/>
    <d v="2019-09-13T00:00:00"/>
    <x v="15"/>
    <s v="Female"/>
    <n v="166.8"/>
    <n v="88.4"/>
    <n v="18198"/>
    <n v="895.6"/>
    <n v="8"/>
    <n v="68"/>
    <x v="1"/>
    <n v="28"/>
    <n v="2.37"/>
    <n v="9"/>
    <x v="1"/>
  </r>
  <r>
    <n v="1982"/>
    <d v="2019-09-14T00:00:00"/>
    <x v="4"/>
    <s v="Male"/>
    <n v="169.3"/>
    <n v="76.8"/>
    <n v="4101"/>
    <n v="307.89999999999998"/>
    <n v="8.1999999999999993"/>
    <n v="67"/>
    <x v="1"/>
    <n v="86"/>
    <n v="2.87"/>
    <n v="3"/>
    <x v="0"/>
  </r>
  <r>
    <n v="1442"/>
    <d v="2019-09-15T00:00:00"/>
    <x v="36"/>
    <s v="Female"/>
    <n v="174.3"/>
    <n v="96.5"/>
    <n v="2654"/>
    <n v="288.8"/>
    <n v="4.5999999999999996"/>
    <n v="87"/>
    <x v="3"/>
    <n v="37"/>
    <n v="3.42"/>
    <n v="10"/>
    <x v="1"/>
  </r>
  <r>
    <n v="1766"/>
    <d v="2019-09-16T00:00:00"/>
    <x v="6"/>
    <s v="Female"/>
    <n v="150"/>
    <n v="45"/>
    <n v="17515"/>
    <n v="900"/>
    <n v="5.6"/>
    <n v="82"/>
    <x v="3"/>
    <n v="31"/>
    <n v="1.95"/>
    <n v="8"/>
    <x v="1"/>
  </r>
  <r>
    <n v="1327"/>
    <d v="2019-09-17T00:00:00"/>
    <x v="20"/>
    <s v="Female"/>
    <n v="178.7"/>
    <n v="76.900000000000006"/>
    <n v="1394"/>
    <n v="361.5"/>
    <n v="7.2"/>
    <n v="55"/>
    <x v="5"/>
    <n v="35"/>
    <n v="0.74"/>
    <n v="6"/>
    <x v="1"/>
  </r>
  <r>
    <n v="1053"/>
    <d v="2019-09-18T00:00:00"/>
    <x v="14"/>
    <s v="Female"/>
    <n v="194.3"/>
    <n v="88.8"/>
    <n v="8319"/>
    <n v="558.20000000000005"/>
    <n v="7.7"/>
    <n v="70"/>
    <x v="2"/>
    <n v="56"/>
    <n v="3.26"/>
    <n v="6"/>
    <x v="0"/>
  </r>
  <r>
    <n v="1760"/>
    <d v="2019-09-19T00:00:00"/>
    <x v="8"/>
    <s v="Male"/>
    <n v="174.8"/>
    <n v="78.2"/>
    <n v="4573"/>
    <n v="317.10000000000002"/>
    <n v="8.9"/>
    <n v="85"/>
    <x v="3"/>
    <n v="39"/>
    <n v="1.63"/>
    <n v="3"/>
    <x v="0"/>
  </r>
  <r>
    <n v="1238"/>
    <d v="2019-09-20T00:00:00"/>
    <x v="40"/>
    <s v="Male"/>
    <n v="167.2"/>
    <n v="50"/>
    <n v="10173"/>
    <n v="558.29999999999995"/>
    <n v="6.2"/>
    <n v="86"/>
    <x v="0"/>
    <n v="0"/>
    <n v="2.75"/>
    <n v="10"/>
    <x v="0"/>
  </r>
  <r>
    <n v="1228"/>
    <d v="2019-09-21T00:00:00"/>
    <x v="38"/>
    <s v="Female"/>
    <n v="168.4"/>
    <n v="90.8"/>
    <n v="8106"/>
    <n v="449.8"/>
    <n v="5.6"/>
    <n v="79"/>
    <x v="3"/>
    <n v="34"/>
    <n v="2.8"/>
    <n v="9"/>
    <x v="1"/>
  </r>
  <r>
    <n v="1578"/>
    <d v="2019-09-22T00:00:00"/>
    <x v="6"/>
    <s v="Male"/>
    <n v="177.1"/>
    <n v="81.400000000000006"/>
    <n v="12147"/>
    <n v="679.4"/>
    <n v="6.2"/>
    <n v="77"/>
    <x v="3"/>
    <n v="44"/>
    <n v="0.5"/>
    <n v="9"/>
    <x v="1"/>
  </r>
  <r>
    <n v="1050"/>
    <d v="2019-09-23T00:00:00"/>
    <x v="11"/>
    <s v="Male"/>
    <n v="167.4"/>
    <n v="75.099999999999994"/>
    <n v="6060"/>
    <n v="428.5"/>
    <n v="10"/>
    <n v="66"/>
    <x v="5"/>
    <n v="36"/>
    <n v="1.37"/>
    <n v="4"/>
    <x v="2"/>
  </r>
  <r>
    <n v="1608"/>
    <d v="2019-09-24T00:00:00"/>
    <x v="35"/>
    <s v="Male"/>
    <n v="178.7"/>
    <n v="71.3"/>
    <n v="17326"/>
    <n v="886.2"/>
    <n v="9.3000000000000007"/>
    <n v="86"/>
    <x v="4"/>
    <n v="31"/>
    <n v="2.1800000000000002"/>
    <n v="10"/>
    <x v="0"/>
  </r>
  <r>
    <n v="1603"/>
    <d v="2019-09-25T00:00:00"/>
    <x v="10"/>
    <s v="Male"/>
    <n v="168.3"/>
    <n v="99.9"/>
    <n v="13842"/>
    <n v="700"/>
    <n v="6.7"/>
    <n v="63"/>
    <x v="2"/>
    <n v="61"/>
    <n v="0.69"/>
    <n v="6"/>
    <x v="0"/>
  </r>
  <r>
    <n v="1263"/>
    <d v="2019-09-26T00:00:00"/>
    <x v="30"/>
    <s v="Male"/>
    <n v="187.1"/>
    <n v="76.7"/>
    <n v="11933"/>
    <n v="618.6"/>
    <n v="8.9"/>
    <n v="59"/>
    <x v="5"/>
    <n v="58"/>
    <n v="1.56"/>
    <n v="5"/>
    <x v="1"/>
  </r>
  <r>
    <n v="1417"/>
    <d v="2019-09-27T00:00:00"/>
    <x v="35"/>
    <s v="Female"/>
    <n v="186.9"/>
    <n v="66.400000000000006"/>
    <n v="7632"/>
    <n v="510"/>
    <n v="6.1"/>
    <n v="77"/>
    <x v="3"/>
    <n v="75"/>
    <n v="2.59"/>
    <n v="4"/>
    <x v="0"/>
  </r>
  <r>
    <n v="1802"/>
    <d v="2019-09-28T00:00:00"/>
    <x v="9"/>
    <s v="Female"/>
    <n v="166.7"/>
    <n v="57.8"/>
    <n v="7755"/>
    <n v="534.4"/>
    <n v="8.4"/>
    <n v="71"/>
    <x v="4"/>
    <n v="72"/>
    <n v="2.44"/>
    <n v="2"/>
    <x v="2"/>
  </r>
  <r>
    <n v="1095"/>
    <d v="2019-09-29T00:00:00"/>
    <x v="14"/>
    <s v="Female"/>
    <n v="169.2"/>
    <n v="81.400000000000006"/>
    <n v="12130"/>
    <n v="626"/>
    <n v="4.9000000000000004"/>
    <n v="82"/>
    <x v="3"/>
    <n v="66"/>
    <n v="2.71"/>
    <n v="4"/>
    <x v="0"/>
  </r>
  <r>
    <n v="1087"/>
    <d v="2019-09-30T00:00:00"/>
    <x v="40"/>
    <s v="Female"/>
    <n v="169.8"/>
    <n v="84.8"/>
    <n v="6589"/>
    <n v="487.2"/>
    <n v="7.5"/>
    <n v="80"/>
    <x v="5"/>
    <n v="44"/>
    <n v="2.81"/>
    <n v="7"/>
    <x v="0"/>
  </r>
  <r>
    <n v="1077"/>
    <d v="2019-10-01T00:00:00"/>
    <x v="28"/>
    <s v="Male"/>
    <n v="169.9"/>
    <n v="70.8"/>
    <n v="12612"/>
    <n v="751.8"/>
    <n v="8.5"/>
    <n v="92"/>
    <x v="1"/>
    <n v="69"/>
    <n v="1.32"/>
    <n v="3"/>
    <x v="0"/>
  </r>
  <r>
    <n v="1287"/>
    <d v="2019-10-02T00:00:00"/>
    <x v="18"/>
    <s v="Male"/>
    <n v="160.5"/>
    <n v="61.6"/>
    <n v="15843"/>
    <n v="717.2"/>
    <n v="6.5"/>
    <n v="79"/>
    <x v="3"/>
    <n v="52"/>
    <n v="1.6"/>
    <n v="3"/>
    <x v="2"/>
  </r>
  <r>
    <n v="1119"/>
    <d v="2019-10-03T00:00:00"/>
    <x v="15"/>
    <s v="Female"/>
    <n v="159.1"/>
    <n v="90"/>
    <n v="19888"/>
    <n v="900"/>
    <n v="7.9"/>
    <n v="86"/>
    <x v="4"/>
    <n v="48"/>
    <n v="3.03"/>
    <n v="3"/>
    <x v="2"/>
  </r>
  <r>
    <n v="1813"/>
    <d v="2019-10-04T00:00:00"/>
    <x v="4"/>
    <s v="Male"/>
    <n v="182.5"/>
    <n v="56.7"/>
    <n v="13015"/>
    <n v="755.7"/>
    <n v="6.2"/>
    <n v="66"/>
    <x v="2"/>
    <n v="22"/>
    <n v="3.57"/>
    <n v="9"/>
    <x v="0"/>
  </r>
  <r>
    <n v="1490"/>
    <d v="2019-10-05T00:00:00"/>
    <x v="21"/>
    <s v="Male"/>
    <n v="180.9"/>
    <n v="99.5"/>
    <n v="13672"/>
    <n v="794.7"/>
    <n v="7.5"/>
    <n v="82"/>
    <x v="1"/>
    <n v="58"/>
    <n v="1.82"/>
    <n v="1"/>
    <x v="2"/>
  </r>
  <r>
    <n v="1911"/>
    <d v="2019-10-06T00:00:00"/>
    <x v="11"/>
    <s v="Female"/>
    <n v="180.7"/>
    <n v="59"/>
    <n v="3976"/>
    <n v="308"/>
    <n v="6.3"/>
    <n v="72"/>
    <x v="3"/>
    <n v="23"/>
    <n v="2.68"/>
    <n v="5"/>
    <x v="1"/>
  </r>
  <r>
    <n v="1451"/>
    <d v="2019-10-07T00:00:00"/>
    <x v="0"/>
    <s v="Male"/>
    <n v="169.3"/>
    <n v="50.8"/>
    <n v="18855"/>
    <n v="900"/>
    <n v="8.1999999999999993"/>
    <n v="70"/>
    <x v="3"/>
    <n v="56"/>
    <n v="3.06"/>
    <n v="9"/>
    <x v="0"/>
  </r>
  <r>
    <n v="1499"/>
    <d v="2019-10-08T00:00:00"/>
    <x v="11"/>
    <s v="Female"/>
    <n v="188.9"/>
    <n v="52.7"/>
    <n v="12891"/>
    <n v="760.7"/>
    <n v="5.0999999999999996"/>
    <n v="66"/>
    <x v="4"/>
    <n v="25"/>
    <n v="2.67"/>
    <n v="7"/>
    <x v="2"/>
  </r>
  <r>
    <n v="1164"/>
    <d v="2019-10-09T00:00:00"/>
    <x v="24"/>
    <s v="Female"/>
    <n v="169.8"/>
    <n v="53.4"/>
    <n v="7595"/>
    <n v="471.2"/>
    <n v="5.5"/>
    <n v="90"/>
    <x v="1"/>
    <n v="29"/>
    <n v="2.33"/>
    <n v="1"/>
    <x v="2"/>
  </r>
  <r>
    <n v="1181"/>
    <d v="2019-10-10T00:00:00"/>
    <x v="10"/>
    <s v="Male"/>
    <n v="178.6"/>
    <n v="66.5"/>
    <n v="18526"/>
    <n v="900"/>
    <n v="9"/>
    <n v="75"/>
    <x v="1"/>
    <n v="31"/>
    <n v="2.0499999999999998"/>
    <n v="4"/>
    <x v="2"/>
  </r>
  <r>
    <n v="1468"/>
    <d v="2019-10-11T00:00:00"/>
    <x v="31"/>
    <s v="Male"/>
    <n v="156.1"/>
    <n v="63"/>
    <n v="14404"/>
    <n v="769.3"/>
    <n v="3.3"/>
    <n v="67"/>
    <x v="1"/>
    <n v="85"/>
    <n v="3.89"/>
    <n v="6"/>
    <x v="1"/>
  </r>
  <r>
    <n v="1909"/>
    <d v="2019-10-12T00:00:00"/>
    <x v="28"/>
    <s v="Female"/>
    <n v="167.7"/>
    <n v="85.4"/>
    <n v="19952"/>
    <n v="900"/>
    <n v="6"/>
    <n v="82"/>
    <x v="3"/>
    <n v="22"/>
    <n v="2.57"/>
    <n v="5"/>
    <x v="2"/>
  </r>
  <r>
    <n v="1734"/>
    <d v="2019-10-13T00:00:00"/>
    <x v="36"/>
    <s v="Female"/>
    <n v="168.4"/>
    <n v="83.2"/>
    <n v="18992"/>
    <n v="900"/>
    <n v="6.8"/>
    <n v="71"/>
    <x v="1"/>
    <n v="84"/>
    <n v="2.77"/>
    <n v="2"/>
    <x v="1"/>
  </r>
  <r>
    <n v="1822"/>
    <d v="2019-10-14T00:00:00"/>
    <x v="10"/>
    <s v="Male"/>
    <n v="169.3"/>
    <n v="66.599999999999994"/>
    <n v="13825"/>
    <n v="761.4"/>
    <n v="7.5"/>
    <n v="67"/>
    <x v="3"/>
    <n v="83"/>
    <n v="2.73"/>
    <n v="1"/>
    <x v="1"/>
  </r>
  <r>
    <n v="1943"/>
    <d v="2019-10-15T00:00:00"/>
    <x v="18"/>
    <s v="Female"/>
    <n v="156.69999999999999"/>
    <n v="116.6"/>
    <n v="19281"/>
    <n v="900"/>
    <n v="6.3"/>
    <n v="104"/>
    <x v="3"/>
    <n v="54"/>
    <n v="1.93"/>
    <n v="4"/>
    <x v="2"/>
  </r>
  <r>
    <n v="1977"/>
    <d v="2019-10-16T00:00:00"/>
    <x v="9"/>
    <s v="Female"/>
    <n v="177"/>
    <n v="66.400000000000006"/>
    <n v="3192"/>
    <n v="288.10000000000002"/>
    <n v="5.3"/>
    <n v="63"/>
    <x v="0"/>
    <n v="0"/>
    <n v="2.54"/>
    <n v="10"/>
    <x v="1"/>
  </r>
  <r>
    <n v="1006"/>
    <d v="2019-10-17T00:00:00"/>
    <x v="36"/>
    <s v="Female"/>
    <n v="180.3"/>
    <n v="68.400000000000006"/>
    <n v="13264"/>
    <n v="750.2"/>
    <n v="8.8000000000000007"/>
    <n v="94"/>
    <x v="1"/>
    <n v="66"/>
    <n v="2.27"/>
    <n v="5"/>
    <x v="2"/>
  </r>
  <r>
    <n v="1329"/>
    <d v="2019-10-18T00:00:00"/>
    <x v="31"/>
    <s v="Male"/>
    <n v="162.6"/>
    <n v="50.8"/>
    <n v="2091"/>
    <n v="311.60000000000002"/>
    <n v="8.6"/>
    <n v="67"/>
    <x v="5"/>
    <n v="71"/>
    <n v="2.2599999999999998"/>
    <n v="4"/>
    <x v="2"/>
  </r>
  <r>
    <n v="1774"/>
    <d v="2019-10-19T00:00:00"/>
    <x v="34"/>
    <s v="Female"/>
    <n v="158.5"/>
    <n v="68.8"/>
    <n v="18083"/>
    <n v="900"/>
    <n v="6.4"/>
    <n v="81"/>
    <x v="2"/>
    <n v="53"/>
    <n v="2.72"/>
    <n v="3"/>
    <x v="2"/>
  </r>
  <r>
    <n v="1672"/>
    <d v="2019-10-20T00:00:00"/>
    <x v="36"/>
    <s v="Male"/>
    <n v="162.30000000000001"/>
    <n v="74.5"/>
    <n v="11093"/>
    <n v="562.79999999999995"/>
    <n v="4.3"/>
    <n v="74"/>
    <x v="2"/>
    <n v="44"/>
    <n v="1.86"/>
    <n v="10"/>
    <x v="0"/>
  </r>
  <r>
    <n v="1150"/>
    <d v="2019-10-21T00:00:00"/>
    <x v="41"/>
    <s v="Female"/>
    <n v="175"/>
    <n v="52.2"/>
    <n v="3178"/>
    <n v="297.89999999999998"/>
    <n v="7.5"/>
    <n v="82"/>
    <x v="5"/>
    <n v="88"/>
    <n v="1.66"/>
    <n v="8"/>
    <x v="1"/>
  </r>
  <r>
    <n v="1084"/>
    <d v="2019-10-22T00:00:00"/>
    <x v="5"/>
    <s v="Male"/>
    <n v="164"/>
    <n v="62.5"/>
    <n v="18116"/>
    <n v="882.4"/>
    <n v="7.3"/>
    <n v="61"/>
    <x v="1"/>
    <n v="48"/>
    <n v="2.85"/>
    <n v="6"/>
    <x v="1"/>
  </r>
  <r>
    <n v="1146"/>
    <d v="2019-10-23T00:00:00"/>
    <x v="29"/>
    <s v="Female"/>
    <n v="168.7"/>
    <n v="74.900000000000006"/>
    <n v="14592"/>
    <n v="870.2"/>
    <n v="6"/>
    <n v="60"/>
    <x v="3"/>
    <n v="83"/>
    <n v="2.13"/>
    <n v="3"/>
    <x v="2"/>
  </r>
  <r>
    <n v="1623"/>
    <d v="2019-10-24T00:00:00"/>
    <x v="2"/>
    <s v="Male"/>
    <n v="159.30000000000001"/>
    <n v="62.1"/>
    <n v="9704"/>
    <n v="594.1"/>
    <n v="4.0999999999999996"/>
    <n v="83"/>
    <x v="4"/>
    <n v="72"/>
    <n v="2.2599999999999998"/>
    <n v="6"/>
    <x v="1"/>
  </r>
  <r>
    <n v="1380"/>
    <d v="2019-10-25T00:00:00"/>
    <x v="32"/>
    <s v="Male"/>
    <n v="189.8"/>
    <n v="59"/>
    <n v="3687"/>
    <n v="333.5"/>
    <n v="6.6"/>
    <n v="57"/>
    <x v="5"/>
    <n v="77"/>
    <n v="1.1499999999999999"/>
    <n v="10"/>
    <x v="2"/>
  </r>
  <r>
    <n v="1914"/>
    <d v="2019-10-26T00:00:00"/>
    <x v="36"/>
    <s v="Male"/>
    <n v="170.7"/>
    <n v="81.7"/>
    <n v="4756"/>
    <n v="362.3"/>
    <n v="8.1"/>
    <n v="63"/>
    <x v="2"/>
    <n v="60"/>
    <n v="3.17"/>
    <n v="8"/>
    <x v="1"/>
  </r>
  <r>
    <n v="1547"/>
    <d v="2019-10-27T00:00:00"/>
    <x v="22"/>
    <s v="Female"/>
    <n v="181.5"/>
    <n v="50.8"/>
    <n v="7061"/>
    <n v="476.2"/>
    <n v="8.4"/>
    <n v="74"/>
    <x v="2"/>
    <n v="70"/>
    <n v="2.87"/>
    <n v="7"/>
    <x v="1"/>
  </r>
  <r>
    <n v="1284"/>
    <d v="2019-10-28T00:00:00"/>
    <x v="30"/>
    <s v="Female"/>
    <n v="174.9"/>
    <n v="53.7"/>
    <n v="9623"/>
    <n v="622.5"/>
    <n v="6.9"/>
    <n v="62"/>
    <x v="3"/>
    <n v="37"/>
    <n v="3"/>
    <n v="1"/>
    <x v="2"/>
  </r>
  <r>
    <n v="1699"/>
    <d v="2019-10-29T00:00:00"/>
    <x v="30"/>
    <s v="Female"/>
    <n v="169.6"/>
    <n v="72.7"/>
    <n v="5494"/>
    <n v="328.3"/>
    <n v="6.1"/>
    <n v="63"/>
    <x v="2"/>
    <n v="60"/>
    <n v="2.77"/>
    <n v="6"/>
    <x v="2"/>
  </r>
  <r>
    <n v="1081"/>
    <d v="2019-10-30T00:00:00"/>
    <x v="41"/>
    <s v="Male"/>
    <n v="169.1"/>
    <n v="82.7"/>
    <n v="2279"/>
    <n v="302.7"/>
    <n v="8.1"/>
    <n v="71"/>
    <x v="2"/>
    <n v="80"/>
    <n v="1.44"/>
    <n v="1"/>
    <x v="2"/>
  </r>
  <r>
    <n v="1513"/>
    <d v="2019-10-31T00:00:00"/>
    <x v="40"/>
    <s v="Female"/>
    <n v="162.69999999999999"/>
    <n v="74.599999999999994"/>
    <n v="7538"/>
    <n v="476.3"/>
    <n v="5.3"/>
    <n v="53"/>
    <x v="3"/>
    <n v="43"/>
    <n v="2.66"/>
    <n v="4"/>
    <x v="1"/>
  </r>
  <r>
    <n v="1896"/>
    <d v="2019-11-01T00:00:00"/>
    <x v="36"/>
    <s v="Male"/>
    <n v="165.5"/>
    <n v="66.599999999999994"/>
    <n v="3221"/>
    <n v="350.4"/>
    <n v="5"/>
    <n v="61"/>
    <x v="1"/>
    <n v="66"/>
    <n v="2.0699999999999998"/>
    <n v="10"/>
    <x v="0"/>
  </r>
  <r>
    <n v="1814"/>
    <d v="2019-11-02T00:00:00"/>
    <x v="39"/>
    <s v="Female"/>
    <n v="159.9"/>
    <n v="65.400000000000006"/>
    <n v="6164"/>
    <n v="486.5"/>
    <n v="6.9"/>
    <n v="88"/>
    <x v="0"/>
    <n v="0"/>
    <n v="1.83"/>
    <n v="3"/>
    <x v="0"/>
  </r>
  <r>
    <n v="1708"/>
    <d v="2019-11-03T00:00:00"/>
    <x v="33"/>
    <s v="Male"/>
    <n v="158.80000000000001"/>
    <n v="85.2"/>
    <n v="1854"/>
    <n v="239.4"/>
    <n v="9.3000000000000007"/>
    <n v="85"/>
    <x v="2"/>
    <n v="55"/>
    <n v="2.85"/>
    <n v="7"/>
    <x v="1"/>
  </r>
  <r>
    <n v="1915"/>
    <d v="2019-11-04T00:00:00"/>
    <x v="9"/>
    <s v="Male"/>
    <n v="190.9"/>
    <n v="82.9"/>
    <n v="4212"/>
    <n v="300"/>
    <n v="9.4"/>
    <n v="98"/>
    <x v="0"/>
    <n v="0"/>
    <n v="3.66"/>
    <n v="2"/>
    <x v="1"/>
  </r>
  <r>
    <n v="1522"/>
    <d v="2019-11-05T00:00:00"/>
    <x v="20"/>
    <s v="Male"/>
    <n v="172.8"/>
    <n v="70.7"/>
    <n v="19970"/>
    <n v="900"/>
    <n v="5"/>
    <n v="81"/>
    <x v="0"/>
    <n v="0"/>
    <n v="3.55"/>
    <n v="4"/>
    <x v="2"/>
  </r>
  <r>
    <n v="1745"/>
    <d v="2019-11-06T00:00:00"/>
    <x v="1"/>
    <s v="Female"/>
    <n v="184.7"/>
    <n v="65.8"/>
    <n v="15385"/>
    <n v="879.8"/>
    <n v="6.3"/>
    <n v="88"/>
    <x v="1"/>
    <n v="88"/>
    <n v="2.94"/>
    <n v="5"/>
    <x v="2"/>
  </r>
  <r>
    <n v="1385"/>
    <d v="2019-11-07T00:00:00"/>
    <x v="31"/>
    <s v="Female"/>
    <n v="162.1"/>
    <n v="70.5"/>
    <n v="13530"/>
    <n v="783"/>
    <n v="10"/>
    <n v="71"/>
    <x v="4"/>
    <n v="45"/>
    <n v="2.48"/>
    <n v="2"/>
    <x v="2"/>
  </r>
  <r>
    <n v="1706"/>
    <d v="2019-11-08T00:00:00"/>
    <x v="21"/>
    <s v="Female"/>
    <n v="157.5"/>
    <n v="59.1"/>
    <n v="4340"/>
    <n v="354.7"/>
    <n v="6"/>
    <n v="73"/>
    <x v="1"/>
    <n v="73"/>
    <n v="2.35"/>
    <n v="9"/>
    <x v="1"/>
  </r>
  <r>
    <n v="1470"/>
    <d v="2019-11-09T00:00:00"/>
    <x v="23"/>
    <s v="Male"/>
    <n v="160.19999999999999"/>
    <n v="67.7"/>
    <n v="10811"/>
    <n v="600.70000000000005"/>
    <n v="9.4"/>
    <n v="79"/>
    <x v="3"/>
    <n v="63"/>
    <n v="1.87"/>
    <n v="2"/>
    <x v="2"/>
  </r>
  <r>
    <n v="1118"/>
    <d v="2019-11-10T00:00:00"/>
    <x v="9"/>
    <s v="Male"/>
    <n v="165.8"/>
    <n v="62.7"/>
    <n v="1275"/>
    <n v="223"/>
    <n v="8.5"/>
    <n v="56"/>
    <x v="3"/>
    <n v="52"/>
    <n v="2.31"/>
    <n v="6"/>
    <x v="2"/>
  </r>
  <r>
    <n v="1395"/>
    <d v="2019-11-11T00:00:00"/>
    <x v="4"/>
    <s v="Female"/>
    <n v="170.4"/>
    <n v="68.5"/>
    <n v="13295"/>
    <n v="666.9"/>
    <n v="8.8000000000000007"/>
    <n v="80"/>
    <x v="3"/>
    <n v="45"/>
    <n v="3.14"/>
    <n v="8"/>
    <x v="1"/>
  </r>
  <r>
    <n v="1531"/>
    <d v="2019-11-12T00:00:00"/>
    <x v="13"/>
    <s v="Female"/>
    <n v="168.5"/>
    <n v="63.2"/>
    <n v="1714"/>
    <n v="307.8"/>
    <n v="6.3"/>
    <n v="69"/>
    <x v="2"/>
    <n v="41"/>
    <n v="3.78"/>
    <n v="7"/>
    <x v="0"/>
  </r>
  <r>
    <n v="1260"/>
    <d v="2019-11-13T00:00:00"/>
    <x v="33"/>
    <s v="Female"/>
    <n v="162.30000000000001"/>
    <n v="77.900000000000006"/>
    <n v="7054"/>
    <n v="530.5"/>
    <n v="6.4"/>
    <n v="70"/>
    <x v="5"/>
    <n v="39"/>
    <n v="1.93"/>
    <n v="6"/>
    <x v="2"/>
  </r>
  <r>
    <n v="1804"/>
    <d v="2019-11-14T00:00:00"/>
    <x v="28"/>
    <s v="Male"/>
    <n v="170.9"/>
    <n v="82.3"/>
    <n v="1809"/>
    <n v="253"/>
    <n v="5.6"/>
    <n v="85"/>
    <x v="2"/>
    <n v="21"/>
    <n v="1.1000000000000001"/>
    <n v="8"/>
    <x v="0"/>
  </r>
  <r>
    <n v="1933"/>
    <d v="2019-11-15T00:00:00"/>
    <x v="5"/>
    <s v="Male"/>
    <n v="171.8"/>
    <n v="64.3"/>
    <n v="14215"/>
    <n v="743.6"/>
    <n v="8.1999999999999993"/>
    <n v="59"/>
    <x v="1"/>
    <n v="60"/>
    <n v="2.13"/>
    <n v="5"/>
    <x v="2"/>
  </r>
  <r>
    <n v="1255"/>
    <d v="2019-11-16T00:00:00"/>
    <x v="38"/>
    <s v="Male"/>
    <n v="177"/>
    <n v="57.8"/>
    <n v="10053"/>
    <n v="567.20000000000005"/>
    <n v="4.5"/>
    <n v="76"/>
    <x v="4"/>
    <n v="73"/>
    <n v="3.13"/>
    <n v="10"/>
    <x v="2"/>
  </r>
  <r>
    <n v="1733"/>
    <d v="2019-11-17T00:00:00"/>
    <x v="21"/>
    <s v="Male"/>
    <n v="184.7"/>
    <n v="80.7"/>
    <n v="1036"/>
    <n v="218.9"/>
    <n v="6.8"/>
    <n v="79"/>
    <x v="4"/>
    <n v="76"/>
    <n v="3.95"/>
    <n v="9"/>
    <x v="2"/>
  </r>
  <r>
    <n v="1904"/>
    <d v="2019-11-18T00:00:00"/>
    <x v="22"/>
    <s v="Male"/>
    <n v="166.4"/>
    <n v="72.8"/>
    <n v="11273"/>
    <n v="614.20000000000005"/>
    <n v="9.5"/>
    <n v="70"/>
    <x v="4"/>
    <n v="37"/>
    <n v="3.42"/>
    <n v="2"/>
    <x v="1"/>
  </r>
  <r>
    <n v="1225"/>
    <d v="2019-11-19T00:00:00"/>
    <x v="1"/>
    <s v="Female"/>
    <n v="182.2"/>
    <n v="64.5"/>
    <n v="13499"/>
    <n v="732.2"/>
    <n v="7.9"/>
    <n v="75"/>
    <x v="0"/>
    <n v="0"/>
    <n v="3.4"/>
    <n v="6"/>
    <x v="1"/>
  </r>
  <r>
    <n v="1052"/>
    <d v="2019-11-20T00:00:00"/>
    <x v="35"/>
    <s v="Male"/>
    <n v="170.7"/>
    <n v="90.6"/>
    <n v="12403"/>
    <n v="735.4"/>
    <n v="8.5"/>
    <n v="76"/>
    <x v="4"/>
    <n v="65"/>
    <n v="1.91"/>
    <n v="10"/>
    <x v="2"/>
  </r>
  <r>
    <n v="1939"/>
    <d v="2019-11-21T00:00:00"/>
    <x v="14"/>
    <s v="Male"/>
    <n v="154.69999999999999"/>
    <n v="61.5"/>
    <n v="16037"/>
    <n v="875.6"/>
    <n v="4.5"/>
    <n v="84"/>
    <x v="0"/>
    <n v="0"/>
    <n v="1.93"/>
    <n v="7"/>
    <x v="2"/>
  </r>
  <r>
    <n v="1866"/>
    <d v="2019-11-22T00:00:00"/>
    <x v="23"/>
    <s v="Male"/>
    <n v="187.8"/>
    <n v="45"/>
    <n v="15017"/>
    <n v="758.7"/>
    <n v="5.5"/>
    <n v="73"/>
    <x v="5"/>
    <n v="41"/>
    <n v="1.57"/>
    <n v="9"/>
    <x v="1"/>
  </r>
  <r>
    <n v="1499"/>
    <d v="2019-11-23T00:00:00"/>
    <x v="11"/>
    <s v="Male"/>
    <n v="192.7"/>
    <n v="59.4"/>
    <n v="18365"/>
    <n v="900"/>
    <n v="8.8000000000000007"/>
    <n v="62"/>
    <x v="4"/>
    <n v="22"/>
    <n v="2.0299999999999998"/>
    <n v="5"/>
    <x v="1"/>
  </r>
  <r>
    <n v="1505"/>
    <d v="2019-11-24T00:00:00"/>
    <x v="2"/>
    <s v="Male"/>
    <n v="176.2"/>
    <n v="94.3"/>
    <n v="15696"/>
    <n v="860.1"/>
    <n v="7.2"/>
    <n v="69"/>
    <x v="0"/>
    <n v="0"/>
    <n v="3.14"/>
    <n v="6"/>
    <x v="0"/>
  </r>
  <r>
    <n v="1853"/>
    <d v="2019-11-25T00:00:00"/>
    <x v="5"/>
    <s v="Female"/>
    <n v="170.9"/>
    <n v="65.2"/>
    <n v="7447"/>
    <n v="450.9"/>
    <n v="5.4"/>
    <n v="72"/>
    <x v="2"/>
    <n v="21"/>
    <n v="3.64"/>
    <n v="9"/>
    <x v="1"/>
  </r>
  <r>
    <n v="1363"/>
    <d v="2019-11-26T00:00:00"/>
    <x v="4"/>
    <s v="Male"/>
    <n v="167.3"/>
    <n v="62.3"/>
    <n v="13583"/>
    <n v="750.4"/>
    <n v="7.9"/>
    <n v="67"/>
    <x v="4"/>
    <n v="47"/>
    <n v="2.74"/>
    <n v="10"/>
    <x v="2"/>
  </r>
  <r>
    <n v="1279"/>
    <d v="2019-11-27T00:00:00"/>
    <x v="12"/>
    <s v="Male"/>
    <n v="165.4"/>
    <n v="70.400000000000006"/>
    <n v="1151"/>
    <n v="306.7"/>
    <n v="6.2"/>
    <n v="77"/>
    <x v="3"/>
    <n v="53"/>
    <n v="2.3199999999999998"/>
    <n v="6"/>
    <x v="1"/>
  </r>
  <r>
    <n v="1592"/>
    <d v="2019-11-28T00:00:00"/>
    <x v="39"/>
    <s v="Male"/>
    <n v="182.1"/>
    <n v="85.2"/>
    <n v="15257"/>
    <n v="798"/>
    <n v="10"/>
    <n v="76"/>
    <x v="1"/>
    <n v="72"/>
    <n v="1.75"/>
    <n v="1"/>
    <x v="0"/>
  </r>
  <r>
    <n v="1713"/>
    <d v="2019-11-29T00:00:00"/>
    <x v="12"/>
    <s v="Female"/>
    <n v="169.8"/>
    <n v="68.8"/>
    <n v="12486"/>
    <n v="598.5"/>
    <n v="7.9"/>
    <n v="76"/>
    <x v="2"/>
    <n v="78"/>
    <n v="2.42"/>
    <n v="4"/>
    <x v="0"/>
  </r>
  <r>
    <n v="1157"/>
    <d v="2019-11-30T00:00:00"/>
    <x v="22"/>
    <s v="Female"/>
    <n v="186.7"/>
    <n v="78.900000000000006"/>
    <n v="14507"/>
    <n v="654.4"/>
    <n v="5.6"/>
    <n v="66"/>
    <x v="5"/>
    <n v="29"/>
    <n v="2.64"/>
    <n v="4"/>
    <x v="2"/>
  </r>
  <r>
    <n v="1631"/>
    <d v="2019-12-01T00:00:00"/>
    <x v="4"/>
    <s v="Female"/>
    <n v="170.3"/>
    <n v="67.2"/>
    <n v="10514"/>
    <n v="636.1"/>
    <n v="8.3000000000000007"/>
    <n v="76"/>
    <x v="2"/>
    <n v="21"/>
    <n v="1.48"/>
    <n v="3"/>
    <x v="1"/>
  </r>
  <r>
    <n v="1058"/>
    <d v="2019-12-02T00:00:00"/>
    <x v="31"/>
    <s v="Male"/>
    <n v="165.9"/>
    <n v="79"/>
    <n v="6648"/>
    <n v="471.2"/>
    <n v="9.4"/>
    <n v="88"/>
    <x v="3"/>
    <n v="67"/>
    <n v="3.15"/>
    <n v="8"/>
    <x v="0"/>
  </r>
  <r>
    <n v="1726"/>
    <d v="2019-12-03T00:00:00"/>
    <x v="36"/>
    <s v="Female"/>
    <n v="164"/>
    <n v="72.7"/>
    <n v="2511"/>
    <n v="309.8"/>
    <n v="7"/>
    <n v="78"/>
    <x v="4"/>
    <n v="25"/>
    <n v="2.2000000000000002"/>
    <n v="6"/>
    <x v="0"/>
  </r>
  <r>
    <n v="1127"/>
    <d v="2019-12-04T00:00:00"/>
    <x v="13"/>
    <s v="Male"/>
    <n v="162.6"/>
    <n v="64"/>
    <n v="19642"/>
    <n v="900"/>
    <n v="5.8"/>
    <n v="86"/>
    <x v="4"/>
    <n v="63"/>
    <n v="3.1"/>
    <n v="7"/>
    <x v="0"/>
  </r>
  <r>
    <n v="1735"/>
    <d v="2019-12-05T00:00:00"/>
    <x v="24"/>
    <s v="Male"/>
    <n v="175.1"/>
    <n v="73.900000000000006"/>
    <n v="17615"/>
    <n v="830.6"/>
    <n v="7.1"/>
    <n v="76"/>
    <x v="5"/>
    <n v="73"/>
    <n v="2.4900000000000002"/>
    <n v="9"/>
    <x v="2"/>
  </r>
  <r>
    <n v="1720"/>
    <d v="2019-12-06T00:00:00"/>
    <x v="35"/>
    <s v="Female"/>
    <n v="157.1"/>
    <n v="61.9"/>
    <n v="8749"/>
    <n v="509.6"/>
    <n v="6.1"/>
    <n v="69"/>
    <x v="1"/>
    <n v="55"/>
    <n v="2.71"/>
    <n v="8"/>
    <x v="0"/>
  </r>
  <r>
    <n v="1881"/>
    <d v="2019-12-07T00:00:00"/>
    <x v="20"/>
    <s v="Male"/>
    <n v="161.80000000000001"/>
    <n v="49.3"/>
    <n v="1571"/>
    <n v="284"/>
    <n v="6.6"/>
    <n v="84"/>
    <x v="4"/>
    <n v="27"/>
    <n v="2.0099999999999998"/>
    <n v="3"/>
    <x v="1"/>
  </r>
  <r>
    <n v="1114"/>
    <d v="2019-12-08T00:00:00"/>
    <x v="6"/>
    <s v="Male"/>
    <n v="183.2"/>
    <n v="69.7"/>
    <n v="18586"/>
    <n v="900"/>
    <n v="4.9000000000000004"/>
    <n v="61"/>
    <x v="0"/>
    <n v="0"/>
    <n v="2.2599999999999998"/>
    <n v="4"/>
    <x v="2"/>
  </r>
  <r>
    <n v="1208"/>
    <d v="2019-12-09T00:00:00"/>
    <x v="1"/>
    <s v="Male"/>
    <n v="160.5"/>
    <n v="50.7"/>
    <n v="13232"/>
    <n v="716.4"/>
    <n v="8.3000000000000007"/>
    <n v="69"/>
    <x v="5"/>
    <n v="52"/>
    <n v="2.95"/>
    <n v="1"/>
    <x v="1"/>
  </r>
  <r>
    <n v="1525"/>
    <d v="2019-12-10T00:00:00"/>
    <x v="2"/>
    <s v="Female"/>
    <n v="178.6"/>
    <n v="79"/>
    <n v="10762"/>
    <n v="558.9"/>
    <n v="5.3"/>
    <n v="74"/>
    <x v="4"/>
    <n v="38"/>
    <n v="2.41"/>
    <n v="4"/>
    <x v="1"/>
  </r>
  <r>
    <n v="1520"/>
    <d v="2019-12-11T00:00:00"/>
    <x v="26"/>
    <s v="Male"/>
    <n v="150"/>
    <n v="69.400000000000006"/>
    <n v="14217"/>
    <n v="785.7"/>
    <n v="7.9"/>
    <n v="82"/>
    <x v="0"/>
    <n v="0"/>
    <n v="1.73"/>
    <n v="9"/>
    <x v="0"/>
  </r>
  <r>
    <n v="1551"/>
    <d v="2019-12-12T00:00:00"/>
    <x v="5"/>
    <s v="Male"/>
    <n v="184.5"/>
    <n v="91.3"/>
    <n v="10231"/>
    <n v="611.79999999999995"/>
    <n v="6.5"/>
    <n v="88"/>
    <x v="2"/>
    <n v="70"/>
    <n v="2.58"/>
    <n v="5"/>
    <x v="2"/>
  </r>
  <r>
    <n v="1961"/>
    <d v="2019-12-13T00:00:00"/>
    <x v="31"/>
    <s v="Female"/>
    <n v="157.30000000000001"/>
    <n v="65"/>
    <n v="7609"/>
    <n v="451.4"/>
    <n v="7.3"/>
    <n v="83"/>
    <x v="5"/>
    <n v="42"/>
    <n v="2.77"/>
    <n v="3"/>
    <x v="2"/>
  </r>
  <r>
    <n v="1236"/>
    <d v="2019-12-14T00:00:00"/>
    <x v="29"/>
    <s v="Male"/>
    <n v="161.19999999999999"/>
    <n v="69.7"/>
    <n v="15629"/>
    <n v="726"/>
    <n v="6.3"/>
    <n v="82"/>
    <x v="5"/>
    <n v="20"/>
    <n v="3.46"/>
    <n v="2"/>
    <x v="1"/>
  </r>
  <r>
    <n v="1280"/>
    <d v="2019-12-15T00:00:00"/>
    <x v="37"/>
    <s v="Male"/>
    <n v="176.8"/>
    <n v="48"/>
    <n v="13273"/>
    <n v="759.5"/>
    <n v="7.3"/>
    <n v="84"/>
    <x v="5"/>
    <n v="78"/>
    <n v="3.31"/>
    <n v="6"/>
    <x v="2"/>
  </r>
  <r>
    <n v="1358"/>
    <d v="2019-12-16T00:00:00"/>
    <x v="22"/>
    <s v="Female"/>
    <n v="172.7"/>
    <n v="53.4"/>
    <n v="17554"/>
    <n v="871.3"/>
    <n v="7.6"/>
    <n v="85"/>
    <x v="4"/>
    <n v="22"/>
    <n v="2.4500000000000002"/>
    <n v="4"/>
    <x v="2"/>
  </r>
  <r>
    <n v="1200"/>
    <d v="2019-12-17T00:00:00"/>
    <x v="29"/>
    <s v="Male"/>
    <n v="178.9"/>
    <n v="45"/>
    <n v="6151"/>
    <n v="455.4"/>
    <n v="6.5"/>
    <n v="64"/>
    <x v="5"/>
    <n v="29"/>
    <n v="2.12"/>
    <n v="6"/>
    <x v="2"/>
  </r>
  <r>
    <n v="1757"/>
    <d v="2019-12-18T00:00:00"/>
    <x v="35"/>
    <s v="Male"/>
    <n v="157.19999999999999"/>
    <n v="86.2"/>
    <n v="7406"/>
    <n v="503.7"/>
    <n v="4.4000000000000004"/>
    <n v="97"/>
    <x v="2"/>
    <n v="68"/>
    <n v="2.34"/>
    <n v="3"/>
    <x v="2"/>
  </r>
  <r>
    <n v="1277"/>
    <d v="2019-12-19T00:00:00"/>
    <x v="33"/>
    <s v="Male"/>
    <n v="167.1"/>
    <n v="63.1"/>
    <n v="15294"/>
    <n v="754.4"/>
    <n v="7.5"/>
    <n v="86"/>
    <x v="1"/>
    <n v="75"/>
    <n v="2.13"/>
    <n v="3"/>
    <x v="0"/>
  </r>
  <r>
    <n v="1234"/>
    <d v="2019-12-20T00:00:00"/>
    <x v="37"/>
    <s v="Male"/>
    <n v="163.80000000000001"/>
    <n v="89.9"/>
    <n v="15893"/>
    <n v="856.6"/>
    <n v="7.6"/>
    <n v="73"/>
    <x v="1"/>
    <n v="35"/>
    <n v="2.85"/>
    <n v="1"/>
    <x v="1"/>
  </r>
  <r>
    <n v="1493"/>
    <d v="2019-12-21T00:00:00"/>
    <x v="27"/>
    <s v="Male"/>
    <n v="158.9"/>
    <n v="45"/>
    <n v="1188"/>
    <n v="204.5"/>
    <n v="4.9000000000000004"/>
    <n v="79"/>
    <x v="3"/>
    <n v="58"/>
    <n v="3.23"/>
    <n v="9"/>
    <x v="1"/>
  </r>
  <r>
    <n v="1003"/>
    <d v="2019-12-22T00:00:00"/>
    <x v="10"/>
    <s v="Female"/>
    <n v="176"/>
    <n v="93.2"/>
    <n v="14073"/>
    <n v="688.2"/>
    <n v="5.5"/>
    <n v="62"/>
    <x v="2"/>
    <n v="63"/>
    <n v="3.37"/>
    <n v="7"/>
    <x v="2"/>
  </r>
  <r>
    <n v="1665"/>
    <d v="2019-12-23T00:00:00"/>
    <x v="17"/>
    <s v="Female"/>
    <n v="179.4"/>
    <n v="69"/>
    <n v="8145"/>
    <n v="444.6"/>
    <n v="6.5"/>
    <n v="72"/>
    <x v="2"/>
    <n v="27"/>
    <n v="2.21"/>
    <n v="9"/>
    <x v="2"/>
  </r>
  <r>
    <n v="1441"/>
    <d v="2019-12-24T00:00:00"/>
    <x v="17"/>
    <s v="Female"/>
    <n v="166.6"/>
    <n v="75.099999999999994"/>
    <n v="6927"/>
    <n v="476.9"/>
    <n v="3.6"/>
    <n v="72"/>
    <x v="5"/>
    <n v="27"/>
    <n v="2.14"/>
    <n v="1"/>
    <x v="1"/>
  </r>
  <r>
    <n v="1028"/>
    <d v="2019-12-25T00:00:00"/>
    <x v="28"/>
    <s v="Female"/>
    <n v="185.2"/>
    <n v="54.1"/>
    <n v="1599"/>
    <n v="343.7"/>
    <n v="8.1"/>
    <n v="71"/>
    <x v="3"/>
    <n v="64"/>
    <n v="2.21"/>
    <n v="8"/>
    <x v="1"/>
  </r>
  <r>
    <n v="1108"/>
    <d v="2019-12-26T00:00:00"/>
    <x v="28"/>
    <s v="Male"/>
    <n v="162.1"/>
    <n v="77.900000000000006"/>
    <n v="14133"/>
    <n v="767.4"/>
    <n v="6.3"/>
    <n v="83"/>
    <x v="0"/>
    <n v="0"/>
    <n v="1.1499999999999999"/>
    <n v="2"/>
    <x v="0"/>
  </r>
  <r>
    <n v="1609"/>
    <d v="2019-12-27T00:00:00"/>
    <x v="24"/>
    <s v="Male"/>
    <n v="185"/>
    <n v="64.400000000000006"/>
    <n v="13209"/>
    <n v="817.5"/>
    <n v="7.4"/>
    <n v="76"/>
    <x v="0"/>
    <n v="0"/>
    <n v="1.66"/>
    <n v="3"/>
    <x v="2"/>
  </r>
  <r>
    <n v="1726"/>
    <d v="2019-12-28T00:00:00"/>
    <x v="17"/>
    <s v="Male"/>
    <n v="175.6"/>
    <n v="52.1"/>
    <n v="12524"/>
    <n v="773.4"/>
    <n v="5.4"/>
    <n v="63"/>
    <x v="2"/>
    <n v="36"/>
    <n v="2.48"/>
    <n v="1"/>
    <x v="1"/>
  </r>
  <r>
    <n v="1804"/>
    <d v="2019-12-29T00:00:00"/>
    <x v="4"/>
    <s v="Male"/>
    <n v="157.80000000000001"/>
    <n v="51.9"/>
    <n v="15317"/>
    <n v="838.5"/>
    <n v="10"/>
    <n v="63"/>
    <x v="2"/>
    <n v="74"/>
    <n v="2.77"/>
    <n v="7"/>
    <x v="0"/>
  </r>
  <r>
    <n v="1074"/>
    <d v="2019-12-30T00:00:00"/>
    <x v="34"/>
    <s v="Male"/>
    <n v="189.8"/>
    <n v="51.6"/>
    <n v="10145"/>
    <n v="684.5"/>
    <n v="4.9000000000000004"/>
    <n v="55"/>
    <x v="2"/>
    <n v="75"/>
    <n v="2.84"/>
    <n v="5"/>
    <x v="0"/>
  </r>
  <r>
    <n v="1837"/>
    <d v="2019-12-31T00:00:00"/>
    <x v="6"/>
    <s v="Female"/>
    <n v="165.6"/>
    <n v="75.7"/>
    <n v="15357"/>
    <n v="887.3"/>
    <n v="6.3"/>
    <n v="84"/>
    <x v="4"/>
    <n v="63"/>
    <n v="1.95"/>
    <n v="3"/>
    <x v="2"/>
  </r>
  <r>
    <n v="1145"/>
    <d v="2020-01-01T00:00:00"/>
    <x v="2"/>
    <s v="Female"/>
    <n v="182.1"/>
    <n v="60.5"/>
    <n v="10817"/>
    <n v="691.6"/>
    <n v="8.8000000000000007"/>
    <n v="73"/>
    <x v="2"/>
    <n v="72"/>
    <n v="2.16"/>
    <n v="4"/>
    <x v="0"/>
  </r>
  <r>
    <n v="1127"/>
    <d v="2020-01-02T00:00:00"/>
    <x v="25"/>
    <s v="Male"/>
    <n v="171.5"/>
    <n v="45.4"/>
    <n v="2870"/>
    <n v="220.6"/>
    <n v="5.3"/>
    <n v="83"/>
    <x v="0"/>
    <n v="0"/>
    <n v="2.31"/>
    <n v="10"/>
    <x v="0"/>
  </r>
  <r>
    <n v="1852"/>
    <d v="2020-01-03T00:00:00"/>
    <x v="13"/>
    <s v="Male"/>
    <n v="173.7"/>
    <n v="75.5"/>
    <n v="19408"/>
    <n v="900"/>
    <n v="7.1"/>
    <n v="106"/>
    <x v="4"/>
    <n v="58"/>
    <n v="2.23"/>
    <n v="6"/>
    <x v="0"/>
  </r>
  <r>
    <n v="1041"/>
    <d v="2020-01-04T00:00:00"/>
    <x v="1"/>
    <s v="Male"/>
    <n v="179"/>
    <n v="45"/>
    <n v="13521"/>
    <n v="706.2"/>
    <n v="7.9"/>
    <n v="66"/>
    <x v="0"/>
    <n v="0"/>
    <n v="2.98"/>
    <n v="6"/>
    <x v="0"/>
  </r>
  <r>
    <n v="1355"/>
    <d v="2020-01-05T00:00:00"/>
    <x v="24"/>
    <s v="Female"/>
    <n v="178.5"/>
    <n v="89.9"/>
    <n v="6453"/>
    <n v="516.70000000000005"/>
    <n v="4.7"/>
    <n v="78"/>
    <x v="2"/>
    <n v="44"/>
    <n v="1.58"/>
    <n v="2"/>
    <x v="0"/>
  </r>
  <r>
    <n v="1040"/>
    <d v="2020-01-06T00:00:00"/>
    <x v="31"/>
    <s v="Male"/>
    <n v="166.6"/>
    <n v="99.8"/>
    <n v="2827"/>
    <n v="297.7"/>
    <n v="6"/>
    <n v="89"/>
    <x v="0"/>
    <n v="0"/>
    <n v="1.7"/>
    <n v="7"/>
    <x v="2"/>
  </r>
  <r>
    <n v="1933"/>
    <d v="2020-01-07T00:00:00"/>
    <x v="14"/>
    <s v="Male"/>
    <n v="175.3"/>
    <n v="50.3"/>
    <n v="17923"/>
    <n v="900"/>
    <n v="7.3"/>
    <n v="70"/>
    <x v="1"/>
    <n v="87"/>
    <n v="2.29"/>
    <n v="2"/>
    <x v="2"/>
  </r>
  <r>
    <n v="1033"/>
    <d v="2020-01-08T00:00:00"/>
    <x v="6"/>
    <s v="Male"/>
    <n v="174.6"/>
    <n v="85.8"/>
    <n v="17225"/>
    <n v="894.1"/>
    <n v="7.7"/>
    <n v="72"/>
    <x v="4"/>
    <n v="51"/>
    <n v="1.54"/>
    <n v="9"/>
    <x v="2"/>
  </r>
  <r>
    <n v="1016"/>
    <d v="2020-01-09T00:00:00"/>
    <x v="37"/>
    <s v="Female"/>
    <n v="172.1"/>
    <n v="75.2"/>
    <n v="8202"/>
    <n v="526.70000000000005"/>
    <n v="5.8"/>
    <n v="80"/>
    <x v="4"/>
    <n v="60"/>
    <n v="1.17"/>
    <n v="2"/>
    <x v="2"/>
  </r>
  <r>
    <n v="1676"/>
    <d v="2020-01-10T00:00:00"/>
    <x v="15"/>
    <s v="Male"/>
    <n v="168"/>
    <n v="62.5"/>
    <n v="5438"/>
    <n v="398.6"/>
    <n v="9.8000000000000007"/>
    <n v="100"/>
    <x v="5"/>
    <n v="26"/>
    <n v="1.45"/>
    <n v="5"/>
    <x v="1"/>
  </r>
  <r>
    <n v="1152"/>
    <d v="2020-01-11T00:00:00"/>
    <x v="39"/>
    <s v="Female"/>
    <n v="172.1"/>
    <n v="63.2"/>
    <n v="13139"/>
    <n v="716.3"/>
    <n v="7.7"/>
    <n v="81"/>
    <x v="2"/>
    <n v="37"/>
    <n v="2.33"/>
    <n v="8"/>
    <x v="2"/>
  </r>
  <r>
    <n v="1997"/>
    <d v="2020-01-12T00:00:00"/>
    <x v="10"/>
    <s v="Female"/>
    <n v="189.7"/>
    <n v="79.8"/>
    <n v="12218"/>
    <n v="702.2"/>
    <n v="8.1999999999999993"/>
    <n v="67"/>
    <x v="3"/>
    <n v="36"/>
    <n v="2.94"/>
    <n v="8"/>
    <x v="2"/>
  </r>
  <r>
    <n v="1377"/>
    <d v="2020-01-13T00:00:00"/>
    <x v="24"/>
    <s v="Female"/>
    <n v="167"/>
    <n v="69.400000000000006"/>
    <n v="13924"/>
    <n v="753.7"/>
    <n v="8.1"/>
    <n v="68"/>
    <x v="3"/>
    <n v="78"/>
    <n v="2.96"/>
    <n v="4"/>
    <x v="2"/>
  </r>
  <r>
    <n v="1587"/>
    <d v="2020-01-14T00:00:00"/>
    <x v="30"/>
    <s v="Female"/>
    <n v="182.1"/>
    <n v="45"/>
    <n v="7716"/>
    <n v="485.4"/>
    <n v="4.7"/>
    <n v="70"/>
    <x v="3"/>
    <n v="30"/>
    <n v="3.61"/>
    <n v="7"/>
    <x v="0"/>
  </r>
  <r>
    <n v="1598"/>
    <d v="2020-01-15T00:00:00"/>
    <x v="18"/>
    <s v="Female"/>
    <n v="163.80000000000001"/>
    <n v="101.1"/>
    <n v="17088"/>
    <n v="863.2"/>
    <n v="6.8"/>
    <n v="57"/>
    <x v="3"/>
    <n v="70"/>
    <n v="2.57"/>
    <n v="8"/>
    <x v="0"/>
  </r>
  <r>
    <n v="1628"/>
    <d v="2020-01-16T00:00:00"/>
    <x v="25"/>
    <s v="Female"/>
    <n v="161.19999999999999"/>
    <n v="76.5"/>
    <n v="7818"/>
    <n v="603.79999999999995"/>
    <n v="7"/>
    <n v="73"/>
    <x v="1"/>
    <n v="26"/>
    <n v="2.67"/>
    <n v="8"/>
    <x v="0"/>
  </r>
  <r>
    <n v="1873"/>
    <d v="2020-01-17T00:00:00"/>
    <x v="15"/>
    <s v="Male"/>
    <n v="200"/>
    <n v="69.2"/>
    <n v="5286"/>
    <n v="511.3"/>
    <n v="6.6"/>
    <n v="75"/>
    <x v="3"/>
    <n v="46"/>
    <n v="2.3199999999999998"/>
    <n v="5"/>
    <x v="2"/>
  </r>
  <r>
    <n v="1341"/>
    <d v="2020-01-18T00:00:00"/>
    <x v="0"/>
    <s v="Male"/>
    <n v="175.4"/>
    <n v="59.2"/>
    <n v="5739"/>
    <n v="406"/>
    <n v="7.3"/>
    <n v="75"/>
    <x v="0"/>
    <n v="0"/>
    <n v="2.36"/>
    <n v="10"/>
    <x v="1"/>
  </r>
  <r>
    <n v="1980"/>
    <d v="2020-01-19T00:00:00"/>
    <x v="14"/>
    <s v="Male"/>
    <n v="175.7"/>
    <n v="67.2"/>
    <n v="3089"/>
    <n v="366"/>
    <n v="3.8"/>
    <n v="61"/>
    <x v="5"/>
    <n v="56"/>
    <n v="3.96"/>
    <n v="2"/>
    <x v="1"/>
  </r>
  <r>
    <n v="1026"/>
    <d v="2020-01-20T00:00:00"/>
    <x v="22"/>
    <s v="Female"/>
    <n v="176"/>
    <n v="89"/>
    <n v="6605"/>
    <n v="422.8"/>
    <n v="7.2"/>
    <n v="78"/>
    <x v="3"/>
    <n v="24"/>
    <n v="2.68"/>
    <n v="2"/>
    <x v="2"/>
  </r>
  <r>
    <n v="1824"/>
    <d v="2020-01-21T00:00:00"/>
    <x v="1"/>
    <s v="Male"/>
    <n v="184.1"/>
    <n v="73.900000000000006"/>
    <n v="7822"/>
    <n v="496.5"/>
    <n v="6.5"/>
    <n v="65"/>
    <x v="5"/>
    <n v="81"/>
    <n v="2.74"/>
    <n v="5"/>
    <x v="1"/>
  </r>
  <r>
    <n v="1286"/>
    <d v="2020-01-22T00:00:00"/>
    <x v="14"/>
    <s v="Female"/>
    <n v="174.1"/>
    <n v="75.599999999999994"/>
    <n v="4321"/>
    <n v="318.5"/>
    <n v="3.8"/>
    <n v="73"/>
    <x v="4"/>
    <n v="74"/>
    <n v="1.7"/>
    <n v="4"/>
    <x v="1"/>
  </r>
  <r>
    <n v="1645"/>
    <d v="2020-01-23T00:00:00"/>
    <x v="40"/>
    <s v="Female"/>
    <n v="178.2"/>
    <n v="51.3"/>
    <n v="12773"/>
    <n v="761.9"/>
    <n v="7.6"/>
    <n v="68"/>
    <x v="0"/>
    <n v="0"/>
    <n v="2.79"/>
    <n v="4"/>
    <x v="2"/>
  </r>
  <r>
    <n v="1730"/>
    <d v="2020-01-24T00:00:00"/>
    <x v="17"/>
    <s v="Female"/>
    <n v="159.4"/>
    <n v="64.8"/>
    <n v="19933"/>
    <n v="900"/>
    <n v="5.2"/>
    <n v="87"/>
    <x v="2"/>
    <n v="75"/>
    <n v="2.96"/>
    <n v="3"/>
    <x v="0"/>
  </r>
  <r>
    <n v="1167"/>
    <d v="2020-01-25T00:00:00"/>
    <x v="1"/>
    <s v="Male"/>
    <n v="179.8"/>
    <n v="70.8"/>
    <n v="2216"/>
    <n v="322.39999999999998"/>
    <n v="6.4"/>
    <n v="68"/>
    <x v="3"/>
    <n v="70"/>
    <n v="3.28"/>
    <n v="9"/>
    <x v="1"/>
  </r>
  <r>
    <n v="1609"/>
    <d v="2020-01-26T00:00:00"/>
    <x v="27"/>
    <s v="Female"/>
    <n v="167.6"/>
    <n v="80.400000000000006"/>
    <n v="5885"/>
    <n v="479.8"/>
    <n v="6.6"/>
    <n v="88"/>
    <x v="5"/>
    <n v="87"/>
    <n v="2.94"/>
    <n v="8"/>
    <x v="0"/>
  </r>
  <r>
    <n v="1267"/>
    <d v="2020-01-27T00:00:00"/>
    <x v="16"/>
    <s v="Female"/>
    <n v="176.7"/>
    <n v="63.8"/>
    <n v="13170"/>
    <n v="683.3"/>
    <n v="4.2"/>
    <n v="76"/>
    <x v="0"/>
    <n v="0"/>
    <n v="2.41"/>
    <n v="4"/>
    <x v="2"/>
  </r>
  <r>
    <n v="1748"/>
    <d v="2020-01-28T00:00:00"/>
    <x v="40"/>
    <s v="Male"/>
    <n v="152.80000000000001"/>
    <n v="83.9"/>
    <n v="9933"/>
    <n v="581.1"/>
    <n v="4.4000000000000004"/>
    <n v="79"/>
    <x v="5"/>
    <n v="80"/>
    <n v="2.38"/>
    <n v="7"/>
    <x v="0"/>
  </r>
  <r>
    <n v="1820"/>
    <d v="2020-01-29T00:00:00"/>
    <x v="5"/>
    <s v="Male"/>
    <n v="176.3"/>
    <n v="52.8"/>
    <n v="10906"/>
    <n v="658.5"/>
    <n v="7.8"/>
    <n v="76"/>
    <x v="2"/>
    <n v="52"/>
    <n v="2.4500000000000002"/>
    <n v="8"/>
    <x v="1"/>
  </r>
  <r>
    <n v="1454"/>
    <d v="2020-01-30T00:00:00"/>
    <x v="23"/>
    <s v="Female"/>
    <n v="150"/>
    <n v="71"/>
    <n v="13236"/>
    <n v="712.2"/>
    <n v="6.1"/>
    <n v="66"/>
    <x v="4"/>
    <n v="74"/>
    <n v="2.58"/>
    <n v="6"/>
    <x v="0"/>
  </r>
  <r>
    <n v="1905"/>
    <d v="2020-01-31T00:00:00"/>
    <x v="16"/>
    <s v="Female"/>
    <n v="167.2"/>
    <n v="68.5"/>
    <n v="3797"/>
    <n v="355.4"/>
    <n v="6.4"/>
    <n v="79"/>
    <x v="3"/>
    <n v="37"/>
    <n v="3.39"/>
    <n v="2"/>
    <x v="0"/>
  </r>
  <r>
    <n v="1684"/>
    <d v="2020-02-01T00:00:00"/>
    <x v="25"/>
    <s v="Male"/>
    <n v="152.9"/>
    <n v="47.3"/>
    <n v="1818"/>
    <n v="232.7"/>
    <n v="7.1"/>
    <n v="71"/>
    <x v="5"/>
    <n v="31"/>
    <n v="3.25"/>
    <n v="8"/>
    <x v="0"/>
  </r>
  <r>
    <n v="1400"/>
    <d v="2020-02-02T00:00:00"/>
    <x v="1"/>
    <s v="Male"/>
    <n v="176.3"/>
    <n v="69.3"/>
    <n v="9434"/>
    <n v="643.79999999999995"/>
    <n v="4.4000000000000004"/>
    <n v="78"/>
    <x v="3"/>
    <n v="40"/>
    <n v="3.03"/>
    <n v="3"/>
    <x v="2"/>
  </r>
  <r>
    <n v="1921"/>
    <d v="2020-02-03T00:00:00"/>
    <x v="33"/>
    <s v="Male"/>
    <n v="170.7"/>
    <n v="61.3"/>
    <n v="8926"/>
    <n v="604"/>
    <n v="6.4"/>
    <n v="81"/>
    <x v="0"/>
    <n v="0"/>
    <n v="3.92"/>
    <n v="4"/>
    <x v="2"/>
  </r>
  <r>
    <n v="1980"/>
    <d v="2020-02-04T00:00:00"/>
    <x v="25"/>
    <s v="Female"/>
    <n v="162.30000000000001"/>
    <n v="91.2"/>
    <n v="13717"/>
    <n v="810.5"/>
    <n v="6.8"/>
    <n v="94"/>
    <x v="1"/>
    <n v="40"/>
    <n v="0.64"/>
    <n v="4"/>
    <x v="2"/>
  </r>
  <r>
    <n v="1475"/>
    <d v="2020-02-05T00:00:00"/>
    <x v="18"/>
    <s v="Male"/>
    <n v="184.3"/>
    <n v="63.8"/>
    <n v="13069"/>
    <n v="755.7"/>
    <n v="9.6"/>
    <n v="80"/>
    <x v="5"/>
    <n v="41"/>
    <n v="2.1800000000000002"/>
    <n v="7"/>
    <x v="2"/>
  </r>
  <r>
    <n v="1701"/>
    <d v="2020-02-06T00:00:00"/>
    <x v="37"/>
    <s v="Male"/>
    <n v="161"/>
    <n v="75.3"/>
    <n v="1012"/>
    <n v="185.8"/>
    <n v="5.6"/>
    <n v="85"/>
    <x v="4"/>
    <n v="74"/>
    <n v="2.4900000000000002"/>
    <n v="8"/>
    <x v="0"/>
  </r>
  <r>
    <n v="1633"/>
    <d v="2020-02-07T00:00:00"/>
    <x v="6"/>
    <s v="Male"/>
    <n v="150"/>
    <n v="51.5"/>
    <n v="6894"/>
    <n v="451.8"/>
    <n v="8.1999999999999993"/>
    <n v="82"/>
    <x v="0"/>
    <n v="0"/>
    <n v="2.0299999999999998"/>
    <n v="9"/>
    <x v="1"/>
  </r>
  <r>
    <n v="1557"/>
    <d v="2020-02-08T00:00:00"/>
    <x v="32"/>
    <s v="Female"/>
    <n v="175.1"/>
    <n v="73.5"/>
    <n v="8392"/>
    <n v="500.6"/>
    <n v="7"/>
    <n v="73"/>
    <x v="2"/>
    <n v="60"/>
    <n v="1.85"/>
    <n v="1"/>
    <x v="0"/>
  </r>
  <r>
    <n v="1575"/>
    <d v="2020-02-09T00:00:00"/>
    <x v="16"/>
    <s v="Male"/>
    <n v="152.30000000000001"/>
    <n v="63.8"/>
    <n v="17102"/>
    <n v="871.2"/>
    <n v="5.3"/>
    <n v="82"/>
    <x v="5"/>
    <n v="24"/>
    <n v="1.3"/>
    <n v="1"/>
    <x v="0"/>
  </r>
  <r>
    <n v="1129"/>
    <d v="2020-02-10T00:00:00"/>
    <x v="40"/>
    <s v="Male"/>
    <n v="161.30000000000001"/>
    <n v="58.4"/>
    <n v="1689"/>
    <n v="320.39999999999998"/>
    <n v="6.1"/>
    <n v="74"/>
    <x v="1"/>
    <n v="63"/>
    <n v="2.2799999999999998"/>
    <n v="7"/>
    <x v="0"/>
  </r>
  <r>
    <n v="1821"/>
    <d v="2020-02-11T00:00:00"/>
    <x v="6"/>
    <s v="Male"/>
    <n v="164.8"/>
    <n v="112.5"/>
    <n v="12932"/>
    <n v="643.6"/>
    <n v="8.3000000000000007"/>
    <n v="71"/>
    <x v="2"/>
    <n v="35"/>
    <n v="3.13"/>
    <n v="4"/>
    <x v="1"/>
  </r>
  <r>
    <n v="1362"/>
    <d v="2020-02-12T00:00:00"/>
    <x v="26"/>
    <s v="Male"/>
    <n v="155.80000000000001"/>
    <n v="64.7"/>
    <n v="12766"/>
    <n v="681.5"/>
    <n v="8.1999999999999993"/>
    <n v="64"/>
    <x v="4"/>
    <n v="54"/>
    <n v="3.04"/>
    <n v="10"/>
    <x v="1"/>
  </r>
  <r>
    <n v="1704"/>
    <d v="2020-02-13T00:00:00"/>
    <x v="13"/>
    <s v="Male"/>
    <n v="165.1"/>
    <n v="66.8"/>
    <n v="14292"/>
    <n v="752"/>
    <n v="6.2"/>
    <n v="82"/>
    <x v="3"/>
    <n v="24"/>
    <n v="1.97"/>
    <n v="8"/>
    <x v="1"/>
  </r>
  <r>
    <n v="1818"/>
    <d v="2020-02-14T00:00:00"/>
    <x v="25"/>
    <s v="Female"/>
    <n v="155.9"/>
    <n v="83.5"/>
    <n v="15863"/>
    <n v="768.8"/>
    <n v="7.5"/>
    <n v="69"/>
    <x v="3"/>
    <n v="81"/>
    <n v="2.65"/>
    <n v="5"/>
    <x v="0"/>
  </r>
  <r>
    <n v="1692"/>
    <d v="2020-02-15T00:00:00"/>
    <x v="13"/>
    <s v="Female"/>
    <n v="171.6"/>
    <n v="58.5"/>
    <n v="18386"/>
    <n v="900"/>
    <n v="5.4"/>
    <n v="81"/>
    <x v="5"/>
    <n v="45"/>
    <n v="3.45"/>
    <n v="1"/>
    <x v="2"/>
  </r>
  <r>
    <n v="1291"/>
    <d v="2020-02-16T00:00:00"/>
    <x v="9"/>
    <s v="Female"/>
    <n v="157.69999999999999"/>
    <n v="76"/>
    <n v="8408"/>
    <n v="519.20000000000005"/>
    <n v="6.7"/>
    <n v="75"/>
    <x v="2"/>
    <n v="80"/>
    <n v="1.44"/>
    <n v="2"/>
    <x v="2"/>
  </r>
  <r>
    <n v="1370"/>
    <d v="2020-02-17T00:00:00"/>
    <x v="3"/>
    <s v="Male"/>
    <n v="170.3"/>
    <n v="77.7"/>
    <n v="11694"/>
    <n v="723.4"/>
    <n v="6.4"/>
    <n v="72"/>
    <x v="1"/>
    <n v="70"/>
    <n v="2.39"/>
    <n v="10"/>
    <x v="0"/>
  </r>
  <r>
    <n v="1793"/>
    <d v="2020-02-18T00:00:00"/>
    <x v="28"/>
    <s v="Female"/>
    <n v="181.6"/>
    <n v="73.7"/>
    <n v="9142"/>
    <n v="551.9"/>
    <n v="8.4"/>
    <n v="66"/>
    <x v="1"/>
    <n v="88"/>
    <n v="2.7"/>
    <n v="3"/>
    <x v="2"/>
  </r>
  <r>
    <n v="1028"/>
    <d v="2020-02-19T00:00:00"/>
    <x v="17"/>
    <s v="Female"/>
    <n v="177.8"/>
    <n v="104.4"/>
    <n v="2765"/>
    <n v="333.5"/>
    <n v="7.7"/>
    <n v="88"/>
    <x v="4"/>
    <n v="75"/>
    <n v="2.5099999999999998"/>
    <n v="2"/>
    <x v="2"/>
  </r>
  <r>
    <n v="1148"/>
    <d v="2020-02-20T00:00:00"/>
    <x v="40"/>
    <s v="Female"/>
    <n v="169.2"/>
    <n v="57.9"/>
    <n v="16237"/>
    <n v="855.2"/>
    <n v="6"/>
    <n v="71"/>
    <x v="0"/>
    <n v="0"/>
    <n v="3.1"/>
    <n v="9"/>
    <x v="0"/>
  </r>
  <r>
    <n v="1778"/>
    <d v="2020-02-21T00:00:00"/>
    <x v="4"/>
    <s v="Male"/>
    <n v="160.1"/>
    <n v="93.1"/>
    <n v="6778"/>
    <n v="347"/>
    <n v="6.1"/>
    <n v="91"/>
    <x v="2"/>
    <n v="55"/>
    <n v="1.45"/>
    <n v="7"/>
    <x v="0"/>
  </r>
  <r>
    <n v="1295"/>
    <d v="2020-02-22T00:00:00"/>
    <x v="14"/>
    <s v="Male"/>
    <n v="171.6"/>
    <n v="77.099999999999994"/>
    <n v="3291"/>
    <n v="259.89999999999998"/>
    <n v="7"/>
    <n v="67"/>
    <x v="2"/>
    <n v="43"/>
    <n v="1.8"/>
    <n v="2"/>
    <x v="2"/>
  </r>
  <r>
    <n v="1010"/>
    <d v="2020-02-23T00:00:00"/>
    <x v="39"/>
    <s v="Female"/>
    <n v="163"/>
    <n v="83.6"/>
    <n v="5866"/>
    <n v="453.8"/>
    <n v="6.8"/>
    <n v="90"/>
    <x v="3"/>
    <n v="49"/>
    <n v="2.98"/>
    <n v="7"/>
    <x v="0"/>
  </r>
  <r>
    <n v="1511"/>
    <d v="2020-02-24T00:00:00"/>
    <x v="21"/>
    <s v="Female"/>
    <n v="172"/>
    <n v="75.099999999999994"/>
    <n v="9429"/>
    <n v="594.1"/>
    <n v="6.6"/>
    <n v="76"/>
    <x v="4"/>
    <n v="88"/>
    <n v="1.31"/>
    <n v="10"/>
    <x v="2"/>
  </r>
  <r>
    <n v="1675"/>
    <d v="2020-02-25T00:00:00"/>
    <x v="31"/>
    <s v="Male"/>
    <n v="152.80000000000001"/>
    <n v="98.2"/>
    <n v="11584"/>
    <n v="659.9"/>
    <n v="6.5"/>
    <n v="84"/>
    <x v="4"/>
    <n v="67"/>
    <n v="3.07"/>
    <n v="1"/>
    <x v="1"/>
  </r>
  <r>
    <n v="1112"/>
    <d v="2020-02-26T00:00:00"/>
    <x v="31"/>
    <s v="Male"/>
    <n v="178.1"/>
    <n v="65.2"/>
    <n v="12747"/>
    <n v="776.4"/>
    <n v="9.1"/>
    <n v="62"/>
    <x v="0"/>
    <n v="0"/>
    <n v="2.81"/>
    <n v="5"/>
    <x v="1"/>
  </r>
  <r>
    <n v="1186"/>
    <d v="2020-02-27T00:00:00"/>
    <x v="25"/>
    <s v="Female"/>
    <n v="170.3"/>
    <n v="77.5"/>
    <n v="18968"/>
    <n v="900"/>
    <n v="6.3"/>
    <n v="62"/>
    <x v="4"/>
    <n v="52"/>
    <n v="3.02"/>
    <n v="5"/>
    <x v="0"/>
  </r>
  <r>
    <n v="1806"/>
    <d v="2020-02-28T00:00:00"/>
    <x v="26"/>
    <s v="Male"/>
    <n v="192.1"/>
    <n v="89.6"/>
    <n v="2307"/>
    <n v="370.8"/>
    <n v="7.4"/>
    <n v="78"/>
    <x v="2"/>
    <n v="88"/>
    <n v="2.17"/>
    <n v="9"/>
    <x v="2"/>
  </r>
  <r>
    <n v="1743"/>
    <d v="2020-02-29T00:00:00"/>
    <x v="4"/>
    <s v="Female"/>
    <n v="183.1"/>
    <n v="61.6"/>
    <n v="3085"/>
    <n v="200.4"/>
    <n v="10"/>
    <n v="65"/>
    <x v="3"/>
    <n v="69"/>
    <n v="2.86"/>
    <n v="4"/>
    <x v="1"/>
  </r>
  <r>
    <n v="1226"/>
    <d v="2020-03-01T00:00:00"/>
    <x v="25"/>
    <s v="Male"/>
    <n v="175.7"/>
    <n v="85"/>
    <n v="17415"/>
    <n v="900"/>
    <n v="5.7"/>
    <n v="88"/>
    <x v="4"/>
    <n v="42"/>
    <n v="1.68"/>
    <n v="4"/>
    <x v="0"/>
  </r>
  <r>
    <n v="1309"/>
    <d v="2020-03-02T00:00:00"/>
    <x v="24"/>
    <s v="Female"/>
    <n v="168.8"/>
    <n v="69.7"/>
    <n v="1291"/>
    <n v="221.3"/>
    <n v="7.3"/>
    <n v="79"/>
    <x v="3"/>
    <n v="29"/>
    <n v="2.21"/>
    <n v="6"/>
    <x v="1"/>
  </r>
  <r>
    <n v="1097"/>
    <d v="2020-03-03T00:00:00"/>
    <x v="7"/>
    <s v="Female"/>
    <n v="162.69999999999999"/>
    <n v="51.5"/>
    <n v="4686"/>
    <n v="388.7"/>
    <n v="7.4"/>
    <n v="69"/>
    <x v="0"/>
    <n v="0"/>
    <n v="2.5299999999999998"/>
    <n v="2"/>
    <x v="1"/>
  </r>
  <r>
    <n v="1054"/>
    <d v="2020-03-04T00:00:00"/>
    <x v="16"/>
    <s v="Male"/>
    <n v="179.4"/>
    <n v="48.2"/>
    <n v="13579"/>
    <n v="802.5"/>
    <n v="7"/>
    <n v="66"/>
    <x v="4"/>
    <n v="36"/>
    <n v="1.87"/>
    <n v="10"/>
    <x v="0"/>
  </r>
  <r>
    <n v="1622"/>
    <d v="2020-03-05T00:00:00"/>
    <x v="19"/>
    <s v="Female"/>
    <n v="167.7"/>
    <n v="68.599999999999994"/>
    <n v="2642"/>
    <n v="199.9"/>
    <n v="7.1"/>
    <n v="72"/>
    <x v="2"/>
    <n v="72"/>
    <n v="2.65"/>
    <n v="6"/>
    <x v="1"/>
  </r>
  <r>
    <n v="1663"/>
    <d v="2020-03-06T00:00:00"/>
    <x v="40"/>
    <s v="Female"/>
    <n v="181.7"/>
    <n v="84.9"/>
    <n v="9769"/>
    <n v="578.1"/>
    <n v="5.7"/>
    <n v="69"/>
    <x v="3"/>
    <n v="27"/>
    <n v="1.7"/>
    <n v="7"/>
    <x v="0"/>
  </r>
  <r>
    <n v="1757"/>
    <d v="2020-03-07T00:00:00"/>
    <x v="17"/>
    <s v="Female"/>
    <n v="174"/>
    <n v="45"/>
    <n v="4909"/>
    <n v="446.8"/>
    <n v="7.5"/>
    <n v="80"/>
    <x v="5"/>
    <n v="63"/>
    <n v="2.69"/>
    <n v="4"/>
    <x v="0"/>
  </r>
  <r>
    <n v="1405"/>
    <d v="2020-03-08T00:00:00"/>
    <x v="39"/>
    <s v="Male"/>
    <n v="174.1"/>
    <n v="73"/>
    <n v="18607"/>
    <n v="900"/>
    <n v="4.2"/>
    <n v="74"/>
    <x v="0"/>
    <n v="0"/>
    <n v="3.72"/>
    <n v="10"/>
    <x v="1"/>
  </r>
  <r>
    <n v="1068"/>
    <d v="2020-03-09T00:00:00"/>
    <x v="3"/>
    <s v="Male"/>
    <n v="175.9"/>
    <n v="83.4"/>
    <n v="13268"/>
    <n v="776.4"/>
    <n v="9.6999999999999993"/>
    <n v="87"/>
    <x v="4"/>
    <n v="25"/>
    <n v="1.62"/>
    <n v="9"/>
    <x v="1"/>
  </r>
  <r>
    <n v="1311"/>
    <d v="2020-03-10T00:00:00"/>
    <x v="8"/>
    <s v="Male"/>
    <n v="160.80000000000001"/>
    <n v="50.8"/>
    <n v="11844"/>
    <n v="707.6"/>
    <n v="9.6"/>
    <n v="81"/>
    <x v="2"/>
    <n v="56"/>
    <n v="2.48"/>
    <n v="5"/>
    <x v="2"/>
  </r>
  <r>
    <n v="1288"/>
    <d v="2020-03-11T00:00:00"/>
    <x v="2"/>
    <s v="Female"/>
    <n v="159.80000000000001"/>
    <n v="60.5"/>
    <n v="9638"/>
    <n v="594"/>
    <n v="6.5"/>
    <n v="66"/>
    <x v="3"/>
    <n v="73"/>
    <n v="1.37"/>
    <n v="3"/>
    <x v="1"/>
  </r>
  <r>
    <n v="1761"/>
    <d v="2020-03-12T00:00:00"/>
    <x v="24"/>
    <s v="Male"/>
    <n v="159.4"/>
    <n v="78.599999999999994"/>
    <n v="5373"/>
    <n v="444.9"/>
    <n v="8.6"/>
    <n v="71"/>
    <x v="1"/>
    <n v="42"/>
    <n v="1.92"/>
    <n v="9"/>
    <x v="2"/>
  </r>
  <r>
    <n v="1547"/>
    <d v="2020-03-13T00:00:00"/>
    <x v="12"/>
    <s v="Female"/>
    <n v="180.5"/>
    <n v="82.7"/>
    <n v="12233"/>
    <n v="754.1"/>
    <n v="6.6"/>
    <n v="66"/>
    <x v="2"/>
    <n v="76"/>
    <n v="2.99"/>
    <n v="1"/>
    <x v="0"/>
  </r>
  <r>
    <n v="1750"/>
    <d v="2020-03-14T00:00:00"/>
    <x v="29"/>
    <s v="Female"/>
    <n v="160.5"/>
    <n v="94.1"/>
    <n v="19963"/>
    <n v="900"/>
    <n v="7"/>
    <n v="66"/>
    <x v="2"/>
    <n v="70"/>
    <n v="2.2000000000000002"/>
    <n v="8"/>
    <x v="1"/>
  </r>
  <r>
    <n v="1147"/>
    <d v="2020-03-15T00:00:00"/>
    <x v="17"/>
    <s v="Male"/>
    <n v="161.80000000000001"/>
    <n v="61.2"/>
    <n v="18806"/>
    <n v="900"/>
    <n v="6"/>
    <n v="57"/>
    <x v="1"/>
    <n v="77"/>
    <n v="3.02"/>
    <n v="1"/>
    <x v="1"/>
  </r>
  <r>
    <n v="1466"/>
    <d v="2020-03-16T00:00:00"/>
    <x v="41"/>
    <s v="Male"/>
    <n v="175.4"/>
    <n v="57.8"/>
    <n v="8558"/>
    <n v="498.3"/>
    <n v="8.1999999999999993"/>
    <n v="84"/>
    <x v="1"/>
    <n v="38"/>
    <n v="2.75"/>
    <n v="10"/>
    <x v="0"/>
  </r>
  <r>
    <n v="1738"/>
    <d v="2020-03-17T00:00:00"/>
    <x v="5"/>
    <s v="Female"/>
    <n v="167.5"/>
    <n v="94.8"/>
    <n v="14271"/>
    <n v="799.9"/>
    <n v="6.1"/>
    <n v="88"/>
    <x v="5"/>
    <n v="46"/>
    <n v="2.4500000000000002"/>
    <n v="8"/>
    <x v="1"/>
  </r>
  <r>
    <n v="1243"/>
    <d v="2020-03-18T00:00:00"/>
    <x v="8"/>
    <s v="Female"/>
    <n v="166.2"/>
    <n v="58.7"/>
    <n v="7745"/>
    <n v="534.29999999999995"/>
    <n v="8.1999999999999993"/>
    <n v="65"/>
    <x v="5"/>
    <n v="44"/>
    <n v="1.78"/>
    <n v="5"/>
    <x v="2"/>
  </r>
  <r>
    <n v="1490"/>
    <d v="2020-03-19T00:00:00"/>
    <x v="2"/>
    <s v="Male"/>
    <n v="165.3"/>
    <n v="77.599999999999994"/>
    <n v="19993"/>
    <n v="900"/>
    <n v="6.9"/>
    <n v="64"/>
    <x v="5"/>
    <n v="40"/>
    <n v="2.98"/>
    <n v="7"/>
    <x v="1"/>
  </r>
  <r>
    <n v="1848"/>
    <d v="2020-03-20T00:00:00"/>
    <x v="13"/>
    <s v="Male"/>
    <n v="150"/>
    <n v="102.7"/>
    <n v="7734"/>
    <n v="451.5"/>
    <n v="7"/>
    <n v="81"/>
    <x v="2"/>
    <n v="44"/>
    <n v="2.71"/>
    <n v="8"/>
    <x v="2"/>
  </r>
  <r>
    <n v="1957"/>
    <d v="2020-03-21T00:00:00"/>
    <x v="37"/>
    <s v="Male"/>
    <n v="160.30000000000001"/>
    <n v="81.3"/>
    <n v="14860"/>
    <n v="848.1"/>
    <n v="4.8"/>
    <n v="67"/>
    <x v="2"/>
    <n v="70"/>
    <n v="1.43"/>
    <n v="1"/>
    <x v="1"/>
  </r>
  <r>
    <n v="1506"/>
    <d v="2020-03-22T00:00:00"/>
    <x v="26"/>
    <s v="Female"/>
    <n v="181.8"/>
    <n v="81.7"/>
    <n v="9250"/>
    <n v="526"/>
    <n v="7.1"/>
    <n v="88"/>
    <x v="2"/>
    <n v="54"/>
    <n v="1.82"/>
    <n v="1"/>
    <x v="1"/>
  </r>
  <r>
    <n v="1364"/>
    <d v="2020-03-23T00:00:00"/>
    <x v="10"/>
    <s v="Female"/>
    <n v="164.6"/>
    <n v="89.2"/>
    <n v="9650"/>
    <n v="703"/>
    <n v="5.3"/>
    <n v="68"/>
    <x v="5"/>
    <n v="89"/>
    <n v="0.56000000000000005"/>
    <n v="7"/>
    <x v="0"/>
  </r>
  <r>
    <n v="1481"/>
    <d v="2020-03-24T00:00:00"/>
    <x v="21"/>
    <s v="Female"/>
    <n v="151"/>
    <n v="77.900000000000006"/>
    <n v="17487"/>
    <n v="855.1"/>
    <n v="7.1"/>
    <n v="54"/>
    <x v="3"/>
    <n v="69"/>
    <n v="1.54"/>
    <n v="1"/>
    <x v="2"/>
  </r>
  <r>
    <n v="1200"/>
    <d v="2020-03-25T00:00:00"/>
    <x v="29"/>
    <s v="Female"/>
    <n v="159.9"/>
    <n v="81.8"/>
    <n v="18125"/>
    <n v="866.7"/>
    <n v="9.9"/>
    <n v="74"/>
    <x v="2"/>
    <n v="34"/>
    <n v="2.2799999999999998"/>
    <n v="4"/>
    <x v="0"/>
  </r>
  <r>
    <n v="1153"/>
    <d v="2020-03-26T00:00:00"/>
    <x v="19"/>
    <s v="Female"/>
    <n v="173.6"/>
    <n v="64.900000000000006"/>
    <n v="10764"/>
    <n v="616"/>
    <n v="4.9000000000000004"/>
    <n v="69"/>
    <x v="2"/>
    <n v="43"/>
    <n v="1.76"/>
    <n v="6"/>
    <x v="0"/>
  </r>
  <r>
    <n v="1449"/>
    <d v="2020-03-27T00:00:00"/>
    <x v="23"/>
    <s v="Male"/>
    <n v="173.4"/>
    <n v="87.4"/>
    <n v="11893"/>
    <n v="728.1"/>
    <n v="6.8"/>
    <n v="76"/>
    <x v="2"/>
    <n v="68"/>
    <n v="1.92"/>
    <n v="2"/>
    <x v="0"/>
  </r>
  <r>
    <n v="1500"/>
    <d v="2020-03-28T00:00:00"/>
    <x v="4"/>
    <s v="Male"/>
    <n v="167.1"/>
    <n v="76.2"/>
    <n v="13842"/>
    <n v="771.4"/>
    <n v="6"/>
    <n v="72"/>
    <x v="5"/>
    <n v="87"/>
    <n v="3.47"/>
    <n v="10"/>
    <x v="2"/>
  </r>
  <r>
    <n v="1072"/>
    <d v="2020-03-29T00:00:00"/>
    <x v="2"/>
    <s v="Female"/>
    <n v="163.1"/>
    <n v="47.8"/>
    <n v="5723"/>
    <n v="512.9"/>
    <n v="5.4"/>
    <n v="81"/>
    <x v="4"/>
    <n v="26"/>
    <n v="3.22"/>
    <n v="5"/>
    <x v="0"/>
  </r>
  <r>
    <n v="1712"/>
    <d v="2020-03-30T00:00:00"/>
    <x v="31"/>
    <s v="Female"/>
    <n v="156"/>
    <n v="73.599999999999994"/>
    <n v="12604"/>
    <n v="689.1"/>
    <n v="5.8"/>
    <n v="79"/>
    <x v="5"/>
    <n v="73"/>
    <n v="2.0099999999999998"/>
    <n v="10"/>
    <x v="2"/>
  </r>
  <r>
    <n v="1295"/>
    <d v="2020-03-31T00:00:00"/>
    <x v="6"/>
    <s v="Male"/>
    <n v="173.7"/>
    <n v="45"/>
    <n v="6203"/>
    <n v="423.6"/>
    <n v="9.1999999999999993"/>
    <n v="78"/>
    <x v="4"/>
    <n v="57"/>
    <n v="3.06"/>
    <n v="10"/>
    <x v="2"/>
  </r>
  <r>
    <n v="1016"/>
    <d v="2020-04-01T00:00:00"/>
    <x v="8"/>
    <s v="Male"/>
    <n v="178.4"/>
    <n v="80.7"/>
    <n v="3976"/>
    <n v="322.3"/>
    <n v="9.6"/>
    <n v="77"/>
    <x v="5"/>
    <n v="64"/>
    <n v="3.35"/>
    <n v="10"/>
    <x v="1"/>
  </r>
  <r>
    <n v="1640"/>
    <d v="2020-04-02T00:00:00"/>
    <x v="37"/>
    <s v="Male"/>
    <n v="182.9"/>
    <n v="66.5"/>
    <n v="8426"/>
    <n v="510.7"/>
    <n v="5.4"/>
    <n v="75"/>
    <x v="3"/>
    <n v="28"/>
    <n v="2.93"/>
    <n v="6"/>
    <x v="2"/>
  </r>
  <r>
    <n v="1216"/>
    <d v="2020-04-03T00:00:00"/>
    <x v="38"/>
    <s v="Male"/>
    <n v="158.9"/>
    <n v="98.6"/>
    <n v="9619"/>
    <n v="514.9"/>
    <n v="7.6"/>
    <n v="61"/>
    <x v="3"/>
    <n v="74"/>
    <n v="2.71"/>
    <n v="5"/>
    <x v="2"/>
  </r>
  <r>
    <n v="1060"/>
    <d v="2020-04-04T00:00:00"/>
    <x v="18"/>
    <s v="Female"/>
    <n v="183.7"/>
    <n v="77.3"/>
    <n v="15702"/>
    <n v="795.6"/>
    <n v="5.6"/>
    <n v="79"/>
    <x v="2"/>
    <n v="71"/>
    <n v="3.27"/>
    <n v="10"/>
    <x v="1"/>
  </r>
  <r>
    <n v="1938"/>
    <d v="2020-04-05T00:00:00"/>
    <x v="37"/>
    <s v="Male"/>
    <n v="169.4"/>
    <n v="83.9"/>
    <n v="7486"/>
    <n v="438.9"/>
    <n v="6"/>
    <n v="82"/>
    <x v="5"/>
    <n v="68"/>
    <n v="3.04"/>
    <n v="8"/>
    <x v="0"/>
  </r>
  <r>
    <n v="1615"/>
    <d v="2020-04-06T00:00:00"/>
    <x v="22"/>
    <s v="Female"/>
    <n v="170.3"/>
    <n v="54.3"/>
    <n v="7490"/>
    <n v="535.5"/>
    <n v="3.9"/>
    <n v="78"/>
    <x v="4"/>
    <n v="74"/>
    <n v="1.65"/>
    <n v="4"/>
    <x v="1"/>
  </r>
  <r>
    <n v="1041"/>
    <d v="2020-04-07T00:00:00"/>
    <x v="13"/>
    <s v="Male"/>
    <n v="178.9"/>
    <n v="80.3"/>
    <n v="15114"/>
    <n v="878.6"/>
    <n v="10"/>
    <n v="73"/>
    <x v="4"/>
    <n v="89"/>
    <n v="2.37"/>
    <n v="8"/>
    <x v="1"/>
  </r>
  <r>
    <n v="1024"/>
    <d v="2020-04-08T00:00:00"/>
    <x v="28"/>
    <s v="Male"/>
    <n v="164.6"/>
    <n v="60.4"/>
    <n v="19328"/>
    <n v="900"/>
    <n v="8.6"/>
    <n v="81"/>
    <x v="3"/>
    <n v="22"/>
    <n v="2.11"/>
    <n v="3"/>
    <x v="1"/>
  </r>
  <r>
    <n v="1038"/>
    <d v="2020-04-09T00:00:00"/>
    <x v="21"/>
    <s v="Male"/>
    <n v="150"/>
    <n v="86.4"/>
    <n v="6973"/>
    <n v="445.2"/>
    <n v="6"/>
    <n v="77"/>
    <x v="2"/>
    <n v="87"/>
    <n v="3.31"/>
    <n v="7"/>
    <x v="2"/>
  </r>
  <r>
    <n v="1802"/>
    <d v="2020-04-10T00:00:00"/>
    <x v="23"/>
    <s v="Female"/>
    <n v="177"/>
    <n v="53.2"/>
    <n v="14447"/>
    <n v="815.1"/>
    <n v="7.4"/>
    <n v="82"/>
    <x v="4"/>
    <n v="57"/>
    <n v="2.09"/>
    <n v="5"/>
    <x v="1"/>
  </r>
  <r>
    <n v="1130"/>
    <d v="2020-04-11T00:00:00"/>
    <x v="35"/>
    <s v="Female"/>
    <n v="173.5"/>
    <n v="71.599999999999994"/>
    <n v="16858"/>
    <n v="872.4"/>
    <n v="6.4"/>
    <n v="74"/>
    <x v="5"/>
    <n v="89"/>
    <n v="1.97"/>
    <n v="5"/>
    <x v="2"/>
  </r>
  <r>
    <n v="1497"/>
    <d v="2020-04-12T00:00:00"/>
    <x v="34"/>
    <s v="Male"/>
    <n v="166.4"/>
    <n v="52.6"/>
    <n v="14171"/>
    <n v="817.6"/>
    <n v="8.4"/>
    <n v="61"/>
    <x v="2"/>
    <n v="68"/>
    <n v="3.22"/>
    <n v="6"/>
    <x v="2"/>
  </r>
  <r>
    <n v="1228"/>
    <d v="2020-04-13T00:00:00"/>
    <x v="41"/>
    <s v="Female"/>
    <n v="176.2"/>
    <n v="71.900000000000006"/>
    <n v="17317"/>
    <n v="845.4"/>
    <n v="6.5"/>
    <n v="73"/>
    <x v="0"/>
    <n v="0"/>
    <n v="2.68"/>
    <n v="5"/>
    <x v="2"/>
  </r>
  <r>
    <n v="1107"/>
    <d v="2020-04-14T00:00:00"/>
    <x v="27"/>
    <s v="Female"/>
    <n v="178.3"/>
    <n v="100.3"/>
    <n v="6521"/>
    <n v="417"/>
    <n v="6.7"/>
    <n v="66"/>
    <x v="5"/>
    <n v="64"/>
    <n v="3.98"/>
    <n v="1"/>
    <x v="2"/>
  </r>
  <r>
    <n v="1171"/>
    <d v="2020-04-15T00:00:00"/>
    <x v="7"/>
    <s v="Male"/>
    <n v="154.9"/>
    <n v="80.8"/>
    <n v="13891"/>
    <n v="791.9"/>
    <n v="6"/>
    <n v="70"/>
    <x v="5"/>
    <n v="48"/>
    <n v="1.9"/>
    <n v="9"/>
    <x v="0"/>
  </r>
  <r>
    <n v="1434"/>
    <d v="2020-04-16T00:00:00"/>
    <x v="28"/>
    <s v="Male"/>
    <n v="170.2"/>
    <n v="69.5"/>
    <n v="17795"/>
    <n v="900"/>
    <n v="7.9"/>
    <n v="76"/>
    <x v="3"/>
    <n v="68"/>
    <n v="2.14"/>
    <n v="4"/>
    <x v="2"/>
  </r>
  <r>
    <n v="1477"/>
    <d v="2020-04-17T00:00:00"/>
    <x v="39"/>
    <s v="Female"/>
    <n v="150"/>
    <n v="45"/>
    <n v="11687"/>
    <n v="713.8"/>
    <n v="10"/>
    <n v="85"/>
    <x v="5"/>
    <n v="43"/>
    <n v="3.29"/>
    <n v="5"/>
    <x v="2"/>
  </r>
  <r>
    <n v="1101"/>
    <d v="2020-04-18T00:00:00"/>
    <x v="31"/>
    <s v="Female"/>
    <n v="168.8"/>
    <n v="62"/>
    <n v="1246"/>
    <n v="206.9"/>
    <n v="6.6"/>
    <n v="82"/>
    <x v="1"/>
    <n v="40"/>
    <n v="1.6"/>
    <n v="1"/>
    <x v="1"/>
  </r>
  <r>
    <n v="1865"/>
    <d v="2020-04-19T00:00:00"/>
    <x v="36"/>
    <s v="Female"/>
    <n v="166.3"/>
    <n v="77.099999999999994"/>
    <n v="12009"/>
    <n v="702"/>
    <n v="6.6"/>
    <n v="77"/>
    <x v="2"/>
    <n v="42"/>
    <n v="3.42"/>
    <n v="3"/>
    <x v="1"/>
  </r>
  <r>
    <n v="1523"/>
    <d v="2020-04-20T00:00:00"/>
    <x v="22"/>
    <s v="Male"/>
    <n v="174.9"/>
    <n v="62.3"/>
    <n v="3171"/>
    <n v="354.2"/>
    <n v="7"/>
    <n v="87"/>
    <x v="1"/>
    <n v="47"/>
    <n v="1.65"/>
    <n v="3"/>
    <x v="2"/>
  </r>
  <r>
    <n v="1274"/>
    <d v="2020-04-21T00:00:00"/>
    <x v="27"/>
    <s v="Male"/>
    <n v="159.30000000000001"/>
    <n v="91.4"/>
    <n v="12523"/>
    <n v="624.1"/>
    <n v="7.4"/>
    <n v="75"/>
    <x v="5"/>
    <n v="51"/>
    <n v="2.93"/>
    <n v="8"/>
    <x v="0"/>
  </r>
  <r>
    <n v="1612"/>
    <d v="2020-04-22T00:00:00"/>
    <x v="20"/>
    <s v="Female"/>
    <n v="165.8"/>
    <n v="71.099999999999994"/>
    <n v="16528"/>
    <n v="860.9"/>
    <n v="6.6"/>
    <n v="77"/>
    <x v="5"/>
    <n v="41"/>
    <n v="1.21"/>
    <n v="8"/>
    <x v="0"/>
  </r>
  <r>
    <n v="1043"/>
    <d v="2020-04-23T00:00:00"/>
    <x v="5"/>
    <s v="Male"/>
    <n v="150"/>
    <n v="86.2"/>
    <n v="16276"/>
    <n v="750.2"/>
    <n v="6.4"/>
    <n v="71"/>
    <x v="3"/>
    <n v="81"/>
    <n v="2.5299999999999998"/>
    <n v="9"/>
    <x v="1"/>
  </r>
  <r>
    <n v="1954"/>
    <d v="2020-04-24T00:00:00"/>
    <x v="24"/>
    <s v="Male"/>
    <n v="175.6"/>
    <n v="73.099999999999994"/>
    <n v="8457"/>
    <n v="611.79999999999995"/>
    <n v="7.1"/>
    <n v="64"/>
    <x v="3"/>
    <n v="86"/>
    <n v="1.54"/>
    <n v="10"/>
    <x v="0"/>
  </r>
  <r>
    <n v="1816"/>
    <d v="2020-04-25T00:00:00"/>
    <x v="35"/>
    <s v="Female"/>
    <n v="169.1"/>
    <n v="65.900000000000006"/>
    <n v="3060"/>
    <n v="256.5"/>
    <n v="4.4000000000000004"/>
    <n v="81"/>
    <x v="0"/>
    <n v="0"/>
    <n v="3.85"/>
    <n v="7"/>
    <x v="1"/>
  </r>
  <r>
    <n v="1956"/>
    <d v="2020-04-26T00:00:00"/>
    <x v="12"/>
    <s v="Female"/>
    <n v="170.9"/>
    <n v="62.9"/>
    <n v="4334"/>
    <n v="363.9"/>
    <n v="6.2"/>
    <n v="59"/>
    <x v="3"/>
    <n v="84"/>
    <n v="1.75"/>
    <n v="6"/>
    <x v="0"/>
  </r>
  <r>
    <n v="1016"/>
    <d v="2020-04-27T00:00:00"/>
    <x v="36"/>
    <s v="Male"/>
    <n v="155.1"/>
    <n v="54.8"/>
    <n v="14087"/>
    <n v="763.2"/>
    <n v="4"/>
    <n v="66"/>
    <x v="0"/>
    <n v="0"/>
    <n v="1.92"/>
    <n v="8"/>
    <x v="0"/>
  </r>
  <r>
    <n v="1329"/>
    <d v="2020-04-28T00:00:00"/>
    <x v="38"/>
    <s v="Male"/>
    <n v="174"/>
    <n v="86.4"/>
    <n v="1944"/>
    <n v="229.7"/>
    <n v="6.3"/>
    <n v="77"/>
    <x v="3"/>
    <n v="70"/>
    <n v="2.87"/>
    <n v="3"/>
    <x v="0"/>
  </r>
  <r>
    <n v="1568"/>
    <d v="2020-04-29T00:00:00"/>
    <x v="7"/>
    <s v="Female"/>
    <n v="186.5"/>
    <n v="63.6"/>
    <n v="6361"/>
    <n v="546.9"/>
    <n v="5.6"/>
    <n v="67"/>
    <x v="0"/>
    <n v="0"/>
    <n v="2.08"/>
    <n v="10"/>
    <x v="1"/>
  </r>
  <r>
    <n v="1822"/>
    <d v="2020-04-30T00:00:00"/>
    <x v="19"/>
    <s v="Male"/>
    <n v="168.2"/>
    <n v="77.8"/>
    <n v="15638"/>
    <n v="790.9"/>
    <n v="7.9"/>
    <n v="75"/>
    <x v="4"/>
    <n v="76"/>
    <n v="2.99"/>
    <n v="10"/>
    <x v="1"/>
  </r>
  <r>
    <n v="1496"/>
    <d v="2020-05-01T00:00:00"/>
    <x v="22"/>
    <s v="Male"/>
    <n v="176.5"/>
    <n v="62.1"/>
    <n v="6284"/>
    <n v="437.9"/>
    <n v="5.9"/>
    <n v="76"/>
    <x v="3"/>
    <n v="74"/>
    <n v="2"/>
    <n v="10"/>
    <x v="2"/>
  </r>
  <r>
    <n v="1814"/>
    <d v="2020-05-02T00:00:00"/>
    <x v="40"/>
    <s v="Female"/>
    <n v="161.30000000000001"/>
    <n v="53.8"/>
    <n v="10244"/>
    <n v="575.29999999999995"/>
    <n v="6.5"/>
    <n v="69"/>
    <x v="5"/>
    <n v="61"/>
    <n v="1.95"/>
    <n v="8"/>
    <x v="2"/>
  </r>
  <r>
    <n v="1011"/>
    <d v="2020-05-03T00:00:00"/>
    <x v="29"/>
    <s v="Female"/>
    <n v="169.2"/>
    <n v="78.3"/>
    <n v="11916"/>
    <n v="641.70000000000005"/>
    <n v="3.8"/>
    <n v="76"/>
    <x v="0"/>
    <n v="0"/>
    <n v="2.48"/>
    <n v="3"/>
    <x v="0"/>
  </r>
  <r>
    <n v="1317"/>
    <d v="2020-05-04T00:00:00"/>
    <x v="9"/>
    <s v="Male"/>
    <n v="154.69999999999999"/>
    <n v="58.8"/>
    <n v="10509"/>
    <n v="614.9"/>
    <n v="8.5"/>
    <n v="75"/>
    <x v="5"/>
    <n v="80"/>
    <n v="1.65"/>
    <n v="2"/>
    <x v="0"/>
  </r>
  <r>
    <n v="1591"/>
    <d v="2020-05-05T00:00:00"/>
    <x v="13"/>
    <s v="Male"/>
    <n v="177.9"/>
    <n v="64"/>
    <n v="13764"/>
    <n v="785.7"/>
    <n v="5.4"/>
    <n v="64"/>
    <x v="0"/>
    <n v="0"/>
    <n v="2.78"/>
    <n v="9"/>
    <x v="0"/>
  </r>
  <r>
    <n v="1215"/>
    <d v="2020-05-06T00:00:00"/>
    <x v="20"/>
    <s v="Male"/>
    <n v="171.6"/>
    <n v="51.3"/>
    <n v="15891"/>
    <n v="843.6"/>
    <n v="6.3"/>
    <n v="80"/>
    <x v="2"/>
    <n v="20"/>
    <n v="3.11"/>
    <n v="1"/>
    <x v="1"/>
  </r>
  <r>
    <n v="1338"/>
    <d v="2020-05-07T00:00:00"/>
    <x v="25"/>
    <s v="Female"/>
    <n v="157.80000000000001"/>
    <n v="62.6"/>
    <n v="15003"/>
    <n v="762.2"/>
    <n v="8.1999999999999993"/>
    <n v="55"/>
    <x v="0"/>
    <n v="0"/>
    <n v="2.89"/>
    <n v="10"/>
    <x v="0"/>
  </r>
  <r>
    <n v="1775"/>
    <d v="2020-05-08T00:00:00"/>
    <x v="26"/>
    <s v="Male"/>
    <n v="162"/>
    <n v="70.400000000000006"/>
    <n v="10866"/>
    <n v="634.29999999999995"/>
    <n v="8.1999999999999993"/>
    <n v="94"/>
    <x v="1"/>
    <n v="82"/>
    <n v="2.95"/>
    <n v="10"/>
    <x v="2"/>
  </r>
  <r>
    <n v="1990"/>
    <d v="2020-05-09T00:00:00"/>
    <x v="19"/>
    <s v="Male"/>
    <n v="170.6"/>
    <n v="65.7"/>
    <n v="1333"/>
    <n v="185"/>
    <n v="5.3"/>
    <n v="80"/>
    <x v="0"/>
    <n v="0"/>
    <n v="1.1499999999999999"/>
    <n v="2"/>
    <x v="0"/>
  </r>
  <r>
    <n v="1660"/>
    <d v="2020-05-10T00:00:00"/>
    <x v="39"/>
    <s v="Female"/>
    <n v="179.2"/>
    <n v="82.3"/>
    <n v="10456"/>
    <n v="677.4"/>
    <n v="7.8"/>
    <n v="85"/>
    <x v="0"/>
    <n v="0"/>
    <n v="2.1800000000000002"/>
    <n v="7"/>
    <x v="2"/>
  </r>
  <r>
    <n v="1080"/>
    <d v="2020-05-11T00:00:00"/>
    <x v="9"/>
    <s v="Female"/>
    <n v="184.8"/>
    <n v="72.2"/>
    <n v="12369"/>
    <n v="669.5"/>
    <n v="5.3"/>
    <n v="82"/>
    <x v="4"/>
    <n v="69"/>
    <n v="2.34"/>
    <n v="1"/>
    <x v="0"/>
  </r>
  <r>
    <n v="1726"/>
    <d v="2020-05-12T00:00:00"/>
    <x v="31"/>
    <s v="Male"/>
    <n v="168.7"/>
    <n v="116.3"/>
    <n v="14218"/>
    <n v="746.1"/>
    <n v="7.3"/>
    <n v="75"/>
    <x v="4"/>
    <n v="33"/>
    <n v="3.52"/>
    <n v="5"/>
    <x v="0"/>
  </r>
  <r>
    <n v="1484"/>
    <d v="2020-05-13T00:00:00"/>
    <x v="21"/>
    <s v="Female"/>
    <n v="156.4"/>
    <n v="76.400000000000006"/>
    <n v="5656"/>
    <n v="328.9"/>
    <n v="5.8"/>
    <n v="67"/>
    <x v="2"/>
    <n v="36"/>
    <n v="2.09"/>
    <n v="9"/>
    <x v="0"/>
  </r>
  <r>
    <n v="1373"/>
    <d v="2020-05-14T00:00:00"/>
    <x v="14"/>
    <s v="Female"/>
    <n v="172.4"/>
    <n v="45"/>
    <n v="13410"/>
    <n v="711.1"/>
    <n v="5.5"/>
    <n v="75"/>
    <x v="2"/>
    <n v="49"/>
    <n v="0.89"/>
    <n v="9"/>
    <x v="2"/>
  </r>
  <r>
    <n v="1975"/>
    <d v="2020-05-15T00:00:00"/>
    <x v="18"/>
    <s v="Male"/>
    <n v="187.8"/>
    <n v="66.8"/>
    <n v="3665"/>
    <n v="430.7"/>
    <n v="7.1"/>
    <n v="83"/>
    <x v="3"/>
    <n v="70"/>
    <n v="1.8"/>
    <n v="4"/>
    <x v="2"/>
  </r>
  <r>
    <n v="1709"/>
    <d v="2020-05-16T00:00:00"/>
    <x v="20"/>
    <s v="Female"/>
    <n v="153.80000000000001"/>
    <n v="68.099999999999994"/>
    <n v="8131"/>
    <n v="555.79999999999995"/>
    <n v="5.9"/>
    <n v="67"/>
    <x v="2"/>
    <n v="81"/>
    <n v="2.04"/>
    <n v="10"/>
    <x v="1"/>
  </r>
  <r>
    <n v="1199"/>
    <d v="2020-05-17T00:00:00"/>
    <x v="18"/>
    <s v="Female"/>
    <n v="160.5"/>
    <n v="60.8"/>
    <n v="5935"/>
    <n v="492.8"/>
    <n v="10"/>
    <n v="77"/>
    <x v="4"/>
    <n v="43"/>
    <n v="0.99"/>
    <n v="2"/>
    <x v="2"/>
  </r>
  <r>
    <n v="1536"/>
    <d v="2020-05-18T00:00:00"/>
    <x v="3"/>
    <s v="Male"/>
    <n v="176.1"/>
    <n v="71.099999999999994"/>
    <n v="1415"/>
    <n v="262.39999999999998"/>
    <n v="6.1"/>
    <n v="57"/>
    <x v="1"/>
    <n v="82"/>
    <n v="3.18"/>
    <n v="9"/>
    <x v="0"/>
  </r>
  <r>
    <n v="1465"/>
    <d v="2020-05-19T00:00:00"/>
    <x v="2"/>
    <s v="Female"/>
    <n v="171.5"/>
    <n v="60.3"/>
    <n v="1707"/>
    <n v="137.30000000000001"/>
    <n v="5.2"/>
    <n v="67"/>
    <x v="0"/>
    <n v="0"/>
    <n v="1.4"/>
    <n v="4"/>
    <x v="2"/>
  </r>
  <r>
    <n v="1088"/>
    <d v="2020-05-20T00:00:00"/>
    <x v="12"/>
    <s v="Male"/>
    <n v="164.5"/>
    <n v="75"/>
    <n v="3684"/>
    <n v="350.8"/>
    <n v="5.7"/>
    <n v="66"/>
    <x v="1"/>
    <n v="53"/>
    <n v="2.81"/>
    <n v="3"/>
    <x v="0"/>
  </r>
  <r>
    <n v="1267"/>
    <d v="2020-05-21T00:00:00"/>
    <x v="22"/>
    <s v="Male"/>
    <n v="172.2"/>
    <n v="45"/>
    <n v="8494"/>
    <n v="549.79999999999995"/>
    <n v="7"/>
    <n v="92"/>
    <x v="4"/>
    <n v="78"/>
    <n v="1.74"/>
    <n v="3"/>
    <x v="0"/>
  </r>
  <r>
    <n v="1654"/>
    <d v="2020-05-22T00:00:00"/>
    <x v="39"/>
    <s v="Female"/>
    <n v="179.8"/>
    <n v="87.2"/>
    <n v="7180"/>
    <n v="532"/>
    <n v="7.2"/>
    <n v="62"/>
    <x v="3"/>
    <n v="84"/>
    <n v="3.55"/>
    <n v="7"/>
    <x v="2"/>
  </r>
  <r>
    <n v="1570"/>
    <d v="2020-05-23T00:00:00"/>
    <x v="38"/>
    <s v="Female"/>
    <n v="169"/>
    <n v="46.3"/>
    <n v="15011"/>
    <n v="798.6"/>
    <n v="7.5"/>
    <n v="79"/>
    <x v="1"/>
    <n v="52"/>
    <n v="2.31"/>
    <n v="2"/>
    <x v="1"/>
  </r>
  <r>
    <n v="1921"/>
    <d v="2020-05-24T00:00:00"/>
    <x v="9"/>
    <s v="Female"/>
    <n v="168.1"/>
    <n v="66"/>
    <n v="3559"/>
    <n v="303.8"/>
    <n v="8.4"/>
    <n v="91"/>
    <x v="0"/>
    <n v="0"/>
    <n v="2.16"/>
    <n v="5"/>
    <x v="2"/>
  </r>
  <r>
    <n v="1488"/>
    <d v="2020-05-25T00:00:00"/>
    <x v="29"/>
    <s v="Male"/>
    <n v="175.9"/>
    <n v="59"/>
    <n v="9137"/>
    <n v="560.5"/>
    <n v="4.5"/>
    <n v="85"/>
    <x v="0"/>
    <n v="0"/>
    <n v="2.87"/>
    <n v="2"/>
    <x v="2"/>
  </r>
  <r>
    <n v="1876"/>
    <d v="2020-05-26T00:00:00"/>
    <x v="35"/>
    <s v="Female"/>
    <n v="167.3"/>
    <n v="74.599999999999994"/>
    <n v="4971"/>
    <n v="381.7"/>
    <n v="8.4"/>
    <n v="90"/>
    <x v="1"/>
    <n v="31"/>
    <n v="1.79"/>
    <n v="7"/>
    <x v="0"/>
  </r>
  <r>
    <n v="1537"/>
    <d v="2020-05-27T00:00:00"/>
    <x v="10"/>
    <s v="Male"/>
    <n v="181.4"/>
    <n v="67.3"/>
    <n v="3957"/>
    <n v="384.5"/>
    <n v="5.6"/>
    <n v="92"/>
    <x v="3"/>
    <n v="85"/>
    <n v="2.9"/>
    <n v="7"/>
    <x v="2"/>
  </r>
  <r>
    <n v="1046"/>
    <d v="2020-05-28T00:00:00"/>
    <x v="3"/>
    <s v="Female"/>
    <n v="190.3"/>
    <n v="73.8"/>
    <n v="19113"/>
    <n v="900"/>
    <n v="7.6"/>
    <n v="76"/>
    <x v="1"/>
    <n v="21"/>
    <n v="2.16"/>
    <n v="3"/>
    <x v="1"/>
  </r>
  <r>
    <n v="1287"/>
    <d v="2020-05-29T00:00:00"/>
    <x v="5"/>
    <s v="Female"/>
    <n v="161.1"/>
    <n v="86.7"/>
    <n v="11093"/>
    <n v="594.20000000000005"/>
    <n v="9.6"/>
    <n v="80"/>
    <x v="5"/>
    <n v="89"/>
    <n v="2.08"/>
    <n v="3"/>
    <x v="0"/>
  </r>
  <r>
    <n v="1777"/>
    <d v="2020-05-30T00:00:00"/>
    <x v="15"/>
    <s v="Female"/>
    <n v="157.5"/>
    <n v="81.5"/>
    <n v="13951"/>
    <n v="786.4"/>
    <n v="5.8"/>
    <n v="77"/>
    <x v="4"/>
    <n v="47"/>
    <n v="2.44"/>
    <n v="8"/>
    <x v="2"/>
  </r>
  <r>
    <n v="1015"/>
    <d v="2020-05-31T00:00:00"/>
    <x v="30"/>
    <s v="Male"/>
    <n v="173.7"/>
    <n v="70.5"/>
    <n v="1026"/>
    <n v="204.1"/>
    <n v="5.7"/>
    <n v="80"/>
    <x v="1"/>
    <n v="61"/>
    <n v="1.74"/>
    <n v="7"/>
    <x v="1"/>
  </r>
  <r>
    <n v="1710"/>
    <d v="2020-06-01T00:00:00"/>
    <x v="34"/>
    <s v="Female"/>
    <n v="157.1"/>
    <n v="76.900000000000006"/>
    <n v="3583"/>
    <n v="327.5"/>
    <n v="5.5"/>
    <n v="79"/>
    <x v="1"/>
    <n v="22"/>
    <n v="2.37"/>
    <n v="4"/>
    <x v="0"/>
  </r>
  <r>
    <n v="1400"/>
    <d v="2020-06-02T00:00:00"/>
    <x v="31"/>
    <s v="Female"/>
    <n v="157"/>
    <n v="99.4"/>
    <n v="4055"/>
    <n v="339"/>
    <n v="6.5"/>
    <n v="92"/>
    <x v="3"/>
    <n v="67"/>
    <n v="2.74"/>
    <n v="2"/>
    <x v="1"/>
  </r>
  <r>
    <n v="1918"/>
    <d v="2020-06-03T00:00:00"/>
    <x v="1"/>
    <s v="Male"/>
    <n v="150"/>
    <n v="82.1"/>
    <n v="7801"/>
    <n v="523.9"/>
    <n v="8.9"/>
    <n v="78"/>
    <x v="1"/>
    <n v="32"/>
    <n v="0.88"/>
    <n v="3"/>
    <x v="1"/>
  </r>
  <r>
    <n v="1793"/>
    <d v="2020-06-04T00:00:00"/>
    <x v="17"/>
    <s v="Male"/>
    <n v="166.2"/>
    <n v="65.599999999999994"/>
    <n v="2658"/>
    <n v="237.8"/>
    <n v="5.3"/>
    <n v="65"/>
    <x v="3"/>
    <n v="76"/>
    <n v="3.26"/>
    <n v="3"/>
    <x v="0"/>
  </r>
  <r>
    <n v="1980"/>
    <d v="2020-06-05T00:00:00"/>
    <x v="34"/>
    <s v="Female"/>
    <n v="169.7"/>
    <n v="89.2"/>
    <n v="4951"/>
    <n v="399.6"/>
    <n v="6.3"/>
    <n v="81"/>
    <x v="4"/>
    <n v="22"/>
    <n v="3.07"/>
    <n v="5"/>
    <x v="2"/>
  </r>
  <r>
    <n v="1085"/>
    <d v="2020-06-06T00:00:00"/>
    <x v="8"/>
    <s v="Female"/>
    <n v="164.8"/>
    <n v="75.900000000000006"/>
    <n v="8299"/>
    <n v="586"/>
    <n v="8.5"/>
    <n v="82"/>
    <x v="5"/>
    <n v="82"/>
    <n v="1.2"/>
    <n v="7"/>
    <x v="1"/>
  </r>
  <r>
    <n v="1249"/>
    <d v="2020-06-07T00:00:00"/>
    <x v="7"/>
    <s v="Female"/>
    <n v="183.9"/>
    <n v="55.6"/>
    <n v="10933"/>
    <n v="642.1"/>
    <n v="7.9"/>
    <n v="67"/>
    <x v="2"/>
    <n v="57"/>
    <n v="1.0900000000000001"/>
    <n v="4"/>
    <x v="0"/>
  </r>
  <r>
    <n v="1390"/>
    <d v="2020-06-08T00:00:00"/>
    <x v="22"/>
    <s v="Male"/>
    <n v="183.2"/>
    <n v="67.3"/>
    <n v="13279"/>
    <n v="697.8"/>
    <n v="6.3"/>
    <n v="66"/>
    <x v="4"/>
    <n v="78"/>
    <n v="3.09"/>
    <n v="1"/>
    <x v="2"/>
  </r>
  <r>
    <n v="1781"/>
    <d v="2020-06-09T00:00:00"/>
    <x v="8"/>
    <s v="Male"/>
    <n v="189.3"/>
    <n v="47.9"/>
    <n v="5137"/>
    <n v="387.2"/>
    <n v="6.7"/>
    <n v="85"/>
    <x v="1"/>
    <n v="47"/>
    <n v="3.04"/>
    <n v="3"/>
    <x v="1"/>
  </r>
  <r>
    <n v="1334"/>
    <d v="2020-06-10T00:00:00"/>
    <x v="18"/>
    <s v="Male"/>
    <n v="170.5"/>
    <n v="45"/>
    <n v="12423"/>
    <n v="711.7"/>
    <n v="8.4"/>
    <n v="70"/>
    <x v="5"/>
    <n v="45"/>
    <n v="2.94"/>
    <n v="3"/>
    <x v="0"/>
  </r>
  <r>
    <n v="1628"/>
    <d v="2020-06-11T00:00:00"/>
    <x v="7"/>
    <s v="Male"/>
    <n v="181.8"/>
    <n v="55.8"/>
    <n v="2714"/>
    <n v="336.6"/>
    <n v="9.4"/>
    <n v="71"/>
    <x v="2"/>
    <n v="84"/>
    <n v="1.5"/>
    <n v="1"/>
    <x v="1"/>
  </r>
  <r>
    <n v="1518"/>
    <d v="2020-06-12T00:00:00"/>
    <x v="0"/>
    <s v="Female"/>
    <n v="173.1"/>
    <n v="71.8"/>
    <n v="12388"/>
    <n v="770.7"/>
    <n v="9.6"/>
    <n v="70"/>
    <x v="2"/>
    <n v="80"/>
    <n v="3.78"/>
    <n v="8"/>
    <x v="2"/>
  </r>
  <r>
    <n v="1136"/>
    <d v="2020-06-13T00:00:00"/>
    <x v="31"/>
    <s v="Male"/>
    <n v="172.1"/>
    <n v="71.900000000000006"/>
    <n v="4347"/>
    <n v="292.60000000000002"/>
    <n v="9.1"/>
    <n v="77"/>
    <x v="0"/>
    <n v="0"/>
    <n v="1.97"/>
    <n v="4"/>
    <x v="2"/>
  </r>
  <r>
    <n v="1882"/>
    <d v="2020-06-14T00:00:00"/>
    <x v="5"/>
    <s v="Male"/>
    <n v="165.3"/>
    <n v="48.8"/>
    <n v="2986"/>
    <n v="332.6"/>
    <n v="6"/>
    <n v="86"/>
    <x v="0"/>
    <n v="0"/>
    <n v="2.67"/>
    <n v="5"/>
    <x v="2"/>
  </r>
  <r>
    <n v="1687"/>
    <d v="2020-06-15T00:00:00"/>
    <x v="22"/>
    <s v="Male"/>
    <n v="150"/>
    <n v="45"/>
    <n v="4544"/>
    <n v="391"/>
    <n v="9.6999999999999993"/>
    <n v="82"/>
    <x v="1"/>
    <n v="51"/>
    <n v="2.68"/>
    <n v="3"/>
    <x v="0"/>
  </r>
  <r>
    <n v="1839"/>
    <d v="2020-06-16T00:00:00"/>
    <x v="13"/>
    <s v="Female"/>
    <n v="176.4"/>
    <n v="92.1"/>
    <n v="18085"/>
    <n v="900"/>
    <n v="5.9"/>
    <n v="70"/>
    <x v="0"/>
    <n v="0"/>
    <n v="3.62"/>
    <n v="4"/>
    <x v="2"/>
  </r>
  <r>
    <n v="1497"/>
    <d v="2020-06-17T00:00:00"/>
    <x v="18"/>
    <s v="Female"/>
    <n v="181.5"/>
    <n v="71.400000000000006"/>
    <n v="10646"/>
    <n v="643.6"/>
    <n v="4.5"/>
    <n v="88"/>
    <x v="2"/>
    <n v="46"/>
    <n v="2.59"/>
    <n v="1"/>
    <x v="2"/>
  </r>
  <r>
    <n v="1826"/>
    <d v="2020-06-18T00:00:00"/>
    <x v="32"/>
    <s v="Male"/>
    <n v="154.69999999999999"/>
    <n v="93.3"/>
    <n v="4786"/>
    <n v="380"/>
    <n v="7.2"/>
    <n v="84"/>
    <x v="2"/>
    <n v="32"/>
    <n v="2.79"/>
    <n v="4"/>
    <x v="0"/>
  </r>
  <r>
    <n v="1726"/>
    <d v="2020-06-19T00:00:00"/>
    <x v="8"/>
    <s v="Male"/>
    <n v="169.9"/>
    <n v="92.5"/>
    <n v="15415"/>
    <n v="766.7"/>
    <n v="9.1999999999999993"/>
    <n v="85"/>
    <x v="4"/>
    <n v="36"/>
    <n v="2.4500000000000002"/>
    <n v="2"/>
    <x v="2"/>
  </r>
  <r>
    <n v="1476"/>
    <d v="2020-06-20T00:00:00"/>
    <x v="36"/>
    <s v="Female"/>
    <n v="179.9"/>
    <n v="81"/>
    <n v="19855"/>
    <n v="900"/>
    <n v="8"/>
    <n v="85"/>
    <x v="0"/>
    <n v="0"/>
    <n v="1.66"/>
    <n v="10"/>
    <x v="2"/>
  </r>
  <r>
    <n v="1593"/>
    <d v="2020-06-21T00:00:00"/>
    <x v="11"/>
    <s v="Female"/>
    <n v="166.4"/>
    <n v="70.900000000000006"/>
    <n v="15284"/>
    <n v="843.8"/>
    <n v="6.9"/>
    <n v="70"/>
    <x v="0"/>
    <n v="0"/>
    <n v="0.88"/>
    <n v="6"/>
    <x v="2"/>
  </r>
  <r>
    <n v="1222"/>
    <d v="2020-06-22T00:00:00"/>
    <x v="40"/>
    <s v="Female"/>
    <n v="181.9"/>
    <n v="64"/>
    <n v="7659"/>
    <n v="504"/>
    <n v="7.4"/>
    <n v="66"/>
    <x v="4"/>
    <n v="55"/>
    <n v="2.52"/>
    <n v="2"/>
    <x v="0"/>
  </r>
  <r>
    <n v="1989"/>
    <d v="2020-06-23T00:00:00"/>
    <x v="40"/>
    <s v="Female"/>
    <n v="168.6"/>
    <n v="80.8"/>
    <n v="4044"/>
    <n v="414.7"/>
    <n v="7.8"/>
    <n v="72"/>
    <x v="2"/>
    <n v="66"/>
    <n v="1.51"/>
    <n v="9"/>
    <x v="2"/>
  </r>
  <r>
    <n v="1371"/>
    <d v="2020-06-24T00:00:00"/>
    <x v="5"/>
    <s v="Female"/>
    <n v="164.7"/>
    <n v="67.599999999999994"/>
    <n v="4883"/>
    <n v="383.5"/>
    <n v="7.2"/>
    <n v="85"/>
    <x v="3"/>
    <n v="85"/>
    <n v="2.75"/>
    <n v="2"/>
    <x v="1"/>
  </r>
  <r>
    <n v="1934"/>
    <d v="2020-06-25T00:00:00"/>
    <x v="9"/>
    <s v="Female"/>
    <n v="182.5"/>
    <n v="61.2"/>
    <n v="16351"/>
    <n v="877.1"/>
    <n v="6.6"/>
    <n v="63"/>
    <x v="1"/>
    <n v="51"/>
    <n v="2.6"/>
    <n v="4"/>
    <x v="0"/>
  </r>
  <r>
    <n v="1994"/>
    <d v="2020-06-26T00:00:00"/>
    <x v="31"/>
    <s v="Female"/>
    <n v="160.69999999999999"/>
    <n v="45"/>
    <n v="19204"/>
    <n v="889.1"/>
    <n v="5.9"/>
    <n v="62"/>
    <x v="3"/>
    <n v="51"/>
    <n v="2.59"/>
    <n v="4"/>
    <x v="1"/>
  </r>
  <r>
    <n v="1401"/>
    <d v="2020-06-27T00:00:00"/>
    <x v="11"/>
    <s v="Female"/>
    <n v="162.80000000000001"/>
    <n v="68.8"/>
    <n v="16762"/>
    <n v="900"/>
    <n v="7.2"/>
    <n v="57"/>
    <x v="3"/>
    <n v="89"/>
    <n v="1.76"/>
    <n v="1"/>
    <x v="0"/>
  </r>
  <r>
    <n v="1442"/>
    <d v="2020-06-28T00:00:00"/>
    <x v="23"/>
    <s v="Male"/>
    <n v="161"/>
    <n v="86.5"/>
    <n v="19847"/>
    <n v="900"/>
    <n v="6.8"/>
    <n v="62"/>
    <x v="2"/>
    <n v="74"/>
    <n v="3.23"/>
    <n v="7"/>
    <x v="0"/>
  </r>
  <r>
    <n v="1489"/>
    <d v="2020-06-29T00:00:00"/>
    <x v="22"/>
    <s v="Male"/>
    <n v="158.6"/>
    <n v="88.9"/>
    <n v="4371"/>
    <n v="350.4"/>
    <n v="7"/>
    <n v="67"/>
    <x v="1"/>
    <n v="59"/>
    <n v="2.83"/>
    <n v="1"/>
    <x v="0"/>
  </r>
  <r>
    <n v="1614"/>
    <d v="2020-06-30T00:00:00"/>
    <x v="21"/>
    <s v="Male"/>
    <n v="171.5"/>
    <n v="70.8"/>
    <n v="9527"/>
    <n v="567.79999999999995"/>
    <n v="8.6"/>
    <n v="76"/>
    <x v="3"/>
    <n v="47"/>
    <n v="1.67"/>
    <n v="8"/>
    <x v="1"/>
  </r>
  <r>
    <n v="1272"/>
    <d v="2020-07-01T00:00:00"/>
    <x v="17"/>
    <s v="Male"/>
    <n v="164.9"/>
    <n v="56.7"/>
    <n v="11116"/>
    <n v="597.20000000000005"/>
    <n v="6.6"/>
    <n v="63"/>
    <x v="4"/>
    <n v="50"/>
    <n v="3.95"/>
    <n v="3"/>
    <x v="2"/>
  </r>
  <r>
    <n v="1525"/>
    <d v="2020-07-02T00:00:00"/>
    <x v="13"/>
    <s v="Male"/>
    <n v="174.9"/>
    <n v="83.5"/>
    <n v="3788"/>
    <n v="293.10000000000002"/>
    <n v="6.7"/>
    <n v="82"/>
    <x v="4"/>
    <n v="50"/>
    <n v="2.35"/>
    <n v="8"/>
    <x v="2"/>
  </r>
  <r>
    <n v="1158"/>
    <d v="2020-07-03T00:00:00"/>
    <x v="36"/>
    <s v="Male"/>
    <n v="152.69999999999999"/>
    <n v="69.8"/>
    <n v="5125"/>
    <n v="407.1"/>
    <n v="7.3"/>
    <n v="75"/>
    <x v="1"/>
    <n v="45"/>
    <n v="1.57"/>
    <n v="8"/>
    <x v="2"/>
  </r>
  <r>
    <n v="1151"/>
    <d v="2020-07-04T00:00:00"/>
    <x v="24"/>
    <s v="Female"/>
    <n v="158.80000000000001"/>
    <n v="64.5"/>
    <n v="4606"/>
    <n v="389.9"/>
    <n v="10"/>
    <n v="55"/>
    <x v="3"/>
    <n v="23"/>
    <n v="1.97"/>
    <n v="10"/>
    <x v="2"/>
  </r>
  <r>
    <n v="1994"/>
    <d v="2020-07-05T00:00:00"/>
    <x v="39"/>
    <s v="Female"/>
    <n v="170.5"/>
    <n v="48.2"/>
    <n v="18924"/>
    <n v="900"/>
    <n v="5.4"/>
    <n v="75"/>
    <x v="5"/>
    <n v="77"/>
    <n v="1.44"/>
    <n v="10"/>
    <x v="0"/>
  </r>
  <r>
    <n v="1619"/>
    <d v="2020-07-06T00:00:00"/>
    <x v="30"/>
    <s v="Male"/>
    <n v="184.7"/>
    <n v="101.6"/>
    <n v="9766"/>
    <n v="588.9"/>
    <n v="8.6"/>
    <n v="76"/>
    <x v="0"/>
    <n v="0"/>
    <n v="3.45"/>
    <n v="5"/>
    <x v="0"/>
  </r>
  <r>
    <n v="1187"/>
    <d v="2020-07-07T00:00:00"/>
    <x v="13"/>
    <s v="Male"/>
    <n v="173.8"/>
    <n v="81.099999999999994"/>
    <n v="1220"/>
    <n v="244.6"/>
    <n v="6.6"/>
    <n v="94"/>
    <x v="5"/>
    <n v="88"/>
    <n v="3.26"/>
    <n v="3"/>
    <x v="1"/>
  </r>
  <r>
    <n v="1812"/>
    <d v="2020-07-08T00:00:00"/>
    <x v="29"/>
    <s v="Female"/>
    <n v="164.1"/>
    <n v="82.7"/>
    <n v="11205"/>
    <n v="588"/>
    <n v="6.9"/>
    <n v="77"/>
    <x v="1"/>
    <n v="79"/>
    <n v="3.02"/>
    <n v="9"/>
    <x v="2"/>
  </r>
  <r>
    <n v="1097"/>
    <d v="2020-07-09T00:00:00"/>
    <x v="22"/>
    <s v="Female"/>
    <n v="155.1"/>
    <n v="57.1"/>
    <n v="11833"/>
    <n v="649"/>
    <n v="5"/>
    <n v="57"/>
    <x v="0"/>
    <n v="0"/>
    <n v="2.89"/>
    <n v="1"/>
    <x v="0"/>
  </r>
  <r>
    <n v="1130"/>
    <d v="2020-07-10T00:00:00"/>
    <x v="5"/>
    <s v="Female"/>
    <n v="163.5"/>
    <n v="71.2"/>
    <n v="1753"/>
    <n v="278.2"/>
    <n v="9.8000000000000007"/>
    <n v="77"/>
    <x v="1"/>
    <n v="45"/>
    <n v="3.37"/>
    <n v="1"/>
    <x v="2"/>
  </r>
  <r>
    <n v="1804"/>
    <d v="2020-07-11T00:00:00"/>
    <x v="24"/>
    <s v="Male"/>
    <n v="169.6"/>
    <n v="68.8"/>
    <n v="14875"/>
    <n v="768.1"/>
    <n v="7.3"/>
    <n v="77"/>
    <x v="5"/>
    <n v="86"/>
    <n v="2.33"/>
    <n v="2"/>
    <x v="2"/>
  </r>
  <r>
    <n v="1170"/>
    <d v="2020-07-12T00:00:00"/>
    <x v="4"/>
    <s v="Female"/>
    <n v="150"/>
    <n v="81.7"/>
    <n v="8488"/>
    <n v="554.1"/>
    <n v="8"/>
    <n v="81"/>
    <x v="3"/>
    <n v="87"/>
    <n v="2.8"/>
    <n v="10"/>
    <x v="1"/>
  </r>
  <r>
    <n v="1935"/>
    <d v="2020-07-13T00:00:00"/>
    <x v="32"/>
    <s v="Male"/>
    <n v="157.9"/>
    <n v="90.4"/>
    <n v="8206"/>
    <n v="521.5"/>
    <n v="4.8"/>
    <n v="101"/>
    <x v="3"/>
    <n v="74"/>
    <n v="1.93"/>
    <n v="6"/>
    <x v="0"/>
  </r>
  <r>
    <n v="1985"/>
    <d v="2020-07-14T00:00:00"/>
    <x v="0"/>
    <s v="Male"/>
    <n v="162.6"/>
    <n v="48.5"/>
    <n v="10680"/>
    <n v="620.1"/>
    <n v="6"/>
    <n v="70"/>
    <x v="2"/>
    <n v="66"/>
    <n v="2.39"/>
    <n v="2"/>
    <x v="2"/>
  </r>
  <r>
    <n v="1182"/>
    <d v="2020-07-15T00:00:00"/>
    <x v="37"/>
    <s v="Female"/>
    <n v="167.4"/>
    <n v="53.9"/>
    <n v="8938"/>
    <n v="567.9"/>
    <n v="7.6"/>
    <n v="68"/>
    <x v="0"/>
    <n v="0"/>
    <n v="2.82"/>
    <n v="4"/>
    <x v="1"/>
  </r>
  <r>
    <n v="1982"/>
    <d v="2020-07-16T00:00:00"/>
    <x v="17"/>
    <s v="Female"/>
    <n v="169.5"/>
    <n v="79.7"/>
    <n v="19345"/>
    <n v="900"/>
    <n v="6.8"/>
    <n v="80"/>
    <x v="1"/>
    <n v="35"/>
    <n v="0.5"/>
    <n v="6"/>
    <x v="1"/>
  </r>
  <r>
    <n v="1363"/>
    <d v="2020-07-17T00:00:00"/>
    <x v="24"/>
    <s v="Male"/>
    <n v="163.9"/>
    <n v="62.4"/>
    <n v="6958"/>
    <n v="513.70000000000005"/>
    <n v="7.7"/>
    <n v="93"/>
    <x v="3"/>
    <n v="77"/>
    <n v="2.0699999999999998"/>
    <n v="2"/>
    <x v="2"/>
  </r>
  <r>
    <n v="1038"/>
    <d v="2020-07-18T00:00:00"/>
    <x v="39"/>
    <s v="Female"/>
    <n v="175.1"/>
    <n v="82.2"/>
    <n v="16770"/>
    <n v="900"/>
    <n v="10"/>
    <n v="82"/>
    <x v="5"/>
    <n v="20"/>
    <n v="2.62"/>
    <n v="4"/>
    <x v="2"/>
  </r>
  <r>
    <n v="1526"/>
    <d v="2020-07-19T00:00:00"/>
    <x v="3"/>
    <s v="Female"/>
    <n v="171.2"/>
    <n v="64.400000000000006"/>
    <n v="7635"/>
    <n v="548.6"/>
    <n v="7.8"/>
    <n v="72"/>
    <x v="0"/>
    <n v="0"/>
    <n v="2.4500000000000002"/>
    <n v="7"/>
    <x v="1"/>
  </r>
  <r>
    <n v="1887"/>
    <d v="2020-07-20T00:00:00"/>
    <x v="0"/>
    <s v="Male"/>
    <n v="166.3"/>
    <n v="51.3"/>
    <n v="9629"/>
    <n v="511.1"/>
    <n v="6.3"/>
    <n v="85"/>
    <x v="5"/>
    <n v="25"/>
    <n v="2.1800000000000002"/>
    <n v="1"/>
    <x v="1"/>
  </r>
  <r>
    <n v="1496"/>
    <d v="2020-07-21T00:00:00"/>
    <x v="3"/>
    <s v="Female"/>
    <n v="176.4"/>
    <n v="45"/>
    <n v="18166"/>
    <n v="872.4"/>
    <n v="6"/>
    <n v="93"/>
    <x v="4"/>
    <n v="71"/>
    <n v="2.91"/>
    <n v="9"/>
    <x v="2"/>
  </r>
  <r>
    <n v="1515"/>
    <d v="2020-07-22T00:00:00"/>
    <x v="22"/>
    <s v="Male"/>
    <n v="175.6"/>
    <n v="77.3"/>
    <n v="13869"/>
    <n v="741"/>
    <n v="5.9"/>
    <n v="67"/>
    <x v="3"/>
    <n v="38"/>
    <n v="2"/>
    <n v="10"/>
    <x v="2"/>
  </r>
  <r>
    <n v="1348"/>
    <d v="2020-07-23T00:00:00"/>
    <x v="3"/>
    <s v="Male"/>
    <n v="155.5"/>
    <n v="77.599999999999994"/>
    <n v="17603"/>
    <n v="866"/>
    <n v="6.4"/>
    <n v="65"/>
    <x v="2"/>
    <n v="62"/>
    <n v="1.64"/>
    <n v="10"/>
    <x v="1"/>
  </r>
  <r>
    <n v="1981"/>
    <d v="2020-07-24T00:00:00"/>
    <x v="41"/>
    <s v="Female"/>
    <n v="169.7"/>
    <n v="84.6"/>
    <n v="10219"/>
    <n v="628.29999999999995"/>
    <n v="6.4"/>
    <n v="76"/>
    <x v="2"/>
    <n v="38"/>
    <n v="3.33"/>
    <n v="7"/>
    <x v="0"/>
  </r>
  <r>
    <n v="1920"/>
    <d v="2020-07-25T00:00:00"/>
    <x v="39"/>
    <s v="Male"/>
    <n v="178.9"/>
    <n v="74.900000000000006"/>
    <n v="9029"/>
    <n v="586"/>
    <n v="7.2"/>
    <n v="78"/>
    <x v="0"/>
    <n v="0"/>
    <n v="3.23"/>
    <n v="9"/>
    <x v="1"/>
  </r>
  <r>
    <n v="1396"/>
    <d v="2020-07-26T00:00:00"/>
    <x v="35"/>
    <s v="Male"/>
    <n v="180.6"/>
    <n v="45"/>
    <n v="17272"/>
    <n v="866.7"/>
    <n v="7.8"/>
    <n v="89"/>
    <x v="1"/>
    <n v="51"/>
    <n v="2.08"/>
    <n v="7"/>
    <x v="1"/>
  </r>
  <r>
    <n v="1721"/>
    <d v="2020-07-27T00:00:00"/>
    <x v="19"/>
    <s v="Female"/>
    <n v="173.7"/>
    <n v="77.599999999999994"/>
    <n v="17673"/>
    <n v="900"/>
    <n v="7.7"/>
    <n v="70"/>
    <x v="4"/>
    <n v="84"/>
    <n v="2.4500000000000002"/>
    <n v="1"/>
    <x v="0"/>
  </r>
  <r>
    <n v="1160"/>
    <d v="2020-07-28T00:00:00"/>
    <x v="11"/>
    <s v="Female"/>
    <n v="167.7"/>
    <n v="48.1"/>
    <n v="17763"/>
    <n v="900"/>
    <n v="7.2"/>
    <n v="79"/>
    <x v="0"/>
    <n v="0"/>
    <n v="3.09"/>
    <n v="7"/>
    <x v="2"/>
  </r>
  <r>
    <n v="1015"/>
    <d v="2020-07-29T00:00:00"/>
    <x v="19"/>
    <s v="Female"/>
    <n v="174.2"/>
    <n v="45"/>
    <n v="13165"/>
    <n v="636"/>
    <n v="7.3"/>
    <n v="91"/>
    <x v="5"/>
    <n v="32"/>
    <n v="2.5299999999999998"/>
    <n v="9"/>
    <x v="1"/>
  </r>
  <r>
    <n v="1492"/>
    <d v="2020-07-30T00:00:00"/>
    <x v="27"/>
    <s v="Male"/>
    <n v="178.1"/>
    <n v="45"/>
    <n v="12043"/>
    <n v="610.29999999999995"/>
    <n v="10"/>
    <n v="77"/>
    <x v="5"/>
    <n v="55"/>
    <n v="2.87"/>
    <n v="8"/>
    <x v="2"/>
  </r>
  <r>
    <n v="1425"/>
    <d v="2020-07-31T00:00:00"/>
    <x v="17"/>
    <s v="Male"/>
    <n v="171.2"/>
    <n v="45"/>
    <n v="10570"/>
    <n v="677.7"/>
    <n v="5.9"/>
    <n v="71"/>
    <x v="1"/>
    <n v="89"/>
    <n v="2.83"/>
    <n v="4"/>
    <x v="0"/>
  </r>
  <r>
    <n v="1107"/>
    <d v="2020-08-01T00:00:00"/>
    <x v="5"/>
    <s v="Female"/>
    <n v="172.3"/>
    <n v="74.2"/>
    <n v="7886"/>
    <n v="558.9"/>
    <n v="6.9"/>
    <n v="81"/>
    <x v="2"/>
    <n v="46"/>
    <n v="2.2799999999999998"/>
    <n v="5"/>
    <x v="1"/>
  </r>
  <r>
    <n v="1893"/>
    <d v="2020-08-02T00:00:00"/>
    <x v="25"/>
    <s v="Male"/>
    <n v="167.5"/>
    <n v="59"/>
    <n v="2958"/>
    <n v="343.5"/>
    <n v="4.3"/>
    <n v="72"/>
    <x v="2"/>
    <n v="43"/>
    <n v="2.86"/>
    <n v="3"/>
    <x v="2"/>
  </r>
  <r>
    <n v="1449"/>
    <d v="2020-08-03T00:00:00"/>
    <x v="19"/>
    <s v="Female"/>
    <n v="156.6"/>
    <n v="47.2"/>
    <n v="11319"/>
    <n v="653.29999999999995"/>
    <n v="6.4"/>
    <n v="78"/>
    <x v="5"/>
    <n v="39"/>
    <n v="1.82"/>
    <n v="10"/>
    <x v="2"/>
  </r>
  <r>
    <n v="1310"/>
    <d v="2020-08-04T00:00:00"/>
    <x v="0"/>
    <s v="Female"/>
    <n v="168.3"/>
    <n v="70.3"/>
    <n v="3183"/>
    <n v="322.2"/>
    <n v="5.7"/>
    <n v="73"/>
    <x v="1"/>
    <n v="28"/>
    <n v="2.78"/>
    <n v="10"/>
    <x v="2"/>
  </r>
  <r>
    <n v="1738"/>
    <d v="2020-08-05T00:00:00"/>
    <x v="13"/>
    <s v="Male"/>
    <n v="163.19999999999999"/>
    <n v="53.4"/>
    <n v="4774"/>
    <n v="417.8"/>
    <n v="5.9"/>
    <n v="74"/>
    <x v="0"/>
    <n v="0"/>
    <n v="2.4500000000000002"/>
    <n v="2"/>
    <x v="2"/>
  </r>
  <r>
    <n v="1169"/>
    <d v="2020-08-06T00:00:00"/>
    <x v="18"/>
    <s v="Female"/>
    <n v="163.30000000000001"/>
    <n v="84.7"/>
    <n v="15272"/>
    <n v="819.7"/>
    <n v="5.2"/>
    <n v="71"/>
    <x v="3"/>
    <n v="20"/>
    <n v="2.25"/>
    <n v="3"/>
    <x v="2"/>
  </r>
  <r>
    <n v="1545"/>
    <d v="2020-08-07T00:00:00"/>
    <x v="22"/>
    <s v="Male"/>
    <n v="184.3"/>
    <n v="91.8"/>
    <n v="1777"/>
    <n v="336.5"/>
    <n v="5"/>
    <n v="69"/>
    <x v="0"/>
    <n v="0"/>
    <n v="1.63"/>
    <n v="7"/>
    <x v="2"/>
  </r>
  <r>
    <n v="1413"/>
    <d v="2020-08-08T00:00:00"/>
    <x v="3"/>
    <s v="Male"/>
    <n v="179.5"/>
    <n v="66.7"/>
    <n v="3566"/>
    <n v="308.60000000000002"/>
    <n v="7.2"/>
    <n v="85"/>
    <x v="4"/>
    <n v="20"/>
    <n v="2.59"/>
    <n v="8"/>
    <x v="1"/>
  </r>
  <r>
    <n v="1250"/>
    <d v="2020-08-09T00:00:00"/>
    <x v="22"/>
    <s v="Female"/>
    <n v="153.1"/>
    <n v="90.7"/>
    <n v="11095"/>
    <n v="644.70000000000005"/>
    <n v="8.1"/>
    <n v="77"/>
    <x v="2"/>
    <n v="63"/>
    <n v="2.5299999999999998"/>
    <n v="2"/>
    <x v="1"/>
  </r>
  <r>
    <n v="1758"/>
    <d v="2020-08-10T00:00:00"/>
    <x v="23"/>
    <s v="Male"/>
    <n v="159.19999999999999"/>
    <n v="90.6"/>
    <n v="11953"/>
    <n v="722.6"/>
    <n v="5.8"/>
    <n v="88"/>
    <x v="0"/>
    <n v="0"/>
    <n v="1.91"/>
    <n v="9"/>
    <x v="0"/>
  </r>
  <r>
    <n v="1780"/>
    <d v="2020-08-11T00:00:00"/>
    <x v="8"/>
    <s v="Female"/>
    <n v="166.4"/>
    <n v="71.3"/>
    <n v="8404"/>
    <n v="544.4"/>
    <n v="4"/>
    <n v="52"/>
    <x v="2"/>
    <n v="36"/>
    <n v="1.38"/>
    <n v="4"/>
    <x v="2"/>
  </r>
  <r>
    <n v="1140"/>
    <d v="2020-08-12T00:00:00"/>
    <x v="41"/>
    <s v="Male"/>
    <n v="163.6"/>
    <n v="96"/>
    <n v="1078"/>
    <n v="276.8"/>
    <n v="7.2"/>
    <n v="70"/>
    <x v="2"/>
    <n v="85"/>
    <n v="1.35"/>
    <n v="2"/>
    <x v="0"/>
  </r>
  <r>
    <n v="1273"/>
    <d v="2020-08-13T00:00:00"/>
    <x v="41"/>
    <s v="Male"/>
    <n v="173.2"/>
    <n v="60.7"/>
    <n v="2581"/>
    <n v="336.2"/>
    <n v="7.7"/>
    <n v="68"/>
    <x v="3"/>
    <n v="42"/>
    <n v="2.3199999999999998"/>
    <n v="7"/>
    <x v="1"/>
  </r>
  <r>
    <n v="1415"/>
    <d v="2020-08-14T00:00:00"/>
    <x v="7"/>
    <s v="Male"/>
    <n v="157.6"/>
    <n v="45"/>
    <n v="15066"/>
    <n v="781.4"/>
    <n v="8"/>
    <n v="72"/>
    <x v="3"/>
    <n v="60"/>
    <n v="2.71"/>
    <n v="2"/>
    <x v="0"/>
  </r>
  <r>
    <n v="1607"/>
    <d v="2020-08-15T00:00:00"/>
    <x v="2"/>
    <s v="Female"/>
    <n v="179.6"/>
    <n v="46.7"/>
    <n v="8967"/>
    <n v="507.6"/>
    <n v="5.5"/>
    <n v="65"/>
    <x v="0"/>
    <n v="0"/>
    <n v="3.79"/>
    <n v="7"/>
    <x v="1"/>
  </r>
  <r>
    <n v="1738"/>
    <d v="2020-08-16T00:00:00"/>
    <x v="22"/>
    <s v="Male"/>
    <n v="169.6"/>
    <n v="60"/>
    <n v="8839"/>
    <n v="516.20000000000005"/>
    <n v="6.1"/>
    <n v="59"/>
    <x v="4"/>
    <n v="44"/>
    <n v="2.4700000000000002"/>
    <n v="8"/>
    <x v="1"/>
  </r>
  <r>
    <n v="1890"/>
    <d v="2020-08-17T00:00:00"/>
    <x v="0"/>
    <s v="Female"/>
    <n v="166.6"/>
    <n v="78"/>
    <n v="3162"/>
    <n v="272.3"/>
    <n v="5.3"/>
    <n v="82"/>
    <x v="2"/>
    <n v="36"/>
    <n v="1.36"/>
    <n v="9"/>
    <x v="0"/>
  </r>
  <r>
    <n v="1038"/>
    <d v="2020-08-18T00:00:00"/>
    <x v="41"/>
    <s v="Male"/>
    <n v="169.9"/>
    <n v="52.7"/>
    <n v="18869"/>
    <n v="862"/>
    <n v="5.9"/>
    <n v="69"/>
    <x v="5"/>
    <n v="38"/>
    <n v="2.36"/>
    <n v="1"/>
    <x v="1"/>
  </r>
  <r>
    <n v="1813"/>
    <d v="2020-08-19T00:00:00"/>
    <x v="0"/>
    <s v="Male"/>
    <n v="165.8"/>
    <n v="59.9"/>
    <n v="14913"/>
    <n v="851.1"/>
    <n v="5.8"/>
    <n v="81"/>
    <x v="2"/>
    <n v="65"/>
    <n v="3.38"/>
    <n v="2"/>
    <x v="1"/>
  </r>
  <r>
    <n v="1028"/>
    <d v="2020-08-20T00:00:00"/>
    <x v="21"/>
    <s v="Female"/>
    <n v="150"/>
    <n v="51.3"/>
    <n v="1964"/>
    <n v="184.3"/>
    <n v="6.2"/>
    <n v="63"/>
    <x v="4"/>
    <n v="54"/>
    <n v="2.02"/>
    <n v="2"/>
    <x v="0"/>
  </r>
  <r>
    <n v="1957"/>
    <d v="2020-08-21T00:00:00"/>
    <x v="41"/>
    <s v="Female"/>
    <n v="170.1"/>
    <n v="60.2"/>
    <n v="11739"/>
    <n v="762.6"/>
    <n v="6.6"/>
    <n v="59"/>
    <x v="0"/>
    <n v="0"/>
    <n v="3.28"/>
    <n v="7"/>
    <x v="0"/>
  </r>
  <r>
    <n v="1476"/>
    <d v="2020-08-22T00:00:00"/>
    <x v="5"/>
    <s v="Female"/>
    <n v="166.8"/>
    <n v="90.1"/>
    <n v="3673"/>
    <n v="320.5"/>
    <n v="7.2"/>
    <n v="77"/>
    <x v="4"/>
    <n v="63"/>
    <n v="2.62"/>
    <n v="6"/>
    <x v="2"/>
  </r>
  <r>
    <n v="1317"/>
    <d v="2020-08-23T00:00:00"/>
    <x v="34"/>
    <s v="Female"/>
    <n v="160.5"/>
    <n v="75.400000000000006"/>
    <n v="6293"/>
    <n v="437.8"/>
    <n v="5.7"/>
    <n v="81"/>
    <x v="5"/>
    <n v="28"/>
    <n v="2.95"/>
    <n v="9"/>
    <x v="0"/>
  </r>
  <r>
    <n v="1244"/>
    <d v="2020-08-24T00:00:00"/>
    <x v="30"/>
    <s v="Female"/>
    <n v="181"/>
    <n v="61.3"/>
    <n v="2718"/>
    <n v="233"/>
    <n v="6.8"/>
    <n v="69"/>
    <x v="3"/>
    <n v="51"/>
    <n v="3.8"/>
    <n v="3"/>
    <x v="1"/>
  </r>
  <r>
    <n v="1747"/>
    <d v="2020-08-25T00:00:00"/>
    <x v="35"/>
    <s v="Male"/>
    <n v="176.7"/>
    <n v="88.3"/>
    <n v="11624"/>
    <n v="684.2"/>
    <n v="5.6"/>
    <n v="65"/>
    <x v="5"/>
    <n v="78"/>
    <n v="1.21"/>
    <n v="8"/>
    <x v="2"/>
  </r>
  <r>
    <n v="1696"/>
    <d v="2020-08-26T00:00:00"/>
    <x v="20"/>
    <s v="Male"/>
    <n v="194.4"/>
    <n v="70.400000000000006"/>
    <n v="2228"/>
    <n v="276.10000000000002"/>
    <n v="4.4000000000000004"/>
    <n v="87"/>
    <x v="4"/>
    <n v="61"/>
    <n v="3.13"/>
    <n v="5"/>
    <x v="1"/>
  </r>
  <r>
    <n v="1271"/>
    <d v="2020-08-27T00:00:00"/>
    <x v="3"/>
    <s v="Female"/>
    <n v="178.3"/>
    <n v="72"/>
    <n v="11602"/>
    <n v="667.1"/>
    <n v="7.8"/>
    <n v="74"/>
    <x v="5"/>
    <n v="81"/>
    <n v="2.4300000000000002"/>
    <n v="5"/>
    <x v="0"/>
  </r>
  <r>
    <n v="1439"/>
    <d v="2020-08-28T00:00:00"/>
    <x v="24"/>
    <s v="Male"/>
    <n v="163.6"/>
    <n v="87.1"/>
    <n v="2840"/>
    <n v="274.2"/>
    <n v="6"/>
    <n v="65"/>
    <x v="2"/>
    <n v="38"/>
    <n v="1.84"/>
    <n v="10"/>
    <x v="1"/>
  </r>
  <r>
    <n v="1747"/>
    <d v="2020-08-29T00:00:00"/>
    <x v="34"/>
    <s v="Male"/>
    <n v="160.9"/>
    <n v="64.900000000000006"/>
    <n v="17881"/>
    <n v="900"/>
    <n v="4.4000000000000004"/>
    <n v="60"/>
    <x v="4"/>
    <n v="54"/>
    <n v="2.4300000000000002"/>
    <n v="5"/>
    <x v="0"/>
  </r>
  <r>
    <n v="1238"/>
    <d v="2020-08-30T00:00:00"/>
    <x v="19"/>
    <s v="Male"/>
    <n v="165.1"/>
    <n v="83.7"/>
    <n v="17920"/>
    <n v="875.6"/>
    <n v="7.8"/>
    <n v="68"/>
    <x v="0"/>
    <n v="0"/>
    <n v="3.68"/>
    <n v="8"/>
    <x v="0"/>
  </r>
  <r>
    <n v="1376"/>
    <d v="2020-08-31T00:00:00"/>
    <x v="32"/>
    <s v="Female"/>
    <n v="163.30000000000001"/>
    <n v="82.7"/>
    <n v="8124"/>
    <n v="528.9"/>
    <n v="6.6"/>
    <n v="71"/>
    <x v="3"/>
    <n v="62"/>
    <n v="3.43"/>
    <n v="7"/>
    <x v="0"/>
  </r>
  <r>
    <n v="1265"/>
    <d v="2020-09-01T00:00:00"/>
    <x v="21"/>
    <s v="Male"/>
    <n v="171.1"/>
    <n v="67.8"/>
    <n v="10356"/>
    <n v="637.29999999999995"/>
    <n v="7.7"/>
    <n v="83"/>
    <x v="3"/>
    <n v="64"/>
    <n v="1.1000000000000001"/>
    <n v="7"/>
    <x v="2"/>
  </r>
  <r>
    <n v="1925"/>
    <d v="2020-09-02T00:00:00"/>
    <x v="27"/>
    <s v="Male"/>
    <n v="154.6"/>
    <n v="49.1"/>
    <n v="19355"/>
    <n v="900"/>
    <n v="7.6"/>
    <n v="75"/>
    <x v="5"/>
    <n v="25"/>
    <n v="1.96"/>
    <n v="4"/>
    <x v="0"/>
  </r>
  <r>
    <n v="1920"/>
    <d v="2020-09-03T00:00:00"/>
    <x v="28"/>
    <s v="Male"/>
    <n v="176.5"/>
    <n v="70.2"/>
    <n v="8587"/>
    <n v="583.79999999999995"/>
    <n v="5.4"/>
    <n v="74"/>
    <x v="5"/>
    <n v="32"/>
    <n v="3.16"/>
    <n v="6"/>
    <x v="1"/>
  </r>
  <r>
    <n v="1358"/>
    <d v="2020-09-04T00:00:00"/>
    <x v="2"/>
    <s v="Female"/>
    <n v="170.9"/>
    <n v="87.1"/>
    <n v="4527"/>
    <n v="385.6"/>
    <n v="8.4"/>
    <n v="66"/>
    <x v="5"/>
    <n v="30"/>
    <n v="2.48"/>
    <n v="1"/>
    <x v="2"/>
  </r>
  <r>
    <n v="1339"/>
    <d v="2020-09-05T00:00:00"/>
    <x v="38"/>
    <s v="Male"/>
    <n v="175.3"/>
    <n v="82.3"/>
    <n v="1299"/>
    <n v="251.6"/>
    <n v="4.3"/>
    <n v="89"/>
    <x v="0"/>
    <n v="0"/>
    <n v="2.4900000000000002"/>
    <n v="6"/>
    <x v="2"/>
  </r>
  <r>
    <n v="1388"/>
    <d v="2020-09-06T00:00:00"/>
    <x v="26"/>
    <s v="Male"/>
    <n v="158.6"/>
    <n v="95.7"/>
    <n v="19770"/>
    <n v="900"/>
    <n v="6.4"/>
    <n v="85"/>
    <x v="2"/>
    <n v="88"/>
    <n v="1.4"/>
    <n v="5"/>
    <x v="2"/>
  </r>
  <r>
    <n v="1576"/>
    <d v="2020-09-07T00:00:00"/>
    <x v="16"/>
    <s v="Female"/>
    <n v="172.5"/>
    <n v="62.6"/>
    <n v="13590"/>
    <n v="781.9"/>
    <n v="6.3"/>
    <n v="84"/>
    <x v="3"/>
    <n v="26"/>
    <n v="1.98"/>
    <n v="1"/>
    <x v="1"/>
  </r>
  <r>
    <n v="1989"/>
    <d v="2020-09-08T00:00:00"/>
    <x v="34"/>
    <s v="Female"/>
    <n v="183"/>
    <n v="81.7"/>
    <n v="4963"/>
    <n v="361.3"/>
    <n v="5.8"/>
    <n v="74"/>
    <x v="4"/>
    <n v="74"/>
    <n v="1.55"/>
    <n v="1"/>
    <x v="0"/>
  </r>
  <r>
    <n v="1688"/>
    <d v="2020-09-09T00:00:00"/>
    <x v="19"/>
    <s v="Male"/>
    <n v="161.4"/>
    <n v="54.9"/>
    <n v="5687"/>
    <n v="472.6"/>
    <n v="8.8000000000000007"/>
    <n v="79"/>
    <x v="4"/>
    <n v="74"/>
    <n v="1.34"/>
    <n v="3"/>
    <x v="2"/>
  </r>
  <r>
    <n v="1002"/>
    <d v="2020-09-10T00:00:00"/>
    <x v="22"/>
    <s v="Male"/>
    <n v="161.1"/>
    <n v="73"/>
    <n v="5171"/>
    <n v="360"/>
    <n v="7.5"/>
    <n v="50"/>
    <x v="3"/>
    <n v="38"/>
    <n v="1.62"/>
    <n v="4"/>
    <x v="0"/>
  </r>
  <r>
    <n v="1428"/>
    <d v="2020-09-11T00:00:00"/>
    <x v="9"/>
    <s v="Female"/>
    <n v="177.1"/>
    <n v="86.6"/>
    <n v="14067"/>
    <n v="785.5"/>
    <n v="4.9000000000000004"/>
    <n v="77"/>
    <x v="0"/>
    <n v="0"/>
    <n v="1.85"/>
    <n v="1"/>
    <x v="0"/>
  </r>
  <r>
    <n v="1141"/>
    <d v="2020-09-12T00:00:00"/>
    <x v="22"/>
    <s v="Female"/>
    <n v="160.30000000000001"/>
    <n v="83.6"/>
    <n v="4695"/>
    <n v="414.9"/>
    <n v="5.0999999999999996"/>
    <n v="94"/>
    <x v="5"/>
    <n v="28"/>
    <n v="1.97"/>
    <n v="10"/>
    <x v="1"/>
  </r>
  <r>
    <n v="1375"/>
    <d v="2020-09-13T00:00:00"/>
    <x v="5"/>
    <s v="Female"/>
    <n v="167.7"/>
    <n v="71.5"/>
    <n v="10112"/>
    <n v="570.9"/>
    <n v="10"/>
    <n v="69"/>
    <x v="1"/>
    <n v="39"/>
    <n v="1.91"/>
    <n v="7"/>
    <x v="2"/>
  </r>
  <r>
    <n v="1669"/>
    <d v="2020-09-14T00:00:00"/>
    <x v="33"/>
    <s v="Female"/>
    <n v="184.8"/>
    <n v="66"/>
    <n v="8242"/>
    <n v="452.6"/>
    <n v="6.3"/>
    <n v="65"/>
    <x v="5"/>
    <n v="44"/>
    <n v="3.21"/>
    <n v="2"/>
    <x v="1"/>
  </r>
  <r>
    <n v="1323"/>
    <d v="2020-09-15T00:00:00"/>
    <x v="7"/>
    <s v="Female"/>
    <n v="161.30000000000001"/>
    <n v="55.1"/>
    <n v="10941"/>
    <n v="624.4"/>
    <n v="5.8"/>
    <n v="74"/>
    <x v="0"/>
    <n v="0"/>
    <n v="1.86"/>
    <n v="4"/>
    <x v="2"/>
  </r>
  <r>
    <n v="1145"/>
    <d v="2020-09-16T00:00:00"/>
    <x v="30"/>
    <s v="Female"/>
    <n v="185.4"/>
    <n v="66.599999999999994"/>
    <n v="3700"/>
    <n v="216.5"/>
    <n v="8.6999999999999993"/>
    <n v="66"/>
    <x v="3"/>
    <n v="69"/>
    <n v="3.5"/>
    <n v="9"/>
    <x v="2"/>
  </r>
  <r>
    <n v="1957"/>
    <d v="2020-09-17T00:00:00"/>
    <x v="18"/>
    <s v="Female"/>
    <n v="166.6"/>
    <n v="50.3"/>
    <n v="18389"/>
    <n v="900"/>
    <n v="4.3"/>
    <n v="66"/>
    <x v="2"/>
    <n v="57"/>
    <n v="2.16"/>
    <n v="8"/>
    <x v="0"/>
  </r>
  <r>
    <n v="1292"/>
    <d v="2020-09-18T00:00:00"/>
    <x v="14"/>
    <s v="Male"/>
    <n v="158.80000000000001"/>
    <n v="64.900000000000006"/>
    <n v="19085"/>
    <n v="900"/>
    <n v="9.1"/>
    <n v="78"/>
    <x v="5"/>
    <n v="85"/>
    <n v="2.81"/>
    <n v="2"/>
    <x v="0"/>
  </r>
  <r>
    <n v="1664"/>
    <d v="2020-09-19T00:00:00"/>
    <x v="25"/>
    <s v="Female"/>
    <n v="176"/>
    <n v="45"/>
    <n v="14339"/>
    <n v="900"/>
    <n v="5.8"/>
    <n v="83"/>
    <x v="4"/>
    <n v="76"/>
    <n v="2.83"/>
    <n v="9"/>
    <x v="2"/>
  </r>
  <r>
    <n v="1431"/>
    <d v="2020-09-20T00:00:00"/>
    <x v="3"/>
    <s v="Female"/>
    <n v="171.1"/>
    <n v="50.2"/>
    <n v="16834"/>
    <n v="900"/>
    <n v="7.8"/>
    <n v="78"/>
    <x v="2"/>
    <n v="41"/>
    <n v="1.87"/>
    <n v="1"/>
    <x v="2"/>
  </r>
  <r>
    <n v="1704"/>
    <d v="2020-09-21T00:00:00"/>
    <x v="34"/>
    <s v="Male"/>
    <n v="170.1"/>
    <n v="82.8"/>
    <n v="12084"/>
    <n v="687"/>
    <n v="6.3"/>
    <n v="64"/>
    <x v="3"/>
    <n v="75"/>
    <n v="2.27"/>
    <n v="6"/>
    <x v="0"/>
  </r>
  <r>
    <n v="1948"/>
    <d v="2020-09-22T00:00:00"/>
    <x v="9"/>
    <s v="Female"/>
    <n v="162.30000000000001"/>
    <n v="81.099999999999994"/>
    <n v="4162"/>
    <n v="433.1"/>
    <n v="4.5999999999999996"/>
    <n v="68"/>
    <x v="1"/>
    <n v="55"/>
    <n v="2.15"/>
    <n v="3"/>
    <x v="2"/>
  </r>
  <r>
    <n v="1974"/>
    <d v="2020-09-23T00:00:00"/>
    <x v="9"/>
    <s v="Female"/>
    <n v="171"/>
    <n v="65.7"/>
    <n v="9306"/>
    <n v="607.5"/>
    <n v="7.3"/>
    <n v="78"/>
    <x v="5"/>
    <n v="70"/>
    <n v="2.76"/>
    <n v="1"/>
    <x v="2"/>
  </r>
  <r>
    <n v="1584"/>
    <d v="2020-09-24T00:00:00"/>
    <x v="41"/>
    <s v="Male"/>
    <n v="150"/>
    <n v="71"/>
    <n v="14137"/>
    <n v="707.3"/>
    <n v="8.4"/>
    <n v="82"/>
    <x v="2"/>
    <n v="87"/>
    <n v="2.41"/>
    <n v="8"/>
    <x v="2"/>
  </r>
  <r>
    <n v="1398"/>
    <d v="2020-09-25T00:00:00"/>
    <x v="38"/>
    <s v="Female"/>
    <n v="172.2"/>
    <n v="73"/>
    <n v="3137"/>
    <n v="294.2"/>
    <n v="3.5"/>
    <n v="73"/>
    <x v="2"/>
    <n v="20"/>
    <n v="1.98"/>
    <n v="6"/>
    <x v="1"/>
  </r>
  <r>
    <n v="1816"/>
    <d v="2020-09-26T00:00:00"/>
    <x v="34"/>
    <s v="Male"/>
    <n v="183"/>
    <n v="76.900000000000006"/>
    <n v="17414"/>
    <n v="900"/>
    <n v="5.3"/>
    <n v="66"/>
    <x v="4"/>
    <n v="67"/>
    <n v="2.58"/>
    <n v="4"/>
    <x v="2"/>
  </r>
  <r>
    <n v="1888"/>
    <d v="2020-09-27T00:00:00"/>
    <x v="39"/>
    <s v="Male"/>
    <n v="152.30000000000001"/>
    <n v="75.3"/>
    <n v="6948"/>
    <n v="429.9"/>
    <n v="8.9"/>
    <n v="83"/>
    <x v="5"/>
    <n v="52"/>
    <n v="2.74"/>
    <n v="3"/>
    <x v="2"/>
  </r>
  <r>
    <n v="1343"/>
    <d v="2020-09-28T00:00:00"/>
    <x v="12"/>
    <s v="Male"/>
    <n v="165.9"/>
    <n v="49.9"/>
    <n v="15693"/>
    <n v="847.5"/>
    <n v="7.6"/>
    <n v="93"/>
    <x v="1"/>
    <n v="43"/>
    <n v="3.8"/>
    <n v="10"/>
    <x v="0"/>
  </r>
  <r>
    <n v="1963"/>
    <d v="2020-09-29T00:00:00"/>
    <x v="2"/>
    <s v="Male"/>
    <n v="161.30000000000001"/>
    <n v="45"/>
    <n v="17099"/>
    <n v="900"/>
    <n v="7.7"/>
    <n v="86"/>
    <x v="2"/>
    <n v="68"/>
    <n v="2.5499999999999998"/>
    <n v="2"/>
    <x v="0"/>
  </r>
  <r>
    <n v="1139"/>
    <d v="2020-09-30T00:00:00"/>
    <x v="12"/>
    <s v="Female"/>
    <n v="154.9"/>
    <n v="54.7"/>
    <n v="17210"/>
    <n v="875.4"/>
    <n v="8.4"/>
    <n v="95"/>
    <x v="4"/>
    <n v="88"/>
    <n v="2.5099999999999998"/>
    <n v="5"/>
    <x v="1"/>
  </r>
  <r>
    <n v="1186"/>
    <d v="2020-10-01T00:00:00"/>
    <x v="32"/>
    <s v="Male"/>
    <n v="150"/>
    <n v="67.7"/>
    <n v="19189"/>
    <n v="900"/>
    <n v="7.7"/>
    <n v="69"/>
    <x v="5"/>
    <n v="77"/>
    <n v="2.8"/>
    <n v="8"/>
    <x v="0"/>
  </r>
  <r>
    <n v="1804"/>
    <d v="2020-10-02T00:00:00"/>
    <x v="26"/>
    <s v="Male"/>
    <n v="158.19999999999999"/>
    <n v="84.4"/>
    <n v="4569"/>
    <n v="424.3"/>
    <n v="7.2"/>
    <n v="85"/>
    <x v="5"/>
    <n v="67"/>
    <n v="1.84"/>
    <n v="8"/>
    <x v="2"/>
  </r>
  <r>
    <n v="1060"/>
    <d v="2020-10-03T00:00:00"/>
    <x v="18"/>
    <s v="Female"/>
    <n v="167.6"/>
    <n v="73.5"/>
    <n v="13977"/>
    <n v="798.3"/>
    <n v="8.6999999999999993"/>
    <n v="88"/>
    <x v="1"/>
    <n v="76"/>
    <n v="1.29"/>
    <n v="3"/>
    <x v="1"/>
  </r>
  <r>
    <n v="1996"/>
    <d v="2020-10-04T00:00:00"/>
    <x v="13"/>
    <s v="Male"/>
    <n v="181.5"/>
    <n v="78"/>
    <n v="12620"/>
    <n v="727.2"/>
    <n v="6.4"/>
    <n v="70"/>
    <x v="4"/>
    <n v="83"/>
    <n v="2.2799999999999998"/>
    <n v="9"/>
    <x v="2"/>
  </r>
  <r>
    <n v="1938"/>
    <d v="2020-10-05T00:00:00"/>
    <x v="23"/>
    <s v="Male"/>
    <n v="154.80000000000001"/>
    <n v="56.5"/>
    <n v="1456"/>
    <n v="257.60000000000002"/>
    <n v="7"/>
    <n v="67"/>
    <x v="1"/>
    <n v="72"/>
    <n v="3.25"/>
    <n v="10"/>
    <x v="2"/>
  </r>
  <r>
    <n v="1379"/>
    <d v="2020-10-06T00:00:00"/>
    <x v="30"/>
    <s v="Male"/>
    <n v="172.9"/>
    <n v="68.900000000000006"/>
    <n v="17832"/>
    <n v="900"/>
    <n v="8.1999999999999993"/>
    <n v="65"/>
    <x v="2"/>
    <n v="79"/>
    <n v="3.36"/>
    <n v="5"/>
    <x v="2"/>
  </r>
  <r>
    <n v="1709"/>
    <d v="2020-10-07T00:00:00"/>
    <x v="18"/>
    <s v="Male"/>
    <n v="172.2"/>
    <n v="71"/>
    <n v="1067"/>
    <n v="141.6"/>
    <n v="5.9"/>
    <n v="74"/>
    <x v="0"/>
    <n v="0"/>
    <n v="1.18"/>
    <n v="7"/>
    <x v="1"/>
  </r>
  <r>
    <n v="1806"/>
    <d v="2020-10-08T00:00:00"/>
    <x v="11"/>
    <s v="Female"/>
    <n v="186.7"/>
    <n v="58.7"/>
    <n v="2862"/>
    <n v="388.3"/>
    <n v="9.1"/>
    <n v="60"/>
    <x v="3"/>
    <n v="60"/>
    <n v="2.97"/>
    <n v="9"/>
    <x v="0"/>
  </r>
  <r>
    <n v="1439"/>
    <d v="2020-10-09T00:00:00"/>
    <x v="38"/>
    <s v="Male"/>
    <n v="175.7"/>
    <n v="54"/>
    <n v="19186"/>
    <n v="900"/>
    <n v="7.4"/>
    <n v="92"/>
    <x v="3"/>
    <n v="45"/>
    <n v="0.97"/>
    <n v="7"/>
    <x v="0"/>
  </r>
  <r>
    <n v="1318"/>
    <d v="2020-10-10T00:00:00"/>
    <x v="24"/>
    <s v="Female"/>
    <n v="176.3"/>
    <n v="66.599999999999994"/>
    <n v="13754"/>
    <n v="713.4"/>
    <n v="5.3"/>
    <n v="62"/>
    <x v="1"/>
    <n v="78"/>
    <n v="2.82"/>
    <n v="10"/>
    <x v="0"/>
  </r>
  <r>
    <n v="1301"/>
    <d v="2020-10-11T00:00:00"/>
    <x v="12"/>
    <s v="Female"/>
    <n v="177"/>
    <n v="79.900000000000006"/>
    <n v="12623"/>
    <n v="734.9"/>
    <n v="6.7"/>
    <n v="79"/>
    <x v="1"/>
    <n v="68"/>
    <n v="2.78"/>
    <n v="3"/>
    <x v="2"/>
  </r>
  <r>
    <n v="1343"/>
    <d v="2020-10-12T00:00:00"/>
    <x v="23"/>
    <s v="Male"/>
    <n v="160.80000000000001"/>
    <n v="56.4"/>
    <n v="8554"/>
    <n v="570.70000000000005"/>
    <n v="4.9000000000000004"/>
    <n v="52"/>
    <x v="0"/>
    <n v="0"/>
    <n v="1.29"/>
    <n v="2"/>
    <x v="1"/>
  </r>
  <r>
    <n v="1010"/>
    <d v="2020-10-13T00:00:00"/>
    <x v="17"/>
    <s v="Male"/>
    <n v="164.3"/>
    <n v="66.900000000000006"/>
    <n v="9319"/>
    <n v="523.9"/>
    <n v="7.1"/>
    <n v="95"/>
    <x v="0"/>
    <n v="0"/>
    <n v="3.2"/>
    <n v="7"/>
    <x v="0"/>
  </r>
  <r>
    <n v="1061"/>
    <d v="2020-10-14T00:00:00"/>
    <x v="37"/>
    <s v="Male"/>
    <n v="181.2"/>
    <n v="90.3"/>
    <n v="6895"/>
    <n v="479.2"/>
    <n v="6.4"/>
    <n v="87"/>
    <x v="0"/>
    <n v="0"/>
    <n v="3.72"/>
    <n v="10"/>
    <x v="1"/>
  </r>
  <r>
    <n v="1844"/>
    <d v="2020-10-15T00:00:00"/>
    <x v="37"/>
    <s v="Male"/>
    <n v="150"/>
    <n v="62.2"/>
    <n v="14020"/>
    <n v="762.7"/>
    <n v="5.7"/>
    <n v="59"/>
    <x v="0"/>
    <n v="0"/>
    <n v="2.46"/>
    <n v="8"/>
    <x v="1"/>
  </r>
  <r>
    <n v="1225"/>
    <d v="2020-10-16T00:00:00"/>
    <x v="13"/>
    <s v="Female"/>
    <n v="163.19999999999999"/>
    <n v="70.099999999999994"/>
    <n v="13202"/>
    <n v="726.7"/>
    <n v="4.3"/>
    <n v="78"/>
    <x v="3"/>
    <n v="76"/>
    <n v="2.6"/>
    <n v="4"/>
    <x v="2"/>
  </r>
  <r>
    <n v="1152"/>
    <d v="2020-10-17T00:00:00"/>
    <x v="36"/>
    <s v="Female"/>
    <n v="156.69999999999999"/>
    <n v="68.400000000000006"/>
    <n v="6515"/>
    <n v="541.79999999999995"/>
    <n v="5.8"/>
    <n v="73"/>
    <x v="2"/>
    <n v="59"/>
    <n v="3.54"/>
    <n v="1"/>
    <x v="1"/>
  </r>
  <r>
    <n v="1710"/>
    <d v="2020-10-18T00:00:00"/>
    <x v="38"/>
    <s v="Female"/>
    <n v="172.3"/>
    <n v="67.2"/>
    <n v="1367"/>
    <n v="253.7"/>
    <n v="6.7"/>
    <n v="77"/>
    <x v="0"/>
    <n v="0"/>
    <n v="1.71"/>
    <n v="6"/>
    <x v="0"/>
  </r>
  <r>
    <n v="1563"/>
    <d v="2020-10-19T00:00:00"/>
    <x v="13"/>
    <s v="Male"/>
    <n v="165.8"/>
    <n v="95"/>
    <n v="16640"/>
    <n v="859.1"/>
    <n v="6.4"/>
    <n v="81"/>
    <x v="0"/>
    <n v="0"/>
    <n v="1.73"/>
    <n v="9"/>
    <x v="0"/>
  </r>
  <r>
    <n v="1771"/>
    <d v="2020-10-20T00:00:00"/>
    <x v="4"/>
    <s v="Female"/>
    <n v="176.3"/>
    <n v="74.599999999999994"/>
    <n v="16461"/>
    <n v="824.4"/>
    <n v="4.9000000000000004"/>
    <n v="67"/>
    <x v="1"/>
    <n v="43"/>
    <n v="1.91"/>
    <n v="4"/>
    <x v="1"/>
  </r>
  <r>
    <n v="1570"/>
    <d v="2020-10-21T00:00:00"/>
    <x v="28"/>
    <s v="Male"/>
    <n v="168.9"/>
    <n v="46.4"/>
    <n v="15897"/>
    <n v="794.6"/>
    <n v="7"/>
    <n v="74"/>
    <x v="0"/>
    <n v="0"/>
    <n v="2.5299999999999998"/>
    <n v="3"/>
    <x v="1"/>
  </r>
  <r>
    <n v="1583"/>
    <d v="2020-10-22T00:00:00"/>
    <x v="27"/>
    <s v="Male"/>
    <n v="154.5"/>
    <n v="92.9"/>
    <n v="1058"/>
    <n v="261.89999999999998"/>
    <n v="5.5"/>
    <n v="57"/>
    <x v="2"/>
    <n v="65"/>
    <n v="2.52"/>
    <n v="6"/>
    <x v="1"/>
  </r>
  <r>
    <n v="1659"/>
    <d v="2020-10-23T00:00:00"/>
    <x v="21"/>
    <s v="Male"/>
    <n v="155"/>
    <n v="74.099999999999994"/>
    <n v="9294"/>
    <n v="548.29999999999995"/>
    <n v="8.4"/>
    <n v="76"/>
    <x v="2"/>
    <n v="87"/>
    <n v="2.11"/>
    <n v="6"/>
    <x v="1"/>
  </r>
  <r>
    <n v="1860"/>
    <d v="2020-10-24T00:00:00"/>
    <x v="31"/>
    <s v="Male"/>
    <n v="169.9"/>
    <n v="64.400000000000006"/>
    <n v="5507"/>
    <n v="410.9"/>
    <n v="8.6"/>
    <n v="54"/>
    <x v="4"/>
    <n v="73"/>
    <n v="2.29"/>
    <n v="4"/>
    <x v="0"/>
  </r>
  <r>
    <n v="1574"/>
    <d v="2020-10-25T00:00:00"/>
    <x v="14"/>
    <s v="Male"/>
    <n v="162.30000000000001"/>
    <n v="90.2"/>
    <n v="18169"/>
    <n v="900"/>
    <n v="6.6"/>
    <n v="88"/>
    <x v="2"/>
    <n v="52"/>
    <n v="2.12"/>
    <n v="7"/>
    <x v="0"/>
  </r>
  <r>
    <n v="1309"/>
    <d v="2020-10-26T00:00:00"/>
    <x v="21"/>
    <s v="Female"/>
    <n v="164.7"/>
    <n v="58.3"/>
    <n v="15752"/>
    <n v="833.3"/>
    <n v="9.4"/>
    <n v="60"/>
    <x v="0"/>
    <n v="0"/>
    <n v="2.16"/>
    <n v="2"/>
    <x v="2"/>
  </r>
  <r>
    <n v="1884"/>
    <d v="2020-10-27T00:00:00"/>
    <x v="11"/>
    <s v="Female"/>
    <n v="179.4"/>
    <n v="95.7"/>
    <n v="16475"/>
    <n v="865.7"/>
    <n v="6.8"/>
    <n v="78"/>
    <x v="5"/>
    <n v="54"/>
    <n v="1.96"/>
    <n v="1"/>
    <x v="1"/>
  </r>
  <r>
    <n v="1242"/>
    <d v="2020-10-28T00:00:00"/>
    <x v="11"/>
    <s v="Male"/>
    <n v="177.6"/>
    <n v="71.400000000000006"/>
    <n v="13137"/>
    <n v="732"/>
    <n v="5"/>
    <n v="83"/>
    <x v="0"/>
    <n v="0"/>
    <n v="1.97"/>
    <n v="6"/>
    <x v="0"/>
  </r>
  <r>
    <n v="1492"/>
    <d v="2020-10-29T00:00:00"/>
    <x v="6"/>
    <s v="Female"/>
    <n v="188"/>
    <n v="85.1"/>
    <n v="15334"/>
    <n v="844.6"/>
    <n v="8.8000000000000007"/>
    <n v="94"/>
    <x v="3"/>
    <n v="66"/>
    <n v="1.1000000000000001"/>
    <n v="3"/>
    <x v="1"/>
  </r>
  <r>
    <n v="1365"/>
    <d v="2020-10-30T00:00:00"/>
    <x v="11"/>
    <s v="Male"/>
    <n v="166.8"/>
    <n v="116"/>
    <n v="19830"/>
    <n v="900"/>
    <n v="9.4"/>
    <n v="93"/>
    <x v="3"/>
    <n v="24"/>
    <n v="2.34"/>
    <n v="3"/>
    <x v="0"/>
  </r>
  <r>
    <n v="1329"/>
    <d v="2020-10-31T00:00:00"/>
    <x v="20"/>
    <s v="Male"/>
    <n v="163.6"/>
    <n v="72.7"/>
    <n v="16114"/>
    <n v="900"/>
    <n v="8.5"/>
    <n v="89"/>
    <x v="1"/>
    <n v="56"/>
    <n v="1.1299999999999999"/>
    <n v="1"/>
    <x v="2"/>
  </r>
  <r>
    <n v="1106"/>
    <d v="2020-11-01T00:00:00"/>
    <x v="26"/>
    <s v="Male"/>
    <n v="174.2"/>
    <n v="68.5"/>
    <n v="17035"/>
    <n v="863.3"/>
    <n v="5.9"/>
    <n v="75"/>
    <x v="1"/>
    <n v="20"/>
    <n v="3.03"/>
    <n v="2"/>
    <x v="0"/>
  </r>
  <r>
    <n v="1225"/>
    <d v="2020-11-02T00:00:00"/>
    <x v="17"/>
    <s v="Female"/>
    <n v="164.4"/>
    <n v="54"/>
    <n v="19749"/>
    <n v="900"/>
    <n v="5.0999999999999996"/>
    <n v="86"/>
    <x v="4"/>
    <n v="75"/>
    <n v="2.11"/>
    <n v="3"/>
    <x v="0"/>
  </r>
  <r>
    <n v="1824"/>
    <d v="2020-11-03T00:00:00"/>
    <x v="8"/>
    <s v="Male"/>
    <n v="164.7"/>
    <n v="68.2"/>
    <n v="5701"/>
    <n v="375.4"/>
    <n v="6.5"/>
    <n v="78"/>
    <x v="0"/>
    <n v="0"/>
    <n v="2.42"/>
    <n v="1"/>
    <x v="2"/>
  </r>
  <r>
    <n v="1217"/>
    <d v="2020-11-04T00:00:00"/>
    <x v="14"/>
    <s v="Male"/>
    <n v="168"/>
    <n v="54.5"/>
    <n v="8417"/>
    <n v="508.4"/>
    <n v="10"/>
    <n v="79"/>
    <x v="4"/>
    <n v="83"/>
    <n v="2.2400000000000002"/>
    <n v="8"/>
    <x v="1"/>
  </r>
  <r>
    <n v="1936"/>
    <d v="2020-11-05T00:00:00"/>
    <x v="28"/>
    <s v="Female"/>
    <n v="186.5"/>
    <n v="67.2"/>
    <n v="10558"/>
    <n v="657.7"/>
    <n v="5.2"/>
    <n v="69"/>
    <x v="5"/>
    <n v="27"/>
    <n v="2.33"/>
    <n v="6"/>
    <x v="0"/>
  </r>
  <r>
    <n v="1752"/>
    <d v="2020-11-06T00:00:00"/>
    <x v="3"/>
    <s v="Female"/>
    <n v="177"/>
    <n v="113.4"/>
    <n v="12057"/>
    <n v="716.1"/>
    <n v="8.1999999999999993"/>
    <n v="92"/>
    <x v="1"/>
    <n v="83"/>
    <n v="3.38"/>
    <n v="9"/>
    <x v="2"/>
  </r>
  <r>
    <n v="1505"/>
    <d v="2020-11-07T00:00:00"/>
    <x v="25"/>
    <s v="Female"/>
    <n v="178.1"/>
    <n v="71.8"/>
    <n v="10214"/>
    <n v="638.6"/>
    <n v="6.9"/>
    <n v="67"/>
    <x v="3"/>
    <n v="76"/>
    <n v="1.55"/>
    <n v="1"/>
    <x v="2"/>
  </r>
  <r>
    <n v="1258"/>
    <d v="2020-11-08T00:00:00"/>
    <x v="11"/>
    <s v="Male"/>
    <n v="186.1"/>
    <n v="61.7"/>
    <n v="12322"/>
    <n v="663.4"/>
    <n v="8.4"/>
    <n v="64"/>
    <x v="5"/>
    <n v="47"/>
    <n v="1.36"/>
    <n v="4"/>
    <x v="2"/>
  </r>
  <r>
    <n v="1887"/>
    <d v="2020-11-09T00:00:00"/>
    <x v="14"/>
    <s v="Male"/>
    <n v="179"/>
    <n v="66.900000000000006"/>
    <n v="16886"/>
    <n v="846.3"/>
    <n v="5.0999999999999996"/>
    <n v="79"/>
    <x v="1"/>
    <n v="45"/>
    <n v="2.58"/>
    <n v="4"/>
    <x v="0"/>
  </r>
  <r>
    <n v="1773"/>
    <d v="2020-11-10T00:00:00"/>
    <x v="24"/>
    <s v="Female"/>
    <n v="158.69999999999999"/>
    <n v="63.8"/>
    <n v="12036"/>
    <n v="688"/>
    <n v="6.6"/>
    <n v="57"/>
    <x v="5"/>
    <n v="53"/>
    <n v="2.15"/>
    <n v="5"/>
    <x v="1"/>
  </r>
  <r>
    <n v="1516"/>
    <d v="2020-11-11T00:00:00"/>
    <x v="40"/>
    <s v="Male"/>
    <n v="178.9"/>
    <n v="85.7"/>
    <n v="15060"/>
    <n v="789.8"/>
    <n v="5.7"/>
    <n v="76"/>
    <x v="0"/>
    <n v="0"/>
    <n v="2.75"/>
    <n v="2"/>
    <x v="0"/>
  </r>
  <r>
    <n v="1772"/>
    <d v="2020-11-12T00:00:00"/>
    <x v="14"/>
    <s v="Female"/>
    <n v="180.1"/>
    <n v="68.599999999999994"/>
    <n v="18873"/>
    <n v="900"/>
    <n v="5.7"/>
    <n v="91"/>
    <x v="2"/>
    <n v="39"/>
    <n v="3"/>
    <n v="1"/>
    <x v="0"/>
  </r>
  <r>
    <n v="1053"/>
    <d v="2020-11-13T00:00:00"/>
    <x v="9"/>
    <s v="Female"/>
    <n v="176.5"/>
    <n v="94.1"/>
    <n v="14607"/>
    <n v="770.4"/>
    <n v="8.1"/>
    <n v="79"/>
    <x v="2"/>
    <n v="33"/>
    <n v="1.73"/>
    <n v="9"/>
    <x v="0"/>
  </r>
  <r>
    <n v="1046"/>
    <d v="2020-11-14T00:00:00"/>
    <x v="32"/>
    <s v="Male"/>
    <n v="168"/>
    <n v="65.3"/>
    <n v="3334"/>
    <n v="318"/>
    <n v="5.3"/>
    <n v="75"/>
    <x v="5"/>
    <n v="42"/>
    <n v="2.92"/>
    <n v="5"/>
    <x v="2"/>
  </r>
  <r>
    <n v="1726"/>
    <d v="2020-11-15T00:00:00"/>
    <x v="19"/>
    <s v="Male"/>
    <n v="175.5"/>
    <n v="66.2"/>
    <n v="17096"/>
    <n v="802.5"/>
    <n v="7.4"/>
    <n v="67"/>
    <x v="1"/>
    <n v="86"/>
    <n v="1.78"/>
    <n v="8"/>
    <x v="1"/>
  </r>
  <r>
    <n v="1688"/>
    <d v="2020-11-16T00:00:00"/>
    <x v="16"/>
    <s v="Female"/>
    <n v="169.8"/>
    <n v="56.5"/>
    <n v="1202"/>
    <n v="291.8"/>
    <n v="7.1"/>
    <n v="60"/>
    <x v="2"/>
    <n v="38"/>
    <n v="2.5499999999999998"/>
    <n v="3"/>
    <x v="0"/>
  </r>
  <r>
    <n v="1520"/>
    <d v="2020-11-17T00:00:00"/>
    <x v="19"/>
    <s v="Female"/>
    <n v="160.19999999999999"/>
    <n v="64.2"/>
    <n v="1230"/>
    <n v="265.3"/>
    <n v="5.6"/>
    <n v="84"/>
    <x v="2"/>
    <n v="58"/>
    <n v="1.63"/>
    <n v="4"/>
    <x v="1"/>
  </r>
  <r>
    <n v="1098"/>
    <d v="2020-11-18T00:00:00"/>
    <x v="6"/>
    <s v="Female"/>
    <n v="162.69999999999999"/>
    <n v="45"/>
    <n v="12320"/>
    <n v="578.5"/>
    <n v="5.9"/>
    <n v="75"/>
    <x v="5"/>
    <n v="56"/>
    <n v="2.59"/>
    <n v="4"/>
    <x v="0"/>
  </r>
  <r>
    <n v="1019"/>
    <d v="2020-11-19T00:00:00"/>
    <x v="35"/>
    <s v="Female"/>
    <n v="177"/>
    <n v="45"/>
    <n v="12683"/>
    <n v="729.6"/>
    <n v="7.5"/>
    <n v="81"/>
    <x v="2"/>
    <n v="20"/>
    <n v="2.4900000000000002"/>
    <n v="6"/>
    <x v="1"/>
  </r>
  <r>
    <n v="1889"/>
    <d v="2020-11-20T00:00:00"/>
    <x v="19"/>
    <s v="Male"/>
    <n v="160.9"/>
    <n v="79.400000000000006"/>
    <n v="3962"/>
    <n v="338.4"/>
    <n v="7"/>
    <n v="53"/>
    <x v="0"/>
    <n v="0"/>
    <n v="1.73"/>
    <n v="4"/>
    <x v="2"/>
  </r>
  <r>
    <n v="1752"/>
    <d v="2020-11-21T00:00:00"/>
    <x v="35"/>
    <s v="Female"/>
    <n v="161.9"/>
    <n v="45"/>
    <n v="3327"/>
    <n v="371.9"/>
    <n v="7.1"/>
    <n v="82"/>
    <x v="3"/>
    <n v="34"/>
    <n v="1.55"/>
    <n v="5"/>
    <x v="1"/>
  </r>
  <r>
    <n v="1572"/>
    <d v="2020-11-22T00:00:00"/>
    <x v="29"/>
    <s v="Female"/>
    <n v="177.5"/>
    <n v="76.099999999999994"/>
    <n v="3784"/>
    <n v="346.1"/>
    <n v="6.7"/>
    <n v="95"/>
    <x v="2"/>
    <n v="20"/>
    <n v="3.03"/>
    <n v="5"/>
    <x v="2"/>
  </r>
  <r>
    <n v="1890"/>
    <d v="2020-11-23T00:00:00"/>
    <x v="8"/>
    <s v="Female"/>
    <n v="171.3"/>
    <n v="62.5"/>
    <n v="14485"/>
    <n v="739.2"/>
    <n v="6.6"/>
    <n v="88"/>
    <x v="0"/>
    <n v="0"/>
    <n v="2.1800000000000002"/>
    <n v="8"/>
    <x v="2"/>
  </r>
  <r>
    <n v="1489"/>
    <d v="2020-11-24T00:00:00"/>
    <x v="11"/>
    <s v="Male"/>
    <n v="175.8"/>
    <n v="84.1"/>
    <n v="1803"/>
    <n v="358.6"/>
    <n v="7"/>
    <n v="78"/>
    <x v="5"/>
    <n v="71"/>
    <n v="3.21"/>
    <n v="9"/>
    <x v="1"/>
  </r>
  <r>
    <n v="1418"/>
    <d v="2020-11-25T00:00:00"/>
    <x v="35"/>
    <s v="Male"/>
    <n v="157.69999999999999"/>
    <n v="45"/>
    <n v="13553"/>
    <n v="820.7"/>
    <n v="9.1999999999999993"/>
    <n v="65"/>
    <x v="2"/>
    <n v="62"/>
    <n v="2.12"/>
    <n v="8"/>
    <x v="0"/>
  </r>
  <r>
    <n v="1689"/>
    <d v="2020-11-26T00:00:00"/>
    <x v="3"/>
    <s v="Female"/>
    <n v="175.5"/>
    <n v="79"/>
    <n v="15582"/>
    <n v="814"/>
    <n v="7.8"/>
    <n v="76"/>
    <x v="2"/>
    <n v="65"/>
    <n v="3.41"/>
    <n v="5"/>
    <x v="0"/>
  </r>
  <r>
    <n v="1849"/>
    <d v="2020-11-27T00:00:00"/>
    <x v="1"/>
    <s v="Male"/>
    <n v="163.4"/>
    <n v="75"/>
    <n v="12093"/>
    <n v="702.4"/>
    <n v="6.8"/>
    <n v="77"/>
    <x v="4"/>
    <n v="69"/>
    <n v="1.84"/>
    <n v="6"/>
    <x v="0"/>
  </r>
  <r>
    <n v="1061"/>
    <d v="2020-11-28T00:00:00"/>
    <x v="39"/>
    <s v="Male"/>
    <n v="159.80000000000001"/>
    <n v="75.400000000000006"/>
    <n v="7396"/>
    <n v="472.9"/>
    <n v="5.4"/>
    <n v="70"/>
    <x v="5"/>
    <n v="39"/>
    <n v="3.53"/>
    <n v="4"/>
    <x v="0"/>
  </r>
  <r>
    <n v="1144"/>
    <d v="2020-11-29T00:00:00"/>
    <x v="40"/>
    <s v="Male"/>
    <n v="164.9"/>
    <n v="86.9"/>
    <n v="15810"/>
    <n v="747.1"/>
    <n v="6.4"/>
    <n v="71"/>
    <x v="5"/>
    <n v="81"/>
    <n v="2.62"/>
    <n v="2"/>
    <x v="1"/>
  </r>
  <r>
    <n v="1215"/>
    <d v="2020-11-30T00:00:00"/>
    <x v="25"/>
    <s v="Female"/>
    <n v="183.6"/>
    <n v="71.099999999999994"/>
    <n v="17559"/>
    <n v="900"/>
    <n v="5.6"/>
    <n v="96"/>
    <x v="0"/>
    <n v="0"/>
    <n v="2.78"/>
    <n v="5"/>
    <x v="0"/>
  </r>
  <r>
    <n v="1002"/>
    <d v="2020-12-01T00:00:00"/>
    <x v="24"/>
    <s v="Female"/>
    <n v="166.4"/>
    <n v="45"/>
    <n v="10636"/>
    <n v="585.6"/>
    <n v="5.8"/>
    <n v="65"/>
    <x v="4"/>
    <n v="24"/>
    <n v="1.8"/>
    <n v="1"/>
    <x v="0"/>
  </r>
  <r>
    <n v="1159"/>
    <d v="2020-12-02T00:00:00"/>
    <x v="8"/>
    <s v="Male"/>
    <n v="192"/>
    <n v="76.7"/>
    <n v="16306"/>
    <n v="900"/>
    <n v="4.2"/>
    <n v="71"/>
    <x v="4"/>
    <n v="85"/>
    <n v="3.01"/>
    <n v="1"/>
    <x v="2"/>
  </r>
  <r>
    <n v="1738"/>
    <d v="2020-12-03T00:00:00"/>
    <x v="36"/>
    <s v="Female"/>
    <n v="150"/>
    <n v="74.8"/>
    <n v="13195"/>
    <n v="762.7"/>
    <n v="7"/>
    <n v="81"/>
    <x v="0"/>
    <n v="0"/>
    <n v="3.03"/>
    <n v="1"/>
    <x v="1"/>
  </r>
  <r>
    <n v="1997"/>
    <d v="2020-12-04T00:00:00"/>
    <x v="29"/>
    <s v="Female"/>
    <n v="154.5"/>
    <n v="66.3"/>
    <n v="6691"/>
    <n v="482"/>
    <n v="10"/>
    <n v="97"/>
    <x v="3"/>
    <n v="76"/>
    <n v="2.27"/>
    <n v="4"/>
    <x v="2"/>
  </r>
  <r>
    <n v="1780"/>
    <d v="2020-12-05T00:00:00"/>
    <x v="31"/>
    <s v="Male"/>
    <n v="183.2"/>
    <n v="57.4"/>
    <n v="4532"/>
    <n v="379.2"/>
    <n v="7.3"/>
    <n v="72"/>
    <x v="2"/>
    <n v="79"/>
    <n v="1.01"/>
    <n v="5"/>
    <x v="2"/>
  </r>
  <r>
    <n v="1119"/>
    <d v="2020-12-06T00:00:00"/>
    <x v="26"/>
    <s v="Male"/>
    <n v="185.8"/>
    <n v="64.599999999999994"/>
    <n v="17223"/>
    <n v="900"/>
    <n v="8.1"/>
    <n v="57"/>
    <x v="1"/>
    <n v="74"/>
    <n v="1.72"/>
    <n v="4"/>
    <x v="0"/>
  </r>
  <r>
    <n v="1892"/>
    <d v="2020-12-07T00:00:00"/>
    <x v="12"/>
    <s v="Female"/>
    <n v="161.4"/>
    <n v="91.9"/>
    <n v="18927"/>
    <n v="900"/>
    <n v="8.4"/>
    <n v="54"/>
    <x v="1"/>
    <n v="85"/>
    <n v="1.72"/>
    <n v="6"/>
    <x v="0"/>
  </r>
  <r>
    <n v="1088"/>
    <d v="2020-12-08T00:00:00"/>
    <x v="38"/>
    <s v="Male"/>
    <n v="170.7"/>
    <n v="56.2"/>
    <n v="11346"/>
    <n v="720.6"/>
    <n v="6.6"/>
    <n v="100"/>
    <x v="4"/>
    <n v="46"/>
    <n v="2.81"/>
    <n v="2"/>
    <x v="1"/>
  </r>
  <r>
    <n v="1328"/>
    <d v="2020-12-09T00:00:00"/>
    <x v="2"/>
    <s v="Female"/>
    <n v="177.1"/>
    <n v="45"/>
    <n v="14482"/>
    <n v="786.4"/>
    <n v="6.7"/>
    <n v="56"/>
    <x v="5"/>
    <n v="47"/>
    <n v="2.17"/>
    <n v="5"/>
    <x v="2"/>
  </r>
  <r>
    <n v="1579"/>
    <d v="2020-12-10T00:00:00"/>
    <x v="31"/>
    <s v="Female"/>
    <n v="167.7"/>
    <n v="48"/>
    <n v="6456"/>
    <n v="533"/>
    <n v="4.9000000000000004"/>
    <n v="76"/>
    <x v="5"/>
    <n v="56"/>
    <n v="2.19"/>
    <n v="6"/>
    <x v="0"/>
  </r>
  <r>
    <n v="1909"/>
    <d v="2020-12-11T00:00:00"/>
    <x v="17"/>
    <s v="Male"/>
    <n v="171.5"/>
    <n v="69.5"/>
    <n v="4413"/>
    <n v="370.4"/>
    <n v="7.3"/>
    <n v="60"/>
    <x v="0"/>
    <n v="0"/>
    <n v="2.1"/>
    <n v="5"/>
    <x v="2"/>
  </r>
  <r>
    <n v="1356"/>
    <d v="2020-12-12T00:00:00"/>
    <x v="4"/>
    <s v="Female"/>
    <n v="170.1"/>
    <n v="95.1"/>
    <n v="8085"/>
    <n v="530.5"/>
    <n v="7.1"/>
    <n v="67"/>
    <x v="3"/>
    <n v="70"/>
    <n v="3.53"/>
    <n v="6"/>
    <x v="0"/>
  </r>
  <r>
    <n v="1609"/>
    <d v="2020-12-13T00:00:00"/>
    <x v="2"/>
    <s v="Female"/>
    <n v="155.19999999999999"/>
    <n v="103.1"/>
    <n v="10332"/>
    <n v="626.5"/>
    <n v="5.7"/>
    <n v="69"/>
    <x v="1"/>
    <n v="32"/>
    <n v="2.5299999999999998"/>
    <n v="8"/>
    <x v="0"/>
  </r>
  <r>
    <n v="1266"/>
    <d v="2020-12-14T00:00:00"/>
    <x v="3"/>
    <s v="Male"/>
    <n v="166.6"/>
    <n v="79.8"/>
    <n v="5807"/>
    <n v="461.1"/>
    <n v="8.6999999999999993"/>
    <n v="55"/>
    <x v="0"/>
    <n v="0"/>
    <n v="2.64"/>
    <n v="2"/>
    <x v="0"/>
  </r>
  <r>
    <n v="1616"/>
    <d v="2020-12-15T00:00:00"/>
    <x v="7"/>
    <s v="Male"/>
    <n v="170.1"/>
    <n v="55.3"/>
    <n v="8386"/>
    <n v="626"/>
    <n v="5.8"/>
    <n v="87"/>
    <x v="0"/>
    <n v="0"/>
    <n v="2.0699999999999998"/>
    <n v="7"/>
    <x v="0"/>
  </r>
  <r>
    <n v="1951"/>
    <d v="2020-12-16T00:00:00"/>
    <x v="27"/>
    <s v="Male"/>
    <n v="171"/>
    <n v="56.9"/>
    <n v="2940"/>
    <n v="295.7"/>
    <n v="10"/>
    <n v="79"/>
    <x v="5"/>
    <n v="20"/>
    <n v="2.48"/>
    <n v="6"/>
    <x v="1"/>
  </r>
  <r>
    <n v="1322"/>
    <d v="2020-12-17T00:00:00"/>
    <x v="35"/>
    <s v="Female"/>
    <n v="152.69999999999999"/>
    <n v="83.1"/>
    <n v="1656"/>
    <n v="259.8"/>
    <n v="7.6"/>
    <n v="71"/>
    <x v="3"/>
    <n v="44"/>
    <n v="1.82"/>
    <n v="10"/>
    <x v="2"/>
  </r>
  <r>
    <n v="1634"/>
    <d v="2020-12-18T00:00:00"/>
    <x v="13"/>
    <s v="Male"/>
    <n v="177.5"/>
    <n v="90"/>
    <n v="3503"/>
    <n v="339.2"/>
    <n v="7"/>
    <n v="69"/>
    <x v="3"/>
    <n v="45"/>
    <n v="2.74"/>
    <n v="8"/>
    <x v="2"/>
  </r>
  <r>
    <n v="1987"/>
    <d v="2020-12-19T00:00:00"/>
    <x v="26"/>
    <s v="Male"/>
    <n v="171.3"/>
    <n v="60.4"/>
    <n v="18042"/>
    <n v="805.9"/>
    <n v="9.9"/>
    <n v="86"/>
    <x v="4"/>
    <n v="32"/>
    <n v="1.7"/>
    <n v="9"/>
    <x v="1"/>
  </r>
  <r>
    <n v="1540"/>
    <d v="2020-12-20T00:00:00"/>
    <x v="2"/>
    <s v="Male"/>
    <n v="159.4"/>
    <n v="91.4"/>
    <n v="12030"/>
    <n v="653.5"/>
    <n v="3.6"/>
    <n v="76"/>
    <x v="1"/>
    <n v="38"/>
    <n v="3.02"/>
    <n v="8"/>
    <x v="1"/>
  </r>
  <r>
    <n v="1648"/>
    <d v="2020-12-21T00:00:00"/>
    <x v="10"/>
    <s v="Male"/>
    <n v="188"/>
    <n v="66.599999999999994"/>
    <n v="14138"/>
    <n v="741"/>
    <n v="6.6"/>
    <n v="96"/>
    <x v="3"/>
    <n v="29"/>
    <n v="1.99"/>
    <n v="5"/>
    <x v="1"/>
  </r>
  <r>
    <n v="1194"/>
    <d v="2020-12-22T00:00:00"/>
    <x v="1"/>
    <s v="Female"/>
    <n v="166.5"/>
    <n v="80.7"/>
    <n v="15601"/>
    <n v="900"/>
    <n v="6.3"/>
    <n v="71"/>
    <x v="3"/>
    <n v="64"/>
    <n v="3.16"/>
    <n v="4"/>
    <x v="0"/>
  </r>
  <r>
    <n v="1920"/>
    <d v="2020-12-23T00:00:00"/>
    <x v="21"/>
    <s v="Female"/>
    <n v="167.2"/>
    <n v="87.2"/>
    <n v="16646"/>
    <n v="878.8"/>
    <n v="6.7"/>
    <n v="79"/>
    <x v="3"/>
    <n v="34"/>
    <n v="3.84"/>
    <n v="3"/>
    <x v="0"/>
  </r>
  <r>
    <n v="1737"/>
    <d v="2020-12-24T00:00:00"/>
    <x v="32"/>
    <s v="Male"/>
    <n v="176.4"/>
    <n v="47.8"/>
    <n v="11645"/>
    <n v="690.5"/>
    <n v="7.3"/>
    <n v="63"/>
    <x v="1"/>
    <n v="50"/>
    <n v="2.5"/>
    <n v="10"/>
    <x v="2"/>
  </r>
  <r>
    <n v="1331"/>
    <d v="2020-12-25T00:00:00"/>
    <x v="10"/>
    <s v="Female"/>
    <n v="188.8"/>
    <n v="76.8"/>
    <n v="15628"/>
    <n v="751.7"/>
    <n v="6.7"/>
    <n v="71"/>
    <x v="4"/>
    <n v="27"/>
    <n v="3.42"/>
    <n v="9"/>
    <x v="1"/>
  </r>
  <r>
    <n v="1169"/>
    <d v="2020-12-26T00:00:00"/>
    <x v="9"/>
    <s v="Male"/>
    <n v="176.8"/>
    <n v="91.4"/>
    <n v="7498"/>
    <n v="496.8"/>
    <n v="9.1"/>
    <n v="85"/>
    <x v="2"/>
    <n v="49"/>
    <n v="3.03"/>
    <n v="7"/>
    <x v="2"/>
  </r>
  <r>
    <n v="1520"/>
    <d v="2020-12-27T00:00:00"/>
    <x v="25"/>
    <s v="Male"/>
    <n v="178.3"/>
    <n v="61.6"/>
    <n v="14789"/>
    <n v="838.4"/>
    <n v="7.7"/>
    <n v="87"/>
    <x v="5"/>
    <n v="20"/>
    <n v="1.5"/>
    <n v="1"/>
    <x v="1"/>
  </r>
  <r>
    <n v="1462"/>
    <d v="2020-12-28T00:00:00"/>
    <x v="11"/>
    <s v="Female"/>
    <n v="160"/>
    <n v="54.2"/>
    <n v="13195"/>
    <n v="853.6"/>
    <n v="7.7"/>
    <n v="93"/>
    <x v="0"/>
    <n v="0"/>
    <n v="2.58"/>
    <n v="3"/>
    <x v="2"/>
  </r>
  <r>
    <n v="1039"/>
    <d v="2020-12-29T00:00:00"/>
    <x v="40"/>
    <s v="Female"/>
    <n v="170.9"/>
    <n v="77.400000000000006"/>
    <n v="19722"/>
    <n v="900"/>
    <n v="7.7"/>
    <n v="79"/>
    <x v="0"/>
    <n v="0"/>
    <n v="2.85"/>
    <n v="3"/>
    <x v="1"/>
  </r>
  <r>
    <n v="1536"/>
    <d v="2020-12-30T00:00:00"/>
    <x v="20"/>
    <s v="Male"/>
    <n v="164.7"/>
    <n v="72"/>
    <n v="17494"/>
    <n v="809"/>
    <n v="5.0999999999999996"/>
    <n v="87"/>
    <x v="1"/>
    <n v="46"/>
    <n v="2.92"/>
    <n v="6"/>
    <x v="1"/>
  </r>
  <r>
    <n v="1260"/>
    <d v="2020-12-31T00:00:00"/>
    <x v="32"/>
    <s v="Male"/>
    <n v="177"/>
    <n v="65.099999999999994"/>
    <n v="2718"/>
    <n v="270"/>
    <n v="7.3"/>
    <n v="81"/>
    <x v="1"/>
    <n v="59"/>
    <n v="2.62"/>
    <n v="2"/>
    <x v="0"/>
  </r>
  <r>
    <n v="1394"/>
    <d v="2021-01-01T00:00:00"/>
    <x v="23"/>
    <s v="Female"/>
    <n v="178"/>
    <n v="70"/>
    <n v="1125"/>
    <n v="206.4"/>
    <n v="7.4"/>
    <n v="71"/>
    <x v="0"/>
    <n v="0"/>
    <n v="2.62"/>
    <n v="4"/>
    <x v="2"/>
  </r>
  <r>
    <n v="1954"/>
    <d v="2021-01-02T00:00:00"/>
    <x v="19"/>
    <s v="Male"/>
    <n v="186.3"/>
    <n v="45"/>
    <n v="17046"/>
    <n v="843.7"/>
    <n v="5.3"/>
    <n v="60"/>
    <x v="1"/>
    <n v="89"/>
    <n v="2.5"/>
    <n v="2"/>
    <x v="0"/>
  </r>
  <r>
    <n v="1225"/>
    <d v="2021-01-03T00:00:00"/>
    <x v="15"/>
    <s v="Female"/>
    <n v="150"/>
    <n v="76.099999999999994"/>
    <n v="6917"/>
    <n v="522.1"/>
    <n v="8.3000000000000007"/>
    <n v="73"/>
    <x v="2"/>
    <n v="76"/>
    <n v="2.59"/>
    <n v="5"/>
    <x v="0"/>
  </r>
  <r>
    <n v="1983"/>
    <d v="2021-01-04T00:00:00"/>
    <x v="11"/>
    <s v="Male"/>
    <n v="163.69999999999999"/>
    <n v="93.9"/>
    <n v="11394"/>
    <n v="672.9"/>
    <n v="3.9"/>
    <n v="64"/>
    <x v="5"/>
    <n v="67"/>
    <n v="1.64"/>
    <n v="4"/>
    <x v="2"/>
  </r>
  <r>
    <n v="1123"/>
    <d v="2021-01-05T00:00:00"/>
    <x v="39"/>
    <s v="Male"/>
    <n v="183"/>
    <n v="59.3"/>
    <n v="18988"/>
    <n v="900"/>
    <n v="10"/>
    <n v="86"/>
    <x v="5"/>
    <n v="59"/>
    <n v="2.33"/>
    <n v="4"/>
    <x v="0"/>
  </r>
  <r>
    <n v="1974"/>
    <d v="2021-01-06T00:00:00"/>
    <x v="28"/>
    <s v="Female"/>
    <n v="156"/>
    <n v="57.6"/>
    <n v="8590"/>
    <n v="614.4"/>
    <n v="6.9"/>
    <n v="86"/>
    <x v="3"/>
    <n v="58"/>
    <n v="1.48"/>
    <n v="4"/>
    <x v="1"/>
  </r>
  <r>
    <n v="1037"/>
    <d v="2021-01-07T00:00:00"/>
    <x v="14"/>
    <s v="Female"/>
    <n v="178.1"/>
    <n v="72.599999999999994"/>
    <n v="3082"/>
    <n v="417.9"/>
    <n v="5.7"/>
    <n v="65"/>
    <x v="0"/>
    <n v="0"/>
    <n v="2.15"/>
    <n v="4"/>
    <x v="1"/>
  </r>
  <r>
    <n v="1327"/>
    <d v="2021-01-08T00:00:00"/>
    <x v="27"/>
    <s v="Female"/>
    <n v="181.3"/>
    <n v="112.7"/>
    <n v="13134"/>
    <n v="640.1"/>
    <n v="7.9"/>
    <n v="86"/>
    <x v="0"/>
    <n v="0"/>
    <n v="2.09"/>
    <n v="5"/>
    <x v="1"/>
  </r>
  <r>
    <n v="1250"/>
    <d v="2021-01-09T00:00:00"/>
    <x v="32"/>
    <s v="Female"/>
    <n v="169.7"/>
    <n v="86.5"/>
    <n v="16058"/>
    <n v="900"/>
    <n v="7.9"/>
    <n v="63"/>
    <x v="0"/>
    <n v="0"/>
    <n v="2.04"/>
    <n v="2"/>
    <x v="1"/>
  </r>
  <r>
    <n v="1900"/>
    <d v="2021-01-10T00:00:00"/>
    <x v="32"/>
    <s v="Female"/>
    <n v="155.80000000000001"/>
    <n v="68.599999999999994"/>
    <n v="15301"/>
    <n v="803.5"/>
    <n v="10"/>
    <n v="89"/>
    <x v="3"/>
    <n v="42"/>
    <n v="1.76"/>
    <n v="6"/>
    <x v="0"/>
  </r>
  <r>
    <n v="1175"/>
    <d v="2021-01-11T00:00:00"/>
    <x v="1"/>
    <s v="Female"/>
    <n v="168.8"/>
    <n v="70.599999999999994"/>
    <n v="6093"/>
    <n v="396.6"/>
    <n v="9.6999999999999993"/>
    <n v="73"/>
    <x v="0"/>
    <n v="0"/>
    <n v="2.69"/>
    <n v="1"/>
    <x v="2"/>
  </r>
  <r>
    <n v="1601"/>
    <d v="2021-01-12T00:00:00"/>
    <x v="32"/>
    <s v="Female"/>
    <n v="184.6"/>
    <n v="88"/>
    <n v="1284"/>
    <n v="178.6"/>
    <n v="5"/>
    <n v="80"/>
    <x v="4"/>
    <n v="81"/>
    <n v="2.2799999999999998"/>
    <n v="10"/>
    <x v="0"/>
  </r>
  <r>
    <n v="1913"/>
    <d v="2021-01-13T00:00:00"/>
    <x v="36"/>
    <s v="Male"/>
    <n v="185.4"/>
    <n v="56.4"/>
    <n v="6566"/>
    <n v="440"/>
    <n v="6.6"/>
    <n v="89"/>
    <x v="1"/>
    <n v="53"/>
    <n v="2.21"/>
    <n v="2"/>
    <x v="2"/>
  </r>
  <r>
    <n v="1453"/>
    <d v="2021-01-14T00:00:00"/>
    <x v="19"/>
    <s v="Male"/>
    <n v="172.1"/>
    <n v="79.2"/>
    <n v="11757"/>
    <n v="644.20000000000005"/>
    <n v="5.6"/>
    <n v="81"/>
    <x v="4"/>
    <n v="36"/>
    <n v="1.51"/>
    <n v="3"/>
    <x v="2"/>
  </r>
  <r>
    <n v="1036"/>
    <d v="2021-01-15T00:00:00"/>
    <x v="26"/>
    <s v="Male"/>
    <n v="160.19999999999999"/>
    <n v="53.2"/>
    <n v="9218"/>
    <n v="576.1"/>
    <n v="8.1"/>
    <n v="74"/>
    <x v="1"/>
    <n v="67"/>
    <n v="2.29"/>
    <n v="2"/>
    <x v="0"/>
  </r>
  <r>
    <n v="1315"/>
    <d v="2021-01-16T00:00:00"/>
    <x v="36"/>
    <s v="Female"/>
    <n v="187.4"/>
    <n v="83.9"/>
    <n v="19658"/>
    <n v="900"/>
    <n v="9.1"/>
    <n v="84"/>
    <x v="5"/>
    <n v="72"/>
    <n v="3.3"/>
    <n v="3"/>
    <x v="0"/>
  </r>
  <r>
    <n v="1687"/>
    <d v="2021-01-17T00:00:00"/>
    <x v="28"/>
    <s v="Female"/>
    <n v="178.2"/>
    <n v="65.599999999999994"/>
    <n v="4972"/>
    <n v="373.5"/>
    <n v="5"/>
    <n v="65"/>
    <x v="0"/>
    <n v="0"/>
    <n v="3.31"/>
    <n v="8"/>
    <x v="1"/>
  </r>
  <r>
    <n v="1972"/>
    <d v="2021-01-18T00:00:00"/>
    <x v="13"/>
    <s v="Female"/>
    <n v="160.9"/>
    <n v="73"/>
    <n v="14679"/>
    <n v="716.8"/>
    <n v="6.9"/>
    <n v="56"/>
    <x v="4"/>
    <n v="30"/>
    <n v="2.76"/>
    <n v="3"/>
    <x v="2"/>
  </r>
  <r>
    <n v="1795"/>
    <d v="2021-01-19T00:00:00"/>
    <x v="0"/>
    <s v="Male"/>
    <n v="173.4"/>
    <n v="64.599999999999994"/>
    <n v="12573"/>
    <n v="686.4"/>
    <n v="6.1"/>
    <n v="86"/>
    <x v="5"/>
    <n v="34"/>
    <n v="2.29"/>
    <n v="10"/>
    <x v="2"/>
  </r>
  <r>
    <n v="1964"/>
    <d v="2021-01-20T00:00:00"/>
    <x v="32"/>
    <s v="Female"/>
    <n v="173"/>
    <n v="80.5"/>
    <n v="5113"/>
    <n v="456.6"/>
    <n v="8.3000000000000007"/>
    <n v="62"/>
    <x v="3"/>
    <n v="30"/>
    <n v="2.89"/>
    <n v="1"/>
    <x v="2"/>
  </r>
  <r>
    <n v="1972"/>
    <d v="2021-01-21T00:00:00"/>
    <x v="31"/>
    <s v="Female"/>
    <n v="163.6"/>
    <n v="67.400000000000006"/>
    <n v="15378"/>
    <n v="802.7"/>
    <n v="7.6"/>
    <n v="84"/>
    <x v="0"/>
    <n v="0"/>
    <n v="2.0299999999999998"/>
    <n v="8"/>
    <x v="1"/>
  </r>
  <r>
    <n v="1592"/>
    <d v="2021-01-22T00:00:00"/>
    <x v="31"/>
    <s v="Male"/>
    <n v="173.5"/>
    <n v="102.4"/>
    <n v="11328"/>
    <n v="685.7"/>
    <n v="8.8000000000000007"/>
    <n v="76"/>
    <x v="5"/>
    <n v="66"/>
    <n v="2.29"/>
    <n v="8"/>
    <x v="2"/>
  </r>
  <r>
    <n v="1113"/>
    <d v="2021-01-23T00:00:00"/>
    <x v="34"/>
    <s v="Female"/>
    <n v="181.1"/>
    <n v="91.3"/>
    <n v="18673"/>
    <n v="900"/>
    <n v="6.4"/>
    <n v="75"/>
    <x v="2"/>
    <n v="27"/>
    <n v="1.98"/>
    <n v="7"/>
    <x v="2"/>
  </r>
  <r>
    <n v="1039"/>
    <d v="2021-01-24T00:00:00"/>
    <x v="3"/>
    <s v="Male"/>
    <n v="167"/>
    <n v="50.4"/>
    <n v="11373"/>
    <n v="658"/>
    <n v="6.8"/>
    <n v="66"/>
    <x v="4"/>
    <n v="24"/>
    <n v="3.14"/>
    <n v="4"/>
    <x v="1"/>
  </r>
  <r>
    <n v="1300"/>
    <d v="2021-01-25T00:00:00"/>
    <x v="0"/>
    <s v="Male"/>
    <n v="182.1"/>
    <n v="72.900000000000006"/>
    <n v="19895"/>
    <n v="900"/>
    <n v="7.6"/>
    <n v="70"/>
    <x v="0"/>
    <n v="0"/>
    <n v="3.05"/>
    <n v="5"/>
    <x v="0"/>
  </r>
  <r>
    <n v="1223"/>
    <d v="2021-01-26T00:00:00"/>
    <x v="6"/>
    <s v="Female"/>
    <n v="152.4"/>
    <n v="81"/>
    <n v="6720"/>
    <n v="420.4"/>
    <n v="6.6"/>
    <n v="75"/>
    <x v="0"/>
    <n v="0"/>
    <n v="2.48"/>
    <n v="10"/>
    <x v="1"/>
  </r>
  <r>
    <n v="1317"/>
    <d v="2021-01-27T00:00:00"/>
    <x v="19"/>
    <s v="Female"/>
    <n v="192.2"/>
    <n v="63.1"/>
    <n v="18539"/>
    <n v="889.5"/>
    <n v="7.4"/>
    <n v="77"/>
    <x v="1"/>
    <n v="40"/>
    <n v="3.71"/>
    <n v="6"/>
    <x v="1"/>
  </r>
  <r>
    <n v="1348"/>
    <d v="2021-01-28T00:00:00"/>
    <x v="5"/>
    <s v="Female"/>
    <n v="170.6"/>
    <n v="88.2"/>
    <n v="6153"/>
    <n v="400.7"/>
    <n v="8.9"/>
    <n v="66"/>
    <x v="5"/>
    <n v="31"/>
    <n v="2.79"/>
    <n v="6"/>
    <x v="0"/>
  </r>
  <r>
    <n v="1114"/>
    <d v="2021-01-29T00:00:00"/>
    <x v="30"/>
    <s v="Male"/>
    <n v="180.7"/>
    <n v="86.4"/>
    <n v="7226"/>
    <n v="506.3"/>
    <n v="10"/>
    <n v="82"/>
    <x v="0"/>
    <n v="0"/>
    <n v="2.75"/>
    <n v="7"/>
    <x v="2"/>
  </r>
  <r>
    <n v="1697"/>
    <d v="2021-01-30T00:00:00"/>
    <x v="5"/>
    <s v="Male"/>
    <n v="172.2"/>
    <n v="68.7"/>
    <n v="3976"/>
    <n v="361.7"/>
    <n v="6.3"/>
    <n v="83"/>
    <x v="0"/>
    <n v="0"/>
    <n v="2.67"/>
    <n v="4"/>
    <x v="0"/>
  </r>
  <r>
    <n v="1322"/>
    <d v="2021-01-31T00:00:00"/>
    <x v="33"/>
    <s v="Male"/>
    <n v="161.80000000000001"/>
    <n v="84.7"/>
    <n v="6251"/>
    <n v="485.5"/>
    <n v="10"/>
    <n v="80"/>
    <x v="4"/>
    <n v="29"/>
    <n v="1.62"/>
    <n v="8"/>
    <x v="2"/>
  </r>
  <r>
    <n v="1567"/>
    <d v="2021-02-01T00:00:00"/>
    <x v="27"/>
    <s v="Female"/>
    <n v="169.6"/>
    <n v="45"/>
    <n v="4499"/>
    <n v="376.2"/>
    <n v="6.2"/>
    <n v="71"/>
    <x v="1"/>
    <n v="35"/>
    <n v="1.87"/>
    <n v="2"/>
    <x v="1"/>
  </r>
  <r>
    <n v="1039"/>
    <d v="2021-02-02T00:00:00"/>
    <x v="13"/>
    <s v="Female"/>
    <n v="150.9"/>
    <n v="90.4"/>
    <n v="17587"/>
    <n v="893.7"/>
    <n v="8.3000000000000007"/>
    <n v="84"/>
    <x v="0"/>
    <n v="0"/>
    <n v="2.46"/>
    <n v="9"/>
    <x v="2"/>
  </r>
  <r>
    <n v="1865"/>
    <d v="2021-02-03T00:00:00"/>
    <x v="33"/>
    <s v="Female"/>
    <n v="176.9"/>
    <n v="83.3"/>
    <n v="19206"/>
    <n v="900"/>
    <n v="6.3"/>
    <n v="81"/>
    <x v="0"/>
    <n v="0"/>
    <n v="2.4700000000000002"/>
    <n v="6"/>
    <x v="1"/>
  </r>
  <r>
    <n v="1039"/>
    <d v="2021-02-04T00:00:00"/>
    <x v="7"/>
    <s v="Female"/>
    <n v="171.9"/>
    <n v="53.7"/>
    <n v="11736"/>
    <n v="754.3"/>
    <n v="5.5"/>
    <n v="55"/>
    <x v="4"/>
    <n v="23"/>
    <n v="2.91"/>
    <n v="1"/>
    <x v="2"/>
  </r>
  <r>
    <n v="1858"/>
    <d v="2021-02-05T00:00:00"/>
    <x v="40"/>
    <s v="Male"/>
    <n v="168.1"/>
    <n v="73.8"/>
    <n v="9633"/>
    <n v="527.20000000000005"/>
    <n v="8.8000000000000007"/>
    <n v="77"/>
    <x v="4"/>
    <n v="41"/>
    <n v="2.0299999999999998"/>
    <n v="1"/>
    <x v="1"/>
  </r>
  <r>
    <n v="1972"/>
    <d v="2021-02-06T00:00:00"/>
    <x v="31"/>
    <s v="Male"/>
    <n v="177.5"/>
    <n v="45"/>
    <n v="7971"/>
    <n v="472.8"/>
    <n v="6.9"/>
    <n v="94"/>
    <x v="2"/>
    <n v="54"/>
    <n v="2.5499999999999998"/>
    <n v="8"/>
    <x v="2"/>
  </r>
  <r>
    <n v="1748"/>
    <d v="2021-02-07T00:00:00"/>
    <x v="21"/>
    <s v="Male"/>
    <n v="170.4"/>
    <n v="58.5"/>
    <n v="10507"/>
    <n v="622.29999999999995"/>
    <n v="8.9"/>
    <n v="85"/>
    <x v="5"/>
    <n v="33"/>
    <n v="2.56"/>
    <n v="10"/>
    <x v="2"/>
  </r>
  <r>
    <n v="1288"/>
    <d v="2021-02-08T00:00:00"/>
    <x v="13"/>
    <s v="Male"/>
    <n v="176.1"/>
    <n v="86.4"/>
    <n v="14158"/>
    <n v="867.9"/>
    <n v="8.1"/>
    <n v="87"/>
    <x v="2"/>
    <n v="50"/>
    <n v="2.59"/>
    <n v="10"/>
    <x v="2"/>
  </r>
  <r>
    <n v="1261"/>
    <d v="2021-02-09T00:00:00"/>
    <x v="26"/>
    <s v="Female"/>
    <n v="179.6"/>
    <n v="69.8"/>
    <n v="12108"/>
    <n v="630.70000000000005"/>
    <n v="7.6"/>
    <n v="68"/>
    <x v="3"/>
    <n v="89"/>
    <n v="2.5099999999999998"/>
    <n v="7"/>
    <x v="0"/>
  </r>
  <r>
    <n v="1215"/>
    <d v="2021-02-10T00:00:00"/>
    <x v="15"/>
    <s v="Female"/>
    <n v="164.5"/>
    <n v="69"/>
    <n v="13077"/>
    <n v="722.6"/>
    <n v="7.8"/>
    <n v="76"/>
    <x v="0"/>
    <n v="0"/>
    <n v="1.52"/>
    <n v="3"/>
    <x v="1"/>
  </r>
  <r>
    <n v="1146"/>
    <d v="2021-02-11T00:00:00"/>
    <x v="27"/>
    <s v="Female"/>
    <n v="161.6"/>
    <n v="70.7"/>
    <n v="5175"/>
    <n v="363.1"/>
    <n v="8.6"/>
    <n v="73"/>
    <x v="4"/>
    <n v="55"/>
    <n v="0.92"/>
    <n v="8"/>
    <x v="1"/>
  </r>
  <r>
    <n v="1335"/>
    <d v="2021-02-12T00:00:00"/>
    <x v="36"/>
    <s v="Male"/>
    <n v="152.80000000000001"/>
    <n v="68.900000000000006"/>
    <n v="3859"/>
    <n v="374.3"/>
    <n v="8.4"/>
    <n v="75"/>
    <x v="5"/>
    <n v="43"/>
    <n v="1.84"/>
    <n v="8"/>
    <x v="1"/>
  </r>
  <r>
    <n v="1167"/>
    <d v="2021-02-13T00:00:00"/>
    <x v="19"/>
    <s v="Male"/>
    <n v="171.2"/>
    <n v="84.8"/>
    <n v="3962"/>
    <n v="255.3"/>
    <n v="6.4"/>
    <n v="70"/>
    <x v="3"/>
    <n v="59"/>
    <n v="2.13"/>
    <n v="7"/>
    <x v="0"/>
  </r>
  <r>
    <n v="1091"/>
    <d v="2021-02-14T00:00:00"/>
    <x v="1"/>
    <s v="Female"/>
    <n v="174.5"/>
    <n v="60.7"/>
    <n v="14616"/>
    <n v="732.8"/>
    <n v="7.6"/>
    <n v="63"/>
    <x v="0"/>
    <n v="0"/>
    <n v="1.68"/>
    <n v="5"/>
    <x v="0"/>
  </r>
  <r>
    <n v="1352"/>
    <d v="2021-02-15T00:00:00"/>
    <x v="4"/>
    <s v="Female"/>
    <n v="156.80000000000001"/>
    <n v="76.3"/>
    <n v="18751"/>
    <n v="900"/>
    <n v="9.3000000000000007"/>
    <n v="76"/>
    <x v="3"/>
    <n v="40"/>
    <n v="2.46"/>
    <n v="8"/>
    <x v="0"/>
  </r>
  <r>
    <n v="1570"/>
    <d v="2021-02-16T00:00:00"/>
    <x v="34"/>
    <s v="Male"/>
    <n v="184.2"/>
    <n v="52.8"/>
    <n v="13857"/>
    <n v="754.7"/>
    <n v="7.1"/>
    <n v="67"/>
    <x v="2"/>
    <n v="70"/>
    <n v="3.26"/>
    <n v="5"/>
    <x v="0"/>
  </r>
  <r>
    <n v="1570"/>
    <d v="2021-02-17T00:00:00"/>
    <x v="2"/>
    <s v="Female"/>
    <n v="161.80000000000001"/>
    <n v="81.099999999999994"/>
    <n v="6210"/>
    <n v="411.1"/>
    <n v="6.3"/>
    <n v="81"/>
    <x v="3"/>
    <n v="74"/>
    <n v="3.01"/>
    <n v="1"/>
    <x v="2"/>
  </r>
  <r>
    <n v="1815"/>
    <d v="2021-02-18T00:00:00"/>
    <x v="33"/>
    <s v="Male"/>
    <n v="150"/>
    <n v="65.2"/>
    <n v="3909"/>
    <n v="354.1"/>
    <n v="6.1"/>
    <n v="75"/>
    <x v="1"/>
    <n v="23"/>
    <n v="2.83"/>
    <n v="8"/>
    <x v="1"/>
  </r>
  <r>
    <n v="1680"/>
    <d v="2021-02-19T00:00:00"/>
    <x v="4"/>
    <s v="Male"/>
    <n v="184.9"/>
    <n v="69.400000000000006"/>
    <n v="11408"/>
    <n v="653.20000000000005"/>
    <n v="8.3000000000000007"/>
    <n v="56"/>
    <x v="1"/>
    <n v="81"/>
    <n v="3.19"/>
    <n v="7"/>
    <x v="2"/>
  </r>
  <r>
    <n v="1780"/>
    <d v="2021-02-20T00:00:00"/>
    <x v="40"/>
    <s v="Male"/>
    <n v="150.30000000000001"/>
    <n v="64.599999999999994"/>
    <n v="4405"/>
    <n v="404.2"/>
    <n v="6.6"/>
    <n v="89"/>
    <x v="1"/>
    <n v="44"/>
    <n v="1.85"/>
    <n v="7"/>
    <x v="0"/>
  </r>
  <r>
    <n v="1362"/>
    <d v="2021-02-21T00:00:00"/>
    <x v="39"/>
    <s v="Female"/>
    <n v="179.6"/>
    <n v="66.5"/>
    <n v="16993"/>
    <n v="775.9"/>
    <n v="7.5"/>
    <n v="79"/>
    <x v="0"/>
    <n v="0"/>
    <n v="2.1800000000000002"/>
    <n v="2"/>
    <x v="0"/>
  </r>
  <r>
    <n v="1556"/>
    <d v="2021-02-22T00:00:00"/>
    <x v="6"/>
    <s v="Female"/>
    <n v="177.2"/>
    <n v="54.9"/>
    <n v="15923"/>
    <n v="785.1"/>
    <n v="6.6"/>
    <n v="70"/>
    <x v="3"/>
    <n v="33"/>
    <n v="2.93"/>
    <n v="3"/>
    <x v="2"/>
  </r>
  <r>
    <n v="1344"/>
    <d v="2021-02-23T00:00:00"/>
    <x v="12"/>
    <s v="Male"/>
    <n v="173.2"/>
    <n v="74.900000000000006"/>
    <n v="1820"/>
    <n v="225.1"/>
    <n v="8.8000000000000007"/>
    <n v="72"/>
    <x v="0"/>
    <n v="0"/>
    <n v="2.17"/>
    <n v="3"/>
    <x v="1"/>
  </r>
  <r>
    <n v="1692"/>
    <d v="2021-02-24T00:00:00"/>
    <x v="10"/>
    <s v="Female"/>
    <n v="164.8"/>
    <n v="78.3"/>
    <n v="8255"/>
    <n v="561.70000000000005"/>
    <n v="7.2"/>
    <n v="63"/>
    <x v="0"/>
    <n v="0"/>
    <n v="2.21"/>
    <n v="10"/>
    <x v="0"/>
  </r>
  <r>
    <n v="1169"/>
    <d v="2021-02-25T00:00:00"/>
    <x v="24"/>
    <s v="Male"/>
    <n v="175"/>
    <n v="50"/>
    <n v="15941"/>
    <n v="837.3"/>
    <n v="9.1"/>
    <n v="74"/>
    <x v="4"/>
    <n v="57"/>
    <n v="3.8"/>
    <n v="6"/>
    <x v="2"/>
  </r>
  <r>
    <n v="1355"/>
    <d v="2021-02-26T00:00:00"/>
    <x v="6"/>
    <s v="Male"/>
    <n v="180.5"/>
    <n v="61.1"/>
    <n v="12017"/>
    <n v="752.7"/>
    <n v="9.1"/>
    <n v="82"/>
    <x v="5"/>
    <n v="81"/>
    <n v="2.57"/>
    <n v="6"/>
    <x v="2"/>
  </r>
  <r>
    <n v="1190"/>
    <d v="2021-02-27T00:00:00"/>
    <x v="39"/>
    <s v="Male"/>
    <n v="160.1"/>
    <n v="70.5"/>
    <n v="5453"/>
    <n v="459.6"/>
    <n v="6.9"/>
    <n v="92"/>
    <x v="1"/>
    <n v="60"/>
    <n v="3.73"/>
    <n v="3"/>
    <x v="2"/>
  </r>
  <r>
    <n v="1666"/>
    <d v="2021-02-28T00:00:00"/>
    <x v="12"/>
    <s v="Male"/>
    <n v="179.8"/>
    <n v="61"/>
    <n v="13206"/>
    <n v="710.9"/>
    <n v="9"/>
    <n v="74"/>
    <x v="1"/>
    <n v="64"/>
    <n v="1.22"/>
    <n v="5"/>
    <x v="2"/>
  </r>
  <r>
    <n v="1421"/>
    <d v="2021-03-01T00:00:00"/>
    <x v="30"/>
    <s v="Female"/>
    <n v="179.3"/>
    <n v="66.7"/>
    <n v="14710"/>
    <n v="785.9"/>
    <n v="6.5"/>
    <n v="75"/>
    <x v="1"/>
    <n v="35"/>
    <n v="2.06"/>
    <n v="9"/>
    <x v="1"/>
  </r>
  <r>
    <n v="1699"/>
    <d v="2021-03-02T00:00:00"/>
    <x v="7"/>
    <s v="Male"/>
    <n v="172.9"/>
    <n v="94.2"/>
    <n v="15860"/>
    <n v="899.1"/>
    <n v="7.4"/>
    <n v="87"/>
    <x v="2"/>
    <n v="38"/>
    <n v="2.79"/>
    <n v="7"/>
    <x v="1"/>
  </r>
  <r>
    <n v="1006"/>
    <d v="2021-03-03T00:00:00"/>
    <x v="32"/>
    <s v="Male"/>
    <n v="164.6"/>
    <n v="54.7"/>
    <n v="9086"/>
    <n v="635.1"/>
    <n v="5.8"/>
    <n v="63"/>
    <x v="2"/>
    <n v="56"/>
    <n v="2.57"/>
    <n v="9"/>
    <x v="0"/>
  </r>
  <r>
    <n v="1132"/>
    <d v="2021-03-04T00:00:00"/>
    <x v="32"/>
    <s v="Female"/>
    <n v="179.4"/>
    <n v="45"/>
    <n v="16776"/>
    <n v="866.3"/>
    <n v="7.9"/>
    <n v="76"/>
    <x v="1"/>
    <n v="80"/>
    <n v="1.06"/>
    <n v="2"/>
    <x v="0"/>
  </r>
  <r>
    <n v="1746"/>
    <d v="2021-03-05T00:00:00"/>
    <x v="36"/>
    <s v="Male"/>
    <n v="175.1"/>
    <n v="61"/>
    <n v="19050"/>
    <n v="900"/>
    <n v="7.5"/>
    <n v="67"/>
    <x v="1"/>
    <n v="45"/>
    <n v="2.34"/>
    <n v="10"/>
    <x v="1"/>
  </r>
  <r>
    <n v="1556"/>
    <d v="2021-03-06T00:00:00"/>
    <x v="30"/>
    <s v="Male"/>
    <n v="159.80000000000001"/>
    <n v="65.099999999999994"/>
    <n v="8389"/>
    <n v="430.5"/>
    <n v="7.8"/>
    <n v="76"/>
    <x v="0"/>
    <n v="0"/>
    <n v="4.2300000000000004"/>
    <n v="10"/>
    <x v="1"/>
  </r>
  <r>
    <n v="1825"/>
    <d v="2021-03-07T00:00:00"/>
    <x v="34"/>
    <s v="Female"/>
    <n v="166.3"/>
    <n v="62.7"/>
    <n v="12774"/>
    <n v="605.9"/>
    <n v="5"/>
    <n v="84"/>
    <x v="2"/>
    <n v="32"/>
    <n v="2.67"/>
    <n v="1"/>
    <x v="2"/>
  </r>
  <r>
    <n v="1760"/>
    <d v="2021-03-08T00:00:00"/>
    <x v="33"/>
    <s v="Female"/>
    <n v="178.2"/>
    <n v="74"/>
    <n v="3200"/>
    <n v="351.6"/>
    <n v="4"/>
    <n v="58"/>
    <x v="5"/>
    <n v="53"/>
    <n v="2.92"/>
    <n v="2"/>
    <x v="2"/>
  </r>
  <r>
    <n v="1030"/>
    <d v="2021-03-09T00:00:00"/>
    <x v="23"/>
    <s v="Female"/>
    <n v="171.1"/>
    <n v="54.6"/>
    <n v="13142"/>
    <n v="748.3"/>
    <n v="5.3"/>
    <n v="86"/>
    <x v="4"/>
    <n v="42"/>
    <n v="2.0499999999999998"/>
    <n v="6"/>
    <x v="2"/>
  </r>
  <r>
    <n v="1534"/>
    <d v="2021-03-10T00:00:00"/>
    <x v="35"/>
    <s v="Male"/>
    <n v="180.9"/>
    <n v="52.4"/>
    <n v="18367"/>
    <n v="900"/>
    <n v="7.7"/>
    <n v="79"/>
    <x v="5"/>
    <n v="39"/>
    <n v="2.67"/>
    <n v="10"/>
    <x v="0"/>
  </r>
  <r>
    <n v="1425"/>
    <d v="2021-03-11T00:00:00"/>
    <x v="37"/>
    <s v="Female"/>
    <n v="166.6"/>
    <n v="59.9"/>
    <n v="7051"/>
    <n v="547.1"/>
    <n v="8"/>
    <n v="76"/>
    <x v="0"/>
    <n v="0"/>
    <n v="2.4900000000000002"/>
    <n v="7"/>
    <x v="0"/>
  </r>
  <r>
    <n v="1393"/>
    <d v="2021-03-12T00:00:00"/>
    <x v="12"/>
    <s v="Female"/>
    <n v="160"/>
    <n v="60.2"/>
    <n v="5115"/>
    <n v="394.3"/>
    <n v="8.6999999999999993"/>
    <n v="88"/>
    <x v="4"/>
    <n v="77"/>
    <n v="3.28"/>
    <n v="8"/>
    <x v="0"/>
  </r>
  <r>
    <n v="1671"/>
    <d v="2021-03-13T00:00:00"/>
    <x v="34"/>
    <s v="Male"/>
    <n v="191.9"/>
    <n v="101.8"/>
    <n v="7371"/>
    <n v="465.4"/>
    <n v="6.4"/>
    <n v="67"/>
    <x v="3"/>
    <n v="78"/>
    <n v="3.26"/>
    <n v="6"/>
    <x v="0"/>
  </r>
  <r>
    <n v="1362"/>
    <d v="2021-03-14T00:00:00"/>
    <x v="35"/>
    <s v="Male"/>
    <n v="153.19999999999999"/>
    <n v="93.3"/>
    <n v="7587"/>
    <n v="562"/>
    <n v="7.3"/>
    <n v="62"/>
    <x v="3"/>
    <n v="39"/>
    <n v="2.79"/>
    <n v="6"/>
    <x v="2"/>
  </r>
  <r>
    <n v="1436"/>
    <d v="2021-03-15T00:00:00"/>
    <x v="34"/>
    <s v="Male"/>
    <n v="165"/>
    <n v="45"/>
    <n v="11607"/>
    <n v="716.2"/>
    <n v="5.9"/>
    <n v="65"/>
    <x v="5"/>
    <n v="58"/>
    <n v="2.5499999999999998"/>
    <n v="3"/>
    <x v="0"/>
  </r>
  <r>
    <n v="1669"/>
    <d v="2021-03-16T00:00:00"/>
    <x v="1"/>
    <s v="Male"/>
    <n v="172.8"/>
    <n v="45"/>
    <n v="16234"/>
    <n v="846.8"/>
    <n v="9.1"/>
    <n v="80"/>
    <x v="2"/>
    <n v="51"/>
    <n v="1.32"/>
    <n v="9"/>
    <x v="0"/>
  </r>
  <r>
    <n v="1550"/>
    <d v="2021-03-17T00:00:00"/>
    <x v="36"/>
    <s v="Male"/>
    <n v="179.9"/>
    <n v="68.7"/>
    <n v="14930"/>
    <n v="823.1"/>
    <n v="5.9"/>
    <n v="70"/>
    <x v="1"/>
    <n v="60"/>
    <n v="1.3"/>
    <n v="2"/>
    <x v="2"/>
  </r>
  <r>
    <n v="1926"/>
    <d v="2021-03-18T00:00:00"/>
    <x v="31"/>
    <s v="Female"/>
    <n v="176.5"/>
    <n v="98.7"/>
    <n v="10080"/>
    <n v="635.4"/>
    <n v="8.8000000000000007"/>
    <n v="66"/>
    <x v="3"/>
    <n v="88"/>
    <n v="2.56"/>
    <n v="5"/>
    <x v="2"/>
  </r>
  <r>
    <n v="1081"/>
    <d v="2021-03-19T00:00:00"/>
    <x v="19"/>
    <s v="Female"/>
    <n v="193.1"/>
    <n v="80"/>
    <n v="2883"/>
    <n v="424.1"/>
    <n v="6.6"/>
    <n v="65"/>
    <x v="0"/>
    <n v="0"/>
    <n v="3.11"/>
    <n v="3"/>
    <x v="1"/>
  </r>
  <r>
    <n v="1355"/>
    <d v="2021-03-20T00:00:00"/>
    <x v="8"/>
    <s v="Female"/>
    <n v="168.8"/>
    <n v="69.5"/>
    <n v="5821"/>
    <n v="426.3"/>
    <n v="9.4"/>
    <n v="77"/>
    <x v="2"/>
    <n v="40"/>
    <n v="3.43"/>
    <n v="1"/>
    <x v="2"/>
  </r>
  <r>
    <n v="1257"/>
    <d v="2021-03-21T00:00:00"/>
    <x v="33"/>
    <s v="Male"/>
    <n v="161.30000000000001"/>
    <n v="63.2"/>
    <n v="4822"/>
    <n v="333.9"/>
    <n v="7.3"/>
    <n v="75"/>
    <x v="2"/>
    <n v="43"/>
    <n v="1.88"/>
    <n v="2"/>
    <x v="0"/>
  </r>
  <r>
    <n v="1717"/>
    <d v="2021-03-22T00:00:00"/>
    <x v="17"/>
    <s v="Male"/>
    <n v="167.8"/>
    <n v="86.2"/>
    <n v="9338"/>
    <n v="604.79999999999995"/>
    <n v="7.2"/>
    <n v="61"/>
    <x v="4"/>
    <n v="35"/>
    <n v="1.44"/>
    <n v="6"/>
    <x v="2"/>
  </r>
  <r>
    <n v="1588"/>
    <d v="2021-03-23T00:00:00"/>
    <x v="12"/>
    <s v="Male"/>
    <n v="166.8"/>
    <n v="72.7"/>
    <n v="19100"/>
    <n v="900"/>
    <n v="5.9"/>
    <n v="61"/>
    <x v="3"/>
    <n v="51"/>
    <n v="3.15"/>
    <n v="10"/>
    <x v="0"/>
  </r>
  <r>
    <n v="1988"/>
    <d v="2021-03-24T00:00:00"/>
    <x v="22"/>
    <s v="Female"/>
    <n v="169.3"/>
    <n v="96"/>
    <n v="3477"/>
    <n v="344.7"/>
    <n v="10"/>
    <n v="70"/>
    <x v="5"/>
    <n v="45"/>
    <n v="1.93"/>
    <n v="1"/>
    <x v="1"/>
  </r>
  <r>
    <n v="1523"/>
    <d v="2021-03-25T00:00:00"/>
    <x v="12"/>
    <s v="Female"/>
    <n v="160.19999999999999"/>
    <n v="45"/>
    <n v="14135"/>
    <n v="763.8"/>
    <n v="8.5"/>
    <n v="84"/>
    <x v="0"/>
    <n v="0"/>
    <n v="1.4"/>
    <n v="2"/>
    <x v="1"/>
  </r>
  <r>
    <n v="1294"/>
    <d v="2021-03-26T00:00:00"/>
    <x v="36"/>
    <s v="Male"/>
    <n v="177.8"/>
    <n v="76.400000000000006"/>
    <n v="10655"/>
    <n v="546.6"/>
    <n v="7.8"/>
    <n v="71"/>
    <x v="2"/>
    <n v="26"/>
    <n v="2.15"/>
    <n v="10"/>
    <x v="1"/>
  </r>
  <r>
    <n v="1961"/>
    <d v="2021-03-27T00:00:00"/>
    <x v="21"/>
    <s v="Female"/>
    <n v="173.7"/>
    <n v="61.6"/>
    <n v="11437"/>
    <n v="670.5"/>
    <n v="7.4"/>
    <n v="60"/>
    <x v="5"/>
    <n v="35"/>
    <n v="2.14"/>
    <n v="5"/>
    <x v="0"/>
  </r>
  <r>
    <n v="1223"/>
    <d v="2021-03-28T00:00:00"/>
    <x v="23"/>
    <s v="Male"/>
    <n v="157.4"/>
    <n v="76.2"/>
    <n v="16332"/>
    <n v="835.3"/>
    <n v="6"/>
    <n v="74"/>
    <x v="5"/>
    <n v="72"/>
    <n v="3.42"/>
    <n v="1"/>
    <x v="0"/>
  </r>
  <r>
    <n v="1524"/>
    <d v="2021-03-29T00:00:00"/>
    <x v="22"/>
    <s v="Female"/>
    <n v="179.7"/>
    <n v="73.8"/>
    <n v="10502"/>
    <n v="604.6"/>
    <n v="8"/>
    <n v="75"/>
    <x v="0"/>
    <n v="0"/>
    <n v="3.11"/>
    <n v="10"/>
    <x v="1"/>
  </r>
  <r>
    <n v="1045"/>
    <d v="2021-03-30T00:00:00"/>
    <x v="25"/>
    <s v="Female"/>
    <n v="161.9"/>
    <n v="77.599999999999994"/>
    <n v="1368"/>
    <n v="234.8"/>
    <n v="6.9"/>
    <n v="60"/>
    <x v="3"/>
    <n v="64"/>
    <n v="1.98"/>
    <n v="4"/>
    <x v="1"/>
  </r>
  <r>
    <n v="1666"/>
    <d v="2021-03-31T00:00:00"/>
    <x v="1"/>
    <s v="Female"/>
    <n v="158.19999999999999"/>
    <n v="84.7"/>
    <n v="14598"/>
    <n v="782"/>
    <n v="7.1"/>
    <n v="63"/>
    <x v="0"/>
    <n v="0"/>
    <n v="3.48"/>
    <n v="5"/>
    <x v="0"/>
  </r>
  <r>
    <n v="1112"/>
    <d v="2021-04-01T00:00:00"/>
    <x v="33"/>
    <s v="Male"/>
    <n v="170.9"/>
    <n v="90.8"/>
    <n v="3747"/>
    <n v="362.9"/>
    <n v="8.3000000000000007"/>
    <n v="82"/>
    <x v="5"/>
    <n v="77"/>
    <n v="2.59"/>
    <n v="5"/>
    <x v="0"/>
  </r>
  <r>
    <n v="1232"/>
    <d v="2021-04-02T00:00:00"/>
    <x v="7"/>
    <s v="Female"/>
    <n v="152.4"/>
    <n v="99.3"/>
    <n v="8562"/>
    <n v="541"/>
    <n v="7.4"/>
    <n v="63"/>
    <x v="5"/>
    <n v="32"/>
    <n v="3.24"/>
    <n v="5"/>
    <x v="0"/>
  </r>
  <r>
    <n v="1016"/>
    <d v="2021-04-03T00:00:00"/>
    <x v="9"/>
    <s v="Female"/>
    <n v="175.9"/>
    <n v="70.2"/>
    <n v="8139"/>
    <n v="583.29999999999995"/>
    <n v="7"/>
    <n v="83"/>
    <x v="1"/>
    <n v="41"/>
    <n v="3.43"/>
    <n v="10"/>
    <x v="0"/>
  </r>
  <r>
    <n v="1359"/>
    <d v="2021-04-04T00:00:00"/>
    <x v="27"/>
    <s v="Male"/>
    <n v="150"/>
    <n v="61.9"/>
    <n v="11010"/>
    <n v="678.2"/>
    <n v="9.1999999999999993"/>
    <n v="60"/>
    <x v="0"/>
    <n v="0"/>
    <n v="2.3199999999999998"/>
    <n v="9"/>
    <x v="1"/>
  </r>
  <r>
    <n v="1222"/>
    <d v="2021-04-05T00:00:00"/>
    <x v="41"/>
    <s v="Female"/>
    <n v="159.69999999999999"/>
    <n v="51.6"/>
    <n v="7704"/>
    <n v="504.5"/>
    <n v="5.8"/>
    <n v="60"/>
    <x v="5"/>
    <n v="63"/>
    <n v="2.9"/>
    <n v="9"/>
    <x v="1"/>
  </r>
  <r>
    <n v="1865"/>
    <d v="2021-04-06T00:00:00"/>
    <x v="29"/>
    <s v="Male"/>
    <n v="185.8"/>
    <n v="76.5"/>
    <n v="2887"/>
    <n v="263.7"/>
    <n v="4.5"/>
    <n v="75"/>
    <x v="1"/>
    <n v="49"/>
    <n v="2.2200000000000002"/>
    <n v="5"/>
    <x v="2"/>
  </r>
  <r>
    <n v="1699"/>
    <d v="2021-04-07T00:00:00"/>
    <x v="39"/>
    <s v="Male"/>
    <n v="163.1"/>
    <n v="82.5"/>
    <n v="12975"/>
    <n v="748"/>
    <n v="5.8"/>
    <n v="67"/>
    <x v="3"/>
    <n v="42"/>
    <n v="3.15"/>
    <n v="6"/>
    <x v="2"/>
  </r>
  <r>
    <n v="1447"/>
    <d v="2021-04-08T00:00:00"/>
    <x v="39"/>
    <s v="Male"/>
    <n v="164.9"/>
    <n v="49.8"/>
    <n v="17443"/>
    <n v="882"/>
    <n v="7.2"/>
    <n v="70"/>
    <x v="5"/>
    <n v="31"/>
    <n v="2.56"/>
    <n v="8"/>
    <x v="0"/>
  </r>
  <r>
    <n v="1855"/>
    <d v="2021-04-09T00:00:00"/>
    <x v="5"/>
    <s v="Male"/>
    <n v="182.7"/>
    <n v="87.2"/>
    <n v="1544"/>
    <n v="253.2"/>
    <n v="8"/>
    <n v="77"/>
    <x v="2"/>
    <n v="33"/>
    <n v="3.17"/>
    <n v="7"/>
    <x v="1"/>
  </r>
  <r>
    <n v="1364"/>
    <d v="2021-04-10T00:00:00"/>
    <x v="30"/>
    <s v="Male"/>
    <n v="162.1"/>
    <n v="68.5"/>
    <n v="14555"/>
    <n v="716.3"/>
    <n v="5.9"/>
    <n v="69"/>
    <x v="0"/>
    <n v="0"/>
    <n v="3.57"/>
    <n v="6"/>
    <x v="0"/>
  </r>
  <r>
    <n v="1674"/>
    <d v="2021-04-11T00:00:00"/>
    <x v="12"/>
    <s v="Female"/>
    <n v="177.6"/>
    <n v="51.2"/>
    <n v="18614"/>
    <n v="900"/>
    <n v="10"/>
    <n v="66"/>
    <x v="5"/>
    <n v="64"/>
    <n v="2.88"/>
    <n v="4"/>
    <x v="2"/>
  </r>
  <r>
    <n v="1325"/>
    <d v="2021-04-12T00:00:00"/>
    <x v="10"/>
    <s v="Male"/>
    <n v="181.7"/>
    <n v="57.3"/>
    <n v="15813"/>
    <n v="900"/>
    <n v="7.3"/>
    <n v="80"/>
    <x v="1"/>
    <n v="43"/>
    <n v="2.4300000000000002"/>
    <n v="3"/>
    <x v="0"/>
  </r>
  <r>
    <n v="1466"/>
    <d v="2021-04-13T00:00:00"/>
    <x v="7"/>
    <s v="Male"/>
    <n v="174.8"/>
    <n v="55.9"/>
    <n v="14333"/>
    <n v="748"/>
    <n v="7.2"/>
    <n v="77"/>
    <x v="2"/>
    <n v="22"/>
    <n v="2.4500000000000002"/>
    <n v="4"/>
    <x v="2"/>
  </r>
  <r>
    <n v="1413"/>
    <d v="2021-04-14T00:00:00"/>
    <x v="17"/>
    <s v="Male"/>
    <n v="155.6"/>
    <n v="56.1"/>
    <n v="17942"/>
    <n v="900"/>
    <n v="5.0999999999999996"/>
    <n v="75"/>
    <x v="3"/>
    <n v="70"/>
    <n v="0.5"/>
    <n v="3"/>
    <x v="2"/>
  </r>
  <r>
    <n v="1454"/>
    <d v="2021-04-15T00:00:00"/>
    <x v="20"/>
    <s v="Male"/>
    <n v="164"/>
    <n v="78.5"/>
    <n v="15684"/>
    <n v="889.7"/>
    <n v="4.8"/>
    <n v="75"/>
    <x v="0"/>
    <n v="0"/>
    <n v="2"/>
    <n v="8"/>
    <x v="1"/>
  </r>
  <r>
    <n v="1585"/>
    <d v="2021-04-16T00:00:00"/>
    <x v="4"/>
    <s v="Female"/>
    <n v="197.1"/>
    <n v="83"/>
    <n v="9861"/>
    <n v="568.29999999999995"/>
    <n v="4.3"/>
    <n v="67"/>
    <x v="4"/>
    <n v="57"/>
    <n v="3.15"/>
    <n v="6"/>
    <x v="0"/>
  </r>
  <r>
    <n v="1232"/>
    <d v="2021-04-17T00:00:00"/>
    <x v="34"/>
    <s v="Male"/>
    <n v="165.1"/>
    <n v="95.5"/>
    <n v="18454"/>
    <n v="816.9"/>
    <n v="9.1"/>
    <n v="65"/>
    <x v="4"/>
    <n v="39"/>
    <n v="3.18"/>
    <n v="6"/>
    <x v="1"/>
  </r>
  <r>
    <n v="1223"/>
    <d v="2021-04-18T00:00:00"/>
    <x v="17"/>
    <s v="Female"/>
    <n v="199.9"/>
    <n v="59.5"/>
    <n v="2050"/>
    <n v="316.8"/>
    <n v="8.8000000000000007"/>
    <n v="72"/>
    <x v="1"/>
    <n v="21"/>
    <n v="1.99"/>
    <n v="1"/>
    <x v="2"/>
  </r>
  <r>
    <n v="1993"/>
    <d v="2021-04-19T00:00:00"/>
    <x v="3"/>
    <s v="Male"/>
    <n v="187.1"/>
    <n v="75.099999999999994"/>
    <n v="15292"/>
    <n v="815.6"/>
    <n v="7"/>
    <n v="67"/>
    <x v="3"/>
    <n v="45"/>
    <n v="2.62"/>
    <n v="5"/>
    <x v="2"/>
  </r>
  <r>
    <n v="1830"/>
    <d v="2021-04-20T00:00:00"/>
    <x v="20"/>
    <s v="Female"/>
    <n v="175.2"/>
    <n v="60.3"/>
    <n v="16756"/>
    <n v="885.8"/>
    <n v="5.2"/>
    <n v="75"/>
    <x v="3"/>
    <n v="21"/>
    <n v="2.37"/>
    <n v="8"/>
    <x v="0"/>
  </r>
  <r>
    <n v="1411"/>
    <d v="2021-04-21T00:00:00"/>
    <x v="30"/>
    <s v="Male"/>
    <n v="173"/>
    <n v="70.3"/>
    <n v="5022"/>
    <n v="403.6"/>
    <n v="6.6"/>
    <n v="71"/>
    <x v="5"/>
    <n v="86"/>
    <n v="2.98"/>
    <n v="2"/>
    <x v="0"/>
  </r>
  <r>
    <n v="1571"/>
    <d v="2021-04-22T00:00:00"/>
    <x v="3"/>
    <s v="Male"/>
    <n v="165.4"/>
    <n v="47.8"/>
    <n v="9336"/>
    <n v="631.4"/>
    <n v="9.1"/>
    <n v="75"/>
    <x v="4"/>
    <n v="61"/>
    <n v="4.05"/>
    <n v="3"/>
    <x v="0"/>
  </r>
  <r>
    <n v="1334"/>
    <d v="2021-04-23T00:00:00"/>
    <x v="13"/>
    <s v="Female"/>
    <n v="169.1"/>
    <n v="53.2"/>
    <n v="3634"/>
    <n v="340.5"/>
    <n v="6.2"/>
    <n v="74"/>
    <x v="5"/>
    <n v="59"/>
    <n v="3"/>
    <n v="9"/>
    <x v="0"/>
  </r>
  <r>
    <n v="1221"/>
    <d v="2021-04-24T00:00:00"/>
    <x v="17"/>
    <s v="Male"/>
    <n v="163.1"/>
    <n v="82"/>
    <n v="8288"/>
    <n v="640.1"/>
    <n v="5.6"/>
    <n v="93"/>
    <x v="3"/>
    <n v="28"/>
    <n v="2.0299999999999998"/>
    <n v="4"/>
    <x v="2"/>
  </r>
  <r>
    <n v="1036"/>
    <d v="2021-04-25T00:00:00"/>
    <x v="1"/>
    <s v="Female"/>
    <n v="169.4"/>
    <n v="47.7"/>
    <n v="9992"/>
    <n v="634.6"/>
    <n v="6.4"/>
    <n v="61"/>
    <x v="1"/>
    <n v="21"/>
    <n v="2.4500000000000002"/>
    <n v="10"/>
    <x v="2"/>
  </r>
  <r>
    <n v="1988"/>
    <d v="2021-04-26T00:00:00"/>
    <x v="23"/>
    <s v="Male"/>
    <n v="156.4"/>
    <n v="79.2"/>
    <n v="2485"/>
    <n v="350"/>
    <n v="6.6"/>
    <n v="73"/>
    <x v="1"/>
    <n v="47"/>
    <n v="3.48"/>
    <n v="5"/>
    <x v="2"/>
  </r>
  <r>
    <n v="1277"/>
    <d v="2021-04-27T00:00:00"/>
    <x v="25"/>
    <s v="Female"/>
    <n v="155.80000000000001"/>
    <n v="59.9"/>
    <n v="18056"/>
    <n v="900"/>
    <n v="8.1"/>
    <n v="64"/>
    <x v="2"/>
    <n v="22"/>
    <n v="1.51"/>
    <n v="7"/>
    <x v="1"/>
  </r>
  <r>
    <n v="1195"/>
    <d v="2021-04-28T00:00:00"/>
    <x v="31"/>
    <s v="Male"/>
    <n v="183"/>
    <n v="45"/>
    <n v="13166"/>
    <n v="742.2"/>
    <n v="3.7"/>
    <n v="70"/>
    <x v="1"/>
    <n v="35"/>
    <n v="2.0699999999999998"/>
    <n v="5"/>
    <x v="1"/>
  </r>
  <r>
    <n v="1915"/>
    <d v="2021-04-29T00:00:00"/>
    <x v="40"/>
    <s v="Male"/>
    <n v="153.9"/>
    <n v="45"/>
    <n v="18798"/>
    <n v="867.4"/>
    <n v="7.3"/>
    <n v="67"/>
    <x v="4"/>
    <n v="23"/>
    <n v="3"/>
    <n v="2"/>
    <x v="1"/>
  </r>
  <r>
    <n v="1863"/>
    <d v="2021-04-30T00:00:00"/>
    <x v="38"/>
    <s v="Female"/>
    <n v="178.9"/>
    <n v="92"/>
    <n v="4894"/>
    <n v="366.9"/>
    <n v="6"/>
    <n v="81"/>
    <x v="2"/>
    <n v="42"/>
    <n v="3.41"/>
    <n v="7"/>
    <x v="0"/>
  </r>
  <r>
    <n v="1483"/>
    <d v="2021-05-01T00:00:00"/>
    <x v="30"/>
    <s v="Male"/>
    <n v="151.1"/>
    <n v="45"/>
    <n v="4846"/>
    <n v="447.7"/>
    <n v="6.2"/>
    <n v="60"/>
    <x v="4"/>
    <n v="25"/>
    <n v="2.93"/>
    <n v="6"/>
    <x v="2"/>
  </r>
  <r>
    <n v="1241"/>
    <d v="2021-05-02T00:00:00"/>
    <x v="13"/>
    <s v="Male"/>
    <n v="176.3"/>
    <n v="69"/>
    <n v="15481"/>
    <n v="815.9"/>
    <n v="8.1"/>
    <n v="83"/>
    <x v="5"/>
    <n v="74"/>
    <n v="2.08"/>
    <n v="9"/>
    <x v="1"/>
  </r>
  <r>
    <n v="1323"/>
    <d v="2021-05-03T00:00:00"/>
    <x v="26"/>
    <s v="Male"/>
    <n v="167.9"/>
    <n v="75.3"/>
    <n v="10386"/>
    <n v="559.20000000000005"/>
    <n v="5"/>
    <n v="80"/>
    <x v="5"/>
    <n v="27"/>
    <n v="2.88"/>
    <n v="2"/>
    <x v="0"/>
  </r>
  <r>
    <n v="1730"/>
    <d v="2021-05-04T00:00:00"/>
    <x v="5"/>
    <s v="Male"/>
    <n v="183.2"/>
    <n v="50.3"/>
    <n v="19408"/>
    <n v="900"/>
    <n v="7.3"/>
    <n v="96"/>
    <x v="1"/>
    <n v="83"/>
    <n v="2.79"/>
    <n v="2"/>
    <x v="0"/>
  </r>
  <r>
    <n v="1191"/>
    <d v="2021-05-05T00:00:00"/>
    <x v="13"/>
    <s v="Male"/>
    <n v="166.7"/>
    <n v="61.7"/>
    <n v="18741"/>
    <n v="900"/>
    <n v="7.7"/>
    <n v="93"/>
    <x v="2"/>
    <n v="86"/>
    <n v="2.75"/>
    <n v="8"/>
    <x v="0"/>
  </r>
  <r>
    <n v="1016"/>
    <d v="2021-05-06T00:00:00"/>
    <x v="10"/>
    <s v="Male"/>
    <n v="150"/>
    <n v="77.2"/>
    <n v="15996"/>
    <n v="837.9"/>
    <n v="7.9"/>
    <n v="67"/>
    <x v="4"/>
    <n v="60"/>
    <n v="2.4300000000000002"/>
    <n v="10"/>
    <x v="2"/>
  </r>
  <r>
    <n v="1523"/>
    <d v="2021-05-07T00:00:00"/>
    <x v="36"/>
    <s v="Female"/>
    <n v="168.1"/>
    <n v="74.400000000000006"/>
    <n v="9048"/>
    <n v="520.20000000000005"/>
    <n v="8.1"/>
    <n v="87"/>
    <x v="4"/>
    <n v="59"/>
    <n v="2.54"/>
    <n v="1"/>
    <x v="0"/>
  </r>
  <r>
    <n v="1917"/>
    <d v="2021-05-08T00:00:00"/>
    <x v="25"/>
    <s v="Female"/>
    <n v="171.6"/>
    <n v="63.1"/>
    <n v="1568"/>
    <n v="333.9"/>
    <n v="7.9"/>
    <n v="72"/>
    <x v="3"/>
    <n v="46"/>
    <n v="1.86"/>
    <n v="8"/>
    <x v="1"/>
  </r>
  <r>
    <n v="1400"/>
    <d v="2021-05-09T00:00:00"/>
    <x v="39"/>
    <s v="Female"/>
    <n v="168.7"/>
    <n v="73.599999999999994"/>
    <n v="7490"/>
    <n v="510"/>
    <n v="8.1"/>
    <n v="78"/>
    <x v="1"/>
    <n v="58"/>
    <n v="4.24"/>
    <n v="5"/>
    <x v="0"/>
  </r>
  <r>
    <n v="1905"/>
    <d v="2021-05-10T00:00:00"/>
    <x v="12"/>
    <s v="Male"/>
    <n v="175.8"/>
    <n v="68.5"/>
    <n v="2945"/>
    <n v="248"/>
    <n v="5.7"/>
    <n v="92"/>
    <x v="0"/>
    <n v="0"/>
    <n v="2.61"/>
    <n v="1"/>
    <x v="2"/>
  </r>
  <r>
    <n v="1885"/>
    <d v="2021-05-11T00:00:00"/>
    <x v="24"/>
    <s v="Female"/>
    <n v="164.4"/>
    <n v="55.4"/>
    <n v="17791"/>
    <n v="900"/>
    <n v="9"/>
    <n v="67"/>
    <x v="5"/>
    <n v="59"/>
    <n v="2.88"/>
    <n v="10"/>
    <x v="2"/>
  </r>
  <r>
    <n v="1704"/>
    <d v="2021-05-12T00:00:00"/>
    <x v="23"/>
    <s v="Male"/>
    <n v="157.4"/>
    <n v="88"/>
    <n v="5228"/>
    <n v="406.8"/>
    <n v="5.2"/>
    <n v="76"/>
    <x v="0"/>
    <n v="0"/>
    <n v="2.35"/>
    <n v="1"/>
    <x v="0"/>
  </r>
  <r>
    <n v="1021"/>
    <d v="2021-05-13T00:00:00"/>
    <x v="29"/>
    <s v="Male"/>
    <n v="160"/>
    <n v="73.099999999999994"/>
    <n v="12945"/>
    <n v="743.1"/>
    <n v="7.6"/>
    <n v="56"/>
    <x v="3"/>
    <n v="56"/>
    <n v="3.09"/>
    <n v="6"/>
    <x v="2"/>
  </r>
  <r>
    <n v="1473"/>
    <d v="2021-05-14T00:00:00"/>
    <x v="27"/>
    <s v="Male"/>
    <n v="164.8"/>
    <n v="45"/>
    <n v="9805"/>
    <n v="607.5"/>
    <n v="6"/>
    <n v="84"/>
    <x v="5"/>
    <n v="86"/>
    <n v="1.59"/>
    <n v="10"/>
    <x v="2"/>
  </r>
  <r>
    <n v="1119"/>
    <d v="2021-05-15T00:00:00"/>
    <x v="20"/>
    <s v="Male"/>
    <n v="164.8"/>
    <n v="77.8"/>
    <n v="8131"/>
    <n v="546.1"/>
    <n v="4.4000000000000004"/>
    <n v="96"/>
    <x v="5"/>
    <n v="38"/>
    <n v="1.28"/>
    <n v="2"/>
    <x v="1"/>
  </r>
  <r>
    <n v="1209"/>
    <d v="2021-05-16T00:00:00"/>
    <x v="2"/>
    <s v="Female"/>
    <n v="194.1"/>
    <n v="60.8"/>
    <n v="3218"/>
    <n v="311.5"/>
    <n v="6.1"/>
    <n v="81"/>
    <x v="4"/>
    <n v="53"/>
    <n v="2.48"/>
    <n v="2"/>
    <x v="1"/>
  </r>
  <r>
    <n v="1305"/>
    <d v="2021-05-17T00:00:00"/>
    <x v="37"/>
    <s v="Male"/>
    <n v="182.6"/>
    <n v="65.7"/>
    <n v="15975"/>
    <n v="855.5"/>
    <n v="6.8"/>
    <n v="89"/>
    <x v="5"/>
    <n v="85"/>
    <n v="3.94"/>
    <n v="1"/>
    <x v="0"/>
  </r>
  <r>
    <n v="1269"/>
    <d v="2021-05-18T00:00:00"/>
    <x v="17"/>
    <s v="Female"/>
    <n v="176.9"/>
    <n v="70.099999999999994"/>
    <n v="16609"/>
    <n v="856.9"/>
    <n v="9.1"/>
    <n v="86"/>
    <x v="2"/>
    <n v="29"/>
    <n v="3.35"/>
    <n v="1"/>
    <x v="2"/>
  </r>
  <r>
    <n v="1703"/>
    <d v="2021-05-19T00:00:00"/>
    <x v="25"/>
    <s v="Male"/>
    <n v="174.5"/>
    <n v="58.1"/>
    <n v="8711"/>
    <n v="566.5"/>
    <n v="9.6999999999999993"/>
    <n v="68"/>
    <x v="5"/>
    <n v="71"/>
    <n v="1.93"/>
    <n v="4"/>
    <x v="2"/>
  </r>
  <r>
    <n v="1686"/>
    <d v="2021-05-20T00:00:00"/>
    <x v="17"/>
    <s v="Female"/>
    <n v="173"/>
    <n v="97"/>
    <n v="12991"/>
    <n v="710.4"/>
    <n v="6.8"/>
    <n v="78"/>
    <x v="2"/>
    <n v="61"/>
    <n v="2.86"/>
    <n v="5"/>
    <x v="2"/>
  </r>
  <r>
    <n v="1284"/>
    <d v="2021-05-21T00:00:00"/>
    <x v="3"/>
    <s v="Female"/>
    <n v="173.1"/>
    <n v="47.6"/>
    <n v="13105"/>
    <n v="709.7"/>
    <n v="4.9000000000000004"/>
    <n v="80"/>
    <x v="5"/>
    <n v="79"/>
    <n v="2.0499999999999998"/>
    <n v="4"/>
    <x v="1"/>
  </r>
  <r>
    <n v="1715"/>
    <d v="2021-05-22T00:00:00"/>
    <x v="14"/>
    <s v="Female"/>
    <n v="171.6"/>
    <n v="70.900000000000006"/>
    <n v="17877"/>
    <n v="842"/>
    <n v="5"/>
    <n v="63"/>
    <x v="3"/>
    <n v="21"/>
    <n v="2.8"/>
    <n v="6"/>
    <x v="2"/>
  </r>
  <r>
    <n v="1675"/>
    <d v="2021-05-23T00:00:00"/>
    <x v="37"/>
    <s v="Female"/>
    <n v="170.4"/>
    <n v="75.7"/>
    <n v="16238"/>
    <n v="849.3"/>
    <n v="8.1999999999999993"/>
    <n v="89"/>
    <x v="4"/>
    <n v="20"/>
    <n v="2.85"/>
    <n v="8"/>
    <x v="1"/>
  </r>
  <r>
    <n v="1762"/>
    <d v="2021-05-24T00:00:00"/>
    <x v="12"/>
    <s v="Female"/>
    <n v="150"/>
    <n v="70.599999999999994"/>
    <n v="4868"/>
    <n v="406"/>
    <n v="8.1"/>
    <n v="70"/>
    <x v="3"/>
    <n v="69"/>
    <n v="3.15"/>
    <n v="2"/>
    <x v="2"/>
  </r>
  <r>
    <n v="1226"/>
    <d v="2021-05-25T00:00:00"/>
    <x v="4"/>
    <s v="Female"/>
    <n v="166.3"/>
    <n v="67.099999999999994"/>
    <n v="12526"/>
    <n v="793.5"/>
    <n v="6.1"/>
    <n v="73"/>
    <x v="4"/>
    <n v="55"/>
    <n v="1.4"/>
    <n v="1"/>
    <x v="1"/>
  </r>
  <r>
    <n v="1947"/>
    <d v="2021-05-26T00:00:00"/>
    <x v="32"/>
    <s v="Male"/>
    <n v="167.6"/>
    <n v="64.3"/>
    <n v="11060"/>
    <n v="666.4"/>
    <n v="5.2"/>
    <n v="72"/>
    <x v="3"/>
    <n v="41"/>
    <n v="1.61"/>
    <n v="2"/>
    <x v="0"/>
  </r>
  <r>
    <n v="1380"/>
    <d v="2021-05-27T00:00:00"/>
    <x v="13"/>
    <s v="Female"/>
    <n v="162.5"/>
    <n v="58"/>
    <n v="6433"/>
    <n v="421.1"/>
    <n v="8.5"/>
    <n v="75"/>
    <x v="1"/>
    <n v="55"/>
    <n v="2.4500000000000002"/>
    <n v="10"/>
    <x v="0"/>
  </r>
  <r>
    <n v="1459"/>
    <d v="2021-05-28T00:00:00"/>
    <x v="8"/>
    <s v="Male"/>
    <n v="164.4"/>
    <n v="57.7"/>
    <n v="18822"/>
    <n v="900"/>
    <n v="5.2"/>
    <n v="104"/>
    <x v="5"/>
    <n v="22"/>
    <n v="1.78"/>
    <n v="6"/>
    <x v="2"/>
  </r>
  <r>
    <n v="1006"/>
    <d v="2021-05-29T00:00:00"/>
    <x v="31"/>
    <s v="Female"/>
    <n v="173"/>
    <n v="87.4"/>
    <n v="2352"/>
    <n v="307.5"/>
    <n v="6.3"/>
    <n v="69"/>
    <x v="5"/>
    <n v="63"/>
    <n v="1.72"/>
    <n v="4"/>
    <x v="2"/>
  </r>
  <r>
    <n v="1028"/>
    <d v="2021-05-30T00:00:00"/>
    <x v="29"/>
    <s v="Male"/>
    <n v="177.7"/>
    <n v="63.4"/>
    <n v="9236"/>
    <n v="532.20000000000005"/>
    <n v="7.7"/>
    <n v="60"/>
    <x v="1"/>
    <n v="35"/>
    <n v="2.69"/>
    <n v="7"/>
    <x v="1"/>
  </r>
  <r>
    <n v="1906"/>
    <d v="2021-05-31T00:00:00"/>
    <x v="3"/>
    <s v="Female"/>
    <n v="173"/>
    <n v="102"/>
    <n v="19764"/>
    <n v="900"/>
    <n v="4"/>
    <n v="77"/>
    <x v="1"/>
    <n v="30"/>
    <n v="1.86"/>
    <n v="2"/>
    <x v="1"/>
  </r>
  <r>
    <n v="1032"/>
    <d v="2021-06-01T00:00:00"/>
    <x v="36"/>
    <s v="Female"/>
    <n v="177.4"/>
    <n v="80"/>
    <n v="5560"/>
    <n v="385"/>
    <n v="8.4"/>
    <n v="66"/>
    <x v="2"/>
    <n v="29"/>
    <n v="4.08"/>
    <n v="1"/>
    <x v="1"/>
  </r>
  <r>
    <n v="1645"/>
    <d v="2021-06-02T00:00:00"/>
    <x v="0"/>
    <s v="Male"/>
    <n v="177.6"/>
    <n v="45"/>
    <n v="17583"/>
    <n v="886.9"/>
    <n v="10"/>
    <n v="71"/>
    <x v="3"/>
    <n v="70"/>
    <n v="2.13"/>
    <n v="5"/>
    <x v="2"/>
  </r>
  <r>
    <n v="1878"/>
    <d v="2021-06-03T00:00:00"/>
    <x v="32"/>
    <s v="Female"/>
    <n v="167"/>
    <n v="83.2"/>
    <n v="16560"/>
    <n v="899.2"/>
    <n v="7.2"/>
    <n v="81"/>
    <x v="5"/>
    <n v="61"/>
    <n v="2.31"/>
    <n v="9"/>
    <x v="1"/>
  </r>
  <r>
    <n v="1078"/>
    <d v="2021-06-04T00:00:00"/>
    <x v="16"/>
    <s v="Female"/>
    <n v="175.3"/>
    <n v="69.2"/>
    <n v="5424"/>
    <n v="317.5"/>
    <n v="6.9"/>
    <n v="64"/>
    <x v="2"/>
    <n v="44"/>
    <n v="2.71"/>
    <n v="6"/>
    <x v="2"/>
  </r>
  <r>
    <n v="1927"/>
    <d v="2021-06-05T00:00:00"/>
    <x v="28"/>
    <s v="Female"/>
    <n v="152.5"/>
    <n v="49.2"/>
    <n v="8847"/>
    <n v="618.6"/>
    <n v="7.1"/>
    <n v="71"/>
    <x v="0"/>
    <n v="0"/>
    <n v="1.44"/>
    <n v="6"/>
    <x v="1"/>
  </r>
  <r>
    <n v="1946"/>
    <d v="2021-06-06T00:00:00"/>
    <x v="20"/>
    <s v="Male"/>
    <n v="166.2"/>
    <n v="89.6"/>
    <n v="15195"/>
    <n v="797.6"/>
    <n v="7.3"/>
    <n v="78"/>
    <x v="5"/>
    <n v="63"/>
    <n v="2.86"/>
    <n v="1"/>
    <x v="2"/>
  </r>
  <r>
    <n v="1458"/>
    <d v="2021-06-07T00:00:00"/>
    <x v="20"/>
    <s v="Female"/>
    <n v="165"/>
    <n v="63.5"/>
    <n v="5797"/>
    <n v="400.2"/>
    <n v="5.9"/>
    <n v="67"/>
    <x v="1"/>
    <n v="27"/>
    <n v="2.74"/>
    <n v="1"/>
    <x v="1"/>
  </r>
  <r>
    <n v="1569"/>
    <d v="2021-06-08T00:00:00"/>
    <x v="41"/>
    <s v="Male"/>
    <n v="185.3"/>
    <n v="62.2"/>
    <n v="15309"/>
    <n v="856.7"/>
    <n v="5.3"/>
    <n v="75"/>
    <x v="2"/>
    <n v="53"/>
    <n v="2.2599999999999998"/>
    <n v="4"/>
    <x v="1"/>
  </r>
  <r>
    <n v="1982"/>
    <d v="2021-06-09T00:00:00"/>
    <x v="29"/>
    <s v="Female"/>
    <n v="173.4"/>
    <n v="75.599999999999994"/>
    <n v="3407"/>
    <n v="326"/>
    <n v="6.5"/>
    <n v="78"/>
    <x v="0"/>
    <n v="0"/>
    <n v="2.69"/>
    <n v="2"/>
    <x v="1"/>
  </r>
  <r>
    <n v="1537"/>
    <d v="2021-06-10T00:00:00"/>
    <x v="30"/>
    <s v="Female"/>
    <n v="156.69999999999999"/>
    <n v="87.1"/>
    <n v="4791"/>
    <n v="339.3"/>
    <n v="7.2"/>
    <n v="74"/>
    <x v="2"/>
    <n v="20"/>
    <n v="2.8"/>
    <n v="3"/>
    <x v="2"/>
  </r>
  <r>
    <n v="1481"/>
    <d v="2021-06-11T00:00:00"/>
    <x v="21"/>
    <s v="Male"/>
    <n v="175.9"/>
    <n v="71.7"/>
    <n v="7508"/>
    <n v="424.2"/>
    <n v="5.5"/>
    <n v="77"/>
    <x v="2"/>
    <n v="22"/>
    <n v="3.5"/>
    <n v="6"/>
    <x v="0"/>
  </r>
  <r>
    <n v="1429"/>
    <d v="2021-06-12T00:00:00"/>
    <x v="16"/>
    <s v="Female"/>
    <n v="179.1"/>
    <n v="70.599999999999994"/>
    <n v="15407"/>
    <n v="851.1"/>
    <n v="5"/>
    <n v="79"/>
    <x v="3"/>
    <n v="71"/>
    <n v="4.25"/>
    <n v="10"/>
    <x v="0"/>
  </r>
  <r>
    <n v="1737"/>
    <d v="2021-06-13T00:00:00"/>
    <x v="23"/>
    <s v="Female"/>
    <n v="169.1"/>
    <n v="59.5"/>
    <n v="10629"/>
    <n v="663.1"/>
    <n v="6.3"/>
    <n v="68"/>
    <x v="0"/>
    <n v="0"/>
    <n v="1.76"/>
    <n v="1"/>
    <x v="2"/>
  </r>
  <r>
    <n v="1284"/>
    <d v="2021-06-14T00:00:00"/>
    <x v="15"/>
    <s v="Male"/>
    <n v="176.9"/>
    <n v="86.9"/>
    <n v="1126"/>
    <n v="224.4"/>
    <n v="5"/>
    <n v="60"/>
    <x v="2"/>
    <n v="66"/>
    <n v="1.59"/>
    <n v="10"/>
    <x v="2"/>
  </r>
  <r>
    <n v="1515"/>
    <d v="2021-06-15T00:00:00"/>
    <x v="39"/>
    <s v="Female"/>
    <n v="150"/>
    <n v="71.8"/>
    <n v="10812"/>
    <n v="698.5"/>
    <n v="8"/>
    <n v="65"/>
    <x v="5"/>
    <n v="38"/>
    <n v="2.57"/>
    <n v="2"/>
    <x v="0"/>
  </r>
  <r>
    <n v="1976"/>
    <d v="2021-06-16T00:00:00"/>
    <x v="8"/>
    <s v="Male"/>
    <n v="150"/>
    <n v="66.599999999999994"/>
    <n v="8694"/>
    <n v="549.6"/>
    <n v="3"/>
    <n v="63"/>
    <x v="3"/>
    <n v="89"/>
    <n v="1.04"/>
    <n v="4"/>
    <x v="0"/>
  </r>
  <r>
    <n v="1098"/>
    <d v="2021-06-17T00:00:00"/>
    <x v="35"/>
    <s v="Male"/>
    <n v="158.19999999999999"/>
    <n v="64.8"/>
    <n v="4319"/>
    <n v="439.2"/>
    <n v="5.2"/>
    <n v="87"/>
    <x v="5"/>
    <n v="66"/>
    <n v="2.95"/>
    <n v="6"/>
    <x v="1"/>
  </r>
  <r>
    <n v="1396"/>
    <d v="2021-06-18T00:00:00"/>
    <x v="41"/>
    <s v="Male"/>
    <n v="171.5"/>
    <n v="85.4"/>
    <n v="9673"/>
    <n v="539.1"/>
    <n v="9.1"/>
    <n v="58"/>
    <x v="0"/>
    <n v="0"/>
    <n v="2.58"/>
    <n v="3"/>
    <x v="1"/>
  </r>
  <r>
    <n v="1488"/>
    <d v="2021-06-19T00:00:00"/>
    <x v="15"/>
    <s v="Female"/>
    <n v="185.3"/>
    <n v="66.099999999999994"/>
    <n v="6431"/>
    <n v="403.3"/>
    <n v="6.7"/>
    <n v="81"/>
    <x v="2"/>
    <n v="83"/>
    <n v="2.76"/>
    <n v="9"/>
    <x v="2"/>
  </r>
  <r>
    <n v="1038"/>
    <d v="2021-06-20T00:00:00"/>
    <x v="38"/>
    <s v="Male"/>
    <n v="158.69999999999999"/>
    <n v="85.4"/>
    <n v="5378"/>
    <n v="389.4"/>
    <n v="7.3"/>
    <n v="68"/>
    <x v="2"/>
    <n v="64"/>
    <n v="2.29"/>
    <n v="10"/>
    <x v="0"/>
  </r>
  <r>
    <n v="1270"/>
    <d v="2021-06-21T00:00:00"/>
    <x v="18"/>
    <s v="Male"/>
    <n v="161.5"/>
    <n v="62.9"/>
    <n v="19505"/>
    <n v="900"/>
    <n v="6.8"/>
    <n v="85"/>
    <x v="0"/>
    <n v="0"/>
    <n v="2.68"/>
    <n v="4"/>
    <x v="0"/>
  </r>
  <r>
    <n v="1886"/>
    <d v="2021-06-22T00:00:00"/>
    <x v="16"/>
    <s v="Female"/>
    <n v="170.9"/>
    <n v="80.8"/>
    <n v="12012"/>
    <n v="738"/>
    <n v="6.1"/>
    <n v="71"/>
    <x v="5"/>
    <n v="64"/>
    <n v="2.83"/>
    <n v="7"/>
    <x v="2"/>
  </r>
  <r>
    <n v="1796"/>
    <d v="2021-06-23T00:00:00"/>
    <x v="10"/>
    <s v="Male"/>
    <n v="165.1"/>
    <n v="73.099999999999994"/>
    <n v="7490"/>
    <n v="514.29999999999995"/>
    <n v="8.6"/>
    <n v="75"/>
    <x v="4"/>
    <n v="55"/>
    <n v="2.64"/>
    <n v="5"/>
    <x v="0"/>
  </r>
  <r>
    <n v="1156"/>
    <d v="2021-06-24T00:00:00"/>
    <x v="3"/>
    <s v="Female"/>
    <n v="164.5"/>
    <n v="55.7"/>
    <n v="11563"/>
    <n v="624.6"/>
    <n v="6.1"/>
    <n v="80"/>
    <x v="2"/>
    <n v="28"/>
    <n v="1.56"/>
    <n v="6"/>
    <x v="1"/>
  </r>
  <r>
    <n v="1074"/>
    <d v="2021-06-25T00:00:00"/>
    <x v="18"/>
    <s v="Female"/>
    <n v="165.8"/>
    <n v="68.7"/>
    <n v="17622"/>
    <n v="900"/>
    <n v="5.8"/>
    <n v="88"/>
    <x v="2"/>
    <n v="42"/>
    <n v="2.62"/>
    <n v="9"/>
    <x v="0"/>
  </r>
  <r>
    <n v="1883"/>
    <d v="2021-06-26T00:00:00"/>
    <x v="15"/>
    <s v="Female"/>
    <n v="183.1"/>
    <n v="45"/>
    <n v="2420"/>
    <n v="275.39999999999998"/>
    <n v="8"/>
    <n v="69"/>
    <x v="3"/>
    <n v="51"/>
    <n v="3.8"/>
    <n v="9"/>
    <x v="0"/>
  </r>
  <r>
    <n v="1799"/>
    <d v="2021-06-27T00:00:00"/>
    <x v="12"/>
    <s v="Female"/>
    <n v="181.2"/>
    <n v="58.8"/>
    <n v="15672"/>
    <n v="786.7"/>
    <n v="4.0999999999999996"/>
    <n v="69"/>
    <x v="5"/>
    <n v="64"/>
    <n v="2.67"/>
    <n v="6"/>
    <x v="1"/>
  </r>
  <r>
    <n v="1129"/>
    <d v="2021-06-28T00:00:00"/>
    <x v="34"/>
    <s v="Male"/>
    <n v="170.2"/>
    <n v="46.3"/>
    <n v="1340"/>
    <n v="249.6"/>
    <n v="6.6"/>
    <n v="80"/>
    <x v="2"/>
    <n v="47"/>
    <n v="2.6"/>
    <n v="2"/>
    <x v="0"/>
  </r>
  <r>
    <n v="1686"/>
    <d v="2021-06-29T00:00:00"/>
    <x v="31"/>
    <s v="Male"/>
    <n v="186.5"/>
    <n v="100"/>
    <n v="12542"/>
    <n v="692.1"/>
    <n v="6.2"/>
    <n v="59"/>
    <x v="5"/>
    <n v="71"/>
    <n v="3.59"/>
    <n v="9"/>
    <x v="1"/>
  </r>
  <r>
    <n v="1973"/>
    <d v="2021-06-30T00:00:00"/>
    <x v="26"/>
    <s v="Male"/>
    <n v="175.1"/>
    <n v="46.5"/>
    <n v="8520"/>
    <n v="502.5"/>
    <n v="6.5"/>
    <n v="58"/>
    <x v="3"/>
    <n v="30"/>
    <n v="1.98"/>
    <n v="2"/>
    <x v="1"/>
  </r>
  <r>
    <n v="1083"/>
    <d v="2021-07-01T00:00:00"/>
    <x v="7"/>
    <s v="Male"/>
    <n v="181.5"/>
    <n v="108.8"/>
    <n v="12185"/>
    <n v="648.6"/>
    <n v="6.3"/>
    <n v="79"/>
    <x v="5"/>
    <n v="38"/>
    <n v="3.12"/>
    <n v="2"/>
    <x v="1"/>
  </r>
  <r>
    <n v="1021"/>
    <d v="2021-07-02T00:00:00"/>
    <x v="15"/>
    <s v="Male"/>
    <n v="161.4"/>
    <n v="77.7"/>
    <n v="5987"/>
    <n v="480.2"/>
    <n v="7.6"/>
    <n v="82"/>
    <x v="5"/>
    <n v="83"/>
    <n v="2.13"/>
    <n v="2"/>
    <x v="0"/>
  </r>
  <r>
    <n v="1458"/>
    <d v="2021-07-03T00:00:00"/>
    <x v="27"/>
    <s v="Female"/>
    <n v="163.5"/>
    <n v="62.2"/>
    <n v="13749"/>
    <n v="771.1"/>
    <n v="8.6"/>
    <n v="78"/>
    <x v="3"/>
    <n v="84"/>
    <n v="3.26"/>
    <n v="7"/>
    <x v="1"/>
  </r>
  <r>
    <n v="1538"/>
    <d v="2021-07-04T00:00:00"/>
    <x v="15"/>
    <s v="Male"/>
    <n v="163.4"/>
    <n v="82.1"/>
    <n v="6412"/>
    <n v="503.7"/>
    <n v="7.7"/>
    <n v="74"/>
    <x v="2"/>
    <n v="76"/>
    <n v="3.06"/>
    <n v="4"/>
    <x v="2"/>
  </r>
  <r>
    <n v="1706"/>
    <d v="2021-07-05T00:00:00"/>
    <x v="7"/>
    <s v="Male"/>
    <n v="169.1"/>
    <n v="60.3"/>
    <n v="8670"/>
    <n v="532.6"/>
    <n v="6.5"/>
    <n v="70"/>
    <x v="5"/>
    <n v="85"/>
    <n v="2.21"/>
    <n v="8"/>
    <x v="0"/>
  </r>
  <r>
    <n v="1848"/>
    <d v="2021-07-06T00:00:00"/>
    <x v="19"/>
    <s v="Male"/>
    <n v="170.6"/>
    <n v="48.9"/>
    <n v="19879"/>
    <n v="900"/>
    <n v="7.9"/>
    <n v="91"/>
    <x v="4"/>
    <n v="23"/>
    <n v="2.31"/>
    <n v="8"/>
    <x v="1"/>
  </r>
  <r>
    <n v="1381"/>
    <d v="2021-07-07T00:00:00"/>
    <x v="38"/>
    <s v="Female"/>
    <n v="173.2"/>
    <n v="71.2"/>
    <n v="14766"/>
    <n v="761.9"/>
    <n v="8.1"/>
    <n v="92"/>
    <x v="2"/>
    <n v="48"/>
    <n v="3.18"/>
    <n v="1"/>
    <x v="2"/>
  </r>
  <r>
    <n v="1747"/>
    <d v="2021-07-08T00:00:00"/>
    <x v="2"/>
    <s v="Female"/>
    <n v="189.7"/>
    <n v="80.5"/>
    <n v="9323"/>
    <n v="624.29999999999995"/>
    <n v="7.5"/>
    <n v="76"/>
    <x v="3"/>
    <n v="23"/>
    <n v="1.2"/>
    <n v="1"/>
    <x v="2"/>
  </r>
  <r>
    <n v="1439"/>
    <d v="2021-07-09T00:00:00"/>
    <x v="3"/>
    <s v="Male"/>
    <n v="177.2"/>
    <n v="89.2"/>
    <n v="2857"/>
    <n v="234.3"/>
    <n v="8.6"/>
    <n v="68"/>
    <x v="1"/>
    <n v="20"/>
    <n v="2.19"/>
    <n v="4"/>
    <x v="1"/>
  </r>
  <r>
    <n v="1603"/>
    <d v="2021-07-10T00:00:00"/>
    <x v="10"/>
    <s v="Female"/>
    <n v="164.9"/>
    <n v="77.5"/>
    <n v="15455"/>
    <n v="890.4"/>
    <n v="3.5"/>
    <n v="65"/>
    <x v="0"/>
    <n v="0"/>
    <n v="2.93"/>
    <n v="2"/>
    <x v="2"/>
  </r>
  <r>
    <n v="1988"/>
    <d v="2021-07-11T00:00:00"/>
    <x v="4"/>
    <s v="Male"/>
    <n v="170"/>
    <n v="62.1"/>
    <n v="1504"/>
    <n v="204.7"/>
    <n v="7"/>
    <n v="79"/>
    <x v="4"/>
    <n v="32"/>
    <n v="2.2799999999999998"/>
    <n v="3"/>
    <x v="1"/>
  </r>
  <r>
    <n v="1020"/>
    <d v="2021-07-12T00:00:00"/>
    <x v="41"/>
    <s v="Male"/>
    <n v="185"/>
    <n v="90.8"/>
    <n v="8467"/>
    <n v="577.70000000000005"/>
    <n v="7.5"/>
    <n v="63"/>
    <x v="2"/>
    <n v="89"/>
    <n v="2.59"/>
    <n v="10"/>
    <x v="2"/>
  </r>
  <r>
    <n v="1302"/>
    <d v="2021-07-13T00:00:00"/>
    <x v="39"/>
    <s v="Female"/>
    <n v="177.8"/>
    <n v="87.4"/>
    <n v="19540"/>
    <n v="900"/>
    <n v="4.8"/>
    <n v="63"/>
    <x v="0"/>
    <n v="0"/>
    <n v="1.07"/>
    <n v="2"/>
    <x v="0"/>
  </r>
  <r>
    <n v="1975"/>
    <d v="2021-07-14T00:00:00"/>
    <x v="12"/>
    <s v="Female"/>
    <n v="184.9"/>
    <n v="74"/>
    <n v="9484"/>
    <n v="549.6"/>
    <n v="7.3"/>
    <n v="70"/>
    <x v="3"/>
    <n v="66"/>
    <n v="1.9"/>
    <n v="10"/>
    <x v="1"/>
  </r>
  <r>
    <n v="1868"/>
    <d v="2021-07-15T00:00:00"/>
    <x v="9"/>
    <s v="Male"/>
    <n v="165.2"/>
    <n v="88.2"/>
    <n v="12842"/>
    <n v="610.79999999999995"/>
    <n v="8.4"/>
    <n v="80"/>
    <x v="4"/>
    <n v="49"/>
    <n v="2.98"/>
    <n v="9"/>
    <x v="2"/>
  </r>
  <r>
    <n v="1954"/>
    <d v="2021-07-16T00:00:00"/>
    <x v="39"/>
    <s v="Male"/>
    <n v="162.9"/>
    <n v="102.8"/>
    <n v="5923"/>
    <n v="529.6"/>
    <n v="6.7"/>
    <n v="90"/>
    <x v="2"/>
    <n v="46"/>
    <n v="1.97"/>
    <n v="6"/>
    <x v="2"/>
  </r>
  <r>
    <n v="1083"/>
    <d v="2021-07-17T00:00:00"/>
    <x v="3"/>
    <s v="Female"/>
    <n v="163"/>
    <n v="61.8"/>
    <n v="10251"/>
    <n v="638.79999999999995"/>
    <n v="8"/>
    <n v="78"/>
    <x v="0"/>
    <n v="0"/>
    <n v="1.59"/>
    <n v="7"/>
    <x v="1"/>
  </r>
  <r>
    <n v="1773"/>
    <d v="2021-07-18T00:00:00"/>
    <x v="39"/>
    <s v="Male"/>
    <n v="166"/>
    <n v="56.5"/>
    <n v="16920"/>
    <n v="900"/>
    <n v="8.5"/>
    <n v="80"/>
    <x v="1"/>
    <n v="21"/>
    <n v="3.24"/>
    <n v="6"/>
    <x v="0"/>
  </r>
  <r>
    <n v="1658"/>
    <d v="2021-07-19T00:00:00"/>
    <x v="28"/>
    <s v="Female"/>
    <n v="159.4"/>
    <n v="61.4"/>
    <n v="11495"/>
    <n v="635.20000000000005"/>
    <n v="9"/>
    <n v="85"/>
    <x v="2"/>
    <n v="39"/>
    <n v="2.86"/>
    <n v="1"/>
    <x v="1"/>
  </r>
  <r>
    <n v="1952"/>
    <d v="2021-07-20T00:00:00"/>
    <x v="35"/>
    <s v="Male"/>
    <n v="173"/>
    <n v="49.8"/>
    <n v="14319"/>
    <n v="726.2"/>
    <n v="8.6999999999999993"/>
    <n v="84"/>
    <x v="1"/>
    <n v="43"/>
    <n v="1.74"/>
    <n v="5"/>
    <x v="2"/>
  </r>
  <r>
    <n v="1452"/>
    <d v="2021-07-21T00:00:00"/>
    <x v="25"/>
    <s v="Female"/>
    <n v="173.1"/>
    <n v="78.900000000000006"/>
    <n v="10393"/>
    <n v="654.5"/>
    <n v="9"/>
    <n v="69"/>
    <x v="1"/>
    <n v="63"/>
    <n v="2.6"/>
    <n v="3"/>
    <x v="1"/>
  </r>
  <r>
    <n v="1386"/>
    <d v="2021-07-22T00:00:00"/>
    <x v="9"/>
    <s v="Male"/>
    <n v="183.4"/>
    <n v="45.9"/>
    <n v="7900"/>
    <n v="455.8"/>
    <n v="6.3"/>
    <n v="84"/>
    <x v="5"/>
    <n v="40"/>
    <n v="1.76"/>
    <n v="10"/>
    <x v="0"/>
  </r>
  <r>
    <n v="1506"/>
    <d v="2021-07-23T00:00:00"/>
    <x v="7"/>
    <s v="Male"/>
    <n v="152.4"/>
    <n v="89"/>
    <n v="3160"/>
    <n v="318"/>
    <n v="6.4"/>
    <n v="85"/>
    <x v="3"/>
    <n v="41"/>
    <n v="2.39"/>
    <n v="8"/>
    <x v="2"/>
  </r>
  <r>
    <n v="1256"/>
    <d v="2021-07-24T00:00:00"/>
    <x v="38"/>
    <s v="Female"/>
    <n v="160.6"/>
    <n v="59.9"/>
    <n v="17236"/>
    <n v="826.9"/>
    <n v="3.3"/>
    <n v="78"/>
    <x v="5"/>
    <n v="77"/>
    <n v="2.62"/>
    <n v="7"/>
    <x v="0"/>
  </r>
  <r>
    <n v="1569"/>
    <d v="2021-07-25T00:00:00"/>
    <x v="7"/>
    <s v="Male"/>
    <n v="178.1"/>
    <n v="90.4"/>
    <n v="7221"/>
    <n v="495"/>
    <n v="5.4"/>
    <n v="76"/>
    <x v="1"/>
    <n v="30"/>
    <n v="1.93"/>
    <n v="9"/>
    <x v="0"/>
  </r>
  <r>
    <n v="1891"/>
    <d v="2021-07-26T00:00:00"/>
    <x v="36"/>
    <s v="Male"/>
    <n v="171.8"/>
    <n v="45"/>
    <n v="11038"/>
    <n v="545.70000000000005"/>
    <n v="8.8000000000000007"/>
    <n v="81"/>
    <x v="3"/>
    <n v="72"/>
    <n v="3.02"/>
    <n v="1"/>
    <x v="2"/>
  </r>
  <r>
    <n v="1933"/>
    <d v="2021-07-27T00:00:00"/>
    <x v="20"/>
    <s v="Female"/>
    <n v="170.4"/>
    <n v="64.2"/>
    <n v="9255"/>
    <n v="496.2"/>
    <n v="6.1"/>
    <n v="80"/>
    <x v="3"/>
    <n v="28"/>
    <n v="3.13"/>
    <n v="2"/>
    <x v="0"/>
  </r>
  <r>
    <n v="1526"/>
    <d v="2021-07-28T00:00:00"/>
    <x v="3"/>
    <s v="Male"/>
    <n v="182.6"/>
    <n v="50.6"/>
    <n v="3699"/>
    <n v="305"/>
    <n v="7.6"/>
    <n v="56"/>
    <x v="3"/>
    <n v="86"/>
    <n v="2.68"/>
    <n v="2"/>
    <x v="2"/>
  </r>
  <r>
    <n v="1161"/>
    <d v="2021-07-29T00:00:00"/>
    <x v="19"/>
    <s v="Male"/>
    <n v="159.9"/>
    <n v="90.3"/>
    <n v="12125"/>
    <n v="715.7"/>
    <n v="7.4"/>
    <n v="79"/>
    <x v="4"/>
    <n v="71"/>
    <n v="2.79"/>
    <n v="1"/>
    <x v="0"/>
  </r>
  <r>
    <n v="1956"/>
    <d v="2021-07-30T00:00:00"/>
    <x v="25"/>
    <s v="Male"/>
    <n v="162.69999999999999"/>
    <n v="95.2"/>
    <n v="16401"/>
    <n v="829.5"/>
    <n v="8.9"/>
    <n v="87"/>
    <x v="2"/>
    <n v="32"/>
    <n v="1.48"/>
    <n v="8"/>
    <x v="0"/>
  </r>
  <r>
    <n v="1162"/>
    <d v="2021-07-31T00:00:00"/>
    <x v="31"/>
    <s v="Female"/>
    <n v="161.5"/>
    <n v="45"/>
    <n v="1372"/>
    <n v="304.10000000000002"/>
    <n v="4"/>
    <n v="85"/>
    <x v="1"/>
    <n v="20"/>
    <n v="3.45"/>
    <n v="4"/>
    <x v="2"/>
  </r>
  <r>
    <n v="1831"/>
    <d v="2021-08-01T00:00:00"/>
    <x v="7"/>
    <s v="Female"/>
    <n v="150"/>
    <n v="83"/>
    <n v="15544"/>
    <n v="896.8"/>
    <n v="7.5"/>
    <n v="79"/>
    <x v="3"/>
    <n v="63"/>
    <n v="2.44"/>
    <n v="7"/>
    <x v="0"/>
  </r>
  <r>
    <n v="1792"/>
    <d v="2021-08-02T00:00:00"/>
    <x v="3"/>
    <s v="Female"/>
    <n v="171.3"/>
    <n v="86"/>
    <n v="19898"/>
    <n v="900"/>
    <n v="7.5"/>
    <n v="76"/>
    <x v="0"/>
    <n v="0"/>
    <n v="1.85"/>
    <n v="10"/>
    <x v="0"/>
  </r>
  <r>
    <n v="1791"/>
    <d v="2021-08-03T00:00:00"/>
    <x v="11"/>
    <s v="Male"/>
    <n v="164.8"/>
    <n v="74.900000000000006"/>
    <n v="18315"/>
    <n v="858.7"/>
    <n v="5.7"/>
    <n v="71"/>
    <x v="4"/>
    <n v="24"/>
    <n v="2.6"/>
    <n v="1"/>
    <x v="0"/>
  </r>
  <r>
    <n v="1523"/>
    <d v="2021-08-04T00:00:00"/>
    <x v="22"/>
    <s v="Male"/>
    <n v="162.69999999999999"/>
    <n v="78.8"/>
    <n v="2990"/>
    <n v="367.9"/>
    <n v="8.4"/>
    <n v="74"/>
    <x v="4"/>
    <n v="85"/>
    <n v="3.02"/>
    <n v="8"/>
    <x v="1"/>
  </r>
  <r>
    <n v="1785"/>
    <d v="2021-08-05T00:00:00"/>
    <x v="13"/>
    <s v="Male"/>
    <n v="160.9"/>
    <n v="77.7"/>
    <n v="10607"/>
    <n v="547.20000000000005"/>
    <n v="4.9000000000000004"/>
    <n v="82"/>
    <x v="0"/>
    <n v="0"/>
    <n v="2.86"/>
    <n v="8"/>
    <x v="0"/>
  </r>
  <r>
    <n v="1270"/>
    <d v="2021-08-06T00:00:00"/>
    <x v="37"/>
    <s v="Male"/>
    <n v="169.8"/>
    <n v="83"/>
    <n v="7790"/>
    <n v="466.4"/>
    <n v="8.6"/>
    <n v="79"/>
    <x v="1"/>
    <n v="83"/>
    <n v="1.74"/>
    <n v="10"/>
    <x v="1"/>
  </r>
  <r>
    <n v="1491"/>
    <d v="2021-08-07T00:00:00"/>
    <x v="22"/>
    <s v="Female"/>
    <n v="162"/>
    <n v="53.6"/>
    <n v="9553"/>
    <n v="497.1"/>
    <n v="3.8"/>
    <n v="84"/>
    <x v="5"/>
    <n v="34"/>
    <n v="3.03"/>
    <n v="3"/>
    <x v="2"/>
  </r>
  <r>
    <n v="1207"/>
    <d v="2021-08-08T00:00:00"/>
    <x v="12"/>
    <s v="Male"/>
    <n v="172.2"/>
    <n v="88"/>
    <n v="6383"/>
    <n v="503.5"/>
    <n v="5.6"/>
    <n v="70"/>
    <x v="4"/>
    <n v="87"/>
    <n v="2.46"/>
    <n v="9"/>
    <x v="2"/>
  </r>
  <r>
    <n v="1538"/>
    <d v="2021-08-09T00:00:00"/>
    <x v="14"/>
    <s v="Male"/>
    <n v="174.6"/>
    <n v="73.099999999999994"/>
    <n v="16575"/>
    <n v="891.6"/>
    <n v="6.8"/>
    <n v="86"/>
    <x v="1"/>
    <n v="73"/>
    <n v="2.85"/>
    <n v="5"/>
    <x v="2"/>
  </r>
  <r>
    <n v="1583"/>
    <d v="2021-08-10T00:00:00"/>
    <x v="36"/>
    <s v="Male"/>
    <n v="167.1"/>
    <n v="72.2"/>
    <n v="1715"/>
    <n v="349.5"/>
    <n v="7.3"/>
    <n v="69"/>
    <x v="4"/>
    <n v="30"/>
    <n v="1.94"/>
    <n v="5"/>
    <x v="1"/>
  </r>
  <r>
    <n v="1059"/>
    <d v="2021-08-11T00:00:00"/>
    <x v="18"/>
    <s v="Female"/>
    <n v="166.4"/>
    <n v="78.5"/>
    <n v="10837"/>
    <n v="611.4"/>
    <n v="4.2"/>
    <n v="77"/>
    <x v="1"/>
    <n v="42"/>
    <n v="3.23"/>
    <n v="5"/>
    <x v="2"/>
  </r>
  <r>
    <n v="1429"/>
    <d v="2021-08-12T00:00:00"/>
    <x v="26"/>
    <s v="Male"/>
    <n v="171.9"/>
    <n v="50.9"/>
    <n v="18931"/>
    <n v="900"/>
    <n v="8.6"/>
    <n v="69"/>
    <x v="3"/>
    <n v="20"/>
    <n v="2.63"/>
    <n v="1"/>
    <x v="2"/>
  </r>
  <r>
    <n v="1984"/>
    <d v="2021-08-13T00:00:00"/>
    <x v="41"/>
    <s v="Male"/>
    <n v="169.7"/>
    <n v="46.7"/>
    <n v="14950"/>
    <n v="771.8"/>
    <n v="8.1"/>
    <n v="74"/>
    <x v="5"/>
    <n v="61"/>
    <n v="3.33"/>
    <n v="10"/>
    <x v="0"/>
  </r>
  <r>
    <n v="1656"/>
    <d v="2021-08-14T00:00:00"/>
    <x v="9"/>
    <s v="Male"/>
    <n v="183.3"/>
    <n v="68.2"/>
    <n v="8992"/>
    <n v="493"/>
    <n v="9.9"/>
    <n v="95"/>
    <x v="0"/>
    <n v="0"/>
    <n v="1.43"/>
    <n v="2"/>
    <x v="1"/>
  </r>
  <r>
    <n v="1604"/>
    <d v="2021-08-15T00:00:00"/>
    <x v="24"/>
    <s v="Male"/>
    <n v="173.2"/>
    <n v="93.2"/>
    <n v="18035"/>
    <n v="900"/>
    <n v="8.1"/>
    <n v="80"/>
    <x v="4"/>
    <n v="87"/>
    <n v="1.52"/>
    <n v="1"/>
    <x v="1"/>
  </r>
  <r>
    <n v="1308"/>
    <d v="2021-08-16T00:00:00"/>
    <x v="6"/>
    <s v="Male"/>
    <n v="181"/>
    <n v="52.2"/>
    <n v="2050"/>
    <n v="450.8"/>
    <n v="5.9"/>
    <n v="77"/>
    <x v="0"/>
    <n v="0"/>
    <n v="2.33"/>
    <n v="2"/>
    <x v="1"/>
  </r>
  <r>
    <n v="1519"/>
    <d v="2021-08-17T00:00:00"/>
    <x v="34"/>
    <s v="Female"/>
    <n v="176.1"/>
    <n v="72.599999999999994"/>
    <n v="14357"/>
    <n v="738.1"/>
    <n v="5.4"/>
    <n v="89"/>
    <x v="4"/>
    <n v="21"/>
    <n v="3.53"/>
    <n v="9"/>
    <x v="2"/>
  </r>
  <r>
    <n v="1590"/>
    <d v="2021-08-18T00:00:00"/>
    <x v="37"/>
    <s v="Male"/>
    <n v="156.80000000000001"/>
    <n v="59.2"/>
    <n v="5742"/>
    <n v="459.3"/>
    <n v="6.4"/>
    <n v="50"/>
    <x v="4"/>
    <n v="64"/>
    <n v="3.87"/>
    <n v="9"/>
    <x v="1"/>
  </r>
  <r>
    <n v="1026"/>
    <d v="2021-08-19T00:00:00"/>
    <x v="33"/>
    <s v="Male"/>
    <n v="164.4"/>
    <n v="57.2"/>
    <n v="14369"/>
    <n v="767"/>
    <n v="10"/>
    <n v="73"/>
    <x v="2"/>
    <n v="46"/>
    <n v="1.88"/>
    <n v="5"/>
    <x v="2"/>
  </r>
  <r>
    <n v="1685"/>
    <d v="2021-08-20T00:00:00"/>
    <x v="28"/>
    <s v="Male"/>
    <n v="169.5"/>
    <n v="77.5"/>
    <n v="6044"/>
    <n v="463.8"/>
    <n v="7.1"/>
    <n v="70"/>
    <x v="2"/>
    <n v="80"/>
    <n v="2.54"/>
    <n v="4"/>
    <x v="2"/>
  </r>
  <r>
    <n v="1561"/>
    <d v="2021-08-21T00:00:00"/>
    <x v="37"/>
    <s v="Male"/>
    <n v="178.7"/>
    <n v="81.400000000000006"/>
    <n v="11288"/>
    <n v="704.5"/>
    <n v="7.1"/>
    <n v="66"/>
    <x v="0"/>
    <n v="0"/>
    <n v="2.61"/>
    <n v="2"/>
    <x v="2"/>
  </r>
  <r>
    <n v="1198"/>
    <d v="2021-08-22T00:00:00"/>
    <x v="3"/>
    <s v="Male"/>
    <n v="189.3"/>
    <n v="58.2"/>
    <n v="8261"/>
    <n v="473.3"/>
    <n v="9.1"/>
    <n v="60"/>
    <x v="3"/>
    <n v="88"/>
    <n v="3"/>
    <n v="6"/>
    <x v="2"/>
  </r>
  <r>
    <n v="1386"/>
    <d v="2021-08-23T00:00:00"/>
    <x v="31"/>
    <s v="Male"/>
    <n v="165.2"/>
    <n v="90.8"/>
    <n v="11846"/>
    <n v="649.9"/>
    <n v="5.3"/>
    <n v="73"/>
    <x v="4"/>
    <n v="48"/>
    <n v="3.12"/>
    <n v="9"/>
    <x v="0"/>
  </r>
  <r>
    <n v="1348"/>
    <d v="2021-08-24T00:00:00"/>
    <x v="4"/>
    <s v="Male"/>
    <n v="170.6"/>
    <n v="76.3"/>
    <n v="19064"/>
    <n v="900"/>
    <n v="7.8"/>
    <n v="82"/>
    <x v="5"/>
    <n v="44"/>
    <n v="1.72"/>
    <n v="8"/>
    <x v="1"/>
  </r>
  <r>
    <n v="1959"/>
    <d v="2021-08-25T00:00:00"/>
    <x v="40"/>
    <s v="Male"/>
    <n v="178"/>
    <n v="66.400000000000006"/>
    <n v="10799"/>
    <n v="657.4"/>
    <n v="7.8"/>
    <n v="74"/>
    <x v="2"/>
    <n v="73"/>
    <n v="2.5499999999999998"/>
    <n v="10"/>
    <x v="1"/>
  </r>
  <r>
    <n v="1939"/>
    <d v="2021-08-26T00:00:00"/>
    <x v="33"/>
    <s v="Male"/>
    <n v="169.4"/>
    <n v="75.2"/>
    <n v="4522"/>
    <n v="397.2"/>
    <n v="8.4"/>
    <n v="83"/>
    <x v="1"/>
    <n v="67"/>
    <n v="1.0900000000000001"/>
    <n v="4"/>
    <x v="2"/>
  </r>
  <r>
    <n v="1692"/>
    <d v="2021-08-27T00:00:00"/>
    <x v="28"/>
    <s v="Male"/>
    <n v="186.4"/>
    <n v="100.5"/>
    <n v="14690"/>
    <n v="813.1"/>
    <n v="8.3000000000000007"/>
    <n v="76"/>
    <x v="1"/>
    <n v="65"/>
    <n v="3.07"/>
    <n v="6"/>
    <x v="2"/>
  </r>
  <r>
    <n v="1535"/>
    <d v="2021-08-28T00:00:00"/>
    <x v="38"/>
    <s v="Female"/>
    <n v="156.5"/>
    <n v="81.3"/>
    <n v="3057"/>
    <n v="352.7"/>
    <n v="6.9"/>
    <n v="87"/>
    <x v="1"/>
    <n v="60"/>
    <n v="2.2599999999999998"/>
    <n v="9"/>
    <x v="2"/>
  </r>
  <r>
    <n v="1827"/>
    <d v="2021-08-29T00:00:00"/>
    <x v="2"/>
    <s v="Female"/>
    <n v="176.8"/>
    <n v="59.5"/>
    <n v="3721"/>
    <n v="406.7"/>
    <n v="4.9000000000000004"/>
    <n v="70"/>
    <x v="3"/>
    <n v="60"/>
    <n v="1.66"/>
    <n v="10"/>
    <x v="0"/>
  </r>
  <r>
    <n v="1377"/>
    <d v="2021-08-30T00:00:00"/>
    <x v="16"/>
    <s v="Female"/>
    <n v="176.7"/>
    <n v="69.7"/>
    <n v="5821"/>
    <n v="470.5"/>
    <n v="6.2"/>
    <n v="56"/>
    <x v="4"/>
    <n v="80"/>
    <n v="2.73"/>
    <n v="10"/>
    <x v="2"/>
  </r>
  <r>
    <n v="1898"/>
    <d v="2021-08-31T00:00:00"/>
    <x v="23"/>
    <s v="Female"/>
    <n v="181.5"/>
    <n v="72"/>
    <n v="3563"/>
    <n v="340"/>
    <n v="8.3000000000000007"/>
    <n v="59"/>
    <x v="4"/>
    <n v="30"/>
    <n v="2.2400000000000002"/>
    <n v="4"/>
    <x v="1"/>
  </r>
  <r>
    <n v="1915"/>
    <d v="2021-09-01T00:00:00"/>
    <x v="25"/>
    <s v="Male"/>
    <n v="170.6"/>
    <n v="80"/>
    <n v="15559"/>
    <n v="840"/>
    <n v="9.8000000000000007"/>
    <n v="70"/>
    <x v="0"/>
    <n v="0"/>
    <n v="3.38"/>
    <n v="9"/>
    <x v="1"/>
  </r>
  <r>
    <n v="1557"/>
    <d v="2021-09-02T00:00:00"/>
    <x v="0"/>
    <s v="Female"/>
    <n v="178.9"/>
    <n v="73.599999999999994"/>
    <n v="14692"/>
    <n v="784.3"/>
    <n v="5.2"/>
    <n v="66"/>
    <x v="2"/>
    <n v="51"/>
    <n v="1.88"/>
    <n v="8"/>
    <x v="0"/>
  </r>
  <r>
    <n v="1526"/>
    <d v="2021-09-03T00:00:00"/>
    <x v="26"/>
    <s v="Female"/>
    <n v="167.5"/>
    <n v="98.4"/>
    <n v="16661"/>
    <n v="829.1"/>
    <n v="5.0999999999999996"/>
    <n v="69"/>
    <x v="1"/>
    <n v="68"/>
    <n v="4.0599999999999996"/>
    <n v="3"/>
    <x v="2"/>
  </r>
  <r>
    <n v="1152"/>
    <d v="2021-09-04T00:00:00"/>
    <x v="24"/>
    <s v="Male"/>
    <n v="162"/>
    <n v="66.599999999999994"/>
    <n v="1202"/>
    <n v="245.5"/>
    <n v="4.5999999999999996"/>
    <n v="86"/>
    <x v="3"/>
    <n v="25"/>
    <n v="3.1"/>
    <n v="9"/>
    <x v="1"/>
  </r>
  <r>
    <n v="1733"/>
    <d v="2021-09-05T00:00:00"/>
    <x v="30"/>
    <s v="Female"/>
    <n v="160.5"/>
    <n v="45"/>
    <n v="1941"/>
    <n v="271.89999999999998"/>
    <n v="5.8"/>
    <n v="60"/>
    <x v="0"/>
    <n v="0"/>
    <n v="3.4"/>
    <n v="5"/>
    <x v="0"/>
  </r>
  <r>
    <n v="1205"/>
    <d v="2021-09-06T00:00:00"/>
    <x v="35"/>
    <s v="Female"/>
    <n v="155.6"/>
    <n v="73.2"/>
    <n v="17972"/>
    <n v="834"/>
    <n v="8.4"/>
    <n v="90"/>
    <x v="5"/>
    <n v="25"/>
    <n v="1.78"/>
    <n v="1"/>
    <x v="1"/>
  </r>
  <r>
    <n v="1454"/>
    <d v="2021-09-07T00:00:00"/>
    <x v="13"/>
    <s v="Male"/>
    <n v="165.6"/>
    <n v="63.4"/>
    <n v="9762"/>
    <n v="629.20000000000005"/>
    <n v="9"/>
    <n v="67"/>
    <x v="4"/>
    <n v="66"/>
    <n v="3.75"/>
    <n v="8"/>
    <x v="0"/>
  </r>
  <r>
    <n v="1272"/>
    <d v="2021-09-08T00:00:00"/>
    <x v="23"/>
    <s v="Male"/>
    <n v="173.1"/>
    <n v="47.4"/>
    <n v="10537"/>
    <n v="668.7"/>
    <n v="3.9"/>
    <n v="63"/>
    <x v="4"/>
    <n v="82"/>
    <n v="1.65"/>
    <n v="5"/>
    <x v="2"/>
  </r>
  <r>
    <n v="1893"/>
    <d v="2021-09-09T00:00:00"/>
    <x v="25"/>
    <s v="Male"/>
    <n v="167.9"/>
    <n v="59.4"/>
    <n v="2642"/>
    <n v="332.9"/>
    <n v="5.2"/>
    <n v="74"/>
    <x v="3"/>
    <n v="68"/>
    <n v="2.35"/>
    <n v="5"/>
    <x v="1"/>
  </r>
  <r>
    <n v="1235"/>
    <d v="2021-09-10T00:00:00"/>
    <x v="29"/>
    <s v="Female"/>
    <n v="172"/>
    <n v="64.599999999999994"/>
    <n v="2365"/>
    <n v="338.8"/>
    <n v="4.9000000000000004"/>
    <n v="90"/>
    <x v="0"/>
    <n v="0"/>
    <n v="3.41"/>
    <n v="2"/>
    <x v="1"/>
  </r>
  <r>
    <n v="1851"/>
    <d v="2021-09-11T00:00:00"/>
    <x v="29"/>
    <s v="Female"/>
    <n v="182.3"/>
    <n v="87.1"/>
    <n v="8556"/>
    <n v="533.4"/>
    <n v="5.7"/>
    <n v="68"/>
    <x v="0"/>
    <n v="0"/>
    <n v="2.85"/>
    <n v="9"/>
    <x v="2"/>
  </r>
  <r>
    <n v="1739"/>
    <d v="2021-09-12T00:00:00"/>
    <x v="40"/>
    <s v="Male"/>
    <n v="164.8"/>
    <n v="47.8"/>
    <n v="1008"/>
    <n v="214.6"/>
    <n v="6.7"/>
    <n v="69"/>
    <x v="2"/>
    <n v="38"/>
    <n v="1.63"/>
    <n v="6"/>
    <x v="2"/>
  </r>
  <r>
    <n v="1520"/>
    <d v="2021-09-13T00:00:00"/>
    <x v="22"/>
    <s v="Male"/>
    <n v="193.4"/>
    <n v="75.2"/>
    <n v="17915"/>
    <n v="900"/>
    <n v="6.4"/>
    <n v="70"/>
    <x v="3"/>
    <n v="74"/>
    <n v="3.29"/>
    <n v="10"/>
    <x v="0"/>
  </r>
  <r>
    <n v="1677"/>
    <d v="2021-09-14T00:00:00"/>
    <x v="17"/>
    <s v="Female"/>
    <n v="177.6"/>
    <n v="103.3"/>
    <n v="2035"/>
    <n v="228.5"/>
    <n v="7.8"/>
    <n v="87"/>
    <x v="0"/>
    <n v="0"/>
    <n v="2.74"/>
    <n v="3"/>
    <x v="2"/>
  </r>
  <r>
    <n v="1943"/>
    <d v="2021-09-15T00:00:00"/>
    <x v="12"/>
    <s v="Male"/>
    <n v="168"/>
    <n v="67.400000000000006"/>
    <n v="13763"/>
    <n v="695.8"/>
    <n v="4.0999999999999996"/>
    <n v="71"/>
    <x v="2"/>
    <n v="60"/>
    <n v="2.21"/>
    <n v="7"/>
    <x v="1"/>
  </r>
  <r>
    <n v="1955"/>
    <d v="2021-09-16T00:00:00"/>
    <x v="37"/>
    <s v="Female"/>
    <n v="167.8"/>
    <n v="66.900000000000006"/>
    <n v="19001"/>
    <n v="900"/>
    <n v="6.2"/>
    <n v="79"/>
    <x v="0"/>
    <n v="0"/>
    <n v="1.42"/>
    <n v="2"/>
    <x v="1"/>
  </r>
  <r>
    <n v="1830"/>
    <d v="2021-09-17T00:00:00"/>
    <x v="15"/>
    <s v="Male"/>
    <n v="159.9"/>
    <n v="80.8"/>
    <n v="7722"/>
    <n v="529.9"/>
    <n v="9"/>
    <n v="76"/>
    <x v="4"/>
    <n v="76"/>
    <n v="2.8"/>
    <n v="7"/>
    <x v="2"/>
  </r>
  <r>
    <n v="1725"/>
    <d v="2021-09-18T00:00:00"/>
    <x v="17"/>
    <s v="Male"/>
    <n v="169.7"/>
    <n v="77.8"/>
    <n v="18460"/>
    <n v="900"/>
    <n v="9.1"/>
    <n v="74"/>
    <x v="2"/>
    <n v="35"/>
    <n v="2.39"/>
    <n v="2"/>
    <x v="2"/>
  </r>
  <r>
    <n v="1500"/>
    <d v="2021-09-19T00:00:00"/>
    <x v="36"/>
    <s v="Female"/>
    <n v="150"/>
    <n v="91.3"/>
    <n v="5015"/>
    <n v="315.10000000000002"/>
    <n v="9.5"/>
    <n v="70"/>
    <x v="0"/>
    <n v="0"/>
    <n v="2.61"/>
    <n v="5"/>
    <x v="2"/>
  </r>
  <r>
    <n v="1116"/>
    <d v="2021-09-20T00:00:00"/>
    <x v="31"/>
    <s v="Male"/>
    <n v="182.6"/>
    <n v="67.5"/>
    <n v="8129"/>
    <n v="520.29999999999995"/>
    <n v="7.6"/>
    <n v="95"/>
    <x v="2"/>
    <n v="57"/>
    <n v="1.39"/>
    <n v="10"/>
    <x v="2"/>
  </r>
  <r>
    <n v="1385"/>
    <d v="2021-09-21T00:00:00"/>
    <x v="30"/>
    <s v="Male"/>
    <n v="150"/>
    <n v="80.5"/>
    <n v="3962"/>
    <n v="302"/>
    <n v="6"/>
    <n v="103"/>
    <x v="2"/>
    <n v="28"/>
    <n v="2.21"/>
    <n v="10"/>
    <x v="1"/>
  </r>
  <r>
    <n v="1343"/>
    <d v="2021-09-22T00:00:00"/>
    <x v="4"/>
    <s v="Male"/>
    <n v="170.4"/>
    <n v="80.8"/>
    <n v="5840"/>
    <n v="476.4"/>
    <n v="7.3"/>
    <n v="66"/>
    <x v="0"/>
    <n v="0"/>
    <n v="2.84"/>
    <n v="9"/>
    <x v="0"/>
  </r>
  <r>
    <n v="1583"/>
    <d v="2021-09-23T00:00:00"/>
    <x v="39"/>
    <s v="Female"/>
    <n v="158.6"/>
    <n v="65"/>
    <n v="18296"/>
    <n v="900"/>
    <n v="10"/>
    <n v="64"/>
    <x v="2"/>
    <n v="65"/>
    <n v="3.81"/>
    <n v="9"/>
    <x v="1"/>
  </r>
  <r>
    <n v="1394"/>
    <d v="2021-09-24T00:00:00"/>
    <x v="17"/>
    <s v="Male"/>
    <n v="163"/>
    <n v="68.3"/>
    <n v="16337"/>
    <n v="878.7"/>
    <n v="6.2"/>
    <n v="75"/>
    <x v="1"/>
    <n v="56"/>
    <n v="2.36"/>
    <n v="6"/>
    <x v="1"/>
  </r>
  <r>
    <n v="1063"/>
    <d v="2021-09-25T00:00:00"/>
    <x v="8"/>
    <s v="Male"/>
    <n v="164.3"/>
    <n v="69.8"/>
    <n v="6699"/>
    <n v="440.1"/>
    <n v="9.6999999999999993"/>
    <n v="52"/>
    <x v="1"/>
    <n v="62"/>
    <n v="3.51"/>
    <n v="3"/>
    <x v="0"/>
  </r>
  <r>
    <n v="1716"/>
    <d v="2021-09-26T00:00:00"/>
    <x v="20"/>
    <s v="Male"/>
    <n v="189.3"/>
    <n v="51.4"/>
    <n v="6922"/>
    <n v="439.5"/>
    <n v="3.3"/>
    <n v="75"/>
    <x v="0"/>
    <n v="0"/>
    <n v="3.05"/>
    <n v="4"/>
    <x v="2"/>
  </r>
  <r>
    <n v="1720"/>
    <d v="2021-09-27T00:00:00"/>
    <x v="1"/>
    <s v="Male"/>
    <n v="159"/>
    <n v="64.2"/>
    <n v="15862"/>
    <n v="813.9"/>
    <n v="7.9"/>
    <n v="95"/>
    <x v="1"/>
    <n v="25"/>
    <n v="2.66"/>
    <n v="4"/>
    <x v="0"/>
  </r>
  <r>
    <n v="1071"/>
    <d v="2021-09-28T00:00:00"/>
    <x v="39"/>
    <s v="Male"/>
    <n v="179.1"/>
    <n v="92.4"/>
    <n v="14598"/>
    <n v="741.9"/>
    <n v="8"/>
    <n v="69"/>
    <x v="1"/>
    <n v="57"/>
    <n v="1.79"/>
    <n v="9"/>
    <x v="1"/>
  </r>
  <r>
    <n v="1788"/>
    <d v="2021-09-29T00:00:00"/>
    <x v="11"/>
    <s v="Male"/>
    <n v="181.6"/>
    <n v="85.6"/>
    <n v="2898"/>
    <n v="308"/>
    <n v="7.6"/>
    <n v="86"/>
    <x v="3"/>
    <n v="80"/>
    <n v="1.82"/>
    <n v="4"/>
    <x v="2"/>
  </r>
  <r>
    <n v="1273"/>
    <d v="2021-09-30T00:00:00"/>
    <x v="18"/>
    <s v="Female"/>
    <n v="150"/>
    <n v="61.3"/>
    <n v="3822"/>
    <n v="315.3"/>
    <n v="7.7"/>
    <n v="90"/>
    <x v="5"/>
    <n v="23"/>
    <n v="2.93"/>
    <n v="4"/>
    <x v="2"/>
  </r>
  <r>
    <n v="1989"/>
    <d v="2021-10-01T00:00:00"/>
    <x v="9"/>
    <s v="Female"/>
    <n v="163.80000000000001"/>
    <n v="69.8"/>
    <n v="5484"/>
    <n v="350.3"/>
    <n v="7.8"/>
    <n v="66"/>
    <x v="0"/>
    <n v="0"/>
    <n v="2.13"/>
    <n v="5"/>
    <x v="2"/>
  </r>
  <r>
    <n v="1319"/>
    <d v="2021-10-02T00:00:00"/>
    <x v="34"/>
    <s v="Male"/>
    <n v="184.8"/>
    <n v="84.6"/>
    <n v="14052"/>
    <n v="781.1"/>
    <n v="7.9"/>
    <n v="77"/>
    <x v="2"/>
    <n v="89"/>
    <n v="2.0699999999999998"/>
    <n v="6"/>
    <x v="2"/>
  </r>
  <r>
    <n v="1337"/>
    <d v="2021-10-03T00:00:00"/>
    <x v="36"/>
    <s v="Female"/>
    <n v="156.9"/>
    <n v="76.7"/>
    <n v="19038"/>
    <n v="900"/>
    <n v="6.5"/>
    <n v="79"/>
    <x v="3"/>
    <n v="79"/>
    <n v="2.37"/>
    <n v="8"/>
    <x v="2"/>
  </r>
  <r>
    <n v="1365"/>
    <d v="2021-10-04T00:00:00"/>
    <x v="4"/>
    <s v="Female"/>
    <n v="182"/>
    <n v="82"/>
    <n v="17975"/>
    <n v="900"/>
    <n v="6.6"/>
    <n v="82"/>
    <x v="0"/>
    <n v="0"/>
    <n v="2.39"/>
    <n v="1"/>
    <x v="2"/>
  </r>
  <r>
    <n v="1494"/>
    <d v="2021-10-05T00:00:00"/>
    <x v="25"/>
    <s v="Male"/>
    <n v="169.8"/>
    <n v="78"/>
    <n v="2848"/>
    <n v="292.3"/>
    <n v="5"/>
    <n v="83"/>
    <x v="1"/>
    <n v="78"/>
    <n v="3.13"/>
    <n v="5"/>
    <x v="0"/>
  </r>
  <r>
    <n v="1606"/>
    <d v="2021-10-06T00:00:00"/>
    <x v="26"/>
    <s v="Female"/>
    <n v="169.4"/>
    <n v="73.2"/>
    <n v="14269"/>
    <n v="676.2"/>
    <n v="8.1"/>
    <n v="86"/>
    <x v="2"/>
    <n v="26"/>
    <n v="2.15"/>
    <n v="9"/>
    <x v="2"/>
  </r>
  <r>
    <n v="1165"/>
    <d v="2021-10-07T00:00:00"/>
    <x v="13"/>
    <s v="Female"/>
    <n v="170.7"/>
    <n v="67.5"/>
    <n v="4041"/>
    <n v="402.4"/>
    <n v="9"/>
    <n v="67"/>
    <x v="5"/>
    <n v="87"/>
    <n v="3.06"/>
    <n v="10"/>
    <x v="0"/>
  </r>
  <r>
    <n v="1543"/>
    <d v="2021-10-08T00:00:00"/>
    <x v="27"/>
    <s v="Female"/>
    <n v="173.4"/>
    <n v="52.1"/>
    <n v="17551"/>
    <n v="900"/>
    <n v="9.6"/>
    <n v="77"/>
    <x v="0"/>
    <n v="0"/>
    <n v="2.81"/>
    <n v="4"/>
    <x v="0"/>
  </r>
  <r>
    <n v="1010"/>
    <d v="2021-10-09T00:00:00"/>
    <x v="19"/>
    <s v="Female"/>
    <n v="160.4"/>
    <n v="80.400000000000006"/>
    <n v="5379"/>
    <n v="472.3"/>
    <n v="5.8"/>
    <n v="90"/>
    <x v="2"/>
    <n v="67"/>
    <n v="1.33"/>
    <n v="8"/>
    <x v="0"/>
  </r>
  <r>
    <n v="1300"/>
    <d v="2021-10-10T00:00:00"/>
    <x v="14"/>
    <s v="Female"/>
    <n v="167.4"/>
    <n v="66.7"/>
    <n v="8661"/>
    <n v="620"/>
    <n v="4.4000000000000004"/>
    <n v="91"/>
    <x v="4"/>
    <n v="61"/>
    <n v="2.71"/>
    <n v="9"/>
    <x v="2"/>
  </r>
  <r>
    <n v="1728"/>
    <d v="2021-10-11T00:00:00"/>
    <x v="40"/>
    <s v="Female"/>
    <n v="173.7"/>
    <n v="45.3"/>
    <n v="7967"/>
    <n v="593"/>
    <n v="7.6"/>
    <n v="77"/>
    <x v="4"/>
    <n v="49"/>
    <n v="0.63"/>
    <n v="1"/>
    <x v="2"/>
  </r>
  <r>
    <n v="1800"/>
    <d v="2021-10-12T00:00:00"/>
    <x v="28"/>
    <s v="Female"/>
    <n v="171.8"/>
    <n v="61.8"/>
    <n v="13199"/>
    <n v="679.1"/>
    <n v="5.3"/>
    <n v="70"/>
    <x v="0"/>
    <n v="0"/>
    <n v="1.87"/>
    <n v="8"/>
    <x v="2"/>
  </r>
  <r>
    <n v="1101"/>
    <d v="2021-10-13T00:00:00"/>
    <x v="32"/>
    <s v="Female"/>
    <n v="173.5"/>
    <n v="82.8"/>
    <n v="16674"/>
    <n v="900"/>
    <n v="7.9"/>
    <n v="85"/>
    <x v="3"/>
    <n v="54"/>
    <n v="2.82"/>
    <n v="8"/>
    <x v="2"/>
  </r>
  <r>
    <n v="1424"/>
    <d v="2021-10-14T00:00:00"/>
    <x v="8"/>
    <s v="Male"/>
    <n v="162.80000000000001"/>
    <n v="45"/>
    <n v="14531"/>
    <n v="764.8"/>
    <n v="3.7"/>
    <n v="80"/>
    <x v="5"/>
    <n v="81"/>
    <n v="2.4900000000000002"/>
    <n v="5"/>
    <x v="1"/>
  </r>
  <r>
    <n v="1391"/>
    <d v="2021-10-15T00:00:00"/>
    <x v="34"/>
    <s v="Male"/>
    <n v="176.3"/>
    <n v="54.6"/>
    <n v="19565"/>
    <n v="900"/>
    <n v="8.6"/>
    <n v="80"/>
    <x v="3"/>
    <n v="70"/>
    <n v="1.26"/>
    <n v="10"/>
    <x v="1"/>
  </r>
  <r>
    <n v="1778"/>
    <d v="2021-10-16T00:00:00"/>
    <x v="40"/>
    <s v="Female"/>
    <n v="171.3"/>
    <n v="72.099999999999994"/>
    <n v="1832"/>
    <n v="286.3"/>
    <n v="7.2"/>
    <n v="83"/>
    <x v="2"/>
    <n v="69"/>
    <n v="1.72"/>
    <n v="2"/>
    <x v="2"/>
  </r>
  <r>
    <n v="1213"/>
    <d v="2021-10-17T00:00:00"/>
    <x v="35"/>
    <s v="Female"/>
    <n v="154.19999999999999"/>
    <n v="91.1"/>
    <n v="15210"/>
    <n v="759.8"/>
    <n v="4.0999999999999996"/>
    <n v="65"/>
    <x v="5"/>
    <n v="49"/>
    <n v="0.67"/>
    <n v="7"/>
    <x v="1"/>
  </r>
  <r>
    <n v="1690"/>
    <d v="2021-10-18T00:00:00"/>
    <x v="5"/>
    <s v="Male"/>
    <n v="164.7"/>
    <n v="85"/>
    <n v="18405"/>
    <n v="900"/>
    <n v="7.5"/>
    <n v="83"/>
    <x v="0"/>
    <n v="0"/>
    <n v="1.56"/>
    <n v="5"/>
    <x v="2"/>
  </r>
  <r>
    <n v="1087"/>
    <d v="2021-10-19T00:00:00"/>
    <x v="12"/>
    <s v="Female"/>
    <n v="161"/>
    <n v="92.5"/>
    <n v="11185"/>
    <n v="624.6"/>
    <n v="7.1"/>
    <n v="77"/>
    <x v="3"/>
    <n v="69"/>
    <n v="2.91"/>
    <n v="5"/>
    <x v="2"/>
  </r>
  <r>
    <n v="1552"/>
    <d v="2021-10-20T00:00:00"/>
    <x v="26"/>
    <s v="Female"/>
    <n v="160.9"/>
    <n v="73.099999999999994"/>
    <n v="4492"/>
    <n v="472.6"/>
    <n v="7.8"/>
    <n v="86"/>
    <x v="2"/>
    <n v="73"/>
    <n v="2.11"/>
    <n v="6"/>
    <x v="2"/>
  </r>
  <r>
    <n v="1400"/>
    <d v="2021-10-21T00:00:00"/>
    <x v="19"/>
    <s v="Male"/>
    <n v="165.2"/>
    <n v="66.900000000000006"/>
    <n v="12862"/>
    <n v="676.3"/>
    <n v="8.1999999999999993"/>
    <n v="75"/>
    <x v="1"/>
    <n v="23"/>
    <n v="2.62"/>
    <n v="10"/>
    <x v="2"/>
  </r>
  <r>
    <n v="1587"/>
    <d v="2021-10-22T00:00:00"/>
    <x v="24"/>
    <s v="Male"/>
    <n v="176.1"/>
    <n v="82.6"/>
    <n v="1288"/>
    <n v="201.3"/>
    <n v="3.4"/>
    <n v="81"/>
    <x v="2"/>
    <n v="31"/>
    <n v="2.5099999999999998"/>
    <n v="8"/>
    <x v="2"/>
  </r>
  <r>
    <n v="1888"/>
    <d v="2021-10-23T00:00:00"/>
    <x v="10"/>
    <s v="Male"/>
    <n v="163.69999999999999"/>
    <n v="56.5"/>
    <n v="8816"/>
    <n v="519.5"/>
    <n v="6.3"/>
    <n v="80"/>
    <x v="3"/>
    <n v="34"/>
    <n v="2.52"/>
    <n v="1"/>
    <x v="2"/>
  </r>
  <r>
    <n v="1045"/>
    <d v="2021-10-24T00:00:00"/>
    <x v="13"/>
    <s v="Female"/>
    <n v="172.3"/>
    <n v="55.3"/>
    <n v="2076"/>
    <n v="357.8"/>
    <n v="6.9"/>
    <n v="70"/>
    <x v="0"/>
    <n v="0"/>
    <n v="3.22"/>
    <n v="3"/>
    <x v="2"/>
  </r>
  <r>
    <n v="1671"/>
    <d v="2021-10-25T00:00:00"/>
    <x v="14"/>
    <s v="Female"/>
    <n v="170.6"/>
    <n v="52.7"/>
    <n v="16564"/>
    <n v="784.2"/>
    <n v="6.6"/>
    <n v="66"/>
    <x v="0"/>
    <n v="0"/>
    <n v="2.36"/>
    <n v="7"/>
    <x v="0"/>
  </r>
  <r>
    <n v="1462"/>
    <d v="2021-10-26T00:00:00"/>
    <x v="38"/>
    <s v="Male"/>
    <n v="162.19999999999999"/>
    <n v="86.3"/>
    <n v="2371"/>
    <n v="340.5"/>
    <n v="6.5"/>
    <n v="83"/>
    <x v="5"/>
    <n v="80"/>
    <n v="3.14"/>
    <n v="9"/>
    <x v="0"/>
  </r>
  <r>
    <n v="1591"/>
    <d v="2021-10-27T00:00:00"/>
    <x v="13"/>
    <s v="Male"/>
    <n v="166.6"/>
    <n v="57.5"/>
    <n v="2074"/>
    <n v="374.6"/>
    <n v="8.6"/>
    <n v="66"/>
    <x v="5"/>
    <n v="38"/>
    <n v="0.77"/>
    <n v="10"/>
    <x v="1"/>
  </r>
  <r>
    <n v="1309"/>
    <d v="2021-10-28T00:00:00"/>
    <x v="22"/>
    <s v="Female"/>
    <n v="178.6"/>
    <n v="85"/>
    <n v="5934"/>
    <n v="428.9"/>
    <n v="4.4000000000000004"/>
    <n v="72"/>
    <x v="1"/>
    <n v="72"/>
    <n v="3.28"/>
    <n v="2"/>
    <x v="1"/>
  </r>
  <r>
    <n v="1085"/>
    <d v="2021-10-29T00:00:00"/>
    <x v="5"/>
    <s v="Male"/>
    <n v="171.5"/>
    <n v="72.2"/>
    <n v="1039"/>
    <n v="221.9"/>
    <n v="6.6"/>
    <n v="71"/>
    <x v="3"/>
    <n v="76"/>
    <n v="1.6"/>
    <n v="4"/>
    <x v="0"/>
  </r>
  <r>
    <n v="1091"/>
    <d v="2021-10-30T00:00:00"/>
    <x v="16"/>
    <s v="Female"/>
    <n v="175.5"/>
    <n v="86.5"/>
    <n v="5274"/>
    <n v="415"/>
    <n v="6.7"/>
    <n v="79"/>
    <x v="0"/>
    <n v="0"/>
    <n v="1.75"/>
    <n v="4"/>
    <x v="0"/>
  </r>
  <r>
    <n v="1659"/>
    <d v="2021-10-31T00:00:00"/>
    <x v="3"/>
    <s v="Female"/>
    <n v="182.7"/>
    <n v="53.4"/>
    <n v="17566"/>
    <n v="846.5"/>
    <n v="6.8"/>
    <n v="82"/>
    <x v="0"/>
    <n v="0"/>
    <n v="2.0099999999999998"/>
    <n v="7"/>
    <x v="0"/>
  </r>
  <r>
    <n v="1672"/>
    <d v="2021-11-01T00:00:00"/>
    <x v="34"/>
    <s v="Male"/>
    <n v="174.3"/>
    <n v="60.6"/>
    <n v="6496"/>
    <n v="592.29999999999995"/>
    <n v="5.5"/>
    <n v="59"/>
    <x v="1"/>
    <n v="26"/>
    <n v="3.26"/>
    <n v="5"/>
    <x v="1"/>
  </r>
  <r>
    <n v="1713"/>
    <d v="2021-11-02T00:00:00"/>
    <x v="17"/>
    <s v="Male"/>
    <n v="150.80000000000001"/>
    <n v="76.8"/>
    <n v="13992"/>
    <n v="793.2"/>
    <n v="10"/>
    <n v="68"/>
    <x v="4"/>
    <n v="36"/>
    <n v="1.88"/>
    <n v="5"/>
    <x v="2"/>
  </r>
  <r>
    <n v="1935"/>
    <d v="2021-11-03T00:00:00"/>
    <x v="33"/>
    <s v="Female"/>
    <n v="172.7"/>
    <n v="63.5"/>
    <n v="3508"/>
    <n v="279.3"/>
    <n v="8.5"/>
    <n v="67"/>
    <x v="0"/>
    <n v="0"/>
    <n v="2.04"/>
    <n v="7"/>
    <x v="1"/>
  </r>
  <r>
    <n v="1927"/>
    <d v="2021-11-04T00:00:00"/>
    <x v="23"/>
    <s v="Male"/>
    <n v="163.80000000000001"/>
    <n v="45"/>
    <n v="13018"/>
    <n v="680.4"/>
    <n v="10"/>
    <n v="73"/>
    <x v="2"/>
    <n v="57"/>
    <n v="1.83"/>
    <n v="2"/>
    <x v="2"/>
  </r>
  <r>
    <n v="1241"/>
    <d v="2021-11-05T00:00:00"/>
    <x v="11"/>
    <s v="Male"/>
    <n v="188.1"/>
    <n v="49.4"/>
    <n v="9072"/>
    <n v="571.79999999999995"/>
    <n v="8"/>
    <n v="55"/>
    <x v="4"/>
    <n v="66"/>
    <n v="2.68"/>
    <n v="8"/>
    <x v="2"/>
  </r>
  <r>
    <n v="1864"/>
    <d v="2021-11-06T00:00:00"/>
    <x v="17"/>
    <s v="Male"/>
    <n v="174"/>
    <n v="53.3"/>
    <n v="14348"/>
    <n v="709.2"/>
    <n v="8.1"/>
    <n v="86"/>
    <x v="4"/>
    <n v="29"/>
    <n v="3.02"/>
    <n v="6"/>
    <x v="1"/>
  </r>
  <r>
    <n v="1001"/>
    <d v="2021-11-07T00:00:00"/>
    <x v="3"/>
    <s v="Male"/>
    <n v="164"/>
    <n v="54.4"/>
    <n v="14910"/>
    <n v="721.2"/>
    <n v="7"/>
    <n v="76"/>
    <x v="1"/>
    <n v="43"/>
    <n v="3.69"/>
    <n v="5"/>
    <x v="2"/>
  </r>
  <r>
    <n v="1224"/>
    <d v="2021-11-08T00:00:00"/>
    <x v="36"/>
    <s v="Female"/>
    <n v="175.7"/>
    <n v="80.2"/>
    <n v="14952"/>
    <n v="812.8"/>
    <n v="9.3000000000000007"/>
    <n v="74"/>
    <x v="1"/>
    <n v="69"/>
    <n v="4.18"/>
    <n v="1"/>
    <x v="1"/>
  </r>
  <r>
    <n v="1800"/>
    <d v="2021-11-09T00:00:00"/>
    <x v="30"/>
    <s v="Female"/>
    <n v="170.9"/>
    <n v="75.099999999999994"/>
    <n v="17065"/>
    <n v="900"/>
    <n v="7.8"/>
    <n v="83"/>
    <x v="2"/>
    <n v="87"/>
    <n v="2.96"/>
    <n v="2"/>
    <x v="0"/>
  </r>
  <r>
    <n v="1744"/>
    <d v="2021-11-10T00:00:00"/>
    <x v="22"/>
    <s v="Female"/>
    <n v="152.80000000000001"/>
    <n v="72.400000000000006"/>
    <n v="1318"/>
    <n v="298.5"/>
    <n v="6.7"/>
    <n v="80"/>
    <x v="1"/>
    <n v="62"/>
    <n v="2.76"/>
    <n v="6"/>
    <x v="0"/>
  </r>
  <r>
    <n v="1972"/>
    <d v="2021-11-11T00:00:00"/>
    <x v="38"/>
    <s v="Female"/>
    <n v="178.6"/>
    <n v="100.1"/>
    <n v="12818"/>
    <n v="709.7"/>
    <n v="9.8000000000000007"/>
    <n v="80"/>
    <x v="1"/>
    <n v="56"/>
    <n v="1.65"/>
    <n v="6"/>
    <x v="1"/>
  </r>
  <r>
    <n v="1925"/>
    <d v="2021-11-12T00:00:00"/>
    <x v="0"/>
    <s v="Male"/>
    <n v="165.9"/>
    <n v="87.6"/>
    <n v="19787"/>
    <n v="900"/>
    <n v="5"/>
    <n v="75"/>
    <x v="1"/>
    <n v="64"/>
    <n v="3.84"/>
    <n v="9"/>
    <x v="1"/>
  </r>
  <r>
    <n v="1928"/>
    <d v="2021-11-13T00:00:00"/>
    <x v="11"/>
    <s v="Male"/>
    <n v="184.2"/>
    <n v="82"/>
    <n v="14982"/>
    <n v="801.9"/>
    <n v="5.9"/>
    <n v="76"/>
    <x v="0"/>
    <n v="0"/>
    <n v="2.65"/>
    <n v="6"/>
    <x v="1"/>
  </r>
  <r>
    <n v="1588"/>
    <d v="2021-11-14T00:00:00"/>
    <x v="0"/>
    <s v="Female"/>
    <n v="168.8"/>
    <n v="47.6"/>
    <n v="11856"/>
    <n v="723.8"/>
    <n v="10"/>
    <n v="83"/>
    <x v="1"/>
    <n v="62"/>
    <n v="2.2999999999999998"/>
    <n v="1"/>
    <x v="1"/>
  </r>
  <r>
    <n v="1115"/>
    <d v="2021-11-15T00:00:00"/>
    <x v="18"/>
    <s v="Female"/>
    <n v="184.4"/>
    <n v="70.900000000000006"/>
    <n v="13516"/>
    <n v="677.8"/>
    <n v="8"/>
    <n v="80"/>
    <x v="1"/>
    <n v="87"/>
    <n v="2.77"/>
    <n v="7"/>
    <x v="2"/>
  </r>
  <r>
    <n v="1665"/>
    <d v="2021-11-16T00:00:00"/>
    <x v="12"/>
    <s v="Male"/>
    <n v="174.2"/>
    <n v="74.5"/>
    <n v="1728"/>
    <n v="230.2"/>
    <n v="3.1"/>
    <n v="92"/>
    <x v="4"/>
    <n v="56"/>
    <n v="2.0499999999999998"/>
    <n v="3"/>
    <x v="0"/>
  </r>
  <r>
    <n v="1917"/>
    <d v="2021-11-17T00:00:00"/>
    <x v="37"/>
    <s v="Female"/>
    <n v="179.7"/>
    <n v="63.8"/>
    <n v="2287"/>
    <n v="272.60000000000002"/>
    <n v="8.5"/>
    <n v="76"/>
    <x v="4"/>
    <n v="60"/>
    <n v="0.86"/>
    <n v="8"/>
    <x v="1"/>
  </r>
  <r>
    <n v="1102"/>
    <d v="2021-11-18T00:00:00"/>
    <x v="32"/>
    <s v="Female"/>
    <n v="165.1"/>
    <n v="95.6"/>
    <n v="5001"/>
    <n v="387.9"/>
    <n v="5.5"/>
    <n v="82"/>
    <x v="2"/>
    <n v="20"/>
    <n v="2.9"/>
    <n v="6"/>
    <x v="1"/>
  </r>
  <r>
    <n v="1193"/>
    <d v="2021-11-19T00:00:00"/>
    <x v="9"/>
    <s v="Male"/>
    <n v="173.5"/>
    <n v="70.8"/>
    <n v="9752"/>
    <n v="587.4"/>
    <n v="6.1"/>
    <n v="74"/>
    <x v="5"/>
    <n v="35"/>
    <n v="3.44"/>
    <n v="3"/>
    <x v="0"/>
  </r>
  <r>
    <n v="1165"/>
    <d v="2021-11-20T00:00:00"/>
    <x v="6"/>
    <s v="Female"/>
    <n v="152.69999999999999"/>
    <n v="51.6"/>
    <n v="2375"/>
    <n v="293.8"/>
    <n v="10"/>
    <n v="78"/>
    <x v="2"/>
    <n v="56"/>
    <n v="2.89"/>
    <n v="3"/>
    <x v="1"/>
  </r>
  <r>
    <n v="1870"/>
    <d v="2021-11-21T00:00:00"/>
    <x v="16"/>
    <s v="Male"/>
    <n v="168.7"/>
    <n v="55"/>
    <n v="15970"/>
    <n v="872.5"/>
    <n v="9.5"/>
    <n v="79"/>
    <x v="0"/>
    <n v="0"/>
    <n v="2.5"/>
    <n v="8"/>
    <x v="0"/>
  </r>
  <r>
    <n v="1089"/>
    <d v="2021-11-22T00:00:00"/>
    <x v="17"/>
    <s v="Male"/>
    <n v="155.19999999999999"/>
    <n v="104.2"/>
    <n v="13078"/>
    <n v="635"/>
    <n v="10"/>
    <n v="71"/>
    <x v="0"/>
    <n v="0"/>
    <n v="2.5099999999999998"/>
    <n v="6"/>
    <x v="0"/>
  </r>
  <r>
    <n v="1685"/>
    <d v="2021-11-23T00:00:00"/>
    <x v="4"/>
    <s v="Female"/>
    <n v="158.6"/>
    <n v="63.7"/>
    <n v="1024"/>
    <n v="160.9"/>
    <n v="6.1"/>
    <n v="69"/>
    <x v="0"/>
    <n v="0"/>
    <n v="2.62"/>
    <n v="2"/>
    <x v="1"/>
  </r>
  <r>
    <n v="1121"/>
    <d v="2021-11-24T00:00:00"/>
    <x v="31"/>
    <s v="Male"/>
    <n v="161.1"/>
    <n v="45"/>
    <n v="18538"/>
    <n v="900"/>
    <n v="6.6"/>
    <n v="81"/>
    <x v="3"/>
    <n v="70"/>
    <n v="2.6"/>
    <n v="3"/>
    <x v="2"/>
  </r>
  <r>
    <n v="1142"/>
    <d v="2021-11-25T00:00:00"/>
    <x v="4"/>
    <s v="Female"/>
    <n v="176.6"/>
    <n v="61"/>
    <n v="13657"/>
    <n v="789.5"/>
    <n v="7.3"/>
    <n v="80"/>
    <x v="2"/>
    <n v="83"/>
    <n v="2.46"/>
    <n v="6"/>
    <x v="1"/>
  </r>
  <r>
    <n v="1993"/>
    <d v="2021-11-26T00:00:00"/>
    <x v="13"/>
    <s v="Male"/>
    <n v="168.5"/>
    <n v="45"/>
    <n v="18843"/>
    <n v="900"/>
    <n v="8.3000000000000007"/>
    <n v="90"/>
    <x v="2"/>
    <n v="41"/>
    <n v="2.52"/>
    <n v="7"/>
    <x v="2"/>
  </r>
  <r>
    <n v="1105"/>
    <d v="2021-11-27T00:00:00"/>
    <x v="28"/>
    <s v="Female"/>
    <n v="170.3"/>
    <n v="83.8"/>
    <n v="16583"/>
    <n v="861.3"/>
    <n v="6.5"/>
    <n v="75"/>
    <x v="1"/>
    <n v="62"/>
    <n v="3.59"/>
    <n v="4"/>
    <x v="1"/>
  </r>
  <r>
    <n v="1886"/>
    <d v="2021-11-28T00:00:00"/>
    <x v="38"/>
    <s v="Female"/>
    <n v="168.3"/>
    <n v="45"/>
    <n v="5706"/>
    <n v="434.6"/>
    <n v="9.8000000000000007"/>
    <n v="65"/>
    <x v="1"/>
    <n v="81"/>
    <n v="2.83"/>
    <n v="8"/>
    <x v="2"/>
  </r>
  <r>
    <n v="1427"/>
    <d v="2021-11-29T00:00:00"/>
    <x v="20"/>
    <s v="Female"/>
    <n v="180.8"/>
    <n v="49"/>
    <n v="14663"/>
    <n v="802.3"/>
    <n v="7.7"/>
    <n v="75"/>
    <x v="1"/>
    <n v="73"/>
    <n v="2.57"/>
    <n v="3"/>
    <x v="0"/>
  </r>
  <r>
    <n v="1304"/>
    <d v="2021-11-30T00:00:00"/>
    <x v="39"/>
    <s v="Male"/>
    <n v="170"/>
    <n v="70.099999999999994"/>
    <n v="16844"/>
    <n v="900"/>
    <n v="9.1999999999999993"/>
    <n v="83"/>
    <x v="5"/>
    <n v="46"/>
    <n v="2.96"/>
    <n v="6"/>
    <x v="0"/>
  </r>
  <r>
    <n v="1871"/>
    <d v="2021-12-01T00:00:00"/>
    <x v="30"/>
    <s v="Male"/>
    <n v="172.5"/>
    <n v="86.6"/>
    <n v="10412"/>
    <n v="651.20000000000005"/>
    <n v="5.8"/>
    <n v="54"/>
    <x v="0"/>
    <n v="0"/>
    <n v="2.96"/>
    <n v="7"/>
    <x v="1"/>
  </r>
  <r>
    <n v="1970"/>
    <d v="2021-12-02T00:00:00"/>
    <x v="0"/>
    <s v="Female"/>
    <n v="164.3"/>
    <n v="69"/>
    <n v="19540"/>
    <n v="900"/>
    <n v="6.4"/>
    <n v="75"/>
    <x v="1"/>
    <n v="35"/>
    <n v="3.16"/>
    <n v="8"/>
    <x v="1"/>
  </r>
  <r>
    <n v="1316"/>
    <d v="2021-12-03T00:00:00"/>
    <x v="8"/>
    <s v="Male"/>
    <n v="181.5"/>
    <n v="51.1"/>
    <n v="6979"/>
    <n v="472.8"/>
    <n v="7.4"/>
    <n v="82"/>
    <x v="3"/>
    <n v="30"/>
    <n v="1.97"/>
    <n v="4"/>
    <x v="2"/>
  </r>
  <r>
    <n v="1962"/>
    <d v="2021-12-04T00:00:00"/>
    <x v="39"/>
    <s v="Female"/>
    <n v="182.2"/>
    <n v="72.7"/>
    <n v="8943"/>
    <n v="631.4"/>
    <n v="6.3"/>
    <n v="77"/>
    <x v="4"/>
    <n v="40"/>
    <n v="2.16"/>
    <n v="5"/>
    <x v="2"/>
  </r>
  <r>
    <n v="1634"/>
    <d v="2021-12-05T00:00:00"/>
    <x v="40"/>
    <s v="Female"/>
    <n v="169.6"/>
    <n v="63"/>
    <n v="9911"/>
    <n v="600"/>
    <n v="8.6"/>
    <n v="71"/>
    <x v="3"/>
    <n v="28"/>
    <n v="1.93"/>
    <n v="6"/>
    <x v="2"/>
  </r>
  <r>
    <n v="1901"/>
    <d v="2021-12-06T00:00:00"/>
    <x v="18"/>
    <s v="Male"/>
    <n v="164.2"/>
    <n v="87"/>
    <n v="8486"/>
    <n v="441.7"/>
    <n v="8.6"/>
    <n v="63"/>
    <x v="5"/>
    <n v="46"/>
    <n v="3.04"/>
    <n v="1"/>
    <x v="2"/>
  </r>
  <r>
    <n v="1008"/>
    <d v="2021-12-07T00:00:00"/>
    <x v="13"/>
    <s v="Female"/>
    <n v="153.80000000000001"/>
    <n v="82.8"/>
    <n v="2105"/>
    <n v="407.1"/>
    <n v="6.6"/>
    <n v="75"/>
    <x v="1"/>
    <n v="42"/>
    <n v="3"/>
    <n v="9"/>
    <x v="2"/>
  </r>
  <r>
    <n v="1773"/>
    <d v="2021-12-08T00:00:00"/>
    <x v="14"/>
    <s v="Male"/>
    <n v="161.30000000000001"/>
    <n v="61.9"/>
    <n v="4769"/>
    <n v="393.1"/>
    <n v="8"/>
    <n v="63"/>
    <x v="2"/>
    <n v="70"/>
    <n v="1.61"/>
    <n v="3"/>
    <x v="1"/>
  </r>
  <r>
    <n v="1072"/>
    <d v="2021-12-09T00:00:00"/>
    <x v="5"/>
    <s v="Female"/>
    <n v="150"/>
    <n v="81.7"/>
    <n v="3479"/>
    <n v="365.6"/>
    <n v="10"/>
    <n v="82"/>
    <x v="4"/>
    <n v="22"/>
    <n v="2.77"/>
    <n v="2"/>
    <x v="0"/>
  </r>
  <r>
    <n v="1358"/>
    <d v="2021-12-10T00:00:00"/>
    <x v="7"/>
    <s v="Male"/>
    <n v="160.9"/>
    <n v="74.099999999999994"/>
    <n v="11112"/>
    <n v="591"/>
    <n v="8.6"/>
    <n v="76"/>
    <x v="0"/>
    <n v="0"/>
    <n v="3.46"/>
    <n v="7"/>
    <x v="2"/>
  </r>
  <r>
    <n v="1222"/>
    <d v="2021-12-11T00:00:00"/>
    <x v="31"/>
    <s v="Female"/>
    <n v="173.6"/>
    <n v="90.5"/>
    <n v="12271"/>
    <n v="800.7"/>
    <n v="8"/>
    <n v="90"/>
    <x v="5"/>
    <n v="27"/>
    <n v="2.34"/>
    <n v="4"/>
    <x v="0"/>
  </r>
  <r>
    <n v="1415"/>
    <d v="2021-12-12T00:00:00"/>
    <x v="20"/>
    <s v="Female"/>
    <n v="169.5"/>
    <n v="81.099999999999994"/>
    <n v="5731"/>
    <n v="389.6"/>
    <n v="8.9"/>
    <n v="55"/>
    <x v="3"/>
    <n v="61"/>
    <n v="2.72"/>
    <n v="4"/>
    <x v="0"/>
  </r>
  <r>
    <n v="1552"/>
    <d v="2021-12-13T00:00:00"/>
    <x v="27"/>
    <s v="Male"/>
    <n v="193.2"/>
    <n v="78.2"/>
    <n v="12361"/>
    <n v="675.2"/>
    <n v="9.5"/>
    <n v="72"/>
    <x v="1"/>
    <n v="54"/>
    <n v="3.01"/>
    <n v="10"/>
    <x v="1"/>
  </r>
  <r>
    <n v="1369"/>
    <d v="2021-12-14T00:00:00"/>
    <x v="9"/>
    <s v="Female"/>
    <n v="166.3"/>
    <n v="89.9"/>
    <n v="17087"/>
    <n v="807"/>
    <n v="9.3000000000000007"/>
    <n v="82"/>
    <x v="5"/>
    <n v="67"/>
    <n v="1.58"/>
    <n v="9"/>
    <x v="2"/>
  </r>
  <r>
    <n v="1715"/>
    <d v="2021-12-15T00:00:00"/>
    <x v="5"/>
    <s v="Female"/>
    <n v="165.5"/>
    <n v="70.2"/>
    <n v="4172"/>
    <n v="385.1"/>
    <n v="6.9"/>
    <n v="86"/>
    <x v="5"/>
    <n v="73"/>
    <n v="2.61"/>
    <n v="7"/>
    <x v="2"/>
  </r>
  <r>
    <n v="1263"/>
    <d v="2021-12-16T00:00:00"/>
    <x v="8"/>
    <s v="Male"/>
    <n v="180.6"/>
    <n v="58.4"/>
    <n v="15041"/>
    <n v="787.6"/>
    <n v="8.4"/>
    <n v="83"/>
    <x v="2"/>
    <n v="55"/>
    <n v="3.39"/>
    <n v="9"/>
    <x v="2"/>
  </r>
  <r>
    <n v="1839"/>
    <d v="2021-12-17T00:00:00"/>
    <x v="38"/>
    <s v="Female"/>
    <n v="150.69999999999999"/>
    <n v="73"/>
    <n v="8068"/>
    <n v="445.5"/>
    <n v="6.6"/>
    <n v="65"/>
    <x v="0"/>
    <n v="0"/>
    <n v="2.08"/>
    <n v="1"/>
    <x v="2"/>
  </r>
  <r>
    <n v="1689"/>
    <d v="2021-12-18T00:00:00"/>
    <x v="13"/>
    <s v="Male"/>
    <n v="155.19999999999999"/>
    <n v="64.7"/>
    <n v="7557"/>
    <n v="498.9"/>
    <n v="6.9"/>
    <n v="70"/>
    <x v="2"/>
    <n v="31"/>
    <n v="3.08"/>
    <n v="3"/>
    <x v="1"/>
  </r>
  <r>
    <n v="1859"/>
    <d v="2021-12-19T00:00:00"/>
    <x v="16"/>
    <s v="Female"/>
    <n v="176.6"/>
    <n v="79.099999999999994"/>
    <n v="4330"/>
    <n v="377.9"/>
    <n v="7.7"/>
    <n v="53"/>
    <x v="2"/>
    <n v="78"/>
    <n v="2.52"/>
    <n v="10"/>
    <x v="1"/>
  </r>
  <r>
    <n v="1317"/>
    <d v="2021-12-20T00:00:00"/>
    <x v="26"/>
    <s v="Male"/>
    <n v="168"/>
    <n v="70.900000000000006"/>
    <n v="7022"/>
    <n v="468.5"/>
    <n v="4.8"/>
    <n v="75"/>
    <x v="0"/>
    <n v="0"/>
    <n v="2.0299999999999998"/>
    <n v="10"/>
    <x v="2"/>
  </r>
  <r>
    <n v="1083"/>
    <d v="2021-12-21T00:00:00"/>
    <x v="18"/>
    <s v="Female"/>
    <n v="168.3"/>
    <n v="76"/>
    <n v="13643"/>
    <n v="654.70000000000005"/>
    <n v="7.6"/>
    <n v="87"/>
    <x v="3"/>
    <n v="69"/>
    <n v="2.4300000000000002"/>
    <n v="6"/>
    <x v="2"/>
  </r>
  <r>
    <n v="1317"/>
    <d v="2021-12-22T00:00:00"/>
    <x v="40"/>
    <s v="Female"/>
    <n v="160.6"/>
    <n v="51.9"/>
    <n v="3058"/>
    <n v="336.9"/>
    <n v="6"/>
    <n v="75"/>
    <x v="2"/>
    <n v="62"/>
    <n v="2.13"/>
    <n v="1"/>
    <x v="0"/>
  </r>
  <r>
    <n v="1110"/>
    <d v="2021-12-23T00:00:00"/>
    <x v="13"/>
    <s v="Female"/>
    <n v="172.4"/>
    <n v="77.599999999999994"/>
    <n v="19254"/>
    <n v="900"/>
    <n v="5.2"/>
    <n v="81"/>
    <x v="0"/>
    <n v="0"/>
    <n v="1.88"/>
    <n v="5"/>
    <x v="0"/>
  </r>
  <r>
    <n v="1250"/>
    <d v="2021-12-24T00:00:00"/>
    <x v="31"/>
    <s v="Male"/>
    <n v="161.9"/>
    <n v="50.7"/>
    <n v="4621"/>
    <n v="429.3"/>
    <n v="8.1999999999999993"/>
    <n v="81"/>
    <x v="5"/>
    <n v="68"/>
    <n v="2.3199999999999998"/>
    <n v="4"/>
    <x v="2"/>
  </r>
  <r>
    <n v="1382"/>
    <d v="2021-12-25T00:00:00"/>
    <x v="27"/>
    <s v="Male"/>
    <n v="170.7"/>
    <n v="84.4"/>
    <n v="10337"/>
    <n v="585.70000000000005"/>
    <n v="6.6"/>
    <n v="72"/>
    <x v="5"/>
    <n v="74"/>
    <n v="2.5499999999999998"/>
    <n v="4"/>
    <x v="2"/>
  </r>
  <r>
    <n v="1006"/>
    <d v="2021-12-26T00:00:00"/>
    <x v="0"/>
    <s v="Male"/>
    <n v="158.4"/>
    <n v="84.4"/>
    <n v="4991"/>
    <n v="446"/>
    <n v="7.3"/>
    <n v="51"/>
    <x v="0"/>
    <n v="0"/>
    <n v="2.38"/>
    <n v="7"/>
    <x v="0"/>
  </r>
  <r>
    <n v="1458"/>
    <d v="2021-12-27T00:00:00"/>
    <x v="39"/>
    <s v="Male"/>
    <n v="168.2"/>
    <n v="75.2"/>
    <n v="12565"/>
    <n v="703.3"/>
    <n v="6.6"/>
    <n v="88"/>
    <x v="5"/>
    <n v="40"/>
    <n v="2.31"/>
    <n v="5"/>
    <x v="0"/>
  </r>
  <r>
    <n v="1083"/>
    <d v="2021-12-28T00:00:00"/>
    <x v="0"/>
    <s v="Female"/>
    <n v="190.2"/>
    <n v="74.7"/>
    <n v="9503"/>
    <n v="583.4"/>
    <n v="6.1"/>
    <n v="79"/>
    <x v="4"/>
    <n v="32"/>
    <n v="2.66"/>
    <n v="7"/>
    <x v="2"/>
  </r>
  <r>
    <n v="1207"/>
    <d v="2021-12-29T00:00:00"/>
    <x v="34"/>
    <s v="Female"/>
    <n v="165.8"/>
    <n v="66.599999999999994"/>
    <n v="18158"/>
    <n v="900"/>
    <n v="7.2"/>
    <n v="62"/>
    <x v="4"/>
    <n v="61"/>
    <n v="2.87"/>
    <n v="1"/>
    <x v="0"/>
  </r>
  <r>
    <n v="1899"/>
    <d v="2021-12-30T00:00:00"/>
    <x v="21"/>
    <s v="Male"/>
    <n v="168.7"/>
    <n v="61"/>
    <n v="16337"/>
    <n v="812.7"/>
    <n v="5"/>
    <n v="79"/>
    <x v="0"/>
    <n v="0"/>
    <n v="1.7"/>
    <n v="9"/>
    <x v="1"/>
  </r>
  <r>
    <n v="1389"/>
    <d v="2021-12-31T00:00:00"/>
    <x v="22"/>
    <s v="Male"/>
    <n v="168"/>
    <n v="69.8"/>
    <n v="12112"/>
    <n v="629.70000000000005"/>
    <n v="6.9"/>
    <n v="77"/>
    <x v="0"/>
    <n v="0"/>
    <n v="2.3199999999999998"/>
    <n v="8"/>
    <x v="0"/>
  </r>
  <r>
    <n v="1313"/>
    <d v="2022-01-01T00:00:00"/>
    <x v="21"/>
    <s v="Male"/>
    <n v="171.7"/>
    <n v="99.7"/>
    <n v="14761"/>
    <n v="818.2"/>
    <n v="10"/>
    <n v="88"/>
    <x v="3"/>
    <n v="20"/>
    <n v="1.1200000000000001"/>
    <n v="7"/>
    <x v="2"/>
  </r>
  <r>
    <n v="1021"/>
    <d v="2022-01-02T00:00:00"/>
    <x v="23"/>
    <s v="Female"/>
    <n v="174.7"/>
    <n v="73.400000000000006"/>
    <n v="11023"/>
    <n v="575.20000000000005"/>
    <n v="5.2"/>
    <n v="80"/>
    <x v="0"/>
    <n v="0"/>
    <n v="2.39"/>
    <n v="10"/>
    <x v="1"/>
  </r>
  <r>
    <n v="1409"/>
    <d v="2022-01-03T00:00:00"/>
    <x v="13"/>
    <s v="Male"/>
    <n v="172.6"/>
    <n v="49.8"/>
    <n v="9885"/>
    <n v="555.5"/>
    <n v="9.1"/>
    <n v="80"/>
    <x v="2"/>
    <n v="53"/>
    <n v="2.61"/>
    <n v="2"/>
    <x v="1"/>
  </r>
  <r>
    <n v="1894"/>
    <d v="2022-01-04T00:00:00"/>
    <x v="10"/>
    <s v="Male"/>
    <n v="172.8"/>
    <n v="45"/>
    <n v="2376"/>
    <n v="216.1"/>
    <n v="10"/>
    <n v="77"/>
    <x v="5"/>
    <n v="61"/>
    <n v="2.9"/>
    <n v="6"/>
    <x v="0"/>
  </r>
  <r>
    <n v="1514"/>
    <d v="2022-01-05T00:00:00"/>
    <x v="3"/>
    <s v="Female"/>
    <n v="168.2"/>
    <n v="48.4"/>
    <n v="6939"/>
    <n v="535.20000000000005"/>
    <n v="5.8"/>
    <n v="67"/>
    <x v="2"/>
    <n v="81"/>
    <n v="2.61"/>
    <n v="4"/>
    <x v="2"/>
  </r>
  <r>
    <n v="1126"/>
    <d v="2022-01-06T00:00:00"/>
    <x v="37"/>
    <s v="Female"/>
    <n v="171"/>
    <n v="64.3"/>
    <n v="10181"/>
    <n v="557.1"/>
    <n v="7.5"/>
    <n v="82"/>
    <x v="0"/>
    <n v="0"/>
    <n v="2.88"/>
    <n v="3"/>
    <x v="0"/>
  </r>
  <r>
    <n v="1808"/>
    <d v="2022-01-07T00:00:00"/>
    <x v="26"/>
    <s v="Male"/>
    <n v="167.9"/>
    <n v="89"/>
    <n v="3846"/>
    <n v="321.10000000000002"/>
    <n v="5.0999999999999996"/>
    <n v="75"/>
    <x v="5"/>
    <n v="80"/>
    <n v="2.5499999999999998"/>
    <n v="8"/>
    <x v="0"/>
  </r>
  <r>
    <n v="1699"/>
    <d v="2022-01-08T00:00:00"/>
    <x v="17"/>
    <s v="Female"/>
    <n v="151.9"/>
    <n v="54.6"/>
    <n v="7817"/>
    <n v="448.2"/>
    <n v="4.8"/>
    <n v="65"/>
    <x v="4"/>
    <n v="73"/>
    <n v="2.0299999999999998"/>
    <n v="4"/>
    <x v="0"/>
  </r>
  <r>
    <n v="1873"/>
    <d v="2022-01-09T00:00:00"/>
    <x v="7"/>
    <s v="Male"/>
    <n v="196.3"/>
    <n v="91.3"/>
    <n v="8430"/>
    <n v="517.9"/>
    <n v="7.3"/>
    <n v="68"/>
    <x v="5"/>
    <n v="77"/>
    <n v="1.72"/>
    <n v="3"/>
    <x v="1"/>
  </r>
  <r>
    <n v="1013"/>
    <d v="2022-01-10T00:00:00"/>
    <x v="11"/>
    <s v="Female"/>
    <n v="177.3"/>
    <n v="72.7"/>
    <n v="12151"/>
    <n v="678.9"/>
    <n v="7.6"/>
    <n v="64"/>
    <x v="3"/>
    <n v="43"/>
    <n v="2.3199999999999998"/>
    <n v="5"/>
    <x v="0"/>
  </r>
  <r>
    <n v="1970"/>
    <d v="2022-01-11T00:00:00"/>
    <x v="39"/>
    <s v="Male"/>
    <n v="160.19999999999999"/>
    <n v="77.3"/>
    <n v="2716"/>
    <n v="349.9"/>
    <n v="6.1"/>
    <n v="86"/>
    <x v="1"/>
    <n v="46"/>
    <n v="1.96"/>
    <n v="9"/>
    <x v="0"/>
  </r>
  <r>
    <n v="1977"/>
    <d v="2022-01-12T00:00:00"/>
    <x v="25"/>
    <s v="Male"/>
    <n v="172.3"/>
    <n v="76.8"/>
    <n v="7780"/>
    <n v="445.1"/>
    <n v="5.3"/>
    <n v="95"/>
    <x v="5"/>
    <n v="40"/>
    <n v="2.42"/>
    <n v="10"/>
    <x v="0"/>
  </r>
  <r>
    <n v="1011"/>
    <d v="2022-01-13T00:00:00"/>
    <x v="15"/>
    <s v="Male"/>
    <n v="156.5"/>
    <n v="78.900000000000006"/>
    <n v="4331"/>
    <n v="343.2"/>
    <n v="5.8"/>
    <n v="87"/>
    <x v="0"/>
    <n v="0"/>
    <n v="2.16"/>
    <n v="3"/>
    <x v="0"/>
  </r>
  <r>
    <n v="1086"/>
    <d v="2022-01-14T00:00:00"/>
    <x v="4"/>
    <s v="Male"/>
    <n v="165.1"/>
    <n v="63.8"/>
    <n v="10081"/>
    <n v="674.4"/>
    <n v="8.3000000000000007"/>
    <n v="79"/>
    <x v="3"/>
    <n v="74"/>
    <n v="2.79"/>
    <n v="9"/>
    <x v="2"/>
  </r>
  <r>
    <n v="1523"/>
    <d v="2022-01-15T00:00:00"/>
    <x v="23"/>
    <s v="Female"/>
    <n v="155.19999999999999"/>
    <n v="45"/>
    <n v="18762"/>
    <n v="900"/>
    <n v="8.3000000000000007"/>
    <n v="74"/>
    <x v="4"/>
    <n v="87"/>
    <n v="2.5299999999999998"/>
    <n v="4"/>
    <x v="2"/>
  </r>
  <r>
    <n v="1908"/>
    <d v="2022-01-16T00:00:00"/>
    <x v="40"/>
    <s v="Female"/>
    <n v="169.5"/>
    <n v="61.2"/>
    <n v="5275"/>
    <n v="377.1"/>
    <n v="8"/>
    <n v="72"/>
    <x v="4"/>
    <n v="66"/>
    <n v="2.81"/>
    <n v="10"/>
    <x v="2"/>
  </r>
  <r>
    <n v="1536"/>
    <d v="2022-01-17T00:00:00"/>
    <x v="4"/>
    <s v="Female"/>
    <n v="154.19999999999999"/>
    <n v="56.7"/>
    <n v="11556"/>
    <n v="659.8"/>
    <n v="6.4"/>
    <n v="65"/>
    <x v="1"/>
    <n v="73"/>
    <n v="2.81"/>
    <n v="4"/>
    <x v="1"/>
  </r>
  <r>
    <n v="1300"/>
    <d v="2022-01-18T00:00:00"/>
    <x v="20"/>
    <s v="Female"/>
    <n v="173.9"/>
    <n v="74.7"/>
    <n v="14555"/>
    <n v="880.6"/>
    <n v="5.4"/>
    <n v="94"/>
    <x v="0"/>
    <n v="0"/>
    <n v="2.37"/>
    <n v="2"/>
    <x v="2"/>
  </r>
  <r>
    <n v="1242"/>
    <d v="2022-01-19T00:00:00"/>
    <x v="39"/>
    <s v="Male"/>
    <n v="176.8"/>
    <n v="73.3"/>
    <n v="17615"/>
    <n v="844.9"/>
    <n v="9"/>
    <n v="65"/>
    <x v="2"/>
    <n v="83"/>
    <n v="2.42"/>
    <n v="8"/>
    <x v="0"/>
  </r>
  <r>
    <n v="1121"/>
    <d v="2022-01-20T00:00:00"/>
    <x v="29"/>
    <s v="Male"/>
    <n v="161.69999999999999"/>
    <n v="65.900000000000006"/>
    <n v="11004"/>
    <n v="544.1"/>
    <n v="9.5"/>
    <n v="67"/>
    <x v="2"/>
    <n v="68"/>
    <n v="2.85"/>
    <n v="4"/>
    <x v="0"/>
  </r>
  <r>
    <n v="1146"/>
    <d v="2022-01-21T00:00:00"/>
    <x v="28"/>
    <s v="Female"/>
    <n v="171.6"/>
    <n v="96.3"/>
    <n v="6422"/>
    <n v="430.1"/>
    <n v="6.2"/>
    <n v="73"/>
    <x v="5"/>
    <n v="54"/>
    <n v="4.21"/>
    <n v="3"/>
    <x v="2"/>
  </r>
  <r>
    <n v="1566"/>
    <d v="2022-01-22T00:00:00"/>
    <x v="31"/>
    <s v="Female"/>
    <n v="161.19999999999999"/>
    <n v="60.4"/>
    <n v="12188"/>
    <n v="683.4"/>
    <n v="6.8"/>
    <n v="74"/>
    <x v="4"/>
    <n v="58"/>
    <n v="1.81"/>
    <n v="3"/>
    <x v="1"/>
  </r>
  <r>
    <n v="1749"/>
    <d v="2022-01-23T00:00:00"/>
    <x v="25"/>
    <s v="Female"/>
    <n v="175.1"/>
    <n v="45"/>
    <n v="1247"/>
    <n v="209.8"/>
    <n v="4.8"/>
    <n v="81"/>
    <x v="3"/>
    <n v="77"/>
    <n v="2.5299999999999998"/>
    <n v="1"/>
    <x v="1"/>
  </r>
  <r>
    <n v="1355"/>
    <d v="2022-01-24T00:00:00"/>
    <x v="17"/>
    <s v="Female"/>
    <n v="163.1"/>
    <n v="71.8"/>
    <n v="14598"/>
    <n v="832.8"/>
    <n v="7.8"/>
    <n v="68"/>
    <x v="1"/>
    <n v="76"/>
    <n v="1.66"/>
    <n v="8"/>
    <x v="1"/>
  </r>
  <r>
    <n v="1684"/>
    <d v="2022-01-25T00:00:00"/>
    <x v="21"/>
    <s v="Female"/>
    <n v="177.9"/>
    <n v="87.8"/>
    <n v="14227"/>
    <n v="779.6"/>
    <n v="10"/>
    <n v="55"/>
    <x v="2"/>
    <n v="25"/>
    <n v="2.4900000000000002"/>
    <n v="5"/>
    <x v="0"/>
  </r>
  <r>
    <n v="1903"/>
    <d v="2022-01-26T00:00:00"/>
    <x v="5"/>
    <s v="Male"/>
    <n v="151.9"/>
    <n v="74.3"/>
    <n v="14811"/>
    <n v="762.2"/>
    <n v="8.4"/>
    <n v="73"/>
    <x v="5"/>
    <n v="39"/>
    <n v="2.0299999999999998"/>
    <n v="5"/>
    <x v="2"/>
  </r>
  <r>
    <n v="1732"/>
    <d v="2022-01-27T00:00:00"/>
    <x v="39"/>
    <s v="Male"/>
    <n v="160"/>
    <n v="64.7"/>
    <n v="4741"/>
    <n v="362.7"/>
    <n v="10"/>
    <n v="73"/>
    <x v="5"/>
    <n v="69"/>
    <n v="2.42"/>
    <n v="4"/>
    <x v="1"/>
  </r>
  <r>
    <n v="1630"/>
    <d v="2022-01-28T00:00:00"/>
    <x v="14"/>
    <s v="Male"/>
    <n v="158.9"/>
    <n v="73.599999999999994"/>
    <n v="17446"/>
    <n v="860.5"/>
    <n v="6.4"/>
    <n v="73"/>
    <x v="4"/>
    <n v="28"/>
    <n v="2.61"/>
    <n v="5"/>
    <x v="0"/>
  </r>
  <r>
    <n v="1308"/>
    <d v="2022-01-29T00:00:00"/>
    <x v="16"/>
    <s v="Female"/>
    <n v="172"/>
    <n v="97.6"/>
    <n v="2551"/>
    <n v="343.5"/>
    <n v="5"/>
    <n v="72"/>
    <x v="3"/>
    <n v="33"/>
    <n v="2.16"/>
    <n v="5"/>
    <x v="1"/>
  </r>
  <r>
    <n v="1694"/>
    <d v="2022-01-30T00:00:00"/>
    <x v="7"/>
    <s v="Female"/>
    <n v="175.6"/>
    <n v="56.9"/>
    <n v="7306"/>
    <n v="468.6"/>
    <n v="9.3000000000000007"/>
    <n v="71"/>
    <x v="3"/>
    <n v="42"/>
    <n v="1.25"/>
    <n v="9"/>
    <x v="1"/>
  </r>
  <r>
    <n v="1287"/>
    <d v="2022-01-31T00:00:00"/>
    <x v="41"/>
    <s v="Female"/>
    <n v="172.8"/>
    <n v="70.5"/>
    <n v="4005"/>
    <n v="300.60000000000002"/>
    <n v="7.3"/>
    <n v="62"/>
    <x v="2"/>
    <n v="67"/>
    <n v="3.5"/>
    <n v="6"/>
    <x v="2"/>
  </r>
  <r>
    <n v="1306"/>
    <d v="2022-02-01T00:00:00"/>
    <x v="14"/>
    <s v="Female"/>
    <n v="164.9"/>
    <n v="80"/>
    <n v="4322"/>
    <n v="421"/>
    <n v="5.7"/>
    <n v="90"/>
    <x v="5"/>
    <n v="75"/>
    <n v="3.09"/>
    <n v="9"/>
    <x v="0"/>
  </r>
  <r>
    <n v="1811"/>
    <d v="2022-02-02T00:00:00"/>
    <x v="21"/>
    <s v="Male"/>
    <n v="150"/>
    <n v="73.8"/>
    <n v="17008"/>
    <n v="866.5"/>
    <n v="9.8000000000000007"/>
    <n v="89"/>
    <x v="4"/>
    <n v="59"/>
    <n v="2.41"/>
    <n v="8"/>
    <x v="1"/>
  </r>
  <r>
    <n v="1593"/>
    <d v="2022-02-03T00:00:00"/>
    <x v="19"/>
    <s v="Male"/>
    <n v="170.4"/>
    <n v="66.3"/>
    <n v="8997"/>
    <n v="491.9"/>
    <n v="6.1"/>
    <n v="89"/>
    <x v="3"/>
    <n v="88"/>
    <n v="1.87"/>
    <n v="3"/>
    <x v="0"/>
  </r>
  <r>
    <n v="1965"/>
    <d v="2022-02-04T00:00:00"/>
    <x v="4"/>
    <s v="Female"/>
    <n v="177.9"/>
    <n v="63.6"/>
    <n v="13466"/>
    <n v="824.3"/>
    <n v="5.3"/>
    <n v="63"/>
    <x v="5"/>
    <n v="58"/>
    <n v="2.56"/>
    <n v="2"/>
    <x v="1"/>
  </r>
  <r>
    <n v="1913"/>
    <d v="2022-02-05T00:00:00"/>
    <x v="25"/>
    <s v="Male"/>
    <n v="196.8"/>
    <n v="65.7"/>
    <n v="13516"/>
    <n v="771.2"/>
    <n v="7.9"/>
    <n v="79"/>
    <x v="3"/>
    <n v="62"/>
    <n v="2.75"/>
    <n v="6"/>
    <x v="2"/>
  </r>
  <r>
    <n v="1722"/>
    <d v="2022-02-06T00:00:00"/>
    <x v="12"/>
    <s v="Male"/>
    <n v="165.8"/>
    <n v="78"/>
    <n v="18266"/>
    <n v="900"/>
    <n v="5"/>
    <n v="71"/>
    <x v="1"/>
    <n v="50"/>
    <n v="3.04"/>
    <n v="2"/>
    <x v="1"/>
  </r>
  <r>
    <n v="1661"/>
    <d v="2022-02-07T00:00:00"/>
    <x v="31"/>
    <s v="Female"/>
    <n v="163.30000000000001"/>
    <n v="77.099999999999994"/>
    <n v="1393"/>
    <n v="245.1"/>
    <n v="8.5"/>
    <n v="70"/>
    <x v="3"/>
    <n v="89"/>
    <n v="3.1"/>
    <n v="3"/>
    <x v="2"/>
  </r>
  <r>
    <n v="1548"/>
    <d v="2022-02-08T00:00:00"/>
    <x v="23"/>
    <s v="Female"/>
    <n v="173.2"/>
    <n v="101.4"/>
    <n v="3739"/>
    <n v="335.5"/>
    <n v="5.3"/>
    <n v="66"/>
    <x v="3"/>
    <n v="22"/>
    <n v="3.24"/>
    <n v="3"/>
    <x v="1"/>
  </r>
  <r>
    <n v="1351"/>
    <d v="2022-02-09T00:00:00"/>
    <x v="10"/>
    <s v="Female"/>
    <n v="167.4"/>
    <n v="46.9"/>
    <n v="5167"/>
    <n v="391.6"/>
    <n v="7.4"/>
    <n v="101"/>
    <x v="5"/>
    <n v="23"/>
    <n v="1.28"/>
    <n v="1"/>
    <x v="2"/>
  </r>
  <r>
    <n v="1311"/>
    <d v="2022-02-10T00:00:00"/>
    <x v="14"/>
    <s v="Female"/>
    <n v="182.8"/>
    <n v="96.4"/>
    <n v="14194"/>
    <n v="754.1"/>
    <n v="7.5"/>
    <n v="73"/>
    <x v="3"/>
    <n v="46"/>
    <n v="2.29"/>
    <n v="5"/>
    <x v="1"/>
  </r>
  <r>
    <n v="1872"/>
    <d v="2022-02-11T00:00:00"/>
    <x v="30"/>
    <s v="Female"/>
    <n v="161.9"/>
    <n v="66.900000000000006"/>
    <n v="5231"/>
    <n v="379.8"/>
    <n v="7.4"/>
    <n v="66"/>
    <x v="3"/>
    <n v="46"/>
    <n v="3.2"/>
    <n v="8"/>
    <x v="1"/>
  </r>
  <r>
    <n v="1058"/>
    <d v="2022-02-12T00:00:00"/>
    <x v="16"/>
    <s v="Female"/>
    <n v="167.5"/>
    <n v="68.599999999999994"/>
    <n v="2401"/>
    <n v="290.89999999999998"/>
    <n v="5.0999999999999996"/>
    <n v="76"/>
    <x v="1"/>
    <n v="66"/>
    <n v="1.85"/>
    <n v="9"/>
    <x v="1"/>
  </r>
  <r>
    <n v="1642"/>
    <d v="2022-02-13T00:00:00"/>
    <x v="38"/>
    <s v="Male"/>
    <n v="178.8"/>
    <n v="82.9"/>
    <n v="9086"/>
    <n v="533"/>
    <n v="6.7"/>
    <n v="83"/>
    <x v="3"/>
    <n v="79"/>
    <n v="3.35"/>
    <n v="7"/>
    <x v="0"/>
  </r>
  <r>
    <n v="1923"/>
    <d v="2022-02-14T00:00:00"/>
    <x v="25"/>
    <s v="Male"/>
    <n v="173.1"/>
    <n v="82.8"/>
    <n v="1905"/>
    <n v="287.39999999999998"/>
    <n v="9.1"/>
    <n v="74"/>
    <x v="3"/>
    <n v="55"/>
    <n v="3.77"/>
    <n v="5"/>
    <x v="0"/>
  </r>
  <r>
    <n v="1713"/>
    <d v="2022-02-15T00:00:00"/>
    <x v="10"/>
    <s v="Female"/>
    <n v="181.6"/>
    <n v="87.3"/>
    <n v="1529"/>
    <n v="260"/>
    <n v="6.7"/>
    <n v="77"/>
    <x v="5"/>
    <n v="65"/>
    <n v="3.33"/>
    <n v="8"/>
    <x v="1"/>
  </r>
  <r>
    <n v="1754"/>
    <d v="2022-02-16T00:00:00"/>
    <x v="35"/>
    <s v="Male"/>
    <n v="165.6"/>
    <n v="90.6"/>
    <n v="9011"/>
    <n v="525.4"/>
    <n v="5.3"/>
    <n v="85"/>
    <x v="4"/>
    <n v="80"/>
    <n v="2.96"/>
    <n v="9"/>
    <x v="0"/>
  </r>
  <r>
    <n v="1034"/>
    <d v="2022-02-17T00:00:00"/>
    <x v="32"/>
    <s v="Female"/>
    <n v="182.6"/>
    <n v="69.400000000000006"/>
    <n v="16001"/>
    <n v="835.7"/>
    <n v="6.3"/>
    <n v="65"/>
    <x v="1"/>
    <n v="61"/>
    <n v="2.19"/>
    <n v="9"/>
    <x v="0"/>
  </r>
  <r>
    <n v="1444"/>
    <d v="2022-02-18T00:00:00"/>
    <x v="39"/>
    <s v="Female"/>
    <n v="153.4"/>
    <n v="90.8"/>
    <n v="5618"/>
    <n v="451.9"/>
    <n v="5.0999999999999996"/>
    <n v="77"/>
    <x v="3"/>
    <n v="26"/>
    <n v="2.7"/>
    <n v="9"/>
    <x v="1"/>
  </r>
  <r>
    <n v="1092"/>
    <d v="2022-02-19T00:00:00"/>
    <x v="28"/>
    <s v="Female"/>
    <n v="153.80000000000001"/>
    <n v="60.6"/>
    <n v="17956"/>
    <n v="805.4"/>
    <n v="3.7"/>
    <n v="69"/>
    <x v="4"/>
    <n v="49"/>
    <n v="1.56"/>
    <n v="2"/>
    <x v="1"/>
  </r>
  <r>
    <n v="1949"/>
    <d v="2022-02-20T00:00:00"/>
    <x v="19"/>
    <s v="Female"/>
    <n v="182.8"/>
    <n v="65.400000000000006"/>
    <n v="18027"/>
    <n v="900"/>
    <n v="6.7"/>
    <n v="67"/>
    <x v="5"/>
    <n v="69"/>
    <n v="1.95"/>
    <n v="3"/>
    <x v="1"/>
  </r>
  <r>
    <n v="1958"/>
    <d v="2022-02-21T00:00:00"/>
    <x v="26"/>
    <s v="Male"/>
    <n v="170.1"/>
    <n v="67.3"/>
    <n v="15908"/>
    <n v="775"/>
    <n v="7.2"/>
    <n v="93"/>
    <x v="1"/>
    <n v="66"/>
    <n v="2"/>
    <n v="2"/>
    <x v="0"/>
  </r>
  <r>
    <n v="1206"/>
    <d v="2022-02-22T00:00:00"/>
    <x v="24"/>
    <s v="Female"/>
    <n v="179.2"/>
    <n v="62.1"/>
    <n v="8013"/>
    <n v="497.6"/>
    <n v="8"/>
    <n v="74"/>
    <x v="0"/>
    <n v="0"/>
    <n v="2.54"/>
    <n v="5"/>
    <x v="0"/>
  </r>
  <r>
    <n v="1352"/>
    <d v="2022-02-23T00:00:00"/>
    <x v="14"/>
    <s v="Male"/>
    <n v="171"/>
    <n v="70.900000000000006"/>
    <n v="10484"/>
    <n v="477.9"/>
    <n v="7.7"/>
    <n v="64"/>
    <x v="5"/>
    <n v="24"/>
    <n v="2.23"/>
    <n v="3"/>
    <x v="0"/>
  </r>
  <r>
    <n v="1902"/>
    <d v="2022-02-24T00:00:00"/>
    <x v="36"/>
    <s v="Female"/>
    <n v="169.9"/>
    <n v="83.4"/>
    <n v="12787"/>
    <n v="739.8"/>
    <n v="7.9"/>
    <n v="74"/>
    <x v="4"/>
    <n v="89"/>
    <n v="2.68"/>
    <n v="9"/>
    <x v="1"/>
  </r>
  <r>
    <n v="1331"/>
    <d v="2022-02-25T00:00:00"/>
    <x v="36"/>
    <s v="Female"/>
    <n v="156.69999999999999"/>
    <n v="79.8"/>
    <n v="13834"/>
    <n v="716.3"/>
    <n v="6.9"/>
    <n v="63"/>
    <x v="1"/>
    <n v="77"/>
    <n v="3.11"/>
    <n v="2"/>
    <x v="0"/>
  </r>
  <r>
    <n v="1816"/>
    <d v="2022-02-26T00:00:00"/>
    <x v="2"/>
    <s v="Female"/>
    <n v="169.7"/>
    <n v="60.8"/>
    <n v="6605"/>
    <n v="439.2"/>
    <n v="10"/>
    <n v="73"/>
    <x v="3"/>
    <n v="63"/>
    <n v="2"/>
    <n v="5"/>
    <x v="0"/>
  </r>
  <r>
    <n v="1861"/>
    <d v="2022-02-27T00:00:00"/>
    <x v="1"/>
    <s v="Male"/>
    <n v="183.6"/>
    <n v="59.6"/>
    <n v="11677"/>
    <n v="671.6"/>
    <n v="5.7"/>
    <n v="68"/>
    <x v="4"/>
    <n v="51"/>
    <n v="2.6"/>
    <n v="5"/>
    <x v="2"/>
  </r>
  <r>
    <n v="1724"/>
    <d v="2022-02-28T00:00:00"/>
    <x v="3"/>
    <s v="Female"/>
    <n v="170.6"/>
    <n v="57.2"/>
    <n v="17938"/>
    <n v="819"/>
    <n v="6.5"/>
    <n v="80"/>
    <x v="5"/>
    <n v="59"/>
    <n v="2.21"/>
    <n v="5"/>
    <x v="2"/>
  </r>
  <r>
    <n v="1158"/>
    <d v="2022-03-01T00:00:00"/>
    <x v="39"/>
    <s v="Female"/>
    <n v="176.8"/>
    <n v="71.3"/>
    <n v="15051"/>
    <n v="805.1"/>
    <n v="9.5"/>
    <n v="94"/>
    <x v="1"/>
    <n v="76"/>
    <n v="2.63"/>
    <n v="1"/>
    <x v="1"/>
  </r>
  <r>
    <n v="1953"/>
    <d v="2022-03-02T00:00:00"/>
    <x v="19"/>
    <s v="Female"/>
    <n v="176.5"/>
    <n v="46.3"/>
    <n v="11766"/>
    <n v="703.1"/>
    <n v="6.4"/>
    <n v="73"/>
    <x v="4"/>
    <n v="30"/>
    <n v="2.98"/>
    <n v="10"/>
    <x v="1"/>
  </r>
  <r>
    <n v="1956"/>
    <d v="2022-03-03T00:00:00"/>
    <x v="40"/>
    <s v="Male"/>
    <n v="159.9"/>
    <n v="56.6"/>
    <n v="11416"/>
    <n v="665.4"/>
    <n v="6.8"/>
    <n v="69"/>
    <x v="0"/>
    <n v="0"/>
    <n v="3.14"/>
    <n v="7"/>
    <x v="0"/>
  </r>
  <r>
    <n v="1023"/>
    <d v="2022-03-04T00:00:00"/>
    <x v="3"/>
    <s v="Male"/>
    <n v="178.6"/>
    <n v="63.1"/>
    <n v="16009"/>
    <n v="820.7"/>
    <n v="7.6"/>
    <n v="76"/>
    <x v="4"/>
    <n v="66"/>
    <n v="2.97"/>
    <n v="2"/>
    <x v="2"/>
  </r>
  <r>
    <n v="1403"/>
    <d v="2022-03-05T00:00:00"/>
    <x v="36"/>
    <s v="Male"/>
    <n v="166.9"/>
    <n v="85.8"/>
    <n v="14874"/>
    <n v="797"/>
    <n v="8.8000000000000007"/>
    <n v="90"/>
    <x v="5"/>
    <n v="21"/>
    <n v="2.79"/>
    <n v="2"/>
    <x v="2"/>
  </r>
  <r>
    <n v="1804"/>
    <d v="2022-03-06T00:00:00"/>
    <x v="34"/>
    <s v="Female"/>
    <n v="167.4"/>
    <n v="68"/>
    <n v="10185"/>
    <n v="603.6"/>
    <n v="7.2"/>
    <n v="80"/>
    <x v="5"/>
    <n v="71"/>
    <n v="1.51"/>
    <n v="9"/>
    <x v="1"/>
  </r>
  <r>
    <n v="1515"/>
    <d v="2022-03-07T00:00:00"/>
    <x v="38"/>
    <s v="Male"/>
    <n v="191"/>
    <n v="85.1"/>
    <n v="18505"/>
    <n v="900"/>
    <n v="5.7"/>
    <n v="74"/>
    <x v="3"/>
    <n v="68"/>
    <n v="1.74"/>
    <n v="1"/>
    <x v="0"/>
  </r>
  <r>
    <n v="1731"/>
    <d v="2022-03-08T00:00:00"/>
    <x v="33"/>
    <s v="Female"/>
    <n v="176"/>
    <n v="72.8"/>
    <n v="17439"/>
    <n v="900"/>
    <n v="6.4"/>
    <n v="54"/>
    <x v="3"/>
    <n v="78"/>
    <n v="1.92"/>
    <n v="9"/>
    <x v="1"/>
  </r>
  <r>
    <n v="1363"/>
    <d v="2022-03-09T00:00:00"/>
    <x v="35"/>
    <s v="Male"/>
    <n v="163.6"/>
    <n v="62.9"/>
    <n v="15660"/>
    <n v="805.9"/>
    <n v="7.8"/>
    <n v="74"/>
    <x v="4"/>
    <n v="57"/>
    <n v="2.75"/>
    <n v="6"/>
    <x v="0"/>
  </r>
  <r>
    <n v="1381"/>
    <d v="2022-03-10T00:00:00"/>
    <x v="7"/>
    <s v="Male"/>
    <n v="170.6"/>
    <n v="63.5"/>
    <n v="9849"/>
    <n v="605.5"/>
    <n v="6.6"/>
    <n v="83"/>
    <x v="5"/>
    <n v="35"/>
    <n v="1.6"/>
    <n v="5"/>
    <x v="2"/>
  </r>
  <r>
    <n v="1531"/>
    <d v="2022-03-11T00:00:00"/>
    <x v="23"/>
    <s v="Female"/>
    <n v="170.4"/>
    <n v="52.5"/>
    <n v="5736"/>
    <n v="396.1"/>
    <n v="6.3"/>
    <n v="85"/>
    <x v="4"/>
    <n v="46"/>
    <n v="2.74"/>
    <n v="5"/>
    <x v="0"/>
  </r>
  <r>
    <n v="1955"/>
    <d v="2022-03-12T00:00:00"/>
    <x v="0"/>
    <s v="Male"/>
    <n v="186.9"/>
    <n v="106"/>
    <n v="3609"/>
    <n v="365.2"/>
    <n v="5.6"/>
    <n v="88"/>
    <x v="2"/>
    <n v="47"/>
    <n v="2.69"/>
    <n v="5"/>
    <x v="2"/>
  </r>
  <r>
    <n v="1151"/>
    <d v="2022-03-13T00:00:00"/>
    <x v="6"/>
    <s v="Female"/>
    <n v="170.4"/>
    <n v="86.7"/>
    <n v="15675"/>
    <n v="850"/>
    <n v="8.8000000000000007"/>
    <n v="68"/>
    <x v="0"/>
    <n v="0"/>
    <n v="1.1499999999999999"/>
    <n v="6"/>
    <x v="2"/>
  </r>
  <r>
    <n v="1561"/>
    <d v="2022-03-14T00:00:00"/>
    <x v="38"/>
    <s v="Female"/>
    <n v="192.1"/>
    <n v="79.099999999999994"/>
    <n v="4909"/>
    <n v="388"/>
    <n v="6.8"/>
    <n v="71"/>
    <x v="5"/>
    <n v="64"/>
    <n v="1.74"/>
    <n v="7"/>
    <x v="2"/>
  </r>
  <r>
    <n v="1688"/>
    <d v="2022-03-15T00:00:00"/>
    <x v="6"/>
    <s v="Male"/>
    <n v="157"/>
    <n v="50.5"/>
    <n v="17787"/>
    <n v="900"/>
    <n v="6.8"/>
    <n v="74"/>
    <x v="2"/>
    <n v="52"/>
    <n v="3.23"/>
    <n v="9"/>
    <x v="1"/>
  </r>
  <r>
    <n v="1946"/>
    <d v="2022-03-16T00:00:00"/>
    <x v="33"/>
    <s v="Female"/>
    <n v="169.7"/>
    <n v="63.2"/>
    <n v="15867"/>
    <n v="834.8"/>
    <n v="8"/>
    <n v="82"/>
    <x v="2"/>
    <n v="79"/>
    <n v="2.99"/>
    <n v="2"/>
    <x v="1"/>
  </r>
  <r>
    <n v="1607"/>
    <d v="2022-03-17T00:00:00"/>
    <x v="34"/>
    <s v="Female"/>
    <n v="162.4"/>
    <n v="55.4"/>
    <n v="1794"/>
    <n v="269.39999999999998"/>
    <n v="5"/>
    <n v="72"/>
    <x v="5"/>
    <n v="69"/>
    <n v="1.9"/>
    <n v="4"/>
    <x v="1"/>
  </r>
  <r>
    <n v="1616"/>
    <d v="2022-03-18T00:00:00"/>
    <x v="21"/>
    <s v="Male"/>
    <n v="165.1"/>
    <n v="71.900000000000006"/>
    <n v="18945"/>
    <n v="900"/>
    <n v="7.1"/>
    <n v="80"/>
    <x v="3"/>
    <n v="65"/>
    <n v="1.78"/>
    <n v="5"/>
    <x v="0"/>
  </r>
  <r>
    <n v="1419"/>
    <d v="2022-03-19T00:00:00"/>
    <x v="20"/>
    <s v="Male"/>
    <n v="165.3"/>
    <n v="56.1"/>
    <n v="16369"/>
    <n v="863.4"/>
    <n v="9.3000000000000007"/>
    <n v="71"/>
    <x v="4"/>
    <n v="54"/>
    <n v="0.78"/>
    <n v="6"/>
    <x v="1"/>
  </r>
  <r>
    <n v="1249"/>
    <d v="2022-03-20T00:00:00"/>
    <x v="15"/>
    <s v="Female"/>
    <n v="162.9"/>
    <n v="59.9"/>
    <n v="11833"/>
    <n v="644.4"/>
    <n v="6.9"/>
    <n v="68"/>
    <x v="1"/>
    <n v="60"/>
    <n v="3.53"/>
    <n v="7"/>
    <x v="2"/>
  </r>
  <r>
    <n v="1116"/>
    <d v="2022-03-21T00:00:00"/>
    <x v="31"/>
    <s v="Male"/>
    <n v="187.3"/>
    <n v="56.5"/>
    <n v="11856"/>
    <n v="717.7"/>
    <n v="7.3"/>
    <n v="86"/>
    <x v="1"/>
    <n v="77"/>
    <n v="2.5299999999999998"/>
    <n v="3"/>
    <x v="1"/>
  </r>
  <r>
    <n v="1865"/>
    <d v="2022-03-22T00:00:00"/>
    <x v="25"/>
    <s v="Female"/>
    <n v="184.2"/>
    <n v="66.400000000000006"/>
    <n v="7795"/>
    <n v="469.6"/>
    <n v="7.3"/>
    <n v="78"/>
    <x v="0"/>
    <n v="0"/>
    <n v="3.82"/>
    <n v="3"/>
    <x v="2"/>
  </r>
  <r>
    <n v="1511"/>
    <d v="2022-03-23T00:00:00"/>
    <x v="36"/>
    <s v="Female"/>
    <n v="174"/>
    <n v="71.099999999999994"/>
    <n v="6492"/>
    <n v="473.1"/>
    <n v="8.6"/>
    <n v="82"/>
    <x v="5"/>
    <n v="24"/>
    <n v="2.37"/>
    <n v="9"/>
    <x v="1"/>
  </r>
  <r>
    <n v="1739"/>
    <d v="2022-03-24T00:00:00"/>
    <x v="38"/>
    <s v="Male"/>
    <n v="165.3"/>
    <n v="66.8"/>
    <n v="16794"/>
    <n v="858.7"/>
    <n v="7.3"/>
    <n v="73"/>
    <x v="3"/>
    <n v="24"/>
    <n v="2.7"/>
    <n v="9"/>
    <x v="0"/>
  </r>
  <r>
    <n v="1577"/>
    <d v="2022-03-25T00:00:00"/>
    <x v="7"/>
    <s v="Male"/>
    <n v="163.19999999999999"/>
    <n v="93"/>
    <n v="11149"/>
    <n v="659.3"/>
    <n v="10"/>
    <n v="83"/>
    <x v="3"/>
    <n v="41"/>
    <n v="3.12"/>
    <n v="2"/>
    <x v="0"/>
  </r>
  <r>
    <n v="1334"/>
    <d v="2022-03-26T00:00:00"/>
    <x v="31"/>
    <s v="Male"/>
    <n v="177.4"/>
    <n v="82.2"/>
    <n v="5999"/>
    <n v="437"/>
    <n v="7.3"/>
    <n v="64"/>
    <x v="3"/>
    <n v="53"/>
    <n v="3.65"/>
    <n v="4"/>
    <x v="2"/>
  </r>
  <r>
    <n v="1417"/>
    <d v="2022-03-27T00:00:00"/>
    <x v="16"/>
    <s v="Male"/>
    <n v="173"/>
    <n v="58.3"/>
    <n v="6197"/>
    <n v="407"/>
    <n v="6.3"/>
    <n v="66"/>
    <x v="1"/>
    <n v="84"/>
    <n v="2.85"/>
    <n v="4"/>
    <x v="1"/>
  </r>
  <r>
    <n v="1931"/>
    <d v="2022-03-28T00:00:00"/>
    <x v="36"/>
    <s v="Female"/>
    <n v="168.6"/>
    <n v="74.900000000000006"/>
    <n v="4562"/>
    <n v="437.2"/>
    <n v="9.3000000000000007"/>
    <n v="84"/>
    <x v="2"/>
    <n v="78"/>
    <n v="2.5"/>
    <n v="5"/>
    <x v="1"/>
  </r>
  <r>
    <n v="1773"/>
    <d v="2022-03-29T00:00:00"/>
    <x v="30"/>
    <s v="Female"/>
    <n v="175.4"/>
    <n v="59.5"/>
    <n v="19078"/>
    <n v="900"/>
    <n v="6.7"/>
    <n v="74"/>
    <x v="0"/>
    <n v="0"/>
    <n v="2.52"/>
    <n v="2"/>
    <x v="2"/>
  </r>
  <r>
    <n v="1294"/>
    <d v="2022-03-30T00:00:00"/>
    <x v="7"/>
    <s v="Male"/>
    <n v="178.9"/>
    <n v="64.099999999999994"/>
    <n v="1855"/>
    <n v="306.3"/>
    <n v="6.1"/>
    <n v="73"/>
    <x v="1"/>
    <n v="70"/>
    <n v="1.77"/>
    <n v="4"/>
    <x v="0"/>
  </r>
  <r>
    <n v="1937"/>
    <d v="2022-03-31T00:00:00"/>
    <x v="10"/>
    <s v="Male"/>
    <n v="168.5"/>
    <n v="77.2"/>
    <n v="10487"/>
    <n v="534.6"/>
    <n v="5.2"/>
    <n v="66"/>
    <x v="3"/>
    <n v="68"/>
    <n v="2.23"/>
    <n v="3"/>
    <x v="1"/>
  </r>
  <r>
    <n v="1754"/>
    <d v="2022-04-01T00:00:00"/>
    <x v="6"/>
    <s v="Female"/>
    <n v="162.1"/>
    <n v="80"/>
    <n v="4621"/>
    <n v="370.4"/>
    <n v="7.7"/>
    <n v="83"/>
    <x v="1"/>
    <n v="28"/>
    <n v="2.54"/>
    <n v="6"/>
    <x v="1"/>
  </r>
  <r>
    <n v="1370"/>
    <d v="2022-04-02T00:00:00"/>
    <x v="15"/>
    <s v="Female"/>
    <n v="156.80000000000001"/>
    <n v="61.2"/>
    <n v="5206"/>
    <n v="484.7"/>
    <n v="6.3"/>
    <n v="94"/>
    <x v="1"/>
    <n v="34"/>
    <n v="3.47"/>
    <n v="4"/>
    <x v="1"/>
  </r>
  <r>
    <n v="1185"/>
    <d v="2022-04-03T00:00:00"/>
    <x v="18"/>
    <s v="Female"/>
    <n v="172.5"/>
    <n v="53.4"/>
    <n v="2038"/>
    <n v="267.7"/>
    <n v="5.8"/>
    <n v="81"/>
    <x v="0"/>
    <n v="0"/>
    <n v="2.2000000000000002"/>
    <n v="1"/>
    <x v="0"/>
  </r>
  <r>
    <n v="1245"/>
    <d v="2022-04-04T00:00:00"/>
    <x v="37"/>
    <s v="Female"/>
    <n v="191.7"/>
    <n v="71.3"/>
    <n v="5596"/>
    <n v="428.7"/>
    <n v="6.2"/>
    <n v="71"/>
    <x v="4"/>
    <n v="72"/>
    <n v="3.24"/>
    <n v="3"/>
    <x v="1"/>
  </r>
  <r>
    <n v="1636"/>
    <d v="2022-04-05T00:00:00"/>
    <x v="40"/>
    <s v="Male"/>
    <n v="158.9"/>
    <n v="76.5"/>
    <n v="15151"/>
    <n v="886.2"/>
    <n v="6.5"/>
    <n v="89"/>
    <x v="5"/>
    <n v="44"/>
    <n v="2.44"/>
    <n v="8"/>
    <x v="0"/>
  </r>
  <r>
    <n v="1267"/>
    <d v="2022-04-06T00:00:00"/>
    <x v="27"/>
    <s v="Female"/>
    <n v="181"/>
    <n v="60.4"/>
    <n v="5370"/>
    <n v="407.7"/>
    <n v="8.1999999999999993"/>
    <n v="79"/>
    <x v="2"/>
    <n v="47"/>
    <n v="3.37"/>
    <n v="3"/>
    <x v="1"/>
  </r>
  <r>
    <n v="1642"/>
    <d v="2022-04-07T00:00:00"/>
    <x v="29"/>
    <s v="Female"/>
    <n v="163.19999999999999"/>
    <n v="82.2"/>
    <n v="4447"/>
    <n v="390.8"/>
    <n v="7.7"/>
    <n v="71"/>
    <x v="4"/>
    <n v="42"/>
    <n v="2.97"/>
    <n v="7"/>
    <x v="0"/>
  </r>
  <r>
    <n v="1236"/>
    <d v="2022-04-08T00:00:00"/>
    <x v="21"/>
    <s v="Male"/>
    <n v="165.3"/>
    <n v="79.599999999999994"/>
    <n v="16903"/>
    <n v="900"/>
    <n v="6.8"/>
    <n v="88"/>
    <x v="5"/>
    <n v="22"/>
    <n v="2.93"/>
    <n v="2"/>
    <x v="2"/>
  </r>
  <r>
    <n v="1529"/>
    <d v="2022-04-09T00:00:00"/>
    <x v="23"/>
    <s v="Female"/>
    <n v="179.1"/>
    <n v="60.2"/>
    <n v="16326"/>
    <n v="784.1"/>
    <n v="7.8"/>
    <n v="73"/>
    <x v="3"/>
    <n v="52"/>
    <n v="3.19"/>
    <n v="5"/>
    <x v="0"/>
  </r>
  <r>
    <n v="1551"/>
    <d v="2022-04-10T00:00:00"/>
    <x v="1"/>
    <s v="Female"/>
    <n v="167.4"/>
    <n v="87"/>
    <n v="15056"/>
    <n v="778"/>
    <n v="6.8"/>
    <n v="61"/>
    <x v="0"/>
    <n v="0"/>
    <n v="3.08"/>
    <n v="7"/>
    <x v="2"/>
  </r>
  <r>
    <n v="1020"/>
    <d v="2022-04-11T00:00:00"/>
    <x v="24"/>
    <s v="Male"/>
    <n v="172.5"/>
    <n v="87.4"/>
    <n v="6229"/>
    <n v="455.7"/>
    <n v="7.3"/>
    <n v="72"/>
    <x v="0"/>
    <n v="0"/>
    <n v="3.24"/>
    <n v="1"/>
    <x v="1"/>
  </r>
  <r>
    <n v="1910"/>
    <d v="2022-04-12T00:00:00"/>
    <x v="24"/>
    <s v="Male"/>
    <n v="172.3"/>
    <n v="101"/>
    <n v="3241"/>
    <n v="249.8"/>
    <n v="6"/>
    <n v="80"/>
    <x v="4"/>
    <n v="86"/>
    <n v="3.99"/>
    <n v="1"/>
    <x v="1"/>
  </r>
  <r>
    <n v="1736"/>
    <d v="2022-04-13T00:00:00"/>
    <x v="14"/>
    <s v="Male"/>
    <n v="163.30000000000001"/>
    <n v="95.7"/>
    <n v="8818"/>
    <n v="621.20000000000005"/>
    <n v="6"/>
    <n v="68"/>
    <x v="5"/>
    <n v="86"/>
    <n v="3.63"/>
    <n v="8"/>
    <x v="1"/>
  </r>
  <r>
    <n v="1866"/>
    <d v="2022-04-14T00:00:00"/>
    <x v="0"/>
    <s v="Female"/>
    <n v="179"/>
    <n v="56.5"/>
    <n v="7998"/>
    <n v="557.70000000000005"/>
    <n v="7.2"/>
    <n v="56"/>
    <x v="0"/>
    <n v="0"/>
    <n v="2.83"/>
    <n v="2"/>
    <x v="2"/>
  </r>
  <r>
    <n v="1793"/>
    <d v="2022-04-15T00:00:00"/>
    <x v="8"/>
    <s v="Female"/>
    <n v="169.4"/>
    <n v="83.9"/>
    <n v="11155"/>
    <n v="676.6"/>
    <n v="7.2"/>
    <n v="90"/>
    <x v="4"/>
    <n v="27"/>
    <n v="2.19"/>
    <n v="4"/>
    <x v="1"/>
  </r>
  <r>
    <n v="1519"/>
    <d v="2022-04-16T00:00:00"/>
    <x v="18"/>
    <s v="Male"/>
    <n v="156.1"/>
    <n v="83.2"/>
    <n v="7444"/>
    <n v="563.79999999999995"/>
    <n v="8.5"/>
    <n v="105"/>
    <x v="0"/>
    <n v="0"/>
    <n v="2.76"/>
    <n v="3"/>
    <x v="0"/>
  </r>
  <r>
    <n v="1099"/>
    <d v="2022-04-17T00:00:00"/>
    <x v="19"/>
    <s v="Male"/>
    <n v="161.1"/>
    <n v="64.8"/>
    <n v="4015"/>
    <n v="396.8"/>
    <n v="7.7"/>
    <n v="70"/>
    <x v="1"/>
    <n v="79"/>
    <n v="1.1499999999999999"/>
    <n v="5"/>
    <x v="0"/>
  </r>
  <r>
    <n v="1751"/>
    <d v="2022-04-18T00:00:00"/>
    <x v="3"/>
    <s v="Female"/>
    <n v="150"/>
    <n v="76.8"/>
    <n v="15903"/>
    <n v="824.6"/>
    <n v="6.3"/>
    <n v="69"/>
    <x v="1"/>
    <n v="75"/>
    <n v="3.08"/>
    <n v="2"/>
    <x v="2"/>
  </r>
  <r>
    <n v="1477"/>
    <d v="2022-04-19T00:00:00"/>
    <x v="20"/>
    <s v="Male"/>
    <n v="170.5"/>
    <n v="45"/>
    <n v="7815"/>
    <n v="431"/>
    <n v="5.0999999999999996"/>
    <n v="62"/>
    <x v="4"/>
    <n v="89"/>
    <n v="1.76"/>
    <n v="6"/>
    <x v="0"/>
  </r>
  <r>
    <n v="1598"/>
    <d v="2022-04-20T00:00:00"/>
    <x v="19"/>
    <s v="Male"/>
    <n v="183"/>
    <n v="45"/>
    <n v="5864"/>
    <n v="400.5"/>
    <n v="8.3000000000000007"/>
    <n v="67"/>
    <x v="4"/>
    <n v="41"/>
    <n v="3.29"/>
    <n v="8"/>
    <x v="2"/>
  </r>
  <r>
    <n v="1297"/>
    <d v="2022-04-21T00:00:00"/>
    <x v="2"/>
    <s v="Male"/>
    <n v="159.5"/>
    <n v="45"/>
    <n v="10676"/>
    <n v="594.4"/>
    <n v="7.5"/>
    <n v="60"/>
    <x v="2"/>
    <n v="52"/>
    <n v="3.89"/>
    <n v="5"/>
    <x v="2"/>
  </r>
  <r>
    <n v="1939"/>
    <d v="2022-04-22T00:00:00"/>
    <x v="19"/>
    <s v="Female"/>
    <n v="175.9"/>
    <n v="75.8"/>
    <n v="5234"/>
    <n v="440.3"/>
    <n v="8.5"/>
    <n v="62"/>
    <x v="3"/>
    <n v="69"/>
    <n v="1.48"/>
    <n v="7"/>
    <x v="1"/>
  </r>
  <r>
    <n v="1525"/>
    <d v="2022-04-23T00:00:00"/>
    <x v="40"/>
    <s v="Female"/>
    <n v="174.3"/>
    <n v="76.5"/>
    <n v="15147"/>
    <n v="809.9"/>
    <n v="7.7"/>
    <n v="75"/>
    <x v="1"/>
    <n v="65"/>
    <n v="2.46"/>
    <n v="5"/>
    <x v="2"/>
  </r>
  <r>
    <n v="1333"/>
    <d v="2022-04-24T00:00:00"/>
    <x v="19"/>
    <s v="Female"/>
    <n v="162.5"/>
    <n v="65.900000000000006"/>
    <n v="19723"/>
    <n v="900"/>
    <n v="9.6999999999999993"/>
    <n v="59"/>
    <x v="0"/>
    <n v="0"/>
    <n v="1.75"/>
    <n v="6"/>
    <x v="0"/>
  </r>
  <r>
    <n v="1001"/>
    <d v="2022-04-25T00:00:00"/>
    <x v="16"/>
    <s v="Female"/>
    <n v="185.4"/>
    <n v="95.8"/>
    <n v="9526"/>
    <n v="624.29999999999995"/>
    <n v="6.7"/>
    <n v="60"/>
    <x v="4"/>
    <n v="85"/>
    <n v="1.29"/>
    <n v="9"/>
    <x v="0"/>
  </r>
  <r>
    <n v="1374"/>
    <d v="2022-04-26T00:00:00"/>
    <x v="4"/>
    <s v="Female"/>
    <n v="167.3"/>
    <n v="84.8"/>
    <n v="7842"/>
    <n v="580.1"/>
    <n v="7.1"/>
    <n v="77"/>
    <x v="5"/>
    <n v="40"/>
    <n v="2.4300000000000002"/>
    <n v="10"/>
    <x v="1"/>
  </r>
  <r>
    <n v="1292"/>
    <d v="2022-04-27T00:00:00"/>
    <x v="40"/>
    <s v="Female"/>
    <n v="190.1"/>
    <n v="46"/>
    <n v="2858"/>
    <n v="388.1"/>
    <n v="8.1999999999999993"/>
    <n v="69"/>
    <x v="0"/>
    <n v="0"/>
    <n v="2.94"/>
    <n v="1"/>
    <x v="2"/>
  </r>
  <r>
    <n v="1836"/>
    <d v="2022-04-28T00:00:00"/>
    <x v="0"/>
    <s v="Male"/>
    <n v="153.6"/>
    <n v="67.400000000000006"/>
    <n v="2207"/>
    <n v="231.8"/>
    <n v="8.3000000000000007"/>
    <n v="79"/>
    <x v="3"/>
    <n v="67"/>
    <n v="3.03"/>
    <n v="10"/>
    <x v="1"/>
  </r>
  <r>
    <n v="1933"/>
    <d v="2022-04-29T00:00:00"/>
    <x v="32"/>
    <s v="Female"/>
    <n v="167.3"/>
    <n v="55.9"/>
    <n v="18308"/>
    <n v="900"/>
    <n v="7.5"/>
    <n v="72"/>
    <x v="5"/>
    <n v="32"/>
    <n v="2.61"/>
    <n v="9"/>
    <x v="1"/>
  </r>
  <r>
    <n v="1552"/>
    <d v="2022-04-30T00:00:00"/>
    <x v="6"/>
    <s v="Female"/>
    <n v="168.5"/>
    <n v="76.2"/>
    <n v="6429"/>
    <n v="406.8"/>
    <n v="4.5999999999999996"/>
    <n v="73"/>
    <x v="0"/>
    <n v="0"/>
    <n v="1.34"/>
    <n v="3"/>
    <x v="1"/>
  </r>
  <r>
    <n v="1317"/>
    <d v="2022-05-01T00:00:00"/>
    <x v="10"/>
    <s v="Male"/>
    <n v="169.6"/>
    <n v="69.5"/>
    <n v="8591"/>
    <n v="640.6"/>
    <n v="4.3"/>
    <n v="83"/>
    <x v="3"/>
    <n v="24"/>
    <n v="2.59"/>
    <n v="10"/>
    <x v="1"/>
  </r>
  <r>
    <n v="1501"/>
    <d v="2022-05-02T00:00:00"/>
    <x v="26"/>
    <s v="Female"/>
    <n v="177.2"/>
    <n v="56.8"/>
    <n v="13944"/>
    <n v="759.3"/>
    <n v="6.4"/>
    <n v="70"/>
    <x v="5"/>
    <n v="37"/>
    <n v="1.46"/>
    <n v="3"/>
    <x v="1"/>
  </r>
  <r>
    <n v="1827"/>
    <d v="2022-05-03T00:00:00"/>
    <x v="37"/>
    <s v="Female"/>
    <n v="200"/>
    <n v="95.4"/>
    <n v="6892"/>
    <n v="457.2"/>
    <n v="7"/>
    <n v="82"/>
    <x v="1"/>
    <n v="56"/>
    <n v="1.5"/>
    <n v="4"/>
    <x v="2"/>
  </r>
  <r>
    <n v="1380"/>
    <d v="2022-05-04T00:00:00"/>
    <x v="14"/>
    <s v="Male"/>
    <n v="174.6"/>
    <n v="70.900000000000006"/>
    <n v="12777"/>
    <n v="683.4"/>
    <n v="4.2"/>
    <n v="71"/>
    <x v="4"/>
    <n v="73"/>
    <n v="1.8"/>
    <n v="8"/>
    <x v="0"/>
  </r>
  <r>
    <n v="1622"/>
    <d v="2022-05-05T00:00:00"/>
    <x v="18"/>
    <s v="Male"/>
    <n v="170.2"/>
    <n v="63.8"/>
    <n v="6945"/>
    <n v="494.5"/>
    <n v="7"/>
    <n v="67"/>
    <x v="0"/>
    <n v="0"/>
    <n v="3.23"/>
    <n v="1"/>
    <x v="2"/>
  </r>
  <r>
    <n v="1013"/>
    <d v="2022-05-06T00:00:00"/>
    <x v="21"/>
    <s v="Male"/>
    <n v="159"/>
    <n v="66.2"/>
    <n v="8691"/>
    <n v="573.4"/>
    <n v="8"/>
    <n v="64"/>
    <x v="4"/>
    <n v="47"/>
    <n v="2.88"/>
    <n v="4"/>
    <x v="2"/>
  </r>
  <r>
    <n v="1503"/>
    <d v="2022-05-07T00:00:00"/>
    <x v="23"/>
    <s v="Female"/>
    <n v="151.1"/>
    <n v="94.3"/>
    <n v="13548"/>
    <n v="659.5"/>
    <n v="6.9"/>
    <n v="58"/>
    <x v="2"/>
    <n v="64"/>
    <n v="2.73"/>
    <n v="7"/>
    <x v="1"/>
  </r>
  <r>
    <n v="1230"/>
    <d v="2022-05-08T00:00:00"/>
    <x v="13"/>
    <s v="Male"/>
    <n v="181.7"/>
    <n v="83.7"/>
    <n v="14673"/>
    <n v="856.8"/>
    <n v="7.4"/>
    <n v="63"/>
    <x v="0"/>
    <n v="0"/>
    <n v="1.9"/>
    <n v="3"/>
    <x v="0"/>
  </r>
  <r>
    <n v="1984"/>
    <d v="2022-05-09T00:00:00"/>
    <x v="30"/>
    <s v="Female"/>
    <n v="164.5"/>
    <n v="67.599999999999994"/>
    <n v="5027"/>
    <n v="424.6"/>
    <n v="7.9"/>
    <n v="57"/>
    <x v="4"/>
    <n v="84"/>
    <n v="2.23"/>
    <n v="7"/>
    <x v="2"/>
  </r>
  <r>
    <n v="1083"/>
    <d v="2022-05-10T00:00:00"/>
    <x v="9"/>
    <s v="Female"/>
    <n v="196"/>
    <n v="55.1"/>
    <n v="13456"/>
    <n v="807.7"/>
    <n v="4.5999999999999996"/>
    <n v="65"/>
    <x v="0"/>
    <n v="0"/>
    <n v="1.54"/>
    <n v="5"/>
    <x v="2"/>
  </r>
  <r>
    <n v="1129"/>
    <d v="2022-05-11T00:00:00"/>
    <x v="22"/>
    <s v="Female"/>
    <n v="178.7"/>
    <n v="57.5"/>
    <n v="5295"/>
    <n v="497.3"/>
    <n v="8"/>
    <n v="83"/>
    <x v="1"/>
    <n v="61"/>
    <n v="3.46"/>
    <n v="10"/>
    <x v="0"/>
  </r>
  <r>
    <n v="1742"/>
    <d v="2022-05-12T00:00:00"/>
    <x v="17"/>
    <s v="Female"/>
    <n v="173.4"/>
    <n v="62.8"/>
    <n v="13869"/>
    <n v="749.8"/>
    <n v="5.9"/>
    <n v="75"/>
    <x v="3"/>
    <n v="52"/>
    <n v="4.04"/>
    <n v="9"/>
    <x v="2"/>
  </r>
  <r>
    <n v="1837"/>
    <d v="2022-05-13T00:00:00"/>
    <x v="21"/>
    <s v="Male"/>
    <n v="173.9"/>
    <n v="77.599999999999994"/>
    <n v="5661"/>
    <n v="469.3"/>
    <n v="6.6"/>
    <n v="71"/>
    <x v="3"/>
    <n v="35"/>
    <n v="2.89"/>
    <n v="8"/>
    <x v="0"/>
  </r>
  <r>
    <n v="1144"/>
    <d v="2022-05-14T00:00:00"/>
    <x v="37"/>
    <s v="Male"/>
    <n v="174"/>
    <n v="81.3"/>
    <n v="15730"/>
    <n v="800.4"/>
    <n v="6"/>
    <n v="68"/>
    <x v="4"/>
    <n v="32"/>
    <n v="3.01"/>
    <n v="3"/>
    <x v="2"/>
  </r>
  <r>
    <n v="1890"/>
    <d v="2022-05-15T00:00:00"/>
    <x v="31"/>
    <s v="Female"/>
    <n v="163.1"/>
    <n v="59.1"/>
    <n v="13034"/>
    <n v="698"/>
    <n v="8.6"/>
    <n v="74"/>
    <x v="5"/>
    <n v="40"/>
    <n v="2.39"/>
    <n v="4"/>
    <x v="1"/>
  </r>
  <r>
    <n v="1856"/>
    <d v="2022-05-16T00:00:00"/>
    <x v="7"/>
    <s v="Male"/>
    <n v="152.5"/>
    <n v="82"/>
    <n v="19782"/>
    <n v="900"/>
    <n v="5.2"/>
    <n v="75"/>
    <x v="4"/>
    <n v="78"/>
    <n v="1.37"/>
    <n v="7"/>
    <x v="0"/>
  </r>
  <r>
    <n v="1027"/>
    <d v="2022-05-17T00:00:00"/>
    <x v="11"/>
    <s v="Female"/>
    <n v="164.5"/>
    <n v="56.4"/>
    <n v="17411"/>
    <n v="859.5"/>
    <n v="9.1"/>
    <n v="64"/>
    <x v="0"/>
    <n v="0"/>
    <n v="1.91"/>
    <n v="2"/>
    <x v="2"/>
  </r>
  <r>
    <n v="1065"/>
    <d v="2022-05-18T00:00:00"/>
    <x v="27"/>
    <s v="Female"/>
    <n v="169.8"/>
    <n v="60.8"/>
    <n v="13142"/>
    <n v="735.5"/>
    <n v="10"/>
    <n v="80"/>
    <x v="3"/>
    <n v="58"/>
    <n v="2.17"/>
    <n v="10"/>
    <x v="2"/>
  </r>
  <r>
    <n v="1162"/>
    <d v="2022-05-19T00:00:00"/>
    <x v="37"/>
    <s v="Female"/>
    <n v="163.5"/>
    <n v="48.3"/>
    <n v="2898"/>
    <n v="270.5"/>
    <n v="4.7"/>
    <n v="72"/>
    <x v="0"/>
    <n v="0"/>
    <n v="2.23"/>
    <n v="6"/>
    <x v="0"/>
  </r>
  <r>
    <n v="1228"/>
    <d v="2022-05-20T00:00:00"/>
    <x v="29"/>
    <s v="Male"/>
    <n v="157.1"/>
    <n v="47.8"/>
    <n v="13919"/>
    <n v="724"/>
    <n v="6.1"/>
    <n v="78"/>
    <x v="2"/>
    <n v="46"/>
    <n v="2.0699999999999998"/>
    <n v="9"/>
    <x v="0"/>
  </r>
  <r>
    <n v="1260"/>
    <d v="2022-05-21T00:00:00"/>
    <x v="35"/>
    <s v="Female"/>
    <n v="162.5"/>
    <n v="56.2"/>
    <n v="8300"/>
    <n v="506.7"/>
    <n v="7.9"/>
    <n v="75"/>
    <x v="3"/>
    <n v="56"/>
    <n v="2.5299999999999998"/>
    <n v="9"/>
    <x v="0"/>
  </r>
  <r>
    <n v="1448"/>
    <d v="2022-05-22T00:00:00"/>
    <x v="3"/>
    <s v="Female"/>
    <n v="180.4"/>
    <n v="69.599999999999994"/>
    <n v="3427"/>
    <n v="409.4"/>
    <n v="5.5"/>
    <n v="61"/>
    <x v="5"/>
    <n v="22"/>
    <n v="1.9"/>
    <n v="6"/>
    <x v="0"/>
  </r>
  <r>
    <n v="1423"/>
    <d v="2022-05-23T00:00:00"/>
    <x v="33"/>
    <s v="Male"/>
    <n v="177.5"/>
    <n v="55.1"/>
    <n v="2625"/>
    <n v="330.7"/>
    <n v="6.6"/>
    <n v="88"/>
    <x v="5"/>
    <n v="26"/>
    <n v="4.0199999999999996"/>
    <n v="6"/>
    <x v="0"/>
  </r>
  <r>
    <n v="1459"/>
    <d v="2022-05-24T00:00:00"/>
    <x v="2"/>
    <s v="Male"/>
    <n v="171.7"/>
    <n v="92.5"/>
    <n v="11767"/>
    <n v="712.8"/>
    <n v="7.3"/>
    <n v="75"/>
    <x v="2"/>
    <n v="77"/>
    <n v="1.54"/>
    <n v="6"/>
    <x v="0"/>
  </r>
  <r>
    <n v="1951"/>
    <d v="2022-05-25T00:00:00"/>
    <x v="5"/>
    <s v="Male"/>
    <n v="175.9"/>
    <n v="56"/>
    <n v="19420"/>
    <n v="886.5"/>
    <n v="5.9"/>
    <n v="71"/>
    <x v="0"/>
    <n v="0"/>
    <n v="3.12"/>
    <n v="10"/>
    <x v="1"/>
  </r>
  <r>
    <n v="1675"/>
    <d v="2022-05-26T00:00:00"/>
    <x v="14"/>
    <s v="Male"/>
    <n v="158.69999999999999"/>
    <n v="72.8"/>
    <n v="4355"/>
    <n v="375.9"/>
    <n v="7.1"/>
    <n v="81"/>
    <x v="0"/>
    <n v="0"/>
    <n v="2.3199999999999998"/>
    <n v="6"/>
    <x v="1"/>
  </r>
  <r>
    <n v="1300"/>
    <d v="2022-05-27T00:00:00"/>
    <x v="5"/>
    <s v="Female"/>
    <n v="162"/>
    <n v="89.8"/>
    <n v="15053"/>
    <n v="783"/>
    <n v="8.4"/>
    <n v="63"/>
    <x v="0"/>
    <n v="0"/>
    <n v="2.82"/>
    <n v="3"/>
    <x v="0"/>
  </r>
  <r>
    <n v="1918"/>
    <d v="2022-05-28T00:00:00"/>
    <x v="34"/>
    <s v="Male"/>
    <n v="173.1"/>
    <n v="71.400000000000006"/>
    <n v="5902"/>
    <n v="460.7"/>
    <n v="6.9"/>
    <n v="59"/>
    <x v="5"/>
    <n v="68"/>
    <n v="2.86"/>
    <n v="4"/>
    <x v="2"/>
  </r>
  <r>
    <n v="1302"/>
    <d v="2022-05-29T00:00:00"/>
    <x v="12"/>
    <s v="Female"/>
    <n v="160"/>
    <n v="64.5"/>
    <n v="16786"/>
    <n v="900"/>
    <n v="5.4"/>
    <n v="81"/>
    <x v="4"/>
    <n v="56"/>
    <n v="2.61"/>
    <n v="6"/>
    <x v="1"/>
  </r>
  <r>
    <n v="1286"/>
    <d v="2022-05-30T00:00:00"/>
    <x v="10"/>
    <s v="Male"/>
    <n v="171.1"/>
    <n v="72.2"/>
    <n v="11266"/>
    <n v="531.1"/>
    <n v="8.6999999999999993"/>
    <n v="86"/>
    <x v="4"/>
    <n v="25"/>
    <n v="1.71"/>
    <n v="10"/>
    <x v="1"/>
  </r>
  <r>
    <n v="1394"/>
    <d v="2022-05-31T00:00:00"/>
    <x v="6"/>
    <s v="Male"/>
    <n v="157.4"/>
    <n v="61.6"/>
    <n v="9280"/>
    <n v="591.20000000000005"/>
    <n v="9.1"/>
    <n v="78"/>
    <x v="3"/>
    <n v="25"/>
    <n v="2.27"/>
    <n v="1"/>
    <x v="2"/>
  </r>
  <r>
    <n v="1009"/>
    <d v="2022-06-01T00:00:00"/>
    <x v="33"/>
    <s v="Male"/>
    <n v="153.5"/>
    <n v="55"/>
    <n v="15954"/>
    <n v="900"/>
    <n v="7.6"/>
    <n v="83"/>
    <x v="1"/>
    <n v="47"/>
    <n v="2.62"/>
    <n v="1"/>
    <x v="1"/>
  </r>
  <r>
    <n v="1706"/>
    <d v="2022-06-02T00:00:00"/>
    <x v="16"/>
    <s v="Male"/>
    <n v="177.4"/>
    <n v="79.2"/>
    <n v="12996"/>
    <n v="694.4"/>
    <n v="5.5"/>
    <n v="62"/>
    <x v="4"/>
    <n v="32"/>
    <n v="2.57"/>
    <n v="7"/>
    <x v="1"/>
  </r>
  <r>
    <n v="1629"/>
    <d v="2022-06-03T00:00:00"/>
    <x v="32"/>
    <s v="Male"/>
    <n v="180.3"/>
    <n v="61.3"/>
    <n v="15046"/>
    <n v="809.3"/>
    <n v="5.7"/>
    <n v="71"/>
    <x v="4"/>
    <n v="32"/>
    <n v="1.78"/>
    <n v="1"/>
    <x v="0"/>
  </r>
  <r>
    <n v="1269"/>
    <d v="2022-06-04T00:00:00"/>
    <x v="14"/>
    <s v="Male"/>
    <n v="163.69999999999999"/>
    <n v="84.1"/>
    <n v="15205"/>
    <n v="842"/>
    <n v="3.4"/>
    <n v="68"/>
    <x v="0"/>
    <n v="0"/>
    <n v="3.4"/>
    <n v="5"/>
    <x v="1"/>
  </r>
  <r>
    <n v="1591"/>
    <d v="2022-06-05T00:00:00"/>
    <x v="18"/>
    <s v="Female"/>
    <n v="154.80000000000001"/>
    <n v="81.900000000000006"/>
    <n v="5961"/>
    <n v="330.6"/>
    <n v="6.1"/>
    <n v="85"/>
    <x v="0"/>
    <n v="0"/>
    <n v="0.75"/>
    <n v="10"/>
    <x v="1"/>
  </r>
  <r>
    <n v="1969"/>
    <d v="2022-06-06T00:00:00"/>
    <x v="23"/>
    <s v="Male"/>
    <n v="150"/>
    <n v="72.5"/>
    <n v="1032"/>
    <n v="254.6"/>
    <n v="8.6"/>
    <n v="80"/>
    <x v="2"/>
    <n v="42"/>
    <n v="2.3199999999999998"/>
    <n v="8"/>
    <x v="1"/>
  </r>
  <r>
    <n v="1604"/>
    <d v="2022-06-07T00:00:00"/>
    <x v="10"/>
    <s v="Male"/>
    <n v="188.4"/>
    <n v="84.6"/>
    <n v="5698"/>
    <n v="388.2"/>
    <n v="6"/>
    <n v="85"/>
    <x v="4"/>
    <n v="56"/>
    <n v="1.86"/>
    <n v="6"/>
    <x v="0"/>
  </r>
  <r>
    <n v="1777"/>
    <d v="2022-06-08T00:00:00"/>
    <x v="36"/>
    <s v="Male"/>
    <n v="171.1"/>
    <n v="61.8"/>
    <n v="9887"/>
    <n v="697.9"/>
    <n v="5.6"/>
    <n v="69"/>
    <x v="3"/>
    <n v="27"/>
    <n v="2.63"/>
    <n v="3"/>
    <x v="2"/>
  </r>
  <r>
    <n v="1843"/>
    <d v="2022-06-09T00:00:00"/>
    <x v="36"/>
    <s v="Male"/>
    <n v="163.9"/>
    <n v="81.8"/>
    <n v="9716"/>
    <n v="578.29999999999995"/>
    <n v="8.5"/>
    <n v="64"/>
    <x v="0"/>
    <n v="0"/>
    <n v="3.21"/>
    <n v="2"/>
    <x v="2"/>
  </r>
  <r>
    <n v="1861"/>
    <d v="2022-06-10T00:00:00"/>
    <x v="27"/>
    <s v="Female"/>
    <n v="166.4"/>
    <n v="81.7"/>
    <n v="14335"/>
    <n v="737.9"/>
    <n v="8.6999999999999993"/>
    <n v="88"/>
    <x v="2"/>
    <n v="24"/>
    <n v="1.52"/>
    <n v="2"/>
    <x v="2"/>
  </r>
  <r>
    <n v="1360"/>
    <d v="2022-06-11T00:00:00"/>
    <x v="3"/>
    <s v="Male"/>
    <n v="150.9"/>
    <n v="65.5"/>
    <n v="7177"/>
    <n v="529.4"/>
    <n v="6.2"/>
    <n v="75"/>
    <x v="4"/>
    <n v="46"/>
    <n v="4.1500000000000004"/>
    <n v="4"/>
    <x v="2"/>
  </r>
  <r>
    <n v="1256"/>
    <d v="2022-06-12T00:00:00"/>
    <x v="30"/>
    <s v="Male"/>
    <n v="176.2"/>
    <n v="63.6"/>
    <n v="9438"/>
    <n v="601.9"/>
    <n v="7.8"/>
    <n v="86"/>
    <x v="3"/>
    <n v="38"/>
    <n v="2.64"/>
    <n v="9"/>
    <x v="1"/>
  </r>
  <r>
    <n v="1132"/>
    <d v="2022-06-13T00:00:00"/>
    <x v="40"/>
    <s v="Male"/>
    <n v="190"/>
    <n v="74.900000000000006"/>
    <n v="4926"/>
    <n v="441.8"/>
    <n v="5.7"/>
    <n v="74"/>
    <x v="2"/>
    <n v="62"/>
    <n v="2.77"/>
    <n v="9"/>
    <x v="0"/>
  </r>
  <r>
    <n v="1275"/>
    <d v="2022-06-14T00:00:00"/>
    <x v="41"/>
    <s v="Male"/>
    <n v="162.19999999999999"/>
    <n v="99.5"/>
    <n v="16378"/>
    <n v="900"/>
    <n v="6.5"/>
    <n v="97"/>
    <x v="1"/>
    <n v="62"/>
    <n v="1.49"/>
    <n v="1"/>
    <x v="0"/>
  </r>
  <r>
    <n v="1775"/>
    <d v="2022-06-15T00:00:00"/>
    <x v="21"/>
    <s v="Female"/>
    <n v="193.8"/>
    <n v="66.5"/>
    <n v="11288"/>
    <n v="622.29999999999995"/>
    <n v="4.3"/>
    <n v="87"/>
    <x v="0"/>
    <n v="0"/>
    <n v="2.4700000000000002"/>
    <n v="5"/>
    <x v="1"/>
  </r>
  <r>
    <n v="1682"/>
    <d v="2022-06-16T00:00:00"/>
    <x v="12"/>
    <s v="Male"/>
    <n v="168.8"/>
    <n v="63.2"/>
    <n v="11154"/>
    <n v="732.1"/>
    <n v="7.5"/>
    <n v="73"/>
    <x v="3"/>
    <n v="74"/>
    <n v="3.18"/>
    <n v="9"/>
    <x v="2"/>
  </r>
  <r>
    <n v="1971"/>
    <d v="2022-06-17T00:00:00"/>
    <x v="28"/>
    <s v="Female"/>
    <n v="186.7"/>
    <n v="87.7"/>
    <n v="3959"/>
    <n v="452.2"/>
    <n v="6.8"/>
    <n v="75"/>
    <x v="4"/>
    <n v="80"/>
    <n v="2.65"/>
    <n v="4"/>
    <x v="0"/>
  </r>
  <r>
    <n v="1512"/>
    <d v="2022-06-18T00:00:00"/>
    <x v="15"/>
    <s v="Male"/>
    <n v="173.1"/>
    <n v="71"/>
    <n v="19611"/>
    <n v="900"/>
    <n v="6"/>
    <n v="75"/>
    <x v="2"/>
    <n v="66"/>
    <n v="2.6"/>
    <n v="7"/>
    <x v="1"/>
  </r>
  <r>
    <n v="1312"/>
    <d v="2022-06-19T00:00:00"/>
    <x v="20"/>
    <s v="Female"/>
    <n v="173.1"/>
    <n v="83"/>
    <n v="2393"/>
    <n v="262.10000000000002"/>
    <n v="6.9"/>
    <n v="64"/>
    <x v="1"/>
    <n v="75"/>
    <n v="2.46"/>
    <n v="6"/>
    <x v="1"/>
  </r>
  <r>
    <n v="1575"/>
    <d v="2022-06-20T00:00:00"/>
    <x v="9"/>
    <s v="Female"/>
    <n v="188.4"/>
    <n v="92.1"/>
    <n v="19407"/>
    <n v="900"/>
    <n v="6.7"/>
    <n v="70"/>
    <x v="3"/>
    <n v="37"/>
    <n v="1.54"/>
    <n v="4"/>
    <x v="1"/>
  </r>
  <r>
    <n v="1885"/>
    <d v="2022-06-21T00:00:00"/>
    <x v="40"/>
    <s v="Male"/>
    <n v="177.8"/>
    <n v="45"/>
    <n v="14025"/>
    <n v="751"/>
    <n v="5.8"/>
    <n v="69"/>
    <x v="1"/>
    <n v="84"/>
    <n v="1.53"/>
    <n v="10"/>
    <x v="1"/>
  </r>
  <r>
    <n v="1979"/>
    <d v="2022-06-22T00:00:00"/>
    <x v="8"/>
    <s v="Male"/>
    <n v="173.7"/>
    <n v="69.400000000000006"/>
    <n v="7064"/>
    <n v="568"/>
    <n v="7.6"/>
    <n v="77"/>
    <x v="3"/>
    <n v="72"/>
    <n v="3.32"/>
    <n v="7"/>
    <x v="0"/>
  </r>
  <r>
    <n v="1283"/>
    <d v="2022-06-23T00:00:00"/>
    <x v="5"/>
    <s v="Female"/>
    <n v="150.6"/>
    <n v="66.599999999999994"/>
    <n v="7639"/>
    <n v="462.4"/>
    <n v="6.6"/>
    <n v="67"/>
    <x v="4"/>
    <n v="30"/>
    <n v="3.12"/>
    <n v="7"/>
    <x v="1"/>
  </r>
  <r>
    <n v="1120"/>
    <d v="2022-06-24T00:00:00"/>
    <x v="31"/>
    <s v="Female"/>
    <n v="154.9"/>
    <n v="55.6"/>
    <n v="3478"/>
    <n v="351.4"/>
    <n v="6.8"/>
    <n v="73"/>
    <x v="3"/>
    <n v="20"/>
    <n v="3.22"/>
    <n v="2"/>
    <x v="0"/>
  </r>
  <r>
    <n v="1106"/>
    <d v="2022-06-25T00:00:00"/>
    <x v="32"/>
    <s v="Male"/>
    <n v="174.6"/>
    <n v="45"/>
    <n v="8929"/>
    <n v="518.9"/>
    <n v="4.8"/>
    <n v="71"/>
    <x v="4"/>
    <n v="27"/>
    <n v="1.92"/>
    <n v="7"/>
    <x v="1"/>
  </r>
  <r>
    <n v="1932"/>
    <d v="2022-06-26T00:00:00"/>
    <x v="20"/>
    <s v="Female"/>
    <n v="184.7"/>
    <n v="46.1"/>
    <n v="10173"/>
    <n v="612.29999999999995"/>
    <n v="6.8"/>
    <n v="76"/>
    <x v="3"/>
    <n v="38"/>
    <n v="2.39"/>
    <n v="9"/>
    <x v="1"/>
  </r>
  <r>
    <n v="1686"/>
    <d v="2022-06-27T00:00:00"/>
    <x v="38"/>
    <s v="Female"/>
    <n v="171.3"/>
    <n v="71.599999999999994"/>
    <n v="12415"/>
    <n v="803.7"/>
    <n v="6.7"/>
    <n v="90"/>
    <x v="2"/>
    <n v="74"/>
    <n v="3.36"/>
    <n v="6"/>
    <x v="0"/>
  </r>
  <r>
    <n v="1996"/>
    <d v="2022-06-28T00:00:00"/>
    <x v="15"/>
    <s v="Female"/>
    <n v="164.1"/>
    <n v="62"/>
    <n v="9418"/>
    <n v="667.9"/>
    <n v="5.8"/>
    <n v="86"/>
    <x v="3"/>
    <n v="35"/>
    <n v="1.64"/>
    <n v="6"/>
    <x v="1"/>
  </r>
  <r>
    <n v="1203"/>
    <d v="2022-06-29T00:00:00"/>
    <x v="4"/>
    <s v="Male"/>
    <n v="151.6"/>
    <n v="58"/>
    <n v="18650"/>
    <n v="900"/>
    <n v="7.8"/>
    <n v="62"/>
    <x v="3"/>
    <n v="85"/>
    <n v="3.29"/>
    <n v="6"/>
    <x v="2"/>
  </r>
  <r>
    <n v="1164"/>
    <d v="2022-06-30T00:00:00"/>
    <x v="35"/>
    <s v="Female"/>
    <n v="162.19999999999999"/>
    <n v="71.400000000000006"/>
    <n v="3057"/>
    <n v="353.8"/>
    <n v="3.8"/>
    <n v="74"/>
    <x v="5"/>
    <n v="31"/>
    <n v="2.09"/>
    <n v="2"/>
    <x v="0"/>
  </r>
  <r>
    <n v="1304"/>
    <d v="2022-07-01T00:00:00"/>
    <x v="5"/>
    <s v="Female"/>
    <n v="171.3"/>
    <n v="59.6"/>
    <n v="14703"/>
    <n v="811.7"/>
    <n v="6.3"/>
    <n v="72"/>
    <x v="5"/>
    <n v="81"/>
    <n v="1.9"/>
    <n v="6"/>
    <x v="0"/>
  </r>
  <r>
    <n v="1496"/>
    <d v="2022-07-02T00:00:00"/>
    <x v="27"/>
    <s v="Female"/>
    <n v="161.4"/>
    <n v="89.4"/>
    <n v="15383"/>
    <n v="800.1"/>
    <n v="7.5"/>
    <n v="69"/>
    <x v="3"/>
    <n v="77"/>
    <n v="2.48"/>
    <n v="6"/>
    <x v="1"/>
  </r>
  <r>
    <n v="1631"/>
    <d v="2022-07-03T00:00:00"/>
    <x v="27"/>
    <s v="Male"/>
    <n v="160.4"/>
    <n v="60.7"/>
    <n v="14935"/>
    <n v="893.2"/>
    <n v="10"/>
    <n v="97"/>
    <x v="5"/>
    <n v="40"/>
    <n v="1.72"/>
    <n v="9"/>
    <x v="0"/>
  </r>
  <r>
    <n v="1555"/>
    <d v="2022-07-04T00:00:00"/>
    <x v="35"/>
    <s v="Male"/>
    <n v="169.5"/>
    <n v="92.6"/>
    <n v="11443"/>
    <n v="723.7"/>
    <n v="5"/>
    <n v="70"/>
    <x v="4"/>
    <n v="56"/>
    <n v="1.17"/>
    <n v="2"/>
    <x v="0"/>
  </r>
  <r>
    <n v="1823"/>
    <d v="2022-07-05T00:00:00"/>
    <x v="34"/>
    <s v="Female"/>
    <n v="184.5"/>
    <n v="69.5"/>
    <n v="3941"/>
    <n v="369.4"/>
    <n v="7.1"/>
    <n v="70"/>
    <x v="5"/>
    <n v="24"/>
    <n v="2.5499999999999998"/>
    <n v="9"/>
    <x v="2"/>
  </r>
  <r>
    <n v="1155"/>
    <d v="2022-07-06T00:00:00"/>
    <x v="3"/>
    <s v="Male"/>
    <n v="176.8"/>
    <n v="60.2"/>
    <n v="1156"/>
    <n v="235.4"/>
    <n v="7.8"/>
    <n v="93"/>
    <x v="3"/>
    <n v="89"/>
    <n v="2.87"/>
    <n v="5"/>
    <x v="0"/>
  </r>
  <r>
    <n v="1366"/>
    <d v="2022-07-07T00:00:00"/>
    <x v="13"/>
    <s v="Female"/>
    <n v="172.9"/>
    <n v="59.1"/>
    <n v="13255"/>
    <n v="722.6"/>
    <n v="7.1"/>
    <n v="85"/>
    <x v="0"/>
    <n v="0"/>
    <n v="3.35"/>
    <n v="9"/>
    <x v="2"/>
  </r>
  <r>
    <n v="1718"/>
    <d v="2022-07-08T00:00:00"/>
    <x v="21"/>
    <s v="Male"/>
    <n v="171.9"/>
    <n v="92.7"/>
    <n v="18144"/>
    <n v="900"/>
    <n v="5.2"/>
    <n v="71"/>
    <x v="1"/>
    <n v="86"/>
    <n v="2.92"/>
    <n v="10"/>
    <x v="0"/>
  </r>
  <r>
    <n v="1901"/>
    <d v="2022-07-09T00:00:00"/>
    <x v="35"/>
    <s v="Male"/>
    <n v="175.5"/>
    <n v="80.400000000000006"/>
    <n v="9965"/>
    <n v="596.79999999999995"/>
    <n v="6.3"/>
    <n v="83"/>
    <x v="0"/>
    <n v="0"/>
    <n v="3.88"/>
    <n v="10"/>
    <x v="2"/>
  </r>
  <r>
    <n v="1619"/>
    <d v="2022-07-10T00:00:00"/>
    <x v="1"/>
    <s v="Female"/>
    <n v="168.9"/>
    <n v="58.6"/>
    <n v="18341"/>
    <n v="900"/>
    <n v="3.3"/>
    <n v="73"/>
    <x v="0"/>
    <n v="0"/>
    <n v="3.45"/>
    <n v="2"/>
    <x v="0"/>
  </r>
  <r>
    <n v="1250"/>
    <d v="2022-07-11T00:00:00"/>
    <x v="28"/>
    <s v="Male"/>
    <n v="165.9"/>
    <n v="71.8"/>
    <n v="15805"/>
    <n v="856.2"/>
    <n v="7"/>
    <n v="73"/>
    <x v="0"/>
    <n v="0"/>
    <n v="3.02"/>
    <n v="5"/>
    <x v="0"/>
  </r>
  <r>
    <n v="1956"/>
    <d v="2022-07-12T00:00:00"/>
    <x v="22"/>
    <s v="Male"/>
    <n v="177.4"/>
    <n v="45"/>
    <n v="17637"/>
    <n v="857.8"/>
    <n v="4.9000000000000004"/>
    <n v="67"/>
    <x v="0"/>
    <n v="0"/>
    <n v="2.83"/>
    <n v="2"/>
    <x v="2"/>
  </r>
  <r>
    <n v="1915"/>
    <d v="2022-07-13T00:00:00"/>
    <x v="38"/>
    <s v="Male"/>
    <n v="167.7"/>
    <n v="50"/>
    <n v="18953"/>
    <n v="900"/>
    <n v="7.7"/>
    <n v="51"/>
    <x v="1"/>
    <n v="66"/>
    <n v="3.36"/>
    <n v="5"/>
    <x v="2"/>
  </r>
  <r>
    <n v="1881"/>
    <d v="2022-07-14T00:00:00"/>
    <x v="3"/>
    <s v="Female"/>
    <n v="158.1"/>
    <n v="58.7"/>
    <n v="8505"/>
    <n v="589.70000000000005"/>
    <n v="6"/>
    <n v="61"/>
    <x v="3"/>
    <n v="68"/>
    <n v="0.95"/>
    <n v="7"/>
    <x v="2"/>
  </r>
  <r>
    <n v="1333"/>
    <d v="2022-07-15T00:00:00"/>
    <x v="8"/>
    <s v="Male"/>
    <n v="184.4"/>
    <n v="58.4"/>
    <n v="13405"/>
    <n v="678.4"/>
    <n v="5.9"/>
    <n v="64"/>
    <x v="3"/>
    <n v="43"/>
    <n v="2.16"/>
    <n v="7"/>
    <x v="0"/>
  </r>
  <r>
    <n v="1641"/>
    <d v="2022-07-16T00:00:00"/>
    <x v="9"/>
    <s v="Male"/>
    <n v="151.30000000000001"/>
    <n v="88.2"/>
    <n v="13837"/>
    <n v="736"/>
    <n v="7.2"/>
    <n v="79"/>
    <x v="1"/>
    <n v="45"/>
    <n v="1.2"/>
    <n v="7"/>
    <x v="1"/>
  </r>
  <r>
    <n v="1968"/>
    <d v="2022-07-17T00:00:00"/>
    <x v="13"/>
    <s v="Female"/>
    <n v="185.2"/>
    <n v="45"/>
    <n v="9999"/>
    <n v="578"/>
    <n v="7.4"/>
    <n v="77"/>
    <x v="2"/>
    <n v="74"/>
    <n v="2.96"/>
    <n v="5"/>
    <x v="1"/>
  </r>
  <r>
    <n v="1510"/>
    <d v="2022-07-18T00:00:00"/>
    <x v="41"/>
    <s v="Male"/>
    <n v="175.1"/>
    <n v="48.6"/>
    <n v="10973"/>
    <n v="577"/>
    <n v="8.3000000000000007"/>
    <n v="86"/>
    <x v="5"/>
    <n v="26"/>
    <n v="1.98"/>
    <n v="7"/>
    <x v="0"/>
  </r>
  <r>
    <n v="1292"/>
    <d v="2022-07-19T00:00:00"/>
    <x v="34"/>
    <s v="Male"/>
    <n v="160.30000000000001"/>
    <n v="76.8"/>
    <n v="12855"/>
    <n v="729.7"/>
    <n v="6.6"/>
    <n v="63"/>
    <x v="2"/>
    <n v="60"/>
    <n v="4.6100000000000003"/>
    <n v="6"/>
    <x v="0"/>
  </r>
  <r>
    <n v="1019"/>
    <d v="2022-07-20T00:00:00"/>
    <x v="8"/>
    <s v="Male"/>
    <n v="170.2"/>
    <n v="73.5"/>
    <n v="7557"/>
    <n v="496.1"/>
    <n v="6.8"/>
    <n v="93"/>
    <x v="4"/>
    <n v="21"/>
    <n v="2.14"/>
    <n v="7"/>
    <x v="2"/>
  </r>
  <r>
    <n v="1281"/>
    <d v="2022-07-21T00:00:00"/>
    <x v="27"/>
    <s v="Male"/>
    <n v="165.7"/>
    <n v="64.8"/>
    <n v="10071"/>
    <n v="570.9"/>
    <n v="4.9000000000000004"/>
    <n v="92"/>
    <x v="0"/>
    <n v="0"/>
    <n v="2.57"/>
    <n v="5"/>
    <x v="2"/>
  </r>
  <r>
    <n v="1796"/>
    <d v="2022-07-22T00:00:00"/>
    <x v="36"/>
    <s v="Male"/>
    <n v="178.1"/>
    <n v="100.8"/>
    <n v="6088"/>
    <n v="547.79999999999995"/>
    <n v="9.1999999999999993"/>
    <n v="75"/>
    <x v="0"/>
    <n v="0"/>
    <n v="2.2200000000000002"/>
    <n v="2"/>
    <x v="2"/>
  </r>
  <r>
    <n v="1000"/>
    <d v="2022-07-23T00:00:00"/>
    <x v="33"/>
    <s v="Female"/>
    <n v="177.9"/>
    <n v="79.3"/>
    <n v="17384"/>
    <n v="773.8"/>
    <n v="5.6"/>
    <n v="68"/>
    <x v="1"/>
    <n v="75"/>
    <n v="2.16"/>
    <n v="9"/>
    <x v="1"/>
  </r>
  <r>
    <n v="1118"/>
    <d v="2022-07-24T00:00:00"/>
    <x v="24"/>
    <s v="Female"/>
    <n v="174.6"/>
    <n v="88.3"/>
    <n v="17550"/>
    <n v="858.8"/>
    <n v="8.1"/>
    <n v="69"/>
    <x v="1"/>
    <n v="43"/>
    <n v="1.63"/>
    <n v="2"/>
    <x v="0"/>
  </r>
  <r>
    <n v="1034"/>
    <d v="2022-07-25T00:00:00"/>
    <x v="40"/>
    <s v="Male"/>
    <n v="177.5"/>
    <n v="69.2"/>
    <n v="3063"/>
    <n v="293.7"/>
    <n v="8.1"/>
    <n v="77"/>
    <x v="2"/>
    <n v="31"/>
    <n v="1.6"/>
    <n v="3"/>
    <x v="0"/>
  </r>
  <r>
    <n v="1197"/>
    <d v="2022-07-26T00:00:00"/>
    <x v="30"/>
    <s v="Male"/>
    <n v="168.9"/>
    <n v="61.8"/>
    <n v="9303"/>
    <n v="504.2"/>
    <n v="7.6"/>
    <n v="94"/>
    <x v="4"/>
    <n v="34"/>
    <n v="0.97"/>
    <n v="9"/>
    <x v="1"/>
  </r>
  <r>
    <n v="1484"/>
    <d v="2022-07-27T00:00:00"/>
    <x v="40"/>
    <s v="Male"/>
    <n v="187.6"/>
    <n v="62"/>
    <n v="12631"/>
    <n v="818.1"/>
    <n v="6.6"/>
    <n v="74"/>
    <x v="2"/>
    <n v="67"/>
    <n v="2.88"/>
    <n v="2"/>
    <x v="2"/>
  </r>
  <r>
    <n v="1756"/>
    <d v="2022-07-28T00:00:00"/>
    <x v="8"/>
    <s v="Female"/>
    <n v="182.2"/>
    <n v="83.9"/>
    <n v="2125"/>
    <n v="397.4"/>
    <n v="6.5"/>
    <n v="59"/>
    <x v="4"/>
    <n v="80"/>
    <n v="2.2000000000000002"/>
    <n v="8"/>
    <x v="2"/>
  </r>
  <r>
    <n v="1058"/>
    <d v="2022-07-29T00:00:00"/>
    <x v="4"/>
    <s v="Female"/>
    <n v="165.2"/>
    <n v="81.599999999999994"/>
    <n v="3641"/>
    <n v="311.39999999999998"/>
    <n v="6.9"/>
    <n v="94"/>
    <x v="3"/>
    <n v="47"/>
    <n v="3.85"/>
    <n v="3"/>
    <x v="2"/>
  </r>
  <r>
    <n v="1836"/>
    <d v="2022-07-30T00:00:00"/>
    <x v="17"/>
    <s v="Male"/>
    <n v="178.1"/>
    <n v="66.7"/>
    <n v="18813"/>
    <n v="900"/>
    <n v="4.0999999999999996"/>
    <n v="71"/>
    <x v="0"/>
    <n v="0"/>
    <n v="1.63"/>
    <n v="6"/>
    <x v="2"/>
  </r>
  <r>
    <n v="1160"/>
    <d v="2022-07-31T00:00:00"/>
    <x v="31"/>
    <s v="Male"/>
    <n v="177.2"/>
    <n v="77.099999999999994"/>
    <n v="11235"/>
    <n v="679.2"/>
    <n v="7"/>
    <n v="90"/>
    <x v="3"/>
    <n v="35"/>
    <n v="3.53"/>
    <n v="9"/>
    <x v="1"/>
  </r>
  <r>
    <n v="1690"/>
    <d v="2022-08-01T00:00:00"/>
    <x v="33"/>
    <s v="Female"/>
    <n v="167.4"/>
    <n v="84.4"/>
    <n v="13794"/>
    <n v="834.6"/>
    <n v="9.1999999999999993"/>
    <n v="81"/>
    <x v="1"/>
    <n v="55"/>
    <n v="3.6"/>
    <n v="10"/>
    <x v="2"/>
  </r>
  <r>
    <n v="1205"/>
    <d v="2022-08-02T00:00:00"/>
    <x v="9"/>
    <s v="Male"/>
    <n v="166.6"/>
    <n v="61.5"/>
    <n v="19018"/>
    <n v="900"/>
    <n v="6.7"/>
    <n v="74"/>
    <x v="3"/>
    <n v="23"/>
    <n v="3.39"/>
    <n v="10"/>
    <x v="2"/>
  </r>
  <r>
    <n v="1011"/>
    <d v="2022-08-03T00:00:00"/>
    <x v="8"/>
    <s v="Female"/>
    <n v="182.1"/>
    <n v="64.8"/>
    <n v="9862"/>
    <n v="616.1"/>
    <n v="7"/>
    <n v="85"/>
    <x v="2"/>
    <n v="28"/>
    <n v="2.66"/>
    <n v="3"/>
    <x v="1"/>
  </r>
  <r>
    <n v="1489"/>
    <d v="2022-08-04T00:00:00"/>
    <x v="31"/>
    <s v="Female"/>
    <n v="169.9"/>
    <n v="76.7"/>
    <n v="4111"/>
    <n v="434.6"/>
    <n v="5.5"/>
    <n v="68"/>
    <x v="4"/>
    <n v="31"/>
    <n v="2.2599999999999998"/>
    <n v="9"/>
    <x v="2"/>
  </r>
  <r>
    <n v="1275"/>
    <d v="2022-08-05T00:00:00"/>
    <x v="23"/>
    <s v="Male"/>
    <n v="172.6"/>
    <n v="45"/>
    <n v="2690"/>
    <n v="370.1"/>
    <n v="7.3"/>
    <n v="72"/>
    <x v="1"/>
    <n v="63"/>
    <n v="3.39"/>
    <n v="7"/>
    <x v="1"/>
  </r>
  <r>
    <n v="1692"/>
    <d v="2022-08-06T00:00:00"/>
    <x v="0"/>
    <s v="Female"/>
    <n v="184"/>
    <n v="77"/>
    <n v="16740"/>
    <n v="877.2"/>
    <n v="5.8"/>
    <n v="70"/>
    <x v="3"/>
    <n v="85"/>
    <n v="1.95"/>
    <n v="5"/>
    <x v="2"/>
  </r>
  <r>
    <n v="1241"/>
    <d v="2022-08-07T00:00:00"/>
    <x v="24"/>
    <s v="Male"/>
    <n v="195.3"/>
    <n v="53.1"/>
    <n v="16094"/>
    <n v="796.6"/>
    <n v="8.3000000000000007"/>
    <n v="73"/>
    <x v="1"/>
    <n v="38"/>
    <n v="2.69"/>
    <n v="8"/>
    <x v="0"/>
  </r>
  <r>
    <n v="1215"/>
    <d v="2022-08-08T00:00:00"/>
    <x v="35"/>
    <s v="Male"/>
    <n v="164.7"/>
    <n v="84.1"/>
    <n v="16875"/>
    <n v="836.8"/>
    <n v="8.6999999999999993"/>
    <n v="80"/>
    <x v="1"/>
    <n v="32"/>
    <n v="2.4700000000000002"/>
    <n v="6"/>
    <x v="2"/>
  </r>
  <r>
    <n v="1250"/>
    <d v="2022-08-09T00:00:00"/>
    <x v="15"/>
    <s v="Male"/>
    <n v="167.8"/>
    <n v="102.2"/>
    <n v="10156"/>
    <n v="513.79999999999995"/>
    <n v="9"/>
    <n v="80"/>
    <x v="4"/>
    <n v="74"/>
    <n v="1.88"/>
    <n v="7"/>
    <x v="0"/>
  </r>
  <r>
    <n v="1810"/>
    <d v="2022-08-10T00:00:00"/>
    <x v="28"/>
    <s v="Male"/>
    <n v="170.7"/>
    <n v="59.5"/>
    <n v="17664"/>
    <n v="900"/>
    <n v="4.8"/>
    <n v="59"/>
    <x v="2"/>
    <n v="84"/>
    <n v="2.69"/>
    <n v="3"/>
    <x v="1"/>
  </r>
  <r>
    <n v="1125"/>
    <d v="2022-08-11T00:00:00"/>
    <x v="0"/>
    <s v="Male"/>
    <n v="171"/>
    <n v="49.8"/>
    <n v="5446"/>
    <n v="428.4"/>
    <n v="8.1"/>
    <n v="70"/>
    <x v="0"/>
    <n v="0"/>
    <n v="3.02"/>
    <n v="10"/>
    <x v="2"/>
  </r>
  <r>
    <n v="1993"/>
    <d v="2022-08-12T00:00:00"/>
    <x v="10"/>
    <s v="Male"/>
    <n v="173.8"/>
    <n v="67.3"/>
    <n v="11158"/>
    <n v="660.8"/>
    <n v="8"/>
    <n v="71"/>
    <x v="2"/>
    <n v="22"/>
    <n v="1.85"/>
    <n v="6"/>
    <x v="2"/>
  </r>
  <r>
    <n v="1216"/>
    <d v="2022-08-13T00:00:00"/>
    <x v="38"/>
    <s v="Female"/>
    <n v="165.1"/>
    <n v="66"/>
    <n v="3808"/>
    <n v="351.1"/>
    <n v="6.4"/>
    <n v="81"/>
    <x v="5"/>
    <n v="44"/>
    <n v="2.82"/>
    <n v="3"/>
    <x v="2"/>
  </r>
  <r>
    <n v="1305"/>
    <d v="2022-08-14T00:00:00"/>
    <x v="25"/>
    <s v="Female"/>
    <n v="157.30000000000001"/>
    <n v="79.900000000000006"/>
    <n v="6402"/>
    <n v="398.9"/>
    <n v="8.8000000000000007"/>
    <n v="61"/>
    <x v="2"/>
    <n v="71"/>
    <n v="0.94"/>
    <n v="7"/>
    <x v="0"/>
  </r>
  <r>
    <n v="1796"/>
    <d v="2022-08-15T00:00:00"/>
    <x v="39"/>
    <s v="Female"/>
    <n v="187.5"/>
    <n v="73.5"/>
    <n v="2964"/>
    <n v="334.2"/>
    <n v="7.6"/>
    <n v="82"/>
    <x v="3"/>
    <n v="35"/>
    <n v="1.77"/>
    <n v="10"/>
    <x v="2"/>
  </r>
  <r>
    <n v="1184"/>
    <d v="2022-08-16T00:00:00"/>
    <x v="1"/>
    <s v="Female"/>
    <n v="176.1"/>
    <n v="65.599999999999994"/>
    <n v="18206"/>
    <n v="900"/>
    <n v="9.1"/>
    <n v="64"/>
    <x v="5"/>
    <n v="62"/>
    <n v="2.1800000000000002"/>
    <n v="6"/>
    <x v="1"/>
  </r>
  <r>
    <n v="1038"/>
    <d v="2022-08-17T00:00:00"/>
    <x v="9"/>
    <s v="Male"/>
    <n v="165.8"/>
    <n v="71.400000000000006"/>
    <n v="10629"/>
    <n v="581.79999999999995"/>
    <n v="5.0999999999999996"/>
    <n v="77"/>
    <x v="5"/>
    <n v="75"/>
    <n v="2.75"/>
    <n v="10"/>
    <x v="2"/>
  </r>
  <r>
    <n v="1222"/>
    <d v="2022-08-18T00:00:00"/>
    <x v="33"/>
    <s v="Female"/>
    <n v="174.4"/>
    <n v="53.2"/>
    <n v="3061"/>
    <n v="321"/>
    <n v="5.9"/>
    <n v="86"/>
    <x v="5"/>
    <n v="87"/>
    <n v="3.11"/>
    <n v="8"/>
    <x v="1"/>
  </r>
  <r>
    <n v="1183"/>
    <d v="2022-08-19T00:00:00"/>
    <x v="41"/>
    <s v="Female"/>
    <n v="188.3"/>
    <n v="82.4"/>
    <n v="4865"/>
    <n v="362.2"/>
    <n v="7.1"/>
    <n v="63"/>
    <x v="5"/>
    <n v="27"/>
    <n v="2.56"/>
    <n v="8"/>
    <x v="0"/>
  </r>
  <r>
    <n v="1494"/>
    <d v="2022-08-20T00:00:00"/>
    <x v="30"/>
    <s v="Female"/>
    <n v="162.1"/>
    <n v="94.3"/>
    <n v="5294"/>
    <n v="401"/>
    <n v="8.8000000000000007"/>
    <n v="77"/>
    <x v="2"/>
    <n v="63"/>
    <n v="2.9"/>
    <n v="6"/>
    <x v="1"/>
  </r>
  <r>
    <n v="1426"/>
    <d v="2022-08-21T00:00:00"/>
    <x v="40"/>
    <s v="Male"/>
    <n v="172.1"/>
    <n v="52"/>
    <n v="15171"/>
    <n v="750.1"/>
    <n v="7.7"/>
    <n v="73"/>
    <x v="5"/>
    <n v="57"/>
    <n v="2.39"/>
    <n v="2"/>
    <x v="0"/>
  </r>
  <r>
    <n v="1177"/>
    <d v="2022-08-22T00:00:00"/>
    <x v="27"/>
    <s v="Female"/>
    <n v="156.1"/>
    <n v="46.3"/>
    <n v="13965"/>
    <n v="745.2"/>
    <n v="5.6"/>
    <n v="65"/>
    <x v="3"/>
    <n v="42"/>
    <n v="2.78"/>
    <n v="10"/>
    <x v="0"/>
  </r>
  <r>
    <n v="1918"/>
    <d v="2022-08-23T00:00:00"/>
    <x v="0"/>
    <s v="Male"/>
    <n v="168.8"/>
    <n v="64"/>
    <n v="13228"/>
    <n v="810.5"/>
    <n v="9.6999999999999993"/>
    <n v="63"/>
    <x v="3"/>
    <n v="25"/>
    <n v="2.75"/>
    <n v="10"/>
    <x v="0"/>
  </r>
  <r>
    <n v="1427"/>
    <d v="2022-08-24T00:00:00"/>
    <x v="36"/>
    <s v="Female"/>
    <n v="176.2"/>
    <n v="51.7"/>
    <n v="16651"/>
    <n v="840.9"/>
    <n v="6.6"/>
    <n v="68"/>
    <x v="1"/>
    <n v="62"/>
    <n v="2.14"/>
    <n v="6"/>
    <x v="1"/>
  </r>
  <r>
    <n v="1293"/>
    <d v="2022-08-25T00:00:00"/>
    <x v="7"/>
    <s v="Male"/>
    <n v="158.9"/>
    <n v="50.9"/>
    <n v="17461"/>
    <n v="864.4"/>
    <n v="5.6"/>
    <n v="67"/>
    <x v="3"/>
    <n v="63"/>
    <n v="2.25"/>
    <n v="1"/>
    <x v="1"/>
  </r>
  <r>
    <n v="1851"/>
    <d v="2022-08-26T00:00:00"/>
    <x v="41"/>
    <s v="Male"/>
    <n v="168.1"/>
    <n v="49"/>
    <n v="3159"/>
    <n v="295.5"/>
    <n v="5.8"/>
    <n v="73"/>
    <x v="0"/>
    <n v="0"/>
    <n v="2.92"/>
    <n v="6"/>
    <x v="1"/>
  </r>
  <r>
    <n v="1150"/>
    <d v="2022-08-27T00:00:00"/>
    <x v="6"/>
    <s v="Female"/>
    <n v="178"/>
    <n v="67.099999999999994"/>
    <n v="13822"/>
    <n v="743.4"/>
    <n v="5"/>
    <n v="71"/>
    <x v="1"/>
    <n v="35"/>
    <n v="3.77"/>
    <n v="6"/>
    <x v="2"/>
  </r>
  <r>
    <n v="1383"/>
    <d v="2022-08-28T00:00:00"/>
    <x v="5"/>
    <s v="Male"/>
    <n v="175.9"/>
    <n v="63.8"/>
    <n v="4187"/>
    <n v="457.1"/>
    <n v="3.6"/>
    <n v="79"/>
    <x v="3"/>
    <n v="28"/>
    <n v="3.34"/>
    <n v="6"/>
    <x v="1"/>
  </r>
  <r>
    <n v="1637"/>
    <d v="2022-08-29T00:00:00"/>
    <x v="29"/>
    <s v="Male"/>
    <n v="158.4"/>
    <n v="75.599999999999994"/>
    <n v="8135"/>
    <n v="595.70000000000005"/>
    <n v="6.8"/>
    <n v="83"/>
    <x v="5"/>
    <n v="28"/>
    <n v="1.71"/>
    <n v="9"/>
    <x v="0"/>
  </r>
  <r>
    <n v="1812"/>
    <d v="2022-08-30T00:00:00"/>
    <x v="37"/>
    <s v="Female"/>
    <n v="173.7"/>
    <n v="61.6"/>
    <n v="14508"/>
    <n v="773.1"/>
    <n v="4.7"/>
    <n v="60"/>
    <x v="4"/>
    <n v="77"/>
    <n v="1.71"/>
    <n v="4"/>
    <x v="1"/>
  </r>
  <r>
    <n v="1307"/>
    <d v="2022-08-31T00:00:00"/>
    <x v="28"/>
    <s v="Female"/>
    <n v="175.6"/>
    <n v="51.8"/>
    <n v="1789"/>
    <n v="239.4"/>
    <n v="7.5"/>
    <n v="72"/>
    <x v="5"/>
    <n v="84"/>
    <n v="2.13"/>
    <n v="7"/>
    <x v="0"/>
  </r>
  <r>
    <n v="1335"/>
    <d v="2022-09-01T00:00:00"/>
    <x v="33"/>
    <s v="Female"/>
    <n v="171.1"/>
    <n v="69.7"/>
    <n v="18947"/>
    <n v="869.8"/>
    <n v="8.5"/>
    <n v="66"/>
    <x v="2"/>
    <n v="78"/>
    <n v="2.57"/>
    <n v="3"/>
    <x v="1"/>
  </r>
  <r>
    <n v="1945"/>
    <d v="2022-09-02T00:00:00"/>
    <x v="17"/>
    <s v="Male"/>
    <n v="180.9"/>
    <n v="54.1"/>
    <n v="2322"/>
    <n v="247.3"/>
    <n v="7.6"/>
    <n v="64"/>
    <x v="1"/>
    <n v="42"/>
    <n v="2.5299999999999998"/>
    <n v="8"/>
    <x v="1"/>
  </r>
  <r>
    <n v="1745"/>
    <d v="2022-09-03T00:00:00"/>
    <x v="4"/>
    <s v="Male"/>
    <n v="164.1"/>
    <n v="77.7"/>
    <n v="14387"/>
    <n v="676.8"/>
    <n v="7.1"/>
    <n v="59"/>
    <x v="4"/>
    <n v="88"/>
    <n v="3.37"/>
    <n v="2"/>
    <x v="0"/>
  </r>
  <r>
    <n v="1891"/>
    <d v="2022-09-04T00:00:00"/>
    <x v="32"/>
    <s v="Male"/>
    <n v="174.1"/>
    <n v="45"/>
    <n v="7673"/>
    <n v="543.9"/>
    <n v="4.7"/>
    <n v="59"/>
    <x v="3"/>
    <n v="38"/>
    <n v="3.41"/>
    <n v="2"/>
    <x v="1"/>
  </r>
  <r>
    <n v="1374"/>
    <d v="2022-09-05T00:00:00"/>
    <x v="4"/>
    <s v="Female"/>
    <n v="158.30000000000001"/>
    <n v="45"/>
    <n v="18886"/>
    <n v="900"/>
    <n v="8.3000000000000007"/>
    <n v="70"/>
    <x v="5"/>
    <n v="54"/>
    <n v="2.5"/>
    <n v="5"/>
    <x v="2"/>
  </r>
  <r>
    <n v="1007"/>
    <d v="2022-09-06T00:00:00"/>
    <x v="13"/>
    <s v="Male"/>
    <n v="154"/>
    <n v="45.9"/>
    <n v="8116"/>
    <n v="505.9"/>
    <n v="9.9"/>
    <n v="79"/>
    <x v="1"/>
    <n v="74"/>
    <n v="2.34"/>
    <n v="1"/>
    <x v="2"/>
  </r>
  <r>
    <n v="1340"/>
    <d v="2022-09-07T00:00:00"/>
    <x v="13"/>
    <s v="Male"/>
    <n v="177.8"/>
    <n v="63.7"/>
    <n v="19043"/>
    <n v="900"/>
    <n v="9.1"/>
    <n v="79"/>
    <x v="1"/>
    <n v="59"/>
    <n v="2.86"/>
    <n v="1"/>
    <x v="0"/>
  </r>
  <r>
    <n v="1128"/>
    <d v="2022-09-08T00:00:00"/>
    <x v="35"/>
    <s v="Male"/>
    <n v="170.2"/>
    <n v="65.7"/>
    <n v="10507"/>
    <n v="565.79999999999995"/>
    <n v="5"/>
    <n v="64"/>
    <x v="3"/>
    <n v="33"/>
    <n v="3.24"/>
    <n v="3"/>
    <x v="0"/>
  </r>
  <r>
    <n v="1775"/>
    <d v="2022-09-09T00:00:00"/>
    <x v="38"/>
    <s v="Male"/>
    <n v="165.4"/>
    <n v="72.099999999999994"/>
    <n v="4062"/>
    <n v="265.5"/>
    <n v="6.9"/>
    <n v="63"/>
    <x v="1"/>
    <n v="32"/>
    <n v="2.89"/>
    <n v="6"/>
    <x v="0"/>
  </r>
  <r>
    <n v="1668"/>
    <d v="2022-09-10T00:00:00"/>
    <x v="34"/>
    <s v="Male"/>
    <n v="159.30000000000001"/>
    <n v="61.5"/>
    <n v="19454"/>
    <n v="900"/>
    <n v="6.6"/>
    <n v="77"/>
    <x v="3"/>
    <n v="72"/>
    <n v="2.2000000000000002"/>
    <n v="10"/>
    <x v="2"/>
  </r>
  <r>
    <n v="1351"/>
    <d v="2022-09-11T00:00:00"/>
    <x v="6"/>
    <s v="Male"/>
    <n v="178.3"/>
    <n v="57.3"/>
    <n v="11868"/>
    <n v="693.9"/>
    <n v="6.4"/>
    <n v="71"/>
    <x v="3"/>
    <n v="58"/>
    <n v="2.0699999999999998"/>
    <n v="6"/>
    <x v="0"/>
  </r>
  <r>
    <n v="1357"/>
    <d v="2022-09-12T00:00:00"/>
    <x v="10"/>
    <s v="Male"/>
    <n v="154.9"/>
    <n v="91.5"/>
    <n v="3553"/>
    <n v="427.3"/>
    <n v="7"/>
    <n v="84"/>
    <x v="5"/>
    <n v="84"/>
    <n v="1.72"/>
    <n v="8"/>
    <x v="0"/>
  </r>
  <r>
    <n v="1516"/>
    <d v="2022-09-13T00:00:00"/>
    <x v="2"/>
    <s v="Female"/>
    <n v="179.9"/>
    <n v="87.5"/>
    <n v="18428"/>
    <n v="900"/>
    <n v="10"/>
    <n v="64"/>
    <x v="1"/>
    <n v="75"/>
    <n v="2.64"/>
    <n v="7"/>
    <x v="2"/>
  </r>
  <r>
    <n v="1494"/>
    <d v="2022-09-14T00:00:00"/>
    <x v="20"/>
    <s v="Female"/>
    <n v="174.5"/>
    <n v="84.8"/>
    <n v="10979"/>
    <n v="625.20000000000005"/>
    <n v="7.2"/>
    <n v="56"/>
    <x v="2"/>
    <n v="59"/>
    <n v="2.94"/>
    <n v="1"/>
    <x v="0"/>
  </r>
  <r>
    <n v="1085"/>
    <d v="2022-09-15T00:00:00"/>
    <x v="9"/>
    <s v="Female"/>
    <n v="155.4"/>
    <n v="74.599999999999994"/>
    <n v="6957"/>
    <n v="523.9"/>
    <n v="6.3"/>
    <n v="81"/>
    <x v="2"/>
    <n v="65"/>
    <n v="3.01"/>
    <n v="1"/>
    <x v="1"/>
  </r>
  <r>
    <n v="1174"/>
    <d v="2022-09-16T00:00:00"/>
    <x v="33"/>
    <s v="Male"/>
    <n v="171.3"/>
    <n v="75.8"/>
    <n v="12727"/>
    <n v="724.8"/>
    <n v="7.4"/>
    <n v="56"/>
    <x v="5"/>
    <n v="26"/>
    <n v="3.31"/>
    <n v="4"/>
    <x v="1"/>
  </r>
  <r>
    <n v="1801"/>
    <d v="2022-09-17T00:00:00"/>
    <x v="20"/>
    <s v="Male"/>
    <n v="196.5"/>
    <n v="57.9"/>
    <n v="5578"/>
    <n v="423.2"/>
    <n v="5"/>
    <n v="61"/>
    <x v="5"/>
    <n v="64"/>
    <n v="3.54"/>
    <n v="1"/>
    <x v="1"/>
  </r>
  <r>
    <n v="1192"/>
    <d v="2022-09-18T00:00:00"/>
    <x v="6"/>
    <s v="Female"/>
    <n v="181.9"/>
    <n v="72.2"/>
    <n v="6621"/>
    <n v="463"/>
    <n v="5.9"/>
    <n v="68"/>
    <x v="3"/>
    <n v="41"/>
    <n v="1.54"/>
    <n v="1"/>
    <x v="1"/>
  </r>
  <r>
    <n v="1310"/>
    <d v="2022-09-19T00:00:00"/>
    <x v="10"/>
    <s v="Male"/>
    <n v="161.69999999999999"/>
    <n v="55.9"/>
    <n v="2966"/>
    <n v="311.39999999999998"/>
    <n v="8.5"/>
    <n v="72"/>
    <x v="2"/>
    <n v="26"/>
    <n v="2.78"/>
    <n v="10"/>
    <x v="2"/>
  </r>
  <r>
    <n v="1118"/>
    <d v="2022-09-20T00:00:00"/>
    <x v="37"/>
    <s v="Female"/>
    <n v="177.2"/>
    <n v="54.2"/>
    <n v="11548"/>
    <n v="656.8"/>
    <n v="7.3"/>
    <n v="81"/>
    <x v="1"/>
    <n v="71"/>
    <n v="2.81"/>
    <n v="1"/>
    <x v="1"/>
  </r>
  <r>
    <n v="1217"/>
    <d v="2022-09-21T00:00:00"/>
    <x v="14"/>
    <s v="Male"/>
    <n v="155.80000000000001"/>
    <n v="45.7"/>
    <n v="14864"/>
    <n v="877.4"/>
    <n v="10"/>
    <n v="65"/>
    <x v="2"/>
    <n v="87"/>
    <n v="2.4500000000000002"/>
    <n v="3"/>
    <x v="1"/>
  </r>
  <r>
    <n v="1426"/>
    <d v="2022-09-22T00:00:00"/>
    <x v="37"/>
    <s v="Male"/>
    <n v="156.30000000000001"/>
    <n v="76.099999999999994"/>
    <n v="19634"/>
    <n v="900"/>
    <n v="7.4"/>
    <n v="88"/>
    <x v="5"/>
    <n v="89"/>
    <n v="1.92"/>
    <n v="10"/>
    <x v="2"/>
  </r>
  <r>
    <n v="1969"/>
    <d v="2022-09-23T00:00:00"/>
    <x v="18"/>
    <s v="Female"/>
    <n v="169.3"/>
    <n v="72.5"/>
    <n v="12679"/>
    <n v="794.3"/>
    <n v="5.0999999999999996"/>
    <n v="60"/>
    <x v="5"/>
    <n v="86"/>
    <n v="3.51"/>
    <n v="2"/>
    <x v="2"/>
  </r>
  <r>
    <n v="1413"/>
    <d v="2022-09-24T00:00:00"/>
    <x v="36"/>
    <s v="Female"/>
    <n v="175.5"/>
    <n v="65.5"/>
    <n v="15975"/>
    <n v="794.1"/>
    <n v="4.5999999999999996"/>
    <n v="71"/>
    <x v="3"/>
    <n v="22"/>
    <n v="2.09"/>
    <n v="10"/>
    <x v="2"/>
  </r>
  <r>
    <n v="1113"/>
    <d v="2022-09-25T00:00:00"/>
    <x v="14"/>
    <s v="Female"/>
    <n v="178.1"/>
    <n v="63.5"/>
    <n v="15167"/>
    <n v="665"/>
    <n v="8.5"/>
    <n v="83"/>
    <x v="1"/>
    <n v="77"/>
    <n v="0.97"/>
    <n v="8"/>
    <x v="1"/>
  </r>
  <r>
    <n v="1977"/>
    <d v="2022-09-26T00:00:00"/>
    <x v="27"/>
    <s v="Female"/>
    <n v="178.3"/>
    <n v="45"/>
    <n v="3014"/>
    <n v="297.39999999999998"/>
    <n v="5.4"/>
    <n v="84"/>
    <x v="5"/>
    <n v="86"/>
    <n v="2.5099999999999998"/>
    <n v="7"/>
    <x v="0"/>
  </r>
  <r>
    <n v="1144"/>
    <d v="2022-09-27T00:00:00"/>
    <x v="14"/>
    <s v="Female"/>
    <n v="174.9"/>
    <n v="73.8"/>
    <n v="5624"/>
    <n v="383.2"/>
    <n v="5.3"/>
    <n v="50"/>
    <x v="0"/>
    <n v="0"/>
    <n v="2.33"/>
    <n v="10"/>
    <x v="0"/>
  </r>
  <r>
    <n v="1537"/>
    <d v="2022-09-28T00:00:00"/>
    <x v="22"/>
    <s v="Male"/>
    <n v="153.9"/>
    <n v="65.3"/>
    <n v="6868"/>
    <n v="400"/>
    <n v="6.2"/>
    <n v="102"/>
    <x v="1"/>
    <n v="28"/>
    <n v="3.8"/>
    <n v="8"/>
    <x v="1"/>
  </r>
  <r>
    <n v="1647"/>
    <d v="2022-09-29T00:00:00"/>
    <x v="29"/>
    <s v="Male"/>
    <n v="169.4"/>
    <n v="83.4"/>
    <n v="15626"/>
    <n v="890.1"/>
    <n v="8.5"/>
    <n v="72"/>
    <x v="2"/>
    <n v="73"/>
    <n v="2.84"/>
    <n v="4"/>
    <x v="0"/>
  </r>
  <r>
    <n v="1302"/>
    <d v="2022-09-30T00:00:00"/>
    <x v="16"/>
    <s v="Male"/>
    <n v="179.7"/>
    <n v="72.2"/>
    <n v="1804"/>
    <n v="205.3"/>
    <n v="6.4"/>
    <n v="78"/>
    <x v="3"/>
    <n v="70"/>
    <n v="2.29"/>
    <n v="9"/>
    <x v="0"/>
  </r>
  <r>
    <n v="1743"/>
    <d v="2022-10-01T00:00:00"/>
    <x v="35"/>
    <s v="Female"/>
    <n v="174.4"/>
    <n v="80.599999999999994"/>
    <n v="18718"/>
    <n v="900"/>
    <n v="5.7"/>
    <n v="72"/>
    <x v="2"/>
    <n v="35"/>
    <n v="2.36"/>
    <n v="5"/>
    <x v="2"/>
  </r>
  <r>
    <n v="1880"/>
    <d v="2022-10-02T00:00:00"/>
    <x v="8"/>
    <s v="Female"/>
    <n v="171.8"/>
    <n v="69.900000000000006"/>
    <n v="1667"/>
    <n v="367.4"/>
    <n v="8.8000000000000007"/>
    <n v="96"/>
    <x v="0"/>
    <n v="0"/>
    <n v="2.35"/>
    <n v="7"/>
    <x v="1"/>
  </r>
  <r>
    <n v="1587"/>
    <d v="2022-10-03T00:00:00"/>
    <x v="28"/>
    <s v="Female"/>
    <n v="173.3"/>
    <n v="72.7"/>
    <n v="1384"/>
    <n v="197.9"/>
    <n v="8.6"/>
    <n v="88"/>
    <x v="5"/>
    <n v="39"/>
    <n v="4.05"/>
    <n v="4"/>
    <x v="1"/>
  </r>
  <r>
    <n v="1986"/>
    <d v="2022-10-04T00:00:00"/>
    <x v="14"/>
    <s v="Female"/>
    <n v="173.1"/>
    <n v="84"/>
    <n v="12316"/>
    <n v="681.1"/>
    <n v="9.5"/>
    <n v="96"/>
    <x v="5"/>
    <n v="72"/>
    <n v="2.97"/>
    <n v="1"/>
    <x v="0"/>
  </r>
  <r>
    <n v="1839"/>
    <d v="2022-10-05T00:00:00"/>
    <x v="11"/>
    <s v="Female"/>
    <n v="150.4"/>
    <n v="67.099999999999994"/>
    <n v="4440"/>
    <n v="445.2"/>
    <n v="9"/>
    <n v="80"/>
    <x v="1"/>
    <n v="50"/>
    <n v="1.51"/>
    <n v="8"/>
    <x v="1"/>
  </r>
  <r>
    <n v="1344"/>
    <d v="2022-10-06T00:00:00"/>
    <x v="36"/>
    <s v="Female"/>
    <n v="181.5"/>
    <n v="77.099999999999994"/>
    <n v="17396"/>
    <n v="875.1"/>
    <n v="8.6"/>
    <n v="84"/>
    <x v="5"/>
    <n v="40"/>
    <n v="2.33"/>
    <n v="9"/>
    <x v="2"/>
  </r>
  <r>
    <n v="1813"/>
    <d v="2022-10-07T00:00:00"/>
    <x v="4"/>
    <s v="Male"/>
    <n v="168.9"/>
    <n v="63.3"/>
    <n v="8726"/>
    <n v="565.70000000000005"/>
    <n v="5.9"/>
    <n v="65"/>
    <x v="0"/>
    <n v="0"/>
    <n v="2.48"/>
    <n v="9"/>
    <x v="0"/>
  </r>
  <r>
    <n v="1963"/>
    <d v="2022-10-08T00:00:00"/>
    <x v="9"/>
    <s v="Male"/>
    <n v="177.1"/>
    <n v="68"/>
    <n v="12199"/>
    <n v="719.9"/>
    <n v="8"/>
    <n v="72"/>
    <x v="1"/>
    <n v="40"/>
    <n v="1.72"/>
    <n v="10"/>
    <x v="2"/>
  </r>
  <r>
    <n v="1800"/>
    <d v="2022-10-09T00:00:00"/>
    <x v="16"/>
    <s v="Male"/>
    <n v="150"/>
    <n v="93.9"/>
    <n v="6403"/>
    <n v="464.8"/>
    <n v="8.8000000000000007"/>
    <n v="84"/>
    <x v="0"/>
    <n v="0"/>
    <n v="1.25"/>
    <n v="8"/>
    <x v="0"/>
  </r>
  <r>
    <n v="1000"/>
    <d v="2022-10-10T00:00:00"/>
    <x v="2"/>
    <s v="Male"/>
    <n v="186.6"/>
    <n v="79.599999999999994"/>
    <n v="7151"/>
    <n v="463.6"/>
    <n v="9.8000000000000007"/>
    <n v="78"/>
    <x v="4"/>
    <n v="24"/>
    <n v="2.92"/>
    <n v="1"/>
    <x v="1"/>
  </r>
  <r>
    <n v="1146"/>
    <d v="2022-10-11T00:00:00"/>
    <x v="38"/>
    <s v="Male"/>
    <n v="158.4"/>
    <n v="61.9"/>
    <n v="13359"/>
    <n v="695.3"/>
    <n v="7.3"/>
    <n v="76"/>
    <x v="5"/>
    <n v="88"/>
    <n v="1.94"/>
    <n v="3"/>
    <x v="2"/>
  </r>
  <r>
    <n v="1286"/>
    <d v="2022-10-12T00:00:00"/>
    <x v="0"/>
    <s v="Female"/>
    <n v="195.4"/>
    <n v="76.3"/>
    <n v="16227"/>
    <n v="794.3"/>
    <n v="6.3"/>
    <n v="67"/>
    <x v="2"/>
    <n v="66"/>
    <n v="3.37"/>
    <n v="5"/>
    <x v="2"/>
  </r>
  <r>
    <n v="1975"/>
    <d v="2022-10-13T00:00:00"/>
    <x v="29"/>
    <s v="Female"/>
    <n v="191.2"/>
    <n v="50.8"/>
    <n v="11057"/>
    <n v="672.1"/>
    <n v="5.7"/>
    <n v="87"/>
    <x v="2"/>
    <n v="39"/>
    <n v="2.5099999999999998"/>
    <n v="7"/>
    <x v="2"/>
  </r>
  <r>
    <n v="1653"/>
    <d v="2022-10-14T00:00:00"/>
    <x v="8"/>
    <s v="Female"/>
    <n v="156.80000000000001"/>
    <n v="66.7"/>
    <n v="1100"/>
    <n v="211.1"/>
    <n v="8.5"/>
    <n v="87"/>
    <x v="1"/>
    <n v="57"/>
    <n v="2.17"/>
    <n v="8"/>
    <x v="0"/>
  </r>
  <r>
    <n v="1052"/>
    <d v="2022-10-15T00:00:00"/>
    <x v="28"/>
    <s v="Female"/>
    <n v="178.2"/>
    <n v="55.7"/>
    <n v="5978"/>
    <n v="498.9"/>
    <n v="6"/>
    <n v="85"/>
    <x v="0"/>
    <n v="0"/>
    <n v="0.81"/>
    <n v="1"/>
    <x v="0"/>
  </r>
  <r>
    <n v="1303"/>
    <d v="2022-10-16T00:00:00"/>
    <x v="12"/>
    <s v="Female"/>
    <n v="159.80000000000001"/>
    <n v="76.8"/>
    <n v="10504"/>
    <n v="699.6"/>
    <n v="7.2"/>
    <n v="78"/>
    <x v="0"/>
    <n v="0"/>
    <n v="3.36"/>
    <n v="5"/>
    <x v="2"/>
  </r>
  <r>
    <n v="1068"/>
    <d v="2022-10-17T00:00:00"/>
    <x v="40"/>
    <s v="Female"/>
    <n v="163.6"/>
    <n v="67.2"/>
    <n v="11988"/>
    <n v="621.70000000000005"/>
    <n v="5.7"/>
    <n v="75"/>
    <x v="0"/>
    <n v="0"/>
    <n v="2.71"/>
    <n v="3"/>
    <x v="2"/>
  </r>
  <r>
    <n v="1360"/>
    <d v="2022-10-18T00:00:00"/>
    <x v="34"/>
    <s v="Male"/>
    <n v="163.80000000000001"/>
    <n v="74.3"/>
    <n v="15531"/>
    <n v="858.1"/>
    <n v="6.8"/>
    <n v="86"/>
    <x v="0"/>
    <n v="0"/>
    <n v="2.19"/>
    <n v="7"/>
    <x v="0"/>
  </r>
  <r>
    <n v="1601"/>
    <d v="2022-10-19T00:00:00"/>
    <x v="12"/>
    <s v="Female"/>
    <n v="174.5"/>
    <n v="81.599999999999994"/>
    <n v="7534"/>
    <n v="604.29999999999995"/>
    <n v="7.7"/>
    <n v="84"/>
    <x v="4"/>
    <n v="51"/>
    <n v="1.88"/>
    <n v="6"/>
    <x v="1"/>
  </r>
  <r>
    <n v="1957"/>
    <d v="2022-10-20T00:00:00"/>
    <x v="9"/>
    <s v="Female"/>
    <n v="173.2"/>
    <n v="63.1"/>
    <n v="17833"/>
    <n v="870.6"/>
    <n v="7.4"/>
    <n v="66"/>
    <x v="5"/>
    <n v="81"/>
    <n v="3.62"/>
    <n v="1"/>
    <x v="1"/>
  </r>
  <r>
    <n v="1219"/>
    <d v="2022-10-21T00:00:00"/>
    <x v="36"/>
    <s v="Female"/>
    <n v="158"/>
    <n v="63.6"/>
    <n v="12631"/>
    <n v="765.3"/>
    <n v="8.1"/>
    <n v="78"/>
    <x v="0"/>
    <n v="0"/>
    <n v="1.76"/>
    <n v="2"/>
    <x v="2"/>
  </r>
  <r>
    <n v="1961"/>
    <d v="2022-10-22T00:00:00"/>
    <x v="33"/>
    <s v="Female"/>
    <n v="174.4"/>
    <n v="69.400000000000006"/>
    <n v="12693"/>
    <n v="735.8"/>
    <n v="4.9000000000000004"/>
    <n v="82"/>
    <x v="3"/>
    <n v="52"/>
    <n v="2.2400000000000002"/>
    <n v="5"/>
    <x v="1"/>
  </r>
  <r>
    <n v="1703"/>
    <d v="2022-10-23T00:00:00"/>
    <x v="36"/>
    <s v="Male"/>
    <n v="168"/>
    <n v="57.1"/>
    <n v="4167"/>
    <n v="414.7"/>
    <n v="6.8"/>
    <n v="68"/>
    <x v="3"/>
    <n v="86"/>
    <n v="2.9"/>
    <n v="5"/>
    <x v="0"/>
  </r>
  <r>
    <n v="1965"/>
    <d v="2022-10-24T00:00:00"/>
    <x v="9"/>
    <s v="Male"/>
    <n v="151.80000000000001"/>
    <n v="69.8"/>
    <n v="6380"/>
    <n v="417.4"/>
    <n v="6.3"/>
    <n v="84"/>
    <x v="2"/>
    <n v="25"/>
    <n v="3.52"/>
    <n v="1"/>
    <x v="1"/>
  </r>
  <r>
    <n v="1574"/>
    <d v="2022-10-25T00:00:00"/>
    <x v="14"/>
    <s v="Female"/>
    <n v="165.7"/>
    <n v="70.599999999999994"/>
    <n v="14823"/>
    <n v="888.2"/>
    <n v="5.5"/>
    <n v="82"/>
    <x v="5"/>
    <n v="85"/>
    <n v="2.35"/>
    <n v="4"/>
    <x v="0"/>
  </r>
  <r>
    <n v="1584"/>
    <d v="2022-10-26T00:00:00"/>
    <x v="41"/>
    <s v="Male"/>
    <n v="186.6"/>
    <n v="73.400000000000006"/>
    <n v="12629"/>
    <n v="671.7"/>
    <n v="5.9"/>
    <n v="71"/>
    <x v="3"/>
    <n v="51"/>
    <n v="1.99"/>
    <n v="9"/>
    <x v="2"/>
  </r>
  <r>
    <n v="1160"/>
    <d v="2022-10-27T00:00:00"/>
    <x v="12"/>
    <s v="Male"/>
    <n v="166"/>
    <n v="76.3"/>
    <n v="4856"/>
    <n v="426.3"/>
    <n v="5.7"/>
    <n v="61"/>
    <x v="1"/>
    <n v="83"/>
    <n v="2.4300000000000002"/>
    <n v="9"/>
    <x v="1"/>
  </r>
  <r>
    <n v="1680"/>
    <d v="2022-10-28T00:00:00"/>
    <x v="41"/>
    <s v="Female"/>
    <n v="151.6"/>
    <n v="46"/>
    <n v="2075"/>
    <n v="279.8"/>
    <n v="7.5"/>
    <n v="81"/>
    <x v="5"/>
    <n v="45"/>
    <n v="3.13"/>
    <n v="5"/>
    <x v="1"/>
  </r>
  <r>
    <n v="1088"/>
    <d v="2022-10-29T00:00:00"/>
    <x v="1"/>
    <s v="Female"/>
    <n v="178.1"/>
    <n v="50.7"/>
    <n v="16755"/>
    <n v="897"/>
    <n v="7.6"/>
    <n v="95"/>
    <x v="2"/>
    <n v="81"/>
    <n v="3.29"/>
    <n v="7"/>
    <x v="0"/>
  </r>
  <r>
    <n v="1687"/>
    <d v="2022-10-30T00:00:00"/>
    <x v="18"/>
    <s v="Female"/>
    <n v="160.69999999999999"/>
    <n v="52.5"/>
    <n v="11914"/>
    <n v="627.4"/>
    <n v="8.3000000000000007"/>
    <n v="78"/>
    <x v="4"/>
    <n v="24"/>
    <n v="1.54"/>
    <n v="2"/>
    <x v="0"/>
  </r>
  <r>
    <n v="1780"/>
    <d v="2022-10-31T00:00:00"/>
    <x v="32"/>
    <s v="Female"/>
    <n v="172.1"/>
    <n v="71.400000000000006"/>
    <n v="1701"/>
    <n v="206.7"/>
    <n v="7.5"/>
    <n v="81"/>
    <x v="1"/>
    <n v="30"/>
    <n v="2.58"/>
    <n v="1"/>
    <x v="2"/>
  </r>
  <r>
    <n v="1584"/>
    <d v="2022-11-01T00:00:00"/>
    <x v="39"/>
    <s v="Female"/>
    <n v="168.3"/>
    <n v="65.7"/>
    <n v="4348"/>
    <n v="388.3"/>
    <n v="7.2"/>
    <n v="63"/>
    <x v="1"/>
    <n v="68"/>
    <n v="1.5"/>
    <n v="2"/>
    <x v="2"/>
  </r>
  <r>
    <n v="1756"/>
    <d v="2022-11-02T00:00:00"/>
    <x v="7"/>
    <s v="Male"/>
    <n v="187.6"/>
    <n v="45"/>
    <n v="9185"/>
    <n v="549"/>
    <n v="7.1"/>
    <n v="75"/>
    <x v="0"/>
    <n v="0"/>
    <n v="3.12"/>
    <n v="4"/>
    <x v="0"/>
  </r>
  <r>
    <n v="1588"/>
    <d v="2022-11-03T00:00:00"/>
    <x v="29"/>
    <s v="Female"/>
    <n v="168.3"/>
    <n v="99.2"/>
    <n v="7836"/>
    <n v="493.4"/>
    <n v="8"/>
    <n v="74"/>
    <x v="5"/>
    <n v="79"/>
    <n v="2.8"/>
    <n v="6"/>
    <x v="0"/>
  </r>
  <r>
    <n v="1158"/>
    <d v="2022-11-04T00:00:00"/>
    <x v="20"/>
    <s v="Female"/>
    <n v="158.6"/>
    <n v="45"/>
    <n v="14304"/>
    <n v="799.4"/>
    <n v="3.8"/>
    <n v="66"/>
    <x v="4"/>
    <n v="21"/>
    <n v="1.86"/>
    <n v="3"/>
    <x v="2"/>
  </r>
  <r>
    <n v="1488"/>
    <d v="2022-11-05T00:00:00"/>
    <x v="41"/>
    <s v="Female"/>
    <n v="165.3"/>
    <n v="70.5"/>
    <n v="11638"/>
    <n v="590.79999999999995"/>
    <n v="6.9"/>
    <n v="79"/>
    <x v="1"/>
    <n v="78"/>
    <n v="3.57"/>
    <n v="2"/>
    <x v="0"/>
  </r>
  <r>
    <n v="1970"/>
    <d v="2022-11-06T00:00:00"/>
    <x v="31"/>
    <s v="Male"/>
    <n v="157.69999999999999"/>
    <n v="78.5"/>
    <n v="3249"/>
    <n v="390.3"/>
    <n v="7.5"/>
    <n v="79"/>
    <x v="4"/>
    <n v="44"/>
    <n v="2.73"/>
    <n v="7"/>
    <x v="1"/>
  </r>
  <r>
    <n v="1323"/>
    <d v="2022-11-07T00:00:00"/>
    <x v="3"/>
    <s v="Female"/>
    <n v="167.9"/>
    <n v="59.2"/>
    <n v="11705"/>
    <n v="674.2"/>
    <n v="9.6999999999999993"/>
    <n v="72"/>
    <x v="2"/>
    <n v="87"/>
    <n v="2.66"/>
    <n v="8"/>
    <x v="2"/>
  </r>
  <r>
    <n v="1609"/>
    <d v="2022-11-08T00:00:00"/>
    <x v="27"/>
    <s v="Female"/>
    <n v="187.7"/>
    <n v="79.599999999999994"/>
    <n v="10374"/>
    <n v="653.1"/>
    <n v="5.3"/>
    <n v="75"/>
    <x v="1"/>
    <n v="61"/>
    <n v="2.37"/>
    <n v="9"/>
    <x v="1"/>
  </r>
  <r>
    <n v="1380"/>
    <d v="2022-11-09T00:00:00"/>
    <x v="29"/>
    <s v="Female"/>
    <n v="182.5"/>
    <n v="54.9"/>
    <n v="9118"/>
    <n v="591.1"/>
    <n v="5.3"/>
    <n v="96"/>
    <x v="3"/>
    <n v="74"/>
    <n v="2.4900000000000002"/>
    <n v="10"/>
    <x v="0"/>
  </r>
  <r>
    <n v="1101"/>
    <d v="2022-11-10T00:00:00"/>
    <x v="2"/>
    <s v="Male"/>
    <n v="190.4"/>
    <n v="72.599999999999994"/>
    <n v="3551"/>
    <n v="371.2"/>
    <n v="3.6"/>
    <n v="69"/>
    <x v="2"/>
    <n v="57"/>
    <n v="2.23"/>
    <n v="8"/>
    <x v="2"/>
  </r>
  <r>
    <n v="1493"/>
    <d v="2022-11-11T00:00:00"/>
    <x v="16"/>
    <s v="Female"/>
    <n v="174.8"/>
    <n v="45"/>
    <n v="13550"/>
    <n v="682.1"/>
    <n v="4.9000000000000004"/>
    <n v="64"/>
    <x v="2"/>
    <n v="62"/>
    <n v="1.98"/>
    <n v="2"/>
    <x v="2"/>
  </r>
  <r>
    <n v="1643"/>
    <d v="2022-11-12T00:00:00"/>
    <x v="9"/>
    <s v="Female"/>
    <n v="171.4"/>
    <n v="87.6"/>
    <n v="3214"/>
    <n v="386.8"/>
    <n v="6.8"/>
    <n v="63"/>
    <x v="0"/>
    <n v="0"/>
    <n v="3.36"/>
    <n v="3"/>
    <x v="2"/>
  </r>
  <r>
    <n v="1613"/>
    <d v="2022-11-13T00:00:00"/>
    <x v="31"/>
    <s v="Female"/>
    <n v="160"/>
    <n v="70"/>
    <n v="9534"/>
    <n v="595"/>
    <n v="5.9"/>
    <n v="77"/>
    <x v="1"/>
    <n v="72"/>
    <n v="2.16"/>
    <n v="1"/>
    <x v="0"/>
  </r>
  <r>
    <n v="1018"/>
    <d v="2022-11-14T00:00:00"/>
    <x v="31"/>
    <s v="Male"/>
    <n v="172.7"/>
    <n v="46.1"/>
    <n v="18101"/>
    <n v="900"/>
    <n v="5.9"/>
    <n v="50"/>
    <x v="3"/>
    <n v="40"/>
    <n v="2.13"/>
    <n v="1"/>
    <x v="2"/>
  </r>
  <r>
    <n v="1453"/>
    <d v="2022-11-15T00:00:00"/>
    <x v="9"/>
    <s v="Female"/>
    <n v="168.7"/>
    <n v="79.400000000000006"/>
    <n v="3460"/>
    <n v="332.1"/>
    <n v="7"/>
    <n v="70"/>
    <x v="4"/>
    <n v="39"/>
    <n v="2.41"/>
    <n v="6"/>
    <x v="2"/>
  </r>
  <r>
    <n v="1481"/>
    <d v="2022-11-16T00:00:00"/>
    <x v="33"/>
    <s v="Female"/>
    <n v="177.8"/>
    <n v="94.5"/>
    <n v="12928"/>
    <n v="735.2"/>
    <n v="7.9"/>
    <n v="65"/>
    <x v="3"/>
    <n v="38"/>
    <n v="3.5"/>
    <n v="3"/>
    <x v="2"/>
  </r>
  <r>
    <n v="1593"/>
    <d v="2022-11-17T00:00:00"/>
    <x v="22"/>
    <s v="Female"/>
    <n v="158.80000000000001"/>
    <n v="56.1"/>
    <n v="4255"/>
    <n v="379.2"/>
    <n v="7"/>
    <n v="74"/>
    <x v="2"/>
    <n v="52"/>
    <n v="3.29"/>
    <n v="4"/>
    <x v="2"/>
  </r>
  <r>
    <n v="1396"/>
    <d v="2022-11-18T00:00:00"/>
    <x v="1"/>
    <s v="Male"/>
    <n v="170.5"/>
    <n v="66.8"/>
    <n v="6334"/>
    <n v="483.2"/>
    <n v="7"/>
    <n v="74"/>
    <x v="1"/>
    <n v="82"/>
    <n v="2.2200000000000002"/>
    <n v="10"/>
    <x v="0"/>
  </r>
  <r>
    <n v="1278"/>
    <d v="2022-11-19T00:00:00"/>
    <x v="12"/>
    <s v="Female"/>
    <n v="154.30000000000001"/>
    <n v="62.3"/>
    <n v="13281"/>
    <n v="813.9"/>
    <n v="7.6"/>
    <n v="78"/>
    <x v="3"/>
    <n v="87"/>
    <n v="3.36"/>
    <n v="8"/>
    <x v="2"/>
  </r>
  <r>
    <n v="1850"/>
    <d v="2022-11-20T00:00:00"/>
    <x v="36"/>
    <s v="Female"/>
    <n v="173.4"/>
    <n v="58.4"/>
    <n v="7830"/>
    <n v="461.4"/>
    <n v="4.3"/>
    <n v="81"/>
    <x v="3"/>
    <n v="79"/>
    <n v="2.58"/>
    <n v="5"/>
    <x v="2"/>
  </r>
  <r>
    <n v="1364"/>
    <d v="2022-11-21T00:00:00"/>
    <x v="23"/>
    <s v="Female"/>
    <n v="176.8"/>
    <n v="56.9"/>
    <n v="8754"/>
    <n v="587.70000000000005"/>
    <n v="7.2"/>
    <n v="86"/>
    <x v="2"/>
    <n v="38"/>
    <n v="1.91"/>
    <n v="6"/>
    <x v="0"/>
  </r>
  <r>
    <n v="1330"/>
    <d v="2022-11-22T00:00:00"/>
    <x v="2"/>
    <s v="Male"/>
    <n v="153.80000000000001"/>
    <n v="60.3"/>
    <n v="7940"/>
    <n v="512.20000000000005"/>
    <n v="6.9"/>
    <n v="71"/>
    <x v="4"/>
    <n v="47"/>
    <n v="2.17"/>
    <n v="9"/>
    <x v="2"/>
  </r>
  <r>
    <n v="1640"/>
    <d v="2022-11-23T00:00:00"/>
    <x v="22"/>
    <s v="Male"/>
    <n v="156.6"/>
    <n v="61.1"/>
    <n v="11722"/>
    <n v="726"/>
    <n v="7"/>
    <n v="68"/>
    <x v="3"/>
    <n v="41"/>
    <n v="3.46"/>
    <n v="2"/>
    <x v="1"/>
  </r>
  <r>
    <n v="1343"/>
    <d v="2022-11-24T00:00:00"/>
    <x v="9"/>
    <s v="Female"/>
    <n v="157"/>
    <n v="64.7"/>
    <n v="4632"/>
    <n v="466.6"/>
    <n v="6.1"/>
    <n v="84"/>
    <x v="0"/>
    <n v="0"/>
    <n v="3.96"/>
    <n v="3"/>
    <x v="2"/>
  </r>
  <r>
    <n v="1821"/>
    <d v="2022-11-25T00:00:00"/>
    <x v="39"/>
    <s v="Male"/>
    <n v="168.2"/>
    <n v="63.6"/>
    <n v="17029"/>
    <n v="891"/>
    <n v="6.7"/>
    <n v="58"/>
    <x v="3"/>
    <n v="82"/>
    <n v="2.72"/>
    <n v="5"/>
    <x v="2"/>
  </r>
  <r>
    <n v="1454"/>
    <d v="2022-11-26T00:00:00"/>
    <x v="17"/>
    <s v="Male"/>
    <n v="156"/>
    <n v="81.400000000000006"/>
    <n v="1014"/>
    <n v="271.60000000000002"/>
    <n v="7.6"/>
    <n v="83"/>
    <x v="5"/>
    <n v="81"/>
    <n v="2.1"/>
    <n v="2"/>
    <x v="1"/>
  </r>
  <r>
    <n v="1600"/>
    <d v="2022-11-27T00:00:00"/>
    <x v="5"/>
    <s v="Male"/>
    <n v="183.8"/>
    <n v="80.099999999999994"/>
    <n v="12581"/>
    <n v="764"/>
    <n v="9.4"/>
    <n v="76"/>
    <x v="2"/>
    <n v="48"/>
    <n v="2.41"/>
    <n v="8"/>
    <x v="0"/>
  </r>
  <r>
    <n v="1724"/>
    <d v="2022-11-28T00:00:00"/>
    <x v="12"/>
    <s v="Female"/>
    <n v="174.4"/>
    <n v="47"/>
    <n v="15157"/>
    <n v="856.2"/>
    <n v="4.5"/>
    <n v="79"/>
    <x v="5"/>
    <n v="51"/>
    <n v="1.97"/>
    <n v="2"/>
    <x v="2"/>
  </r>
  <r>
    <n v="1654"/>
    <d v="2022-11-29T00:00:00"/>
    <x v="21"/>
    <s v="Female"/>
    <n v="176"/>
    <n v="61.1"/>
    <n v="12506"/>
    <n v="763.1"/>
    <n v="7.9"/>
    <n v="79"/>
    <x v="2"/>
    <n v="44"/>
    <n v="2.0699999999999998"/>
    <n v="4"/>
    <x v="1"/>
  </r>
  <r>
    <n v="1064"/>
    <d v="2022-11-30T00:00:00"/>
    <x v="15"/>
    <s v="Male"/>
    <n v="154.1"/>
    <n v="88.8"/>
    <n v="9208"/>
    <n v="553.4"/>
    <n v="8.8000000000000007"/>
    <n v="76"/>
    <x v="2"/>
    <n v="35"/>
    <n v="2"/>
    <n v="3"/>
    <x v="0"/>
  </r>
  <r>
    <n v="1075"/>
    <d v="2022-12-01T00:00:00"/>
    <x v="8"/>
    <s v="Male"/>
    <n v="182.9"/>
    <n v="74.400000000000006"/>
    <n v="10971"/>
    <n v="613"/>
    <n v="5.0999999999999996"/>
    <n v="77"/>
    <x v="5"/>
    <n v="34"/>
    <n v="2.44"/>
    <n v="4"/>
    <x v="0"/>
  </r>
  <r>
    <n v="1710"/>
    <d v="2022-12-02T00:00:00"/>
    <x v="16"/>
    <s v="Male"/>
    <n v="176.5"/>
    <n v="75"/>
    <n v="19333"/>
    <n v="900"/>
    <n v="6.7"/>
    <n v="64"/>
    <x v="4"/>
    <n v="78"/>
    <n v="2.58"/>
    <n v="4"/>
    <x v="1"/>
  </r>
  <r>
    <n v="1142"/>
    <d v="2022-12-03T00:00:00"/>
    <x v="17"/>
    <s v="Female"/>
    <n v="163.19999999999999"/>
    <n v="73.599999999999994"/>
    <n v="9272"/>
    <n v="561.1"/>
    <n v="7.4"/>
    <n v="68"/>
    <x v="4"/>
    <n v="67"/>
    <n v="2.4"/>
    <n v="6"/>
    <x v="0"/>
  </r>
  <r>
    <n v="1916"/>
    <d v="2022-12-04T00:00:00"/>
    <x v="38"/>
    <s v="Female"/>
    <n v="154.6"/>
    <n v="66.099999999999994"/>
    <n v="4079"/>
    <n v="359"/>
    <n v="10"/>
    <n v="93"/>
    <x v="2"/>
    <n v="37"/>
    <n v="2.35"/>
    <n v="10"/>
    <x v="0"/>
  </r>
  <r>
    <n v="1914"/>
    <d v="2022-12-05T00:00:00"/>
    <x v="2"/>
    <s v="Male"/>
    <n v="169.2"/>
    <n v="69.400000000000006"/>
    <n v="9127"/>
    <n v="557.9"/>
    <n v="10"/>
    <n v="82"/>
    <x v="5"/>
    <n v="42"/>
    <n v="3.03"/>
    <n v="10"/>
    <x v="1"/>
  </r>
  <r>
    <n v="1827"/>
    <d v="2022-12-06T00:00:00"/>
    <x v="38"/>
    <s v="Male"/>
    <n v="165.3"/>
    <n v="63.9"/>
    <n v="10210"/>
    <n v="633"/>
    <n v="5.0999999999999996"/>
    <n v="86"/>
    <x v="3"/>
    <n v="74"/>
    <n v="2.34"/>
    <n v="10"/>
    <x v="0"/>
  </r>
  <r>
    <n v="1604"/>
    <d v="2022-12-07T00:00:00"/>
    <x v="2"/>
    <s v="Male"/>
    <n v="165.8"/>
    <n v="82.8"/>
    <n v="16014"/>
    <n v="866.5"/>
    <n v="6.5"/>
    <n v="72"/>
    <x v="2"/>
    <n v="61"/>
    <n v="2.38"/>
    <n v="9"/>
    <x v="1"/>
  </r>
  <r>
    <n v="1472"/>
    <d v="2022-12-08T00:00:00"/>
    <x v="29"/>
    <s v="Male"/>
    <n v="162.9"/>
    <n v="64.099999999999994"/>
    <n v="16646"/>
    <n v="862.6"/>
    <n v="7.3"/>
    <n v="76"/>
    <x v="0"/>
    <n v="0"/>
    <n v="2.38"/>
    <n v="3"/>
    <x v="0"/>
  </r>
  <r>
    <n v="1416"/>
    <d v="2022-12-09T00:00:00"/>
    <x v="12"/>
    <s v="Female"/>
    <n v="177.2"/>
    <n v="68.3"/>
    <n v="19208"/>
    <n v="900"/>
    <n v="7.8"/>
    <n v="80"/>
    <x v="2"/>
    <n v="71"/>
    <n v="3.58"/>
    <n v="1"/>
    <x v="1"/>
  </r>
  <r>
    <n v="1304"/>
    <d v="2022-12-10T00:00:00"/>
    <x v="15"/>
    <s v="Male"/>
    <n v="150"/>
    <n v="81"/>
    <n v="4864"/>
    <n v="435.9"/>
    <n v="7.3"/>
    <n v="87"/>
    <x v="1"/>
    <n v="30"/>
    <n v="2.16"/>
    <n v="8"/>
    <x v="0"/>
  </r>
  <r>
    <n v="1735"/>
    <d v="2022-12-11T00:00:00"/>
    <x v="30"/>
    <s v="Female"/>
    <n v="184.3"/>
    <n v="65.099999999999994"/>
    <n v="11661"/>
    <n v="626.5"/>
    <n v="5.6"/>
    <n v="73"/>
    <x v="4"/>
    <n v="74"/>
    <n v="2.92"/>
    <n v="7"/>
    <x v="1"/>
  </r>
  <r>
    <n v="1496"/>
    <d v="2022-12-12T00:00:00"/>
    <x v="36"/>
    <s v="Male"/>
    <n v="180"/>
    <n v="68.900000000000006"/>
    <n v="19897"/>
    <n v="900"/>
    <n v="5.5"/>
    <n v="80"/>
    <x v="5"/>
    <n v="44"/>
    <n v="1.98"/>
    <n v="2"/>
    <x v="2"/>
  </r>
  <r>
    <n v="1290"/>
    <d v="2022-12-13T00:00:00"/>
    <x v="26"/>
    <s v="Male"/>
    <n v="172.1"/>
    <n v="64.599999999999994"/>
    <n v="11322"/>
    <n v="622.29999999999995"/>
    <n v="4.7"/>
    <n v="82"/>
    <x v="3"/>
    <n v="60"/>
    <n v="2.74"/>
    <n v="5"/>
    <x v="0"/>
  </r>
  <r>
    <n v="1939"/>
    <d v="2022-12-14T00:00:00"/>
    <x v="12"/>
    <s v="Male"/>
    <n v="168.6"/>
    <n v="68.7"/>
    <n v="7710"/>
    <n v="580.4"/>
    <n v="4"/>
    <n v="84"/>
    <x v="0"/>
    <n v="0"/>
    <n v="2.88"/>
    <n v="10"/>
    <x v="1"/>
  </r>
  <r>
    <n v="1101"/>
    <d v="2022-12-15T00:00:00"/>
    <x v="23"/>
    <s v="Male"/>
    <n v="180.8"/>
    <n v="65.099999999999994"/>
    <n v="9516"/>
    <n v="589"/>
    <n v="4.7"/>
    <n v="73"/>
    <x v="3"/>
    <n v="74"/>
    <n v="3.26"/>
    <n v="4"/>
    <x v="0"/>
  </r>
  <r>
    <n v="1985"/>
    <d v="2022-12-16T00:00:00"/>
    <x v="33"/>
    <s v="Male"/>
    <n v="169.6"/>
    <n v="62"/>
    <n v="15386"/>
    <n v="818.6"/>
    <n v="8.6999999999999993"/>
    <n v="88"/>
    <x v="0"/>
    <n v="0"/>
    <n v="2.23"/>
    <n v="9"/>
    <x v="0"/>
  </r>
  <r>
    <n v="1266"/>
    <d v="2022-12-17T00:00:00"/>
    <x v="23"/>
    <s v="Female"/>
    <n v="167.2"/>
    <n v="59.4"/>
    <n v="14338"/>
    <n v="684"/>
    <n v="8.1"/>
    <n v="61"/>
    <x v="2"/>
    <n v="55"/>
    <n v="1.72"/>
    <n v="4"/>
    <x v="2"/>
  </r>
  <r>
    <n v="1866"/>
    <d v="2022-12-18T00:00:00"/>
    <x v="15"/>
    <s v="Male"/>
    <n v="181.4"/>
    <n v="67.400000000000006"/>
    <n v="16316"/>
    <n v="885.5"/>
    <n v="7.8"/>
    <n v="64"/>
    <x v="3"/>
    <n v="76"/>
    <n v="1.95"/>
    <n v="5"/>
    <x v="0"/>
  </r>
  <r>
    <n v="1967"/>
    <d v="2022-12-19T00:00:00"/>
    <x v="31"/>
    <s v="Male"/>
    <n v="190.9"/>
    <n v="85.3"/>
    <n v="11203"/>
    <n v="652.9"/>
    <n v="6.7"/>
    <n v="80"/>
    <x v="3"/>
    <n v="82"/>
    <n v="3.18"/>
    <n v="8"/>
    <x v="0"/>
  </r>
  <r>
    <n v="1621"/>
    <d v="2022-12-20T00:00:00"/>
    <x v="35"/>
    <s v="Male"/>
    <n v="160.30000000000001"/>
    <n v="79.400000000000006"/>
    <n v="5888"/>
    <n v="444.2"/>
    <n v="6.9"/>
    <n v="80"/>
    <x v="2"/>
    <n v="39"/>
    <n v="3.96"/>
    <n v="3"/>
    <x v="2"/>
  </r>
  <r>
    <n v="1973"/>
    <d v="2022-12-21T00:00:00"/>
    <x v="19"/>
    <s v="Female"/>
    <n v="174.2"/>
    <n v="46.3"/>
    <n v="12325"/>
    <n v="688.3"/>
    <n v="6.6"/>
    <n v="73"/>
    <x v="4"/>
    <n v="66"/>
    <n v="3.08"/>
    <n v="6"/>
    <x v="1"/>
  </r>
  <r>
    <n v="1841"/>
    <d v="2022-12-22T00:00:00"/>
    <x v="18"/>
    <s v="Female"/>
    <n v="159.1"/>
    <n v="63.6"/>
    <n v="10386"/>
    <n v="646.70000000000005"/>
    <n v="4.5999999999999996"/>
    <n v="71"/>
    <x v="1"/>
    <n v="39"/>
    <n v="1.62"/>
    <n v="6"/>
    <x v="1"/>
  </r>
  <r>
    <n v="1961"/>
    <d v="2022-12-23T00:00:00"/>
    <x v="16"/>
    <s v="Female"/>
    <n v="175"/>
    <n v="60.4"/>
    <n v="16645"/>
    <n v="900"/>
    <n v="8"/>
    <n v="71"/>
    <x v="4"/>
    <n v="25"/>
    <n v="3.06"/>
    <n v="7"/>
    <x v="1"/>
  </r>
  <r>
    <n v="1941"/>
    <d v="2022-12-24T00:00:00"/>
    <x v="24"/>
    <s v="Female"/>
    <n v="162.19999999999999"/>
    <n v="46.6"/>
    <n v="7260"/>
    <n v="514.6"/>
    <n v="8.3000000000000007"/>
    <n v="66"/>
    <x v="4"/>
    <n v="48"/>
    <n v="1.84"/>
    <n v="9"/>
    <x v="1"/>
  </r>
  <r>
    <n v="1776"/>
    <d v="2022-12-25T00:00:00"/>
    <x v="1"/>
    <s v="Male"/>
    <n v="182.1"/>
    <n v="74.099999999999994"/>
    <n v="12267"/>
    <n v="756.5"/>
    <n v="5.3"/>
    <n v="75"/>
    <x v="1"/>
    <n v="68"/>
    <n v="2.2599999999999998"/>
    <n v="3"/>
    <x v="1"/>
  </r>
  <r>
    <n v="1002"/>
    <d v="2022-12-26T00:00:00"/>
    <x v="15"/>
    <s v="Male"/>
    <n v="169"/>
    <n v="68.599999999999994"/>
    <n v="16419"/>
    <n v="820.8"/>
    <n v="5.3"/>
    <n v="59"/>
    <x v="2"/>
    <n v="25"/>
    <n v="2.63"/>
    <n v="5"/>
    <x v="1"/>
  </r>
  <r>
    <n v="1084"/>
    <d v="2022-12-27T00:00:00"/>
    <x v="9"/>
    <s v="Male"/>
    <n v="170.5"/>
    <n v="100.3"/>
    <n v="14086"/>
    <n v="733.8"/>
    <n v="7.5"/>
    <n v="86"/>
    <x v="4"/>
    <n v="58"/>
    <n v="2.75"/>
    <n v="5"/>
    <x v="2"/>
  </r>
  <r>
    <n v="1793"/>
    <d v="2022-12-28T00:00:00"/>
    <x v="0"/>
    <s v="Female"/>
    <n v="186.3"/>
    <n v="65"/>
    <n v="3904"/>
    <n v="376.5"/>
    <n v="7.5"/>
    <n v="79"/>
    <x v="5"/>
    <n v="51"/>
    <n v="2.5499999999999998"/>
    <n v="5"/>
    <x v="1"/>
  </r>
  <r>
    <n v="1327"/>
    <d v="2022-12-29T00:00:00"/>
    <x v="33"/>
    <s v="Male"/>
    <n v="162.69999999999999"/>
    <n v="58.4"/>
    <n v="12492"/>
    <n v="732.8"/>
    <n v="8.1"/>
    <n v="88"/>
    <x v="5"/>
    <n v="68"/>
    <n v="2.08"/>
    <n v="6"/>
    <x v="2"/>
  </r>
  <r>
    <n v="1815"/>
    <d v="2022-12-30T00:00:00"/>
    <x v="7"/>
    <s v="Male"/>
    <n v="176.8"/>
    <n v="56.9"/>
    <n v="2123"/>
    <n v="310.8"/>
    <n v="9.1"/>
    <n v="77"/>
    <x v="1"/>
    <n v="62"/>
    <n v="3.24"/>
    <n v="1"/>
    <x v="0"/>
  </r>
  <r>
    <n v="1449"/>
    <d v="2022-12-31T00:00:00"/>
    <x v="24"/>
    <s v="Female"/>
    <n v="163.69999999999999"/>
    <n v="63.2"/>
    <n v="14430"/>
    <n v="712.8"/>
    <n v="5.4"/>
    <n v="75"/>
    <x v="5"/>
    <n v="47"/>
    <n v="2.13"/>
    <n v="9"/>
    <x v="2"/>
  </r>
  <r>
    <n v="1453"/>
    <d v="2023-01-01T00:00:00"/>
    <x v="15"/>
    <s v="Female"/>
    <n v="182"/>
    <n v="78.900000000000006"/>
    <n v="15999"/>
    <n v="779.8"/>
    <n v="6.9"/>
    <n v="76"/>
    <x v="2"/>
    <n v="64"/>
    <n v="3.38"/>
    <n v="3"/>
    <x v="2"/>
  </r>
  <r>
    <n v="1923"/>
    <d v="2023-01-02T00:00:00"/>
    <x v="20"/>
    <s v="Female"/>
    <n v="187.9"/>
    <n v="80.599999999999994"/>
    <n v="19654"/>
    <n v="900"/>
    <n v="5.5"/>
    <n v="68"/>
    <x v="3"/>
    <n v="84"/>
    <n v="1.55"/>
    <n v="6"/>
    <x v="2"/>
  </r>
  <r>
    <n v="1628"/>
    <d v="2023-01-03T00:00:00"/>
    <x v="28"/>
    <s v="Male"/>
    <n v="167.4"/>
    <n v="113.9"/>
    <n v="9121"/>
    <n v="475.4"/>
    <n v="5.6"/>
    <n v="63"/>
    <x v="2"/>
    <n v="69"/>
    <n v="2.65"/>
    <n v="4"/>
    <x v="2"/>
  </r>
  <r>
    <n v="1220"/>
    <d v="2023-01-04T00:00:00"/>
    <x v="17"/>
    <s v="Male"/>
    <n v="150"/>
    <n v="51.9"/>
    <n v="19642"/>
    <n v="900"/>
    <n v="6.4"/>
    <n v="65"/>
    <x v="1"/>
    <n v="73"/>
    <n v="1.64"/>
    <n v="7"/>
    <x v="1"/>
  </r>
  <r>
    <n v="1153"/>
    <d v="2023-01-05T00:00:00"/>
    <x v="27"/>
    <s v="Female"/>
    <n v="163.1"/>
    <n v="71.3"/>
    <n v="4646"/>
    <n v="382.1"/>
    <n v="9.1999999999999993"/>
    <n v="71"/>
    <x v="3"/>
    <n v="70"/>
    <n v="1.92"/>
    <n v="8"/>
    <x v="0"/>
  </r>
  <r>
    <n v="1664"/>
    <d v="2023-01-06T00:00:00"/>
    <x v="26"/>
    <s v="Male"/>
    <n v="194.3"/>
    <n v="59.7"/>
    <n v="14173"/>
    <n v="721.2"/>
    <n v="8.6999999999999993"/>
    <n v="66"/>
    <x v="5"/>
    <n v="62"/>
    <n v="2.14"/>
    <n v="4"/>
    <x v="0"/>
  </r>
  <r>
    <n v="1011"/>
    <d v="2023-01-07T00:00:00"/>
    <x v="36"/>
    <s v="Female"/>
    <n v="164.1"/>
    <n v="75.3"/>
    <n v="8025"/>
    <n v="493.4"/>
    <n v="6.9"/>
    <n v="88"/>
    <x v="4"/>
    <n v="83"/>
    <n v="3.56"/>
    <n v="10"/>
    <x v="0"/>
  </r>
  <r>
    <n v="1132"/>
    <d v="2023-01-08T00:00:00"/>
    <x v="8"/>
    <s v="Female"/>
    <n v="187.7"/>
    <n v="90.7"/>
    <n v="13549"/>
    <n v="747.4"/>
    <n v="3.8"/>
    <n v="68"/>
    <x v="5"/>
    <n v="49"/>
    <n v="3.42"/>
    <n v="6"/>
    <x v="2"/>
  </r>
  <r>
    <n v="1993"/>
    <d v="2023-01-09T00:00:00"/>
    <x v="13"/>
    <s v="Male"/>
    <n v="163.9"/>
    <n v="82.9"/>
    <n v="15853"/>
    <n v="759.4"/>
    <n v="7.6"/>
    <n v="79"/>
    <x v="2"/>
    <n v="61"/>
    <n v="3.11"/>
    <n v="10"/>
    <x v="2"/>
  </r>
  <r>
    <n v="1303"/>
    <d v="2023-01-10T00:00:00"/>
    <x v="4"/>
    <s v="Female"/>
    <n v="163.69999999999999"/>
    <n v="51.9"/>
    <n v="18655"/>
    <n v="900"/>
    <n v="7.6"/>
    <n v="81"/>
    <x v="2"/>
    <n v="57"/>
    <n v="2.52"/>
    <n v="7"/>
    <x v="1"/>
  </r>
  <r>
    <n v="1292"/>
    <d v="2023-01-11T00:00:00"/>
    <x v="37"/>
    <s v="Female"/>
    <n v="177.8"/>
    <n v="80.3"/>
    <n v="9989"/>
    <n v="586.4"/>
    <n v="5.6"/>
    <n v="87"/>
    <x v="1"/>
    <n v="85"/>
    <n v="2.63"/>
    <n v="10"/>
    <x v="1"/>
  </r>
  <r>
    <n v="1974"/>
    <d v="2023-01-12T00:00:00"/>
    <x v="16"/>
    <s v="Female"/>
    <n v="176.6"/>
    <n v="45"/>
    <n v="12326"/>
    <n v="678"/>
    <n v="8.1999999999999993"/>
    <n v="82"/>
    <x v="4"/>
    <n v="88"/>
    <n v="3.39"/>
    <n v="7"/>
    <x v="0"/>
  </r>
  <r>
    <n v="1299"/>
    <d v="2023-01-13T00:00:00"/>
    <x v="34"/>
    <s v="Male"/>
    <n v="178.5"/>
    <n v="45"/>
    <n v="4463"/>
    <n v="365"/>
    <n v="5.6"/>
    <n v="73"/>
    <x v="4"/>
    <n v="34"/>
    <n v="2.99"/>
    <n v="9"/>
    <x v="2"/>
  </r>
  <r>
    <n v="1739"/>
    <d v="2023-01-14T00:00:00"/>
    <x v="20"/>
    <s v="Female"/>
    <n v="170"/>
    <n v="66.3"/>
    <n v="15388"/>
    <n v="883.5"/>
    <n v="8.1999999999999993"/>
    <n v="92"/>
    <x v="3"/>
    <n v="80"/>
    <n v="2.5099999999999998"/>
    <n v="8"/>
    <x v="2"/>
  </r>
  <r>
    <n v="1782"/>
    <d v="2023-01-15T00:00:00"/>
    <x v="13"/>
    <s v="Female"/>
    <n v="180.3"/>
    <n v="79.2"/>
    <n v="15075"/>
    <n v="850.4"/>
    <n v="7.4"/>
    <n v="63"/>
    <x v="3"/>
    <n v="25"/>
    <n v="3.54"/>
    <n v="3"/>
    <x v="2"/>
  </r>
  <r>
    <n v="1042"/>
    <d v="2023-01-16T00:00:00"/>
    <x v="30"/>
    <s v="Female"/>
    <n v="179.6"/>
    <n v="75.2"/>
    <n v="11547"/>
    <n v="629.70000000000005"/>
    <n v="4.8"/>
    <n v="66"/>
    <x v="2"/>
    <n v="43"/>
    <n v="3.07"/>
    <n v="4"/>
    <x v="0"/>
  </r>
  <r>
    <n v="1943"/>
    <d v="2023-01-17T00:00:00"/>
    <x v="13"/>
    <s v="Female"/>
    <n v="181.5"/>
    <n v="98.6"/>
    <n v="5941"/>
    <n v="385.8"/>
    <n v="6.5"/>
    <n v="77"/>
    <x v="1"/>
    <n v="33"/>
    <n v="2.67"/>
    <n v="9"/>
    <x v="0"/>
  </r>
  <r>
    <n v="1342"/>
    <d v="2023-01-18T00:00:00"/>
    <x v="34"/>
    <s v="Female"/>
    <n v="163.80000000000001"/>
    <n v="71.599999999999994"/>
    <n v="17010"/>
    <n v="859.7"/>
    <n v="7.2"/>
    <n v="76"/>
    <x v="2"/>
    <n v="31"/>
    <n v="2.1800000000000002"/>
    <n v="7"/>
    <x v="2"/>
  </r>
  <r>
    <n v="1325"/>
    <d v="2023-01-19T00:00:00"/>
    <x v="7"/>
    <s v="Female"/>
    <n v="180.3"/>
    <n v="68.400000000000006"/>
    <n v="1897"/>
    <n v="337.2"/>
    <n v="7.5"/>
    <n v="83"/>
    <x v="0"/>
    <n v="0"/>
    <n v="2.12"/>
    <n v="7"/>
    <x v="2"/>
  </r>
  <r>
    <n v="1813"/>
    <d v="2023-01-20T00:00:00"/>
    <x v="24"/>
    <s v="Female"/>
    <n v="164.8"/>
    <n v="87.3"/>
    <n v="9244"/>
    <n v="463.4"/>
    <n v="8.5"/>
    <n v="77"/>
    <x v="4"/>
    <n v="87"/>
    <n v="2.2599999999999998"/>
    <n v="1"/>
    <x v="0"/>
  </r>
  <r>
    <n v="1497"/>
    <d v="2023-01-21T00:00:00"/>
    <x v="29"/>
    <s v="Male"/>
    <n v="168.4"/>
    <n v="64.400000000000006"/>
    <n v="1605"/>
    <n v="268.39999999999998"/>
    <n v="8.6999999999999993"/>
    <n v="79"/>
    <x v="4"/>
    <n v="63"/>
    <n v="2.82"/>
    <n v="2"/>
    <x v="0"/>
  </r>
  <r>
    <n v="1363"/>
    <d v="2023-01-22T00:00:00"/>
    <x v="41"/>
    <s v="Male"/>
    <n v="168.2"/>
    <n v="75.8"/>
    <n v="4677"/>
    <n v="371.7"/>
    <n v="6.6"/>
    <n v="85"/>
    <x v="2"/>
    <n v="70"/>
    <n v="3.09"/>
    <n v="1"/>
    <x v="1"/>
  </r>
  <r>
    <n v="1890"/>
    <d v="2023-01-23T00:00:00"/>
    <x v="27"/>
    <s v="Female"/>
    <n v="160"/>
    <n v="76.7"/>
    <n v="5547"/>
    <n v="481.8"/>
    <n v="7.8"/>
    <n v="76"/>
    <x v="4"/>
    <n v="57"/>
    <n v="1.49"/>
    <n v="4"/>
    <x v="1"/>
  </r>
  <r>
    <n v="1426"/>
    <d v="2023-01-24T00:00:00"/>
    <x v="7"/>
    <s v="Male"/>
    <n v="152.6"/>
    <n v="55.4"/>
    <n v="9652"/>
    <n v="635.1"/>
    <n v="9.4"/>
    <n v="82"/>
    <x v="3"/>
    <n v="60"/>
    <n v="1.1399999999999999"/>
    <n v="4"/>
    <x v="1"/>
  </r>
  <r>
    <n v="1020"/>
    <d v="2023-01-25T00:00:00"/>
    <x v="37"/>
    <s v="Male"/>
    <n v="182.2"/>
    <n v="75.8"/>
    <n v="18158"/>
    <n v="852.9"/>
    <n v="5.5"/>
    <n v="67"/>
    <x v="4"/>
    <n v="63"/>
    <n v="1.83"/>
    <n v="5"/>
    <x v="2"/>
  </r>
  <r>
    <n v="1406"/>
    <d v="2023-01-26T00:00:00"/>
    <x v="16"/>
    <s v="Female"/>
    <n v="163"/>
    <n v="102.8"/>
    <n v="6256"/>
    <n v="510.1"/>
    <n v="6.1"/>
    <n v="68"/>
    <x v="3"/>
    <n v="35"/>
    <n v="2.21"/>
    <n v="5"/>
    <x v="2"/>
  </r>
  <r>
    <n v="1618"/>
    <d v="2023-01-27T00:00:00"/>
    <x v="15"/>
    <s v="Male"/>
    <n v="167.3"/>
    <n v="87"/>
    <n v="17333"/>
    <n v="776.6"/>
    <n v="4.5"/>
    <n v="84"/>
    <x v="5"/>
    <n v="69"/>
    <n v="3.34"/>
    <n v="1"/>
    <x v="2"/>
  </r>
  <r>
    <n v="1335"/>
    <d v="2023-01-28T00:00:00"/>
    <x v="10"/>
    <s v="Female"/>
    <n v="162.69999999999999"/>
    <n v="57.4"/>
    <n v="15730"/>
    <n v="859.8"/>
    <n v="6.1"/>
    <n v="76"/>
    <x v="1"/>
    <n v="57"/>
    <n v="2.2999999999999998"/>
    <n v="7"/>
    <x v="0"/>
  </r>
  <r>
    <n v="1814"/>
    <d v="2023-01-29T00:00:00"/>
    <x v="18"/>
    <s v="Female"/>
    <n v="167.4"/>
    <n v="105.1"/>
    <n v="6156"/>
    <n v="481.3"/>
    <n v="7.3"/>
    <n v="77"/>
    <x v="1"/>
    <n v="24"/>
    <n v="2.68"/>
    <n v="6"/>
    <x v="1"/>
  </r>
  <r>
    <n v="1116"/>
    <d v="2023-01-30T00:00:00"/>
    <x v="11"/>
    <s v="Female"/>
    <n v="164.9"/>
    <n v="80.3"/>
    <n v="6773"/>
    <n v="555.20000000000005"/>
    <n v="3.8"/>
    <n v="68"/>
    <x v="4"/>
    <n v="28"/>
    <n v="2.79"/>
    <n v="8"/>
    <x v="0"/>
  </r>
  <r>
    <n v="1123"/>
    <d v="2023-01-31T00:00:00"/>
    <x v="7"/>
    <s v="Female"/>
    <n v="182.8"/>
    <n v="76.400000000000006"/>
    <n v="11886"/>
    <n v="686.8"/>
    <n v="7.7"/>
    <n v="71"/>
    <x v="1"/>
    <n v="58"/>
    <n v="1.78"/>
    <n v="4"/>
    <x v="0"/>
  </r>
  <r>
    <n v="1398"/>
    <d v="2023-02-01T00:00:00"/>
    <x v="16"/>
    <s v="Female"/>
    <n v="164.1"/>
    <n v="68.5"/>
    <n v="16930"/>
    <n v="844"/>
    <n v="6.3"/>
    <n v="78"/>
    <x v="0"/>
    <n v="0"/>
    <n v="3.52"/>
    <n v="1"/>
    <x v="0"/>
  </r>
  <r>
    <n v="1792"/>
    <d v="2023-02-02T00:00:00"/>
    <x v="10"/>
    <s v="Male"/>
    <n v="187.1"/>
    <n v="80.2"/>
    <n v="4518"/>
    <n v="330.3"/>
    <n v="6.9"/>
    <n v="72"/>
    <x v="5"/>
    <n v="51"/>
    <n v="2.0299999999999998"/>
    <n v="3"/>
    <x v="2"/>
  </r>
  <r>
    <n v="1803"/>
    <d v="2023-02-03T00:00:00"/>
    <x v="39"/>
    <s v="Female"/>
    <n v="181.4"/>
    <n v="71.7"/>
    <n v="7775"/>
    <n v="584"/>
    <n v="5.2"/>
    <n v="66"/>
    <x v="4"/>
    <n v="83"/>
    <n v="3.59"/>
    <n v="9"/>
    <x v="2"/>
  </r>
  <r>
    <n v="1714"/>
    <d v="2023-02-04T00:00:00"/>
    <x v="6"/>
    <s v="Male"/>
    <n v="165.3"/>
    <n v="70.3"/>
    <n v="6378"/>
    <n v="540"/>
    <n v="6.8"/>
    <n v="66"/>
    <x v="3"/>
    <n v="52"/>
    <n v="2.41"/>
    <n v="10"/>
    <x v="0"/>
  </r>
  <r>
    <n v="1050"/>
    <d v="2023-02-05T00:00:00"/>
    <x v="41"/>
    <s v="Female"/>
    <n v="173.2"/>
    <n v="68"/>
    <n v="14634"/>
    <n v="762.9"/>
    <n v="9.5"/>
    <n v="69"/>
    <x v="5"/>
    <n v="37"/>
    <n v="2.2599999999999998"/>
    <n v="7"/>
    <x v="1"/>
  </r>
  <r>
    <n v="1782"/>
    <d v="2023-02-06T00:00:00"/>
    <x v="12"/>
    <s v="Female"/>
    <n v="175.2"/>
    <n v="84.6"/>
    <n v="7673"/>
    <n v="508"/>
    <n v="6.4"/>
    <n v="72"/>
    <x v="0"/>
    <n v="0"/>
    <n v="1.72"/>
    <n v="2"/>
    <x v="2"/>
  </r>
  <r>
    <n v="1323"/>
    <d v="2023-02-07T00:00:00"/>
    <x v="29"/>
    <s v="Female"/>
    <n v="178.4"/>
    <n v="82.9"/>
    <n v="7444"/>
    <n v="565.9"/>
    <n v="3.7"/>
    <n v="72"/>
    <x v="5"/>
    <n v="24"/>
    <n v="2.64"/>
    <n v="3"/>
    <x v="2"/>
  </r>
  <r>
    <n v="1788"/>
    <d v="2023-02-08T00:00:00"/>
    <x v="30"/>
    <s v="Male"/>
    <n v="179.4"/>
    <n v="67.8"/>
    <n v="15176"/>
    <n v="845.5"/>
    <n v="8.8000000000000007"/>
    <n v="91"/>
    <x v="1"/>
    <n v="78"/>
    <n v="4.08"/>
    <n v="2"/>
    <x v="0"/>
  </r>
  <r>
    <n v="1140"/>
    <d v="2023-02-09T00:00:00"/>
    <x v="38"/>
    <s v="Female"/>
    <n v="171.9"/>
    <n v="47.2"/>
    <n v="10379"/>
    <n v="605.79999999999995"/>
    <n v="7.8"/>
    <n v="84"/>
    <x v="0"/>
    <n v="0"/>
    <n v="2.79"/>
    <n v="4"/>
    <x v="2"/>
  </r>
  <r>
    <n v="1469"/>
    <d v="2023-02-10T00:00:00"/>
    <x v="40"/>
    <s v="Female"/>
    <n v="160.5"/>
    <n v="70.5"/>
    <n v="4727"/>
    <n v="351.1"/>
    <n v="7.1"/>
    <n v="78"/>
    <x v="3"/>
    <n v="35"/>
    <n v="2.69"/>
    <n v="2"/>
    <x v="1"/>
  </r>
  <r>
    <n v="1786"/>
    <d v="2023-02-11T00:00:00"/>
    <x v="2"/>
    <s v="Female"/>
    <n v="176.4"/>
    <n v="59.2"/>
    <n v="15225"/>
    <n v="766.9"/>
    <n v="7.9"/>
    <n v="94"/>
    <x v="2"/>
    <n v="67"/>
    <n v="2.0299999999999998"/>
    <n v="4"/>
    <x v="0"/>
  </r>
  <r>
    <n v="1801"/>
    <d v="2023-02-12T00:00:00"/>
    <x v="35"/>
    <s v="Female"/>
    <n v="167.6"/>
    <n v="62.9"/>
    <n v="19373"/>
    <n v="900"/>
    <n v="7.1"/>
    <n v="74"/>
    <x v="5"/>
    <n v="85"/>
    <n v="2.91"/>
    <n v="7"/>
    <x v="2"/>
  </r>
  <r>
    <n v="1333"/>
    <d v="2023-02-13T00:00:00"/>
    <x v="21"/>
    <s v="Male"/>
    <n v="150"/>
    <n v="68.099999999999994"/>
    <n v="16468"/>
    <n v="840.4"/>
    <n v="9.5"/>
    <n v="80"/>
    <x v="1"/>
    <n v="27"/>
    <n v="2.61"/>
    <n v="8"/>
    <x v="0"/>
  </r>
  <r>
    <n v="1892"/>
    <d v="2023-02-14T00:00:00"/>
    <x v="23"/>
    <s v="Female"/>
    <n v="173.9"/>
    <n v="54.1"/>
    <n v="5345"/>
    <n v="393.5"/>
    <n v="8.1"/>
    <n v="78"/>
    <x v="5"/>
    <n v="63"/>
    <n v="2.46"/>
    <n v="10"/>
    <x v="0"/>
  </r>
  <r>
    <n v="1963"/>
    <d v="2023-02-15T00:00:00"/>
    <x v="17"/>
    <s v="Male"/>
    <n v="162.69999999999999"/>
    <n v="45.8"/>
    <n v="9174"/>
    <n v="597.6"/>
    <n v="6.3"/>
    <n v="80"/>
    <x v="3"/>
    <n v="40"/>
    <n v="2.85"/>
    <n v="6"/>
    <x v="1"/>
  </r>
  <r>
    <n v="1372"/>
    <d v="2023-02-16T00:00:00"/>
    <x v="14"/>
    <s v="Female"/>
    <n v="165.4"/>
    <n v="74.400000000000006"/>
    <n v="14052"/>
    <n v="766.1"/>
    <n v="9.1999999999999993"/>
    <n v="68"/>
    <x v="3"/>
    <n v="45"/>
    <n v="1.23"/>
    <n v="9"/>
    <x v="1"/>
  </r>
  <r>
    <n v="1563"/>
    <d v="2023-02-17T00:00:00"/>
    <x v="29"/>
    <s v="Male"/>
    <n v="170.1"/>
    <n v="70.400000000000006"/>
    <n v="8046"/>
    <n v="541.29999999999995"/>
    <n v="9.6999999999999993"/>
    <n v="72"/>
    <x v="4"/>
    <n v="54"/>
    <n v="2.4300000000000002"/>
    <n v="6"/>
    <x v="2"/>
  </r>
  <r>
    <n v="1493"/>
    <d v="2023-02-18T00:00:00"/>
    <x v="28"/>
    <s v="Male"/>
    <n v="154.5"/>
    <n v="69.8"/>
    <n v="5186"/>
    <n v="391.2"/>
    <n v="8.4"/>
    <n v="67"/>
    <x v="2"/>
    <n v="34"/>
    <n v="1.66"/>
    <n v="3"/>
    <x v="0"/>
  </r>
  <r>
    <n v="1538"/>
    <d v="2023-02-19T00:00:00"/>
    <x v="8"/>
    <s v="Female"/>
    <n v="171.4"/>
    <n v="77.7"/>
    <n v="17722"/>
    <n v="890.6"/>
    <n v="7.6"/>
    <n v="79"/>
    <x v="2"/>
    <n v="59"/>
    <n v="2.52"/>
    <n v="1"/>
    <x v="2"/>
  </r>
  <r>
    <n v="1668"/>
    <d v="2023-02-20T00:00:00"/>
    <x v="41"/>
    <s v="Female"/>
    <n v="166.8"/>
    <n v="60.1"/>
    <n v="10853"/>
    <n v="597.4"/>
    <n v="5.7"/>
    <n v="75"/>
    <x v="1"/>
    <n v="49"/>
    <n v="1.99"/>
    <n v="9"/>
    <x v="2"/>
  </r>
  <r>
    <n v="1750"/>
    <d v="2023-02-21T00:00:00"/>
    <x v="31"/>
    <s v="Male"/>
    <n v="161.19999999999999"/>
    <n v="75"/>
    <n v="6968"/>
    <n v="514.20000000000005"/>
    <n v="8"/>
    <n v="56"/>
    <x v="2"/>
    <n v="85"/>
    <n v="2.04"/>
    <n v="3"/>
    <x v="2"/>
  </r>
  <r>
    <n v="1155"/>
    <d v="2023-02-22T00:00:00"/>
    <x v="40"/>
    <s v="Female"/>
    <n v="170.5"/>
    <n v="90.1"/>
    <n v="13456"/>
    <n v="742.5"/>
    <n v="7.6"/>
    <n v="80"/>
    <x v="3"/>
    <n v="32"/>
    <n v="1.57"/>
    <n v="1"/>
    <x v="1"/>
  </r>
  <r>
    <n v="1290"/>
    <d v="2023-02-23T00:00:00"/>
    <x v="22"/>
    <s v="Female"/>
    <n v="153.1"/>
    <n v="66.2"/>
    <n v="16498"/>
    <n v="874.6"/>
    <n v="7"/>
    <n v="77"/>
    <x v="2"/>
    <n v="20"/>
    <n v="3.28"/>
    <n v="2"/>
    <x v="0"/>
  </r>
  <r>
    <n v="1647"/>
    <d v="2023-02-24T00:00:00"/>
    <x v="41"/>
    <s v="Female"/>
    <n v="170.8"/>
    <n v="98.5"/>
    <n v="8684"/>
    <n v="496.4"/>
    <n v="8"/>
    <n v="92"/>
    <x v="1"/>
    <n v="62"/>
    <n v="2.0299999999999998"/>
    <n v="3"/>
    <x v="0"/>
  </r>
  <r>
    <n v="1143"/>
    <d v="2023-02-25T00:00:00"/>
    <x v="27"/>
    <s v="Male"/>
    <n v="174.7"/>
    <n v="70.7"/>
    <n v="16543"/>
    <n v="896.5"/>
    <n v="7.1"/>
    <n v="84"/>
    <x v="5"/>
    <n v="47"/>
    <n v="2.06"/>
    <n v="8"/>
    <x v="1"/>
  </r>
  <r>
    <n v="1105"/>
    <d v="2023-02-26T00:00:00"/>
    <x v="18"/>
    <s v="Female"/>
    <n v="173.1"/>
    <n v="57.2"/>
    <n v="9361"/>
    <n v="590"/>
    <n v="7.8"/>
    <n v="86"/>
    <x v="2"/>
    <n v="20"/>
    <n v="3.57"/>
    <n v="8"/>
    <x v="1"/>
  </r>
  <r>
    <n v="1419"/>
    <d v="2023-02-27T00:00:00"/>
    <x v="9"/>
    <s v="Female"/>
    <n v="177.9"/>
    <n v="82.7"/>
    <n v="7505"/>
    <n v="536.70000000000005"/>
    <n v="8.6"/>
    <n v="64"/>
    <x v="2"/>
    <n v="59"/>
    <n v="2.9"/>
    <n v="2"/>
    <x v="2"/>
  </r>
  <r>
    <n v="1669"/>
    <d v="2023-02-28T00:00:00"/>
    <x v="16"/>
    <s v="Female"/>
    <n v="181.7"/>
    <n v="68.3"/>
    <n v="7387"/>
    <n v="512.70000000000005"/>
    <n v="5"/>
    <n v="86"/>
    <x v="3"/>
    <n v="53"/>
    <n v="1.08"/>
    <n v="6"/>
    <x v="2"/>
  </r>
  <r>
    <n v="1657"/>
    <d v="2023-03-01T00:00:00"/>
    <x v="29"/>
    <s v="Male"/>
    <n v="169.2"/>
    <n v="85.8"/>
    <n v="12291"/>
    <n v="705.9"/>
    <n v="5.5"/>
    <n v="73"/>
    <x v="3"/>
    <n v="32"/>
    <n v="3.47"/>
    <n v="2"/>
    <x v="1"/>
  </r>
  <r>
    <n v="1001"/>
    <d v="2023-03-02T00:00:00"/>
    <x v="10"/>
    <s v="Female"/>
    <n v="181"/>
    <n v="76.2"/>
    <n v="13806"/>
    <n v="661.2"/>
    <n v="5.6"/>
    <n v="68"/>
    <x v="5"/>
    <n v="80"/>
    <n v="3.65"/>
    <n v="7"/>
    <x v="1"/>
  </r>
  <r>
    <n v="1944"/>
    <d v="2023-03-03T00:00:00"/>
    <x v="35"/>
    <s v="Male"/>
    <n v="169.1"/>
    <n v="65.099999999999994"/>
    <n v="3610"/>
    <n v="401.3"/>
    <n v="9.9"/>
    <n v="52"/>
    <x v="0"/>
    <n v="0"/>
    <n v="3.59"/>
    <n v="10"/>
    <x v="0"/>
  </r>
  <r>
    <n v="1588"/>
    <d v="2023-03-04T00:00:00"/>
    <x v="6"/>
    <s v="Female"/>
    <n v="163"/>
    <n v="92.8"/>
    <n v="3473"/>
    <n v="272.89999999999998"/>
    <n v="8"/>
    <n v="88"/>
    <x v="0"/>
    <n v="0"/>
    <n v="2.97"/>
    <n v="3"/>
    <x v="0"/>
  </r>
  <r>
    <n v="1643"/>
    <d v="2023-03-05T00:00:00"/>
    <x v="7"/>
    <s v="Male"/>
    <n v="166.1"/>
    <n v="62.5"/>
    <n v="3688"/>
    <n v="399.4"/>
    <n v="8.1"/>
    <n v="72"/>
    <x v="4"/>
    <n v="32"/>
    <n v="1.73"/>
    <n v="8"/>
    <x v="0"/>
  </r>
  <r>
    <n v="1089"/>
    <d v="2023-03-06T00:00:00"/>
    <x v="19"/>
    <s v="Female"/>
    <n v="172.7"/>
    <n v="45"/>
    <n v="5804"/>
    <n v="428.5"/>
    <n v="8.6999999999999993"/>
    <n v="74"/>
    <x v="2"/>
    <n v="55"/>
    <n v="2.4700000000000002"/>
    <n v="3"/>
    <x v="1"/>
  </r>
  <r>
    <n v="1344"/>
    <d v="2023-03-07T00:00:00"/>
    <x v="34"/>
    <s v="Female"/>
    <n v="180.9"/>
    <n v="83.2"/>
    <n v="2290"/>
    <n v="211.3"/>
    <n v="5.4"/>
    <n v="78"/>
    <x v="3"/>
    <n v="80"/>
    <n v="1.49"/>
    <n v="10"/>
    <x v="2"/>
  </r>
  <r>
    <n v="1349"/>
    <d v="2023-03-08T00:00:00"/>
    <x v="30"/>
    <s v="Male"/>
    <n v="170"/>
    <n v="75.2"/>
    <n v="11227"/>
    <n v="644.79999999999995"/>
    <n v="3.9"/>
    <n v="94"/>
    <x v="4"/>
    <n v="77"/>
    <n v="1.89"/>
    <n v="6"/>
    <x v="0"/>
  </r>
  <r>
    <n v="1458"/>
    <d v="2023-03-09T00:00:00"/>
    <x v="7"/>
    <s v="Male"/>
    <n v="163.30000000000001"/>
    <n v="89.3"/>
    <n v="19991"/>
    <n v="900"/>
    <n v="6.9"/>
    <n v="73"/>
    <x v="2"/>
    <n v="34"/>
    <n v="1.72"/>
    <n v="1"/>
    <x v="1"/>
  </r>
  <r>
    <n v="1262"/>
    <d v="2023-03-10T00:00:00"/>
    <x v="34"/>
    <s v="Male"/>
    <n v="184.4"/>
    <n v="56.8"/>
    <n v="19072"/>
    <n v="900"/>
    <n v="8.3000000000000007"/>
    <n v="75"/>
    <x v="2"/>
    <n v="31"/>
    <n v="2.06"/>
    <n v="8"/>
    <x v="1"/>
  </r>
  <r>
    <n v="1350"/>
    <d v="2023-03-11T00:00:00"/>
    <x v="25"/>
    <s v="Female"/>
    <n v="155.69999999999999"/>
    <n v="66.3"/>
    <n v="7511"/>
    <n v="474.7"/>
    <n v="6.7"/>
    <n v="85"/>
    <x v="4"/>
    <n v="88"/>
    <n v="2.61"/>
    <n v="7"/>
    <x v="2"/>
  </r>
  <r>
    <n v="1107"/>
    <d v="2023-03-12T00:00:00"/>
    <x v="0"/>
    <s v="Female"/>
    <n v="163.30000000000001"/>
    <n v="64.599999999999994"/>
    <n v="9197"/>
    <n v="515.79999999999995"/>
    <n v="4.9000000000000004"/>
    <n v="72"/>
    <x v="3"/>
    <n v="80"/>
    <n v="2.19"/>
    <n v="1"/>
    <x v="0"/>
  </r>
  <r>
    <n v="1585"/>
    <d v="2023-03-13T00:00:00"/>
    <x v="0"/>
    <s v="Female"/>
    <n v="178.9"/>
    <n v="84"/>
    <n v="9714"/>
    <n v="621.6"/>
    <n v="5.6"/>
    <n v="67"/>
    <x v="5"/>
    <n v="61"/>
    <n v="2.16"/>
    <n v="7"/>
    <x v="0"/>
  </r>
  <r>
    <n v="1038"/>
    <d v="2023-03-14T00:00:00"/>
    <x v="39"/>
    <s v="Female"/>
    <n v="187.7"/>
    <n v="79.8"/>
    <n v="7672"/>
    <n v="504.8"/>
    <n v="5.2"/>
    <n v="53"/>
    <x v="0"/>
    <n v="0"/>
    <n v="2.2999999999999998"/>
    <n v="5"/>
    <x v="1"/>
  </r>
  <r>
    <n v="1908"/>
    <d v="2023-03-15T00:00:00"/>
    <x v="24"/>
    <s v="Male"/>
    <n v="174.8"/>
    <n v="73.2"/>
    <n v="17449"/>
    <n v="900"/>
    <n v="6.1"/>
    <n v="88"/>
    <x v="2"/>
    <n v="21"/>
    <n v="3.55"/>
    <n v="2"/>
    <x v="0"/>
  </r>
  <r>
    <n v="1158"/>
    <d v="2023-03-16T00:00:00"/>
    <x v="37"/>
    <s v="Female"/>
    <n v="172.5"/>
    <n v="73.3"/>
    <n v="3981"/>
    <n v="353.5"/>
    <n v="5.3"/>
    <n v="77"/>
    <x v="1"/>
    <n v="27"/>
    <n v="4.01"/>
    <n v="1"/>
    <x v="2"/>
  </r>
  <r>
    <n v="1582"/>
    <d v="2023-03-17T00:00:00"/>
    <x v="25"/>
    <s v="Female"/>
    <n v="167.1"/>
    <n v="52.7"/>
    <n v="13785"/>
    <n v="809.2"/>
    <n v="7.2"/>
    <n v="80"/>
    <x v="1"/>
    <n v="73"/>
    <n v="2.1800000000000002"/>
    <n v="2"/>
    <x v="0"/>
  </r>
  <r>
    <n v="1958"/>
    <d v="2023-03-18T00:00:00"/>
    <x v="11"/>
    <s v="Female"/>
    <n v="175.5"/>
    <n v="81.5"/>
    <n v="15666"/>
    <n v="806.6"/>
    <n v="6.2"/>
    <n v="70"/>
    <x v="1"/>
    <n v="27"/>
    <n v="2.74"/>
    <n v="6"/>
    <x v="2"/>
  </r>
  <r>
    <n v="1311"/>
    <d v="2023-03-19T00:00:00"/>
    <x v="21"/>
    <s v="Female"/>
    <n v="171.3"/>
    <n v="81.8"/>
    <n v="3815"/>
    <n v="273.8"/>
    <n v="8"/>
    <n v="82"/>
    <x v="5"/>
    <n v="32"/>
    <n v="1.91"/>
    <n v="2"/>
    <x v="1"/>
  </r>
  <r>
    <n v="1240"/>
    <d v="2023-03-20T00:00:00"/>
    <x v="41"/>
    <s v="Female"/>
    <n v="162.5"/>
    <n v="104.4"/>
    <n v="6096"/>
    <n v="389.1"/>
    <n v="5.5"/>
    <n v="69"/>
    <x v="0"/>
    <n v="0"/>
    <n v="3.04"/>
    <n v="6"/>
    <x v="2"/>
  </r>
  <r>
    <n v="1937"/>
    <d v="2023-03-21T00:00:00"/>
    <x v="24"/>
    <s v="Female"/>
    <n v="166.9"/>
    <n v="77.099999999999994"/>
    <n v="14950"/>
    <n v="819.8"/>
    <n v="7.4"/>
    <n v="77"/>
    <x v="2"/>
    <n v="32"/>
    <n v="2.17"/>
    <n v="8"/>
    <x v="2"/>
  </r>
  <r>
    <n v="1444"/>
    <d v="2023-03-22T00:00:00"/>
    <x v="30"/>
    <s v="Female"/>
    <n v="161.30000000000001"/>
    <n v="79.5"/>
    <n v="19401"/>
    <n v="900"/>
    <n v="6.9"/>
    <n v="76"/>
    <x v="3"/>
    <n v="77"/>
    <n v="2"/>
    <n v="8"/>
    <x v="2"/>
  </r>
  <r>
    <n v="1297"/>
    <d v="2023-03-23T00:00:00"/>
    <x v="26"/>
    <s v="Male"/>
    <n v="170.1"/>
    <n v="77.2"/>
    <n v="7673"/>
    <n v="571.1"/>
    <n v="7.6"/>
    <n v="86"/>
    <x v="3"/>
    <n v="82"/>
    <n v="3.9"/>
    <n v="6"/>
    <x v="2"/>
  </r>
  <r>
    <n v="1951"/>
    <d v="2023-03-24T00:00:00"/>
    <x v="17"/>
    <s v="Female"/>
    <n v="171.6"/>
    <n v="59.5"/>
    <n v="2742"/>
    <n v="251.1"/>
    <n v="7.8"/>
    <n v="81"/>
    <x v="0"/>
    <n v="0"/>
    <n v="1.55"/>
    <n v="5"/>
    <x v="1"/>
  </r>
  <r>
    <n v="1035"/>
    <d v="2023-03-25T00:00:00"/>
    <x v="8"/>
    <s v="Female"/>
    <n v="186.3"/>
    <n v="88.7"/>
    <n v="6720"/>
    <n v="519.70000000000005"/>
    <n v="8"/>
    <n v="69"/>
    <x v="5"/>
    <n v="57"/>
    <n v="0.78"/>
    <n v="4"/>
    <x v="2"/>
  </r>
  <r>
    <n v="1083"/>
    <d v="2023-03-26T00:00:00"/>
    <x v="4"/>
    <s v="Female"/>
    <n v="164"/>
    <n v="69.2"/>
    <n v="4509"/>
    <n v="358.7"/>
    <n v="8.1999999999999993"/>
    <n v="81"/>
    <x v="0"/>
    <n v="0"/>
    <n v="3.01"/>
    <n v="6"/>
    <x v="1"/>
  </r>
  <r>
    <n v="1451"/>
    <d v="2023-03-27T00:00:00"/>
    <x v="24"/>
    <s v="Female"/>
    <n v="168.2"/>
    <n v="67.099999999999994"/>
    <n v="13273"/>
    <n v="796.3"/>
    <n v="7.8"/>
    <n v="71"/>
    <x v="2"/>
    <n v="88"/>
    <n v="2.2400000000000002"/>
    <n v="5"/>
    <x v="0"/>
  </r>
  <r>
    <n v="1885"/>
    <d v="2023-03-28T00:00:00"/>
    <x v="23"/>
    <s v="Male"/>
    <n v="182.6"/>
    <n v="68"/>
    <n v="4534"/>
    <n v="406.6"/>
    <n v="7.4"/>
    <n v="67"/>
    <x v="4"/>
    <n v="59"/>
    <n v="2.0499999999999998"/>
    <n v="10"/>
    <x v="0"/>
  </r>
  <r>
    <n v="1774"/>
    <d v="2023-03-29T00:00:00"/>
    <x v="23"/>
    <s v="Male"/>
    <n v="188.1"/>
    <n v="69"/>
    <n v="15685"/>
    <n v="837"/>
    <n v="6"/>
    <n v="81"/>
    <x v="4"/>
    <n v="20"/>
    <n v="4.41"/>
    <n v="4"/>
    <x v="0"/>
  </r>
  <r>
    <n v="1821"/>
    <d v="2023-03-30T00:00:00"/>
    <x v="8"/>
    <s v="Male"/>
    <n v="174.7"/>
    <n v="62.7"/>
    <n v="6136"/>
    <n v="478.7"/>
    <n v="8.3000000000000007"/>
    <n v="77"/>
    <x v="2"/>
    <n v="21"/>
    <n v="3.01"/>
    <n v="6"/>
    <x v="0"/>
  </r>
  <r>
    <n v="1384"/>
    <d v="2023-03-31T00:00:00"/>
    <x v="32"/>
    <s v="Male"/>
    <n v="167.5"/>
    <n v="73.2"/>
    <n v="6585"/>
    <n v="524.70000000000005"/>
    <n v="6"/>
    <n v="63"/>
    <x v="2"/>
    <n v="48"/>
    <n v="2.46"/>
    <n v="9"/>
    <x v="1"/>
  </r>
  <r>
    <n v="1171"/>
    <d v="2023-04-01T00:00:00"/>
    <x v="31"/>
    <s v="Male"/>
    <n v="165.3"/>
    <n v="68.599999999999994"/>
    <n v="9554"/>
    <n v="579.6"/>
    <n v="6.6"/>
    <n v="70"/>
    <x v="3"/>
    <n v="26"/>
    <n v="2"/>
    <n v="9"/>
    <x v="1"/>
  </r>
  <r>
    <n v="1375"/>
    <d v="2023-04-02T00:00:00"/>
    <x v="3"/>
    <s v="Male"/>
    <n v="151.6"/>
    <n v="67.3"/>
    <n v="12473"/>
    <n v="605.1"/>
    <n v="5.7"/>
    <n v="82"/>
    <x v="5"/>
    <n v="76"/>
    <n v="2.81"/>
    <n v="8"/>
    <x v="0"/>
  </r>
  <r>
    <n v="1684"/>
    <d v="2023-04-03T00:00:00"/>
    <x v="33"/>
    <s v="Female"/>
    <n v="160.69999999999999"/>
    <n v="77.3"/>
    <n v="2634"/>
    <n v="365.4"/>
    <n v="5.7"/>
    <n v="79"/>
    <x v="5"/>
    <n v="74"/>
    <n v="1.29"/>
    <n v="10"/>
    <x v="2"/>
  </r>
  <r>
    <n v="1361"/>
    <d v="2023-04-04T00:00:00"/>
    <x v="31"/>
    <s v="Male"/>
    <n v="171"/>
    <n v="71.099999999999994"/>
    <n v="17908"/>
    <n v="900"/>
    <n v="6.5"/>
    <n v="79"/>
    <x v="0"/>
    <n v="0"/>
    <n v="2.14"/>
    <n v="1"/>
    <x v="0"/>
  </r>
  <r>
    <n v="1558"/>
    <d v="2023-04-05T00:00:00"/>
    <x v="16"/>
    <s v="Male"/>
    <n v="168.2"/>
    <n v="61.7"/>
    <n v="16117"/>
    <n v="900"/>
    <n v="6.7"/>
    <n v="93"/>
    <x v="3"/>
    <n v="26"/>
    <n v="2.4700000000000002"/>
    <n v="9"/>
    <x v="0"/>
  </r>
  <r>
    <n v="1890"/>
    <d v="2023-04-06T00:00:00"/>
    <x v="11"/>
    <s v="Female"/>
    <n v="176.2"/>
    <n v="58.5"/>
    <n v="2722"/>
    <n v="278.7"/>
    <n v="5.8"/>
    <n v="85"/>
    <x v="1"/>
    <n v="29"/>
    <n v="2.65"/>
    <n v="5"/>
    <x v="0"/>
  </r>
  <r>
    <n v="1140"/>
    <d v="2023-04-07T00:00:00"/>
    <x v="1"/>
    <s v="Male"/>
    <n v="168"/>
    <n v="71.5"/>
    <n v="9611"/>
    <n v="565.4"/>
    <n v="7"/>
    <n v="74"/>
    <x v="4"/>
    <n v="58"/>
    <n v="2.4"/>
    <n v="3"/>
    <x v="1"/>
  </r>
  <r>
    <n v="1886"/>
    <d v="2023-04-08T00:00:00"/>
    <x v="20"/>
    <s v="Female"/>
    <n v="162.69999999999999"/>
    <n v="58.8"/>
    <n v="4864"/>
    <n v="431.8"/>
    <n v="7.2"/>
    <n v="71"/>
    <x v="2"/>
    <n v="77"/>
    <n v="2.0099999999999998"/>
    <n v="8"/>
    <x v="0"/>
  </r>
  <r>
    <n v="1917"/>
    <d v="2023-04-09T00:00:00"/>
    <x v="4"/>
    <s v="Female"/>
    <n v="173.4"/>
    <n v="57.7"/>
    <n v="2067"/>
    <n v="320.8"/>
    <n v="6.2"/>
    <n v="68"/>
    <x v="0"/>
    <n v="0"/>
    <n v="3.14"/>
    <n v="8"/>
    <x v="0"/>
  </r>
  <r>
    <n v="1117"/>
    <d v="2023-04-10T00:00:00"/>
    <x v="40"/>
    <s v="Male"/>
    <n v="195.1"/>
    <n v="57.9"/>
    <n v="7438"/>
    <n v="518.70000000000005"/>
    <n v="10"/>
    <n v="70"/>
    <x v="4"/>
    <n v="33"/>
    <n v="1.34"/>
    <n v="9"/>
    <x v="0"/>
  </r>
  <r>
    <n v="1276"/>
    <d v="2023-04-11T00:00:00"/>
    <x v="25"/>
    <s v="Female"/>
    <n v="166.8"/>
    <n v="73.8"/>
    <n v="18803"/>
    <n v="900"/>
    <n v="7.5"/>
    <n v="59"/>
    <x v="4"/>
    <n v="20"/>
    <n v="2.31"/>
    <n v="2"/>
    <x v="1"/>
  </r>
  <r>
    <n v="1725"/>
    <d v="2023-04-12T00:00:00"/>
    <x v="5"/>
    <s v="Male"/>
    <n v="171.4"/>
    <n v="87.9"/>
    <n v="8271"/>
    <n v="472.8"/>
    <n v="7.2"/>
    <n v="63"/>
    <x v="0"/>
    <n v="0"/>
    <n v="2.14"/>
    <n v="10"/>
    <x v="0"/>
  </r>
  <r>
    <n v="1219"/>
    <d v="2023-04-13T00:00:00"/>
    <x v="22"/>
    <s v="Male"/>
    <n v="178.5"/>
    <n v="75.2"/>
    <n v="12325"/>
    <n v="659.1"/>
    <n v="6"/>
    <n v="82"/>
    <x v="5"/>
    <n v="68"/>
    <n v="3.21"/>
    <n v="4"/>
    <x v="0"/>
  </r>
  <r>
    <n v="1904"/>
    <d v="2023-04-14T00:00:00"/>
    <x v="38"/>
    <s v="Female"/>
    <n v="164.3"/>
    <n v="83.3"/>
    <n v="12828"/>
    <n v="637.29999999999995"/>
    <n v="7.2"/>
    <n v="90"/>
    <x v="3"/>
    <n v="35"/>
    <n v="2.1800000000000002"/>
    <n v="10"/>
    <x v="2"/>
  </r>
  <r>
    <n v="1025"/>
    <d v="2023-04-15T00:00:00"/>
    <x v="1"/>
    <s v="Female"/>
    <n v="182.7"/>
    <n v="69"/>
    <n v="15132"/>
    <n v="900"/>
    <n v="7.4"/>
    <n v="76"/>
    <x v="1"/>
    <n v="26"/>
    <n v="2.81"/>
    <n v="2"/>
    <x v="0"/>
  </r>
  <r>
    <n v="1520"/>
    <d v="2023-04-16T00:00:00"/>
    <x v="19"/>
    <s v="Male"/>
    <n v="154.19999999999999"/>
    <n v="72.099999999999994"/>
    <n v="18013"/>
    <n v="869.3"/>
    <n v="7"/>
    <n v="68"/>
    <x v="1"/>
    <n v="34"/>
    <n v="2.73"/>
    <n v="6"/>
    <x v="1"/>
  </r>
  <r>
    <n v="1782"/>
    <d v="2023-04-17T00:00:00"/>
    <x v="2"/>
    <s v="Female"/>
    <n v="165.9"/>
    <n v="94.8"/>
    <n v="14442"/>
    <n v="763"/>
    <n v="9.1"/>
    <n v="50"/>
    <x v="0"/>
    <n v="0"/>
    <n v="1.22"/>
    <n v="1"/>
    <x v="2"/>
  </r>
  <r>
    <n v="1009"/>
    <d v="2023-04-18T00:00:00"/>
    <x v="28"/>
    <s v="Female"/>
    <n v="166.9"/>
    <n v="82.4"/>
    <n v="2834"/>
    <n v="348"/>
    <n v="4.4000000000000004"/>
    <n v="92"/>
    <x v="0"/>
    <n v="0"/>
    <n v="2.4500000000000002"/>
    <n v="10"/>
    <x v="0"/>
  </r>
  <r>
    <n v="1983"/>
    <d v="2023-04-19T00:00:00"/>
    <x v="34"/>
    <s v="Male"/>
    <n v="171.5"/>
    <n v="84.1"/>
    <n v="16126"/>
    <n v="845.3"/>
    <n v="6.4"/>
    <n v="62"/>
    <x v="3"/>
    <n v="78"/>
    <n v="1.28"/>
    <n v="3"/>
    <x v="1"/>
  </r>
  <r>
    <n v="1377"/>
    <d v="2023-04-20T00:00:00"/>
    <x v="8"/>
    <s v="Male"/>
    <n v="150.30000000000001"/>
    <n v="66"/>
    <n v="3353"/>
    <n v="304.60000000000002"/>
    <n v="8.1"/>
    <n v="60"/>
    <x v="4"/>
    <n v="67"/>
    <n v="2.75"/>
    <n v="2"/>
    <x v="2"/>
  </r>
  <r>
    <n v="1632"/>
    <d v="2023-04-21T00:00:00"/>
    <x v="7"/>
    <s v="Female"/>
    <n v="183.5"/>
    <n v="69.900000000000006"/>
    <n v="14878"/>
    <n v="787.7"/>
    <n v="5.7"/>
    <n v="72"/>
    <x v="3"/>
    <n v="69"/>
    <n v="1.99"/>
    <n v="7"/>
    <x v="1"/>
  </r>
  <r>
    <n v="1636"/>
    <d v="2023-04-22T00:00:00"/>
    <x v="34"/>
    <s v="Male"/>
    <n v="174.1"/>
    <n v="76.099999999999994"/>
    <n v="12132"/>
    <n v="654.9"/>
    <n v="4.7"/>
    <n v="75"/>
    <x v="3"/>
    <n v="29"/>
    <n v="3.33"/>
    <n v="8"/>
    <x v="2"/>
  </r>
  <r>
    <n v="1681"/>
    <d v="2023-04-23T00:00:00"/>
    <x v="31"/>
    <s v="Male"/>
    <n v="181.2"/>
    <n v="60.9"/>
    <n v="9203"/>
    <n v="555.4"/>
    <n v="6.2"/>
    <n v="75"/>
    <x v="2"/>
    <n v="71"/>
    <n v="2.37"/>
    <n v="2"/>
    <x v="1"/>
  </r>
  <r>
    <n v="1583"/>
    <d v="2023-04-24T00:00:00"/>
    <x v="4"/>
    <s v="Male"/>
    <n v="186.1"/>
    <n v="45"/>
    <n v="11322"/>
    <n v="672.4"/>
    <n v="8.6"/>
    <n v="66"/>
    <x v="2"/>
    <n v="87"/>
    <n v="1.96"/>
    <n v="9"/>
    <x v="2"/>
  </r>
  <r>
    <n v="1151"/>
    <d v="2023-04-25T00:00:00"/>
    <x v="2"/>
    <s v="Male"/>
    <n v="162.6"/>
    <n v="75.900000000000006"/>
    <n v="12295"/>
    <n v="640"/>
    <n v="5.7"/>
    <n v="79"/>
    <x v="4"/>
    <n v="49"/>
    <n v="3.34"/>
    <n v="1"/>
    <x v="0"/>
  </r>
  <r>
    <n v="1719"/>
    <d v="2023-04-26T00:00:00"/>
    <x v="31"/>
    <s v="Male"/>
    <n v="150"/>
    <n v="84.4"/>
    <n v="4157"/>
    <n v="420.3"/>
    <n v="6.5"/>
    <n v="70"/>
    <x v="5"/>
    <n v="53"/>
    <n v="1.89"/>
    <n v="2"/>
    <x v="0"/>
  </r>
  <r>
    <n v="1048"/>
    <d v="2023-04-27T00:00:00"/>
    <x v="12"/>
    <s v="Male"/>
    <n v="181.5"/>
    <n v="70.8"/>
    <n v="10626"/>
    <n v="628.70000000000005"/>
    <n v="7.6"/>
    <n v="70"/>
    <x v="1"/>
    <n v="84"/>
    <n v="3.13"/>
    <n v="3"/>
    <x v="0"/>
  </r>
  <r>
    <n v="1153"/>
    <d v="2023-04-28T00:00:00"/>
    <x v="3"/>
    <s v="Male"/>
    <n v="167.1"/>
    <n v="61.1"/>
    <n v="18340"/>
    <n v="900"/>
    <n v="6.1"/>
    <n v="72"/>
    <x v="2"/>
    <n v="79"/>
    <n v="2.83"/>
    <n v="2"/>
    <x v="0"/>
  </r>
  <r>
    <n v="1858"/>
    <d v="2023-04-29T00:00:00"/>
    <x v="16"/>
    <s v="Female"/>
    <n v="158.69999999999999"/>
    <n v="65"/>
    <n v="12826"/>
    <n v="697.3"/>
    <n v="6.3"/>
    <n v="68"/>
    <x v="4"/>
    <n v="27"/>
    <n v="2.2400000000000002"/>
    <n v="1"/>
    <x v="2"/>
  </r>
  <r>
    <n v="1292"/>
    <d v="2023-04-30T00:00:00"/>
    <x v="30"/>
    <s v="Male"/>
    <n v="175.8"/>
    <n v="45"/>
    <n v="13095"/>
    <n v="782.2"/>
    <n v="6"/>
    <n v="62"/>
    <x v="0"/>
    <n v="0"/>
    <n v="1.56"/>
    <n v="8"/>
    <x v="2"/>
  </r>
  <r>
    <n v="1579"/>
    <d v="2023-05-01T00:00:00"/>
    <x v="26"/>
    <s v="Female"/>
    <n v="194.6"/>
    <n v="65"/>
    <n v="14567"/>
    <n v="823.6"/>
    <n v="6.1"/>
    <n v="63"/>
    <x v="3"/>
    <n v="88"/>
    <n v="3.37"/>
    <n v="1"/>
    <x v="2"/>
  </r>
  <r>
    <n v="1049"/>
    <d v="2023-05-02T00:00:00"/>
    <x v="29"/>
    <s v="Female"/>
    <n v="168.9"/>
    <n v="53.3"/>
    <n v="8884"/>
    <n v="567.4"/>
    <n v="5.3"/>
    <n v="64"/>
    <x v="2"/>
    <n v="76"/>
    <n v="2.85"/>
    <n v="5"/>
    <x v="2"/>
  </r>
  <r>
    <n v="1663"/>
    <d v="2023-05-03T00:00:00"/>
    <x v="25"/>
    <s v="Female"/>
    <n v="179.5"/>
    <n v="59.5"/>
    <n v="2955"/>
    <n v="288.2"/>
    <n v="6.6"/>
    <n v="80"/>
    <x v="3"/>
    <n v="64"/>
    <n v="1.96"/>
    <n v="6"/>
    <x v="2"/>
  </r>
  <r>
    <n v="1530"/>
    <d v="2023-05-04T00:00:00"/>
    <x v="32"/>
    <s v="Male"/>
    <n v="160.1"/>
    <n v="52.5"/>
    <n v="11204"/>
    <n v="676.6"/>
    <n v="8.6"/>
    <n v="79"/>
    <x v="3"/>
    <n v="68"/>
    <n v="2.67"/>
    <n v="7"/>
    <x v="2"/>
  </r>
  <r>
    <n v="1611"/>
    <d v="2023-05-05T00:00:00"/>
    <x v="23"/>
    <s v="Male"/>
    <n v="153.1"/>
    <n v="50.8"/>
    <n v="5991"/>
    <n v="440.3"/>
    <n v="9.4"/>
    <n v="72"/>
    <x v="2"/>
    <n v="81"/>
    <n v="3.2"/>
    <n v="3"/>
    <x v="0"/>
  </r>
  <r>
    <n v="1059"/>
    <d v="2023-05-06T00:00:00"/>
    <x v="14"/>
    <s v="Female"/>
    <n v="179.1"/>
    <n v="54.9"/>
    <n v="5065"/>
    <n v="489.9"/>
    <n v="8.9"/>
    <n v="73"/>
    <x v="4"/>
    <n v="58"/>
    <n v="2.58"/>
    <n v="7"/>
    <x v="2"/>
  </r>
  <r>
    <n v="1166"/>
    <d v="2023-05-07T00:00:00"/>
    <x v="6"/>
    <s v="Male"/>
    <n v="175.5"/>
    <n v="79.5"/>
    <n v="17067"/>
    <n v="880.8"/>
    <n v="7.2"/>
    <n v="87"/>
    <x v="0"/>
    <n v="0"/>
    <n v="2.67"/>
    <n v="8"/>
    <x v="1"/>
  </r>
  <r>
    <n v="1201"/>
    <d v="2023-05-08T00:00:00"/>
    <x v="13"/>
    <s v="Female"/>
    <n v="165.3"/>
    <n v="62.4"/>
    <n v="14763"/>
    <n v="874.7"/>
    <n v="9.5"/>
    <n v="80"/>
    <x v="1"/>
    <n v="72"/>
    <n v="3.22"/>
    <n v="10"/>
    <x v="1"/>
  </r>
  <r>
    <n v="1856"/>
    <d v="2023-05-09T00:00:00"/>
    <x v="25"/>
    <s v="Male"/>
    <n v="187.1"/>
    <n v="53.4"/>
    <n v="13095"/>
    <n v="733.5"/>
    <n v="10"/>
    <n v="91"/>
    <x v="4"/>
    <n v="64"/>
    <n v="3.58"/>
    <n v="3"/>
    <x v="1"/>
  </r>
  <r>
    <n v="1145"/>
    <d v="2023-05-10T00:00:00"/>
    <x v="5"/>
    <s v="Male"/>
    <n v="152.4"/>
    <n v="81.3"/>
    <n v="18408"/>
    <n v="884.5"/>
    <n v="7.3"/>
    <n v="69"/>
    <x v="5"/>
    <n v="47"/>
    <n v="2.42"/>
    <n v="5"/>
    <x v="2"/>
  </r>
  <r>
    <n v="1914"/>
    <d v="2023-05-11T00:00:00"/>
    <x v="34"/>
    <s v="Female"/>
    <n v="157.69999999999999"/>
    <n v="71.900000000000006"/>
    <n v="3329"/>
    <n v="498"/>
    <n v="5.5"/>
    <n v="63"/>
    <x v="5"/>
    <n v="72"/>
    <n v="1.56"/>
    <n v="1"/>
    <x v="0"/>
  </r>
  <r>
    <n v="1675"/>
    <d v="2023-05-12T00:00:00"/>
    <x v="9"/>
    <s v="Female"/>
    <n v="164.6"/>
    <n v="45"/>
    <n v="16873"/>
    <n v="802.6"/>
    <n v="9"/>
    <n v="85"/>
    <x v="1"/>
    <n v="28"/>
    <n v="1.59"/>
    <n v="9"/>
    <x v="1"/>
  </r>
  <r>
    <n v="1969"/>
    <d v="2023-05-13T00:00:00"/>
    <x v="18"/>
    <s v="Female"/>
    <n v="166.4"/>
    <n v="84.9"/>
    <n v="4026"/>
    <n v="262.2"/>
    <n v="5.2"/>
    <n v="75"/>
    <x v="0"/>
    <n v="0"/>
    <n v="2.02"/>
    <n v="8"/>
    <x v="2"/>
  </r>
  <r>
    <n v="1992"/>
    <d v="2023-05-14T00:00:00"/>
    <x v="35"/>
    <s v="Male"/>
    <n v="184.7"/>
    <n v="71.099999999999994"/>
    <n v="2011"/>
    <n v="176.7"/>
    <n v="5.7"/>
    <n v="67"/>
    <x v="5"/>
    <n v="46"/>
    <n v="1.85"/>
    <n v="3"/>
    <x v="2"/>
  </r>
  <r>
    <n v="1438"/>
    <d v="2023-05-15T00:00:00"/>
    <x v="5"/>
    <s v="Female"/>
    <n v="170.5"/>
    <n v="81.599999999999994"/>
    <n v="6624"/>
    <n v="601.9"/>
    <n v="3.9"/>
    <n v="80"/>
    <x v="3"/>
    <n v="41"/>
    <n v="1.32"/>
    <n v="4"/>
    <x v="0"/>
  </r>
  <r>
    <n v="1241"/>
    <d v="2023-05-16T00:00:00"/>
    <x v="16"/>
    <s v="Male"/>
    <n v="168.1"/>
    <n v="66.599999999999994"/>
    <n v="19084"/>
    <n v="900"/>
    <n v="8.1"/>
    <n v="68"/>
    <x v="5"/>
    <n v="49"/>
    <n v="3.79"/>
    <n v="1"/>
    <x v="2"/>
  </r>
  <r>
    <n v="1580"/>
    <d v="2023-05-17T00:00:00"/>
    <x v="35"/>
    <s v="Male"/>
    <n v="157.30000000000001"/>
    <n v="94.1"/>
    <n v="16229"/>
    <n v="856.4"/>
    <n v="3.5"/>
    <n v="82"/>
    <x v="2"/>
    <n v="34"/>
    <n v="2.87"/>
    <n v="1"/>
    <x v="2"/>
  </r>
  <r>
    <n v="1686"/>
    <d v="2023-05-18T00:00:00"/>
    <x v="7"/>
    <s v="Male"/>
    <n v="180.9"/>
    <n v="64.3"/>
    <n v="14244"/>
    <n v="791.5"/>
    <n v="8.5"/>
    <n v="80"/>
    <x v="3"/>
    <n v="34"/>
    <n v="2.13"/>
    <n v="6"/>
    <x v="1"/>
  </r>
  <r>
    <n v="1560"/>
    <d v="2023-05-19T00:00:00"/>
    <x v="21"/>
    <s v="Female"/>
    <n v="158.6"/>
    <n v="45"/>
    <n v="17602"/>
    <n v="900"/>
    <n v="9.6999999999999993"/>
    <n v="73"/>
    <x v="4"/>
    <n v="72"/>
    <n v="2.48"/>
    <n v="6"/>
    <x v="1"/>
  </r>
  <r>
    <n v="1482"/>
    <d v="2023-05-20T00:00:00"/>
    <x v="12"/>
    <s v="Female"/>
    <n v="157.30000000000001"/>
    <n v="56.7"/>
    <n v="12780"/>
    <n v="622.70000000000005"/>
    <n v="9.6"/>
    <n v="58"/>
    <x v="0"/>
    <n v="0"/>
    <n v="1.25"/>
    <n v="9"/>
    <x v="1"/>
  </r>
  <r>
    <n v="1107"/>
    <d v="2023-05-21T00:00:00"/>
    <x v="4"/>
    <s v="Female"/>
    <n v="166"/>
    <n v="77.5"/>
    <n v="6585"/>
    <n v="536.29999999999995"/>
    <n v="5.0999999999999996"/>
    <n v="66"/>
    <x v="1"/>
    <n v="89"/>
    <n v="3.31"/>
    <n v="5"/>
    <x v="1"/>
  </r>
  <r>
    <n v="1225"/>
    <d v="2023-05-22T00:00:00"/>
    <x v="27"/>
    <s v="Male"/>
    <n v="171.6"/>
    <n v="72.400000000000006"/>
    <n v="17362"/>
    <n v="900"/>
    <n v="4.2"/>
    <n v="90"/>
    <x v="2"/>
    <n v="35"/>
    <n v="1.1399999999999999"/>
    <n v="3"/>
    <x v="1"/>
  </r>
  <r>
    <n v="1672"/>
    <d v="2023-05-23T00:00:00"/>
    <x v="30"/>
    <s v="Male"/>
    <n v="162.80000000000001"/>
    <n v="68.2"/>
    <n v="15105"/>
    <n v="742.6"/>
    <n v="6"/>
    <n v="92"/>
    <x v="2"/>
    <n v="84"/>
    <n v="2.86"/>
    <n v="6"/>
    <x v="2"/>
  </r>
  <r>
    <n v="1630"/>
    <d v="2023-05-24T00:00:00"/>
    <x v="38"/>
    <s v="Female"/>
    <n v="177.1"/>
    <n v="55.2"/>
    <n v="18195"/>
    <n v="900"/>
    <n v="8.3000000000000007"/>
    <n v="101"/>
    <x v="1"/>
    <n v="64"/>
    <n v="1.21"/>
    <n v="8"/>
    <x v="2"/>
  </r>
  <r>
    <n v="1660"/>
    <d v="2023-05-25T00:00:00"/>
    <x v="41"/>
    <s v="Male"/>
    <n v="167.2"/>
    <n v="70.3"/>
    <n v="15837"/>
    <n v="829.8"/>
    <n v="8.8000000000000007"/>
    <n v="79"/>
    <x v="5"/>
    <n v="26"/>
    <n v="2.21"/>
    <n v="7"/>
    <x v="0"/>
  </r>
  <r>
    <n v="1976"/>
    <d v="2023-05-26T00:00:00"/>
    <x v="10"/>
    <s v="Male"/>
    <n v="180.5"/>
    <n v="69.8"/>
    <n v="15393"/>
    <n v="805.2"/>
    <n v="8"/>
    <n v="64"/>
    <x v="1"/>
    <n v="64"/>
    <n v="3.37"/>
    <n v="10"/>
    <x v="1"/>
  </r>
  <r>
    <n v="1661"/>
    <d v="2023-05-27T00:00:00"/>
    <x v="33"/>
    <s v="Female"/>
    <n v="175.1"/>
    <n v="69.599999999999994"/>
    <n v="6456"/>
    <n v="424.3"/>
    <n v="7.8"/>
    <n v="88"/>
    <x v="1"/>
    <n v="58"/>
    <n v="1.36"/>
    <n v="3"/>
    <x v="1"/>
  </r>
  <r>
    <n v="1431"/>
    <d v="2023-05-28T00:00:00"/>
    <x v="18"/>
    <s v="Female"/>
    <n v="187.9"/>
    <n v="78.099999999999994"/>
    <n v="5521"/>
    <n v="415.2"/>
    <n v="10"/>
    <n v="72"/>
    <x v="5"/>
    <n v="69"/>
    <n v="2.4"/>
    <n v="1"/>
    <x v="1"/>
  </r>
  <r>
    <n v="1804"/>
    <d v="2023-05-29T00:00:00"/>
    <x v="23"/>
    <s v="Female"/>
    <n v="165.6"/>
    <n v="72.7"/>
    <n v="10775"/>
    <n v="604.70000000000005"/>
    <n v="6.3"/>
    <n v="68"/>
    <x v="4"/>
    <n v="68"/>
    <n v="2.94"/>
    <n v="4"/>
    <x v="1"/>
  </r>
  <r>
    <n v="1654"/>
    <d v="2023-05-30T00:00:00"/>
    <x v="25"/>
    <s v="Male"/>
    <n v="178.4"/>
    <n v="66.2"/>
    <n v="15099"/>
    <n v="857.2"/>
    <n v="5.8"/>
    <n v="78"/>
    <x v="0"/>
    <n v="0"/>
    <n v="2.82"/>
    <n v="6"/>
    <x v="1"/>
  </r>
  <r>
    <n v="1418"/>
    <d v="2023-05-31T00:00:00"/>
    <x v="0"/>
    <s v="Male"/>
    <n v="152.1"/>
    <n v="55"/>
    <n v="5037"/>
    <n v="400.1"/>
    <n v="5.2"/>
    <n v="94"/>
    <x v="1"/>
    <n v="68"/>
    <n v="2.5499999999999998"/>
    <n v="4"/>
    <x v="2"/>
  </r>
  <r>
    <n v="1987"/>
    <d v="2023-06-01T00:00:00"/>
    <x v="5"/>
    <s v="Male"/>
    <n v="198.9"/>
    <n v="90.4"/>
    <n v="10074"/>
    <n v="568.29999999999995"/>
    <n v="7.6"/>
    <n v="74"/>
    <x v="5"/>
    <n v="59"/>
    <n v="2.85"/>
    <n v="5"/>
    <x v="2"/>
  </r>
  <r>
    <n v="1454"/>
    <d v="2023-06-02T00:00:00"/>
    <x v="27"/>
    <s v="Male"/>
    <n v="177.9"/>
    <n v="99.7"/>
    <n v="14986"/>
    <n v="798.2"/>
    <n v="6.7"/>
    <n v="75"/>
    <x v="2"/>
    <n v="58"/>
    <n v="2.0699999999999998"/>
    <n v="10"/>
    <x v="1"/>
  </r>
  <r>
    <n v="1159"/>
    <d v="2023-06-03T00:00:00"/>
    <x v="39"/>
    <s v="Male"/>
    <n v="167"/>
    <n v="96.2"/>
    <n v="17815"/>
    <n v="900"/>
    <n v="8.1999999999999993"/>
    <n v="60"/>
    <x v="1"/>
    <n v="76"/>
    <n v="3.85"/>
    <n v="7"/>
    <x v="2"/>
  </r>
  <r>
    <n v="1522"/>
    <d v="2023-06-04T00:00:00"/>
    <x v="25"/>
    <s v="Female"/>
    <n v="167.4"/>
    <n v="80.5"/>
    <n v="13226"/>
    <n v="719.9"/>
    <n v="6.3"/>
    <n v="76"/>
    <x v="0"/>
    <n v="0"/>
    <n v="1.37"/>
    <n v="5"/>
    <x v="1"/>
  </r>
  <r>
    <n v="1649"/>
    <d v="2023-06-05T00:00:00"/>
    <x v="9"/>
    <s v="Male"/>
    <n v="167.5"/>
    <n v="45"/>
    <n v="10139"/>
    <n v="639.4"/>
    <n v="7.9"/>
    <n v="82"/>
    <x v="1"/>
    <n v="75"/>
    <n v="3.31"/>
    <n v="5"/>
    <x v="0"/>
  </r>
  <r>
    <n v="1968"/>
    <d v="2023-06-06T00:00:00"/>
    <x v="23"/>
    <s v="Male"/>
    <n v="188.4"/>
    <n v="45"/>
    <n v="13099"/>
    <n v="710.1"/>
    <n v="6.4"/>
    <n v="74"/>
    <x v="4"/>
    <n v="21"/>
    <n v="2.63"/>
    <n v="2"/>
    <x v="1"/>
  </r>
  <r>
    <n v="1589"/>
    <d v="2023-06-07T00:00:00"/>
    <x v="40"/>
    <s v="Male"/>
    <n v="179"/>
    <n v="61.8"/>
    <n v="10859"/>
    <n v="605.79999999999995"/>
    <n v="6.8"/>
    <n v="75"/>
    <x v="4"/>
    <n v="45"/>
    <n v="2.93"/>
    <n v="1"/>
    <x v="0"/>
  </r>
  <r>
    <n v="1076"/>
    <d v="2023-06-08T00:00:00"/>
    <x v="31"/>
    <s v="Female"/>
    <n v="165.6"/>
    <n v="69.2"/>
    <n v="12174"/>
    <n v="619"/>
    <n v="6.9"/>
    <n v="77"/>
    <x v="2"/>
    <n v="42"/>
    <n v="3.06"/>
    <n v="4"/>
    <x v="0"/>
  </r>
  <r>
    <n v="1508"/>
    <d v="2023-06-09T00:00:00"/>
    <x v="2"/>
    <s v="Female"/>
    <n v="157.6"/>
    <n v="68.599999999999994"/>
    <n v="3539"/>
    <n v="341.1"/>
    <n v="4.4000000000000004"/>
    <n v="65"/>
    <x v="4"/>
    <n v="37"/>
    <n v="2.89"/>
    <n v="10"/>
    <x v="1"/>
  </r>
  <r>
    <n v="1440"/>
    <d v="2023-06-10T00:00:00"/>
    <x v="22"/>
    <s v="Female"/>
    <n v="182"/>
    <n v="72.900000000000006"/>
    <n v="11305"/>
    <n v="714.5"/>
    <n v="6.8"/>
    <n v="52"/>
    <x v="0"/>
    <n v="0"/>
    <n v="1.93"/>
    <n v="8"/>
    <x v="1"/>
  </r>
  <r>
    <n v="1253"/>
    <d v="2023-06-11T00:00:00"/>
    <x v="10"/>
    <s v="Male"/>
    <n v="178.4"/>
    <n v="49.1"/>
    <n v="14199"/>
    <n v="761.8"/>
    <n v="7.8"/>
    <n v="74"/>
    <x v="2"/>
    <n v="79"/>
    <n v="2.2999999999999998"/>
    <n v="3"/>
    <x v="1"/>
  </r>
  <r>
    <n v="1920"/>
    <d v="2023-06-12T00:00:00"/>
    <x v="17"/>
    <s v="Female"/>
    <n v="177.1"/>
    <n v="94.1"/>
    <n v="1390"/>
    <n v="230.5"/>
    <n v="5.5"/>
    <n v="73"/>
    <x v="1"/>
    <n v="21"/>
    <n v="1.48"/>
    <n v="6"/>
    <x v="1"/>
  </r>
  <r>
    <n v="1769"/>
    <d v="2023-06-13T00:00:00"/>
    <x v="31"/>
    <s v="Female"/>
    <n v="169.2"/>
    <n v="92.6"/>
    <n v="1082"/>
    <n v="205.4"/>
    <n v="9.9"/>
    <n v="81"/>
    <x v="5"/>
    <n v="68"/>
    <n v="2.29"/>
    <n v="10"/>
    <x v="2"/>
  </r>
  <r>
    <n v="1319"/>
    <d v="2023-06-14T00:00:00"/>
    <x v="27"/>
    <s v="Female"/>
    <n v="167"/>
    <n v="50.3"/>
    <n v="18386"/>
    <n v="849.2"/>
    <n v="7"/>
    <n v="99"/>
    <x v="4"/>
    <n v="57"/>
    <n v="2.73"/>
    <n v="2"/>
    <x v="2"/>
  </r>
  <r>
    <n v="1802"/>
    <d v="2023-06-15T00:00:00"/>
    <x v="28"/>
    <s v="Male"/>
    <n v="186.9"/>
    <n v="45"/>
    <n v="9968"/>
    <n v="657.5"/>
    <n v="6.1"/>
    <n v="88"/>
    <x v="2"/>
    <n v="50"/>
    <n v="2.92"/>
    <n v="9"/>
    <x v="0"/>
  </r>
  <r>
    <n v="1262"/>
    <d v="2023-06-16T00:00:00"/>
    <x v="41"/>
    <s v="Female"/>
    <n v="187.8"/>
    <n v="68.7"/>
    <n v="13281"/>
    <n v="755.5"/>
    <n v="6"/>
    <n v="54"/>
    <x v="4"/>
    <n v="59"/>
    <n v="2.77"/>
    <n v="9"/>
    <x v="1"/>
  </r>
  <r>
    <n v="1596"/>
    <d v="2023-06-17T00:00:00"/>
    <x v="6"/>
    <s v="Male"/>
    <n v="176.4"/>
    <n v="88.9"/>
    <n v="16120"/>
    <n v="883.3"/>
    <n v="9.1"/>
    <n v="100"/>
    <x v="4"/>
    <n v="72"/>
    <n v="1.27"/>
    <n v="4"/>
    <x v="2"/>
  </r>
  <r>
    <n v="1657"/>
    <d v="2023-06-18T00:00:00"/>
    <x v="18"/>
    <s v="Male"/>
    <n v="179.7"/>
    <n v="69.5"/>
    <n v="10946"/>
    <n v="650.4"/>
    <n v="5.8"/>
    <n v="82"/>
    <x v="3"/>
    <n v="83"/>
    <n v="2.11"/>
    <n v="8"/>
    <x v="2"/>
  </r>
  <r>
    <n v="1834"/>
    <d v="2023-06-19T00:00:00"/>
    <x v="7"/>
    <s v="Female"/>
    <n v="172.4"/>
    <n v="73.900000000000006"/>
    <n v="11891"/>
    <n v="635.4"/>
    <n v="7.4"/>
    <n v="72"/>
    <x v="1"/>
    <n v="52"/>
    <n v="2.04"/>
    <n v="2"/>
    <x v="2"/>
  </r>
  <r>
    <n v="1553"/>
    <d v="2023-06-20T00:00:00"/>
    <x v="6"/>
    <s v="Male"/>
    <n v="156.30000000000001"/>
    <n v="63.4"/>
    <n v="7007"/>
    <n v="464.4"/>
    <n v="8.3000000000000007"/>
    <n v="90"/>
    <x v="4"/>
    <n v="77"/>
    <n v="1.58"/>
    <n v="10"/>
    <x v="0"/>
  </r>
  <r>
    <n v="1373"/>
    <d v="2023-06-21T00:00:00"/>
    <x v="12"/>
    <s v="Female"/>
    <n v="160.19999999999999"/>
    <n v="72.2"/>
    <n v="1522"/>
    <n v="235.9"/>
    <n v="7.8"/>
    <n v="50"/>
    <x v="5"/>
    <n v="69"/>
    <n v="1.91"/>
    <n v="2"/>
    <x v="2"/>
  </r>
  <r>
    <n v="1636"/>
    <d v="2023-06-22T00:00:00"/>
    <x v="4"/>
    <s v="Male"/>
    <n v="181.5"/>
    <n v="84.2"/>
    <n v="2694"/>
    <n v="286.89999999999998"/>
    <n v="6.2"/>
    <n v="70"/>
    <x v="0"/>
    <n v="0"/>
    <n v="2.5"/>
    <n v="6"/>
    <x v="1"/>
  </r>
  <r>
    <n v="1166"/>
    <d v="2023-06-23T00:00:00"/>
    <x v="18"/>
    <s v="Female"/>
    <n v="182.7"/>
    <n v="76.2"/>
    <n v="19636"/>
    <n v="900"/>
    <n v="8.3000000000000007"/>
    <n v="77"/>
    <x v="3"/>
    <n v="22"/>
    <n v="3.49"/>
    <n v="2"/>
    <x v="2"/>
  </r>
  <r>
    <n v="1936"/>
    <d v="2023-06-24T00:00:00"/>
    <x v="41"/>
    <s v="Female"/>
    <n v="180.5"/>
    <n v="78.599999999999994"/>
    <n v="5837"/>
    <n v="488.7"/>
    <n v="7.2"/>
    <n v="76"/>
    <x v="2"/>
    <n v="80"/>
    <n v="1.83"/>
    <n v="1"/>
    <x v="1"/>
  </r>
  <r>
    <n v="1752"/>
    <d v="2023-06-25T00:00:00"/>
    <x v="38"/>
    <s v="Female"/>
    <n v="173.5"/>
    <n v="45.1"/>
    <n v="12801"/>
    <n v="813.1"/>
    <n v="4.4000000000000004"/>
    <n v="90"/>
    <x v="2"/>
    <n v="29"/>
    <n v="1.71"/>
    <n v="10"/>
    <x v="2"/>
  </r>
  <r>
    <n v="1458"/>
    <d v="2023-06-26T00:00:00"/>
    <x v="12"/>
    <s v="Male"/>
    <n v="180.9"/>
    <n v="102.1"/>
    <n v="9469"/>
    <n v="535.1"/>
    <n v="8.8000000000000007"/>
    <n v="87"/>
    <x v="5"/>
    <n v="85"/>
    <n v="2.08"/>
    <n v="2"/>
    <x v="1"/>
  </r>
  <r>
    <n v="1998"/>
    <d v="2023-06-27T00:00:00"/>
    <x v="34"/>
    <s v="Female"/>
    <n v="169.4"/>
    <n v="45.2"/>
    <n v="17531"/>
    <n v="892.8"/>
    <n v="6.1"/>
    <n v="82"/>
    <x v="5"/>
    <n v="70"/>
    <n v="2.74"/>
    <n v="2"/>
    <x v="0"/>
  </r>
  <r>
    <n v="1279"/>
    <d v="2023-06-28T00:00:00"/>
    <x v="21"/>
    <s v="Male"/>
    <n v="176.2"/>
    <n v="72.3"/>
    <n v="9148"/>
    <n v="576.79999999999995"/>
    <n v="6.7"/>
    <n v="72"/>
    <x v="0"/>
    <n v="0"/>
    <n v="3.36"/>
    <n v="5"/>
    <x v="2"/>
  </r>
  <r>
    <n v="1699"/>
    <d v="2023-06-29T00:00:00"/>
    <x v="19"/>
    <s v="Female"/>
    <n v="168"/>
    <n v="67.7"/>
    <n v="14065"/>
    <n v="713.6"/>
    <n v="7.5"/>
    <n v="85"/>
    <x v="1"/>
    <n v="44"/>
    <n v="2.44"/>
    <n v="6"/>
    <x v="2"/>
  </r>
  <r>
    <n v="1301"/>
    <d v="2023-06-30T00:00:00"/>
    <x v="6"/>
    <s v="Male"/>
    <n v="159.4"/>
    <n v="68.400000000000006"/>
    <n v="13706"/>
    <n v="750.9"/>
    <n v="6.2"/>
    <n v="69"/>
    <x v="5"/>
    <n v="62"/>
    <n v="1.49"/>
    <n v="3"/>
    <x v="0"/>
  </r>
  <r>
    <n v="1530"/>
    <d v="2023-07-01T00:00:00"/>
    <x v="19"/>
    <s v="Male"/>
    <n v="178.6"/>
    <n v="83"/>
    <n v="4620"/>
    <n v="402.4"/>
    <n v="8.1"/>
    <n v="83"/>
    <x v="2"/>
    <n v="83"/>
    <n v="1.64"/>
    <n v="8"/>
    <x v="0"/>
  </r>
  <r>
    <n v="1579"/>
    <d v="2023-07-02T00:00:00"/>
    <x v="15"/>
    <s v="Female"/>
    <n v="182.8"/>
    <n v="59.4"/>
    <n v="11631"/>
    <n v="661.3"/>
    <n v="5.3"/>
    <n v="68"/>
    <x v="1"/>
    <n v="78"/>
    <n v="2.63"/>
    <n v="2"/>
    <x v="0"/>
  </r>
  <r>
    <n v="1217"/>
    <d v="2023-07-03T00:00:00"/>
    <x v="41"/>
    <s v="Female"/>
    <n v="194.7"/>
    <n v="63.5"/>
    <n v="10131"/>
    <n v="636.6"/>
    <n v="6.1"/>
    <n v="78"/>
    <x v="5"/>
    <n v="81"/>
    <n v="3.2"/>
    <n v="10"/>
    <x v="1"/>
  </r>
  <r>
    <n v="1101"/>
    <d v="2023-07-04T00:00:00"/>
    <x v="22"/>
    <s v="Female"/>
    <n v="172.6"/>
    <n v="52.8"/>
    <n v="15307"/>
    <n v="812.3"/>
    <n v="8.8000000000000007"/>
    <n v="60"/>
    <x v="5"/>
    <n v="29"/>
    <n v="3.77"/>
    <n v="3"/>
    <x v="1"/>
  </r>
  <r>
    <n v="1553"/>
    <d v="2023-07-05T00:00:00"/>
    <x v="22"/>
    <s v="Female"/>
    <n v="159.5"/>
    <n v="86.8"/>
    <n v="4709"/>
    <n v="245.1"/>
    <n v="7"/>
    <n v="85"/>
    <x v="2"/>
    <n v="83"/>
    <n v="1.67"/>
    <n v="4"/>
    <x v="2"/>
  </r>
  <r>
    <n v="1287"/>
    <d v="2023-07-06T00:00:00"/>
    <x v="34"/>
    <s v="Female"/>
    <n v="166.7"/>
    <n v="74"/>
    <n v="16986"/>
    <n v="831.4"/>
    <n v="5.4"/>
    <n v="71"/>
    <x v="1"/>
    <n v="79"/>
    <n v="2.6"/>
    <n v="5"/>
    <x v="1"/>
  </r>
  <r>
    <n v="1166"/>
    <d v="2023-07-07T00:00:00"/>
    <x v="26"/>
    <s v="Male"/>
    <n v="168.6"/>
    <n v="79.599999999999994"/>
    <n v="14915"/>
    <n v="868.2"/>
    <n v="7.1"/>
    <n v="61"/>
    <x v="3"/>
    <n v="39"/>
    <n v="1.78"/>
    <n v="5"/>
    <x v="2"/>
  </r>
  <r>
    <n v="1620"/>
    <d v="2023-07-08T00:00:00"/>
    <x v="32"/>
    <s v="Female"/>
    <n v="171.5"/>
    <n v="82.2"/>
    <n v="6094"/>
    <n v="469.8"/>
    <n v="7.6"/>
    <n v="65"/>
    <x v="3"/>
    <n v="68"/>
    <n v="1.87"/>
    <n v="6"/>
    <x v="0"/>
  </r>
  <r>
    <n v="1035"/>
    <d v="2023-07-09T00:00:00"/>
    <x v="3"/>
    <s v="Female"/>
    <n v="174.7"/>
    <n v="99.9"/>
    <n v="10415"/>
    <n v="474"/>
    <n v="4.5999999999999996"/>
    <n v="72"/>
    <x v="0"/>
    <n v="0"/>
    <n v="1.81"/>
    <n v="4"/>
    <x v="2"/>
  </r>
  <r>
    <n v="1743"/>
    <d v="2023-07-10T00:00:00"/>
    <x v="5"/>
    <s v="Male"/>
    <n v="173.6"/>
    <n v="97.3"/>
    <n v="17078"/>
    <n v="807.6"/>
    <n v="9.5"/>
    <n v="66"/>
    <x v="1"/>
    <n v="70"/>
    <n v="2.27"/>
    <n v="10"/>
    <x v="0"/>
  </r>
  <r>
    <n v="1740"/>
    <d v="2023-07-11T00:00:00"/>
    <x v="4"/>
    <s v="Female"/>
    <n v="177.8"/>
    <n v="74.8"/>
    <n v="16476"/>
    <n v="895.1"/>
    <n v="9.6999999999999993"/>
    <n v="82"/>
    <x v="5"/>
    <n v="76"/>
    <n v="1.88"/>
    <n v="7"/>
    <x v="0"/>
  </r>
  <r>
    <n v="1352"/>
    <d v="2023-07-12T00:00:00"/>
    <x v="6"/>
    <s v="Female"/>
    <n v="172"/>
    <n v="72.400000000000006"/>
    <n v="14530"/>
    <n v="752.4"/>
    <n v="7.2"/>
    <n v="72"/>
    <x v="5"/>
    <n v="56"/>
    <n v="4.24"/>
    <n v="8"/>
    <x v="2"/>
  </r>
  <r>
    <n v="1675"/>
    <d v="2023-07-13T00:00:00"/>
    <x v="35"/>
    <s v="Male"/>
    <n v="150"/>
    <n v="62"/>
    <n v="8472"/>
    <n v="403.8"/>
    <n v="6.7"/>
    <n v="84"/>
    <x v="1"/>
    <n v="22"/>
    <n v="2.1800000000000002"/>
    <n v="4"/>
    <x v="1"/>
  </r>
  <r>
    <n v="1898"/>
    <d v="2023-07-14T00:00:00"/>
    <x v="30"/>
    <s v="Female"/>
    <n v="172.3"/>
    <n v="81.2"/>
    <n v="4363"/>
    <n v="427.5"/>
    <n v="7"/>
    <n v="72"/>
    <x v="3"/>
    <n v="48"/>
    <n v="3.19"/>
    <n v="9"/>
    <x v="1"/>
  </r>
  <r>
    <n v="1072"/>
    <d v="2023-07-15T00:00:00"/>
    <x v="31"/>
    <s v="Female"/>
    <n v="170.9"/>
    <n v="80.599999999999994"/>
    <n v="19201"/>
    <n v="900"/>
    <n v="8.3000000000000007"/>
    <n v="82"/>
    <x v="0"/>
    <n v="0"/>
    <n v="2.04"/>
    <n v="6"/>
    <x v="2"/>
  </r>
  <r>
    <n v="1647"/>
    <d v="2023-07-16T00:00:00"/>
    <x v="12"/>
    <s v="Female"/>
    <n v="175.5"/>
    <n v="59.1"/>
    <n v="15140"/>
    <n v="764.1"/>
    <n v="7.7"/>
    <n v="75"/>
    <x v="4"/>
    <n v="66"/>
    <n v="4.0599999999999996"/>
    <n v="8"/>
    <x v="1"/>
  </r>
  <r>
    <n v="1352"/>
    <d v="2023-07-17T00:00:00"/>
    <x v="4"/>
    <s v="Male"/>
    <n v="166.4"/>
    <n v="80.8"/>
    <n v="18067"/>
    <n v="900"/>
    <n v="7.4"/>
    <n v="72"/>
    <x v="2"/>
    <n v="88"/>
    <n v="2.74"/>
    <n v="9"/>
    <x v="0"/>
  </r>
  <r>
    <n v="1890"/>
    <d v="2023-07-18T00:00:00"/>
    <x v="10"/>
    <s v="Female"/>
    <n v="172.2"/>
    <n v="85.1"/>
    <n v="15315"/>
    <n v="773"/>
    <n v="9.1"/>
    <n v="65"/>
    <x v="1"/>
    <n v="40"/>
    <n v="3.09"/>
    <n v="1"/>
    <x v="0"/>
  </r>
  <r>
    <n v="1069"/>
    <d v="2023-07-19T00:00:00"/>
    <x v="23"/>
    <s v="Male"/>
    <n v="175.6"/>
    <n v="53.2"/>
    <n v="15414"/>
    <n v="785.4"/>
    <n v="8.6999999999999993"/>
    <n v="76"/>
    <x v="0"/>
    <n v="0"/>
    <n v="2.09"/>
    <n v="5"/>
    <x v="1"/>
  </r>
  <r>
    <n v="1424"/>
    <d v="2023-07-20T00:00:00"/>
    <x v="31"/>
    <s v="Female"/>
    <n v="168.4"/>
    <n v="72.8"/>
    <n v="3017"/>
    <n v="296.39999999999998"/>
    <n v="5.6"/>
    <n v="82"/>
    <x v="4"/>
    <n v="40"/>
    <n v="3.18"/>
    <n v="7"/>
    <x v="1"/>
  </r>
  <r>
    <n v="1998"/>
    <d v="2023-07-21T00:00:00"/>
    <x v="36"/>
    <s v="Male"/>
    <n v="176.8"/>
    <n v="69"/>
    <n v="5223"/>
    <n v="314.10000000000002"/>
    <n v="8.3000000000000007"/>
    <n v="68"/>
    <x v="2"/>
    <n v="21"/>
    <n v="2.73"/>
    <n v="10"/>
    <x v="0"/>
  </r>
  <r>
    <n v="1707"/>
    <d v="2023-07-22T00:00:00"/>
    <x v="35"/>
    <s v="Female"/>
    <n v="170.7"/>
    <n v="69.900000000000006"/>
    <n v="3184"/>
    <n v="348"/>
    <n v="8.6999999999999993"/>
    <n v="75"/>
    <x v="4"/>
    <n v="88"/>
    <n v="2.23"/>
    <n v="2"/>
    <x v="2"/>
  </r>
  <r>
    <n v="1780"/>
    <d v="2023-07-23T00:00:00"/>
    <x v="10"/>
    <s v="Male"/>
    <n v="171.6"/>
    <n v="55.7"/>
    <n v="18741"/>
    <n v="900"/>
    <n v="7.4"/>
    <n v="69"/>
    <x v="4"/>
    <n v="26"/>
    <n v="1.74"/>
    <n v="7"/>
    <x v="1"/>
  </r>
  <r>
    <n v="1560"/>
    <d v="2023-07-24T00:00:00"/>
    <x v="37"/>
    <s v="Male"/>
    <n v="150"/>
    <n v="45"/>
    <n v="7531"/>
    <n v="478.3"/>
    <n v="7.9"/>
    <n v="94"/>
    <x v="2"/>
    <n v="54"/>
    <n v="2.33"/>
    <n v="7"/>
    <x v="1"/>
  </r>
  <r>
    <n v="1827"/>
    <d v="2023-07-25T00:00:00"/>
    <x v="40"/>
    <s v="Male"/>
    <n v="158.6"/>
    <n v="58.7"/>
    <n v="5666"/>
    <n v="462"/>
    <n v="6.5"/>
    <n v="78"/>
    <x v="4"/>
    <n v="49"/>
    <n v="2.27"/>
    <n v="3"/>
    <x v="2"/>
  </r>
  <r>
    <n v="1641"/>
    <d v="2023-07-26T00:00:00"/>
    <x v="29"/>
    <s v="Male"/>
    <n v="158.6"/>
    <n v="56.6"/>
    <n v="12255"/>
    <n v="610.6"/>
    <n v="5.2"/>
    <n v="76"/>
    <x v="3"/>
    <n v="63"/>
    <n v="3.11"/>
    <n v="9"/>
    <x v="0"/>
  </r>
  <r>
    <n v="1955"/>
    <d v="2023-07-27T00:00:00"/>
    <x v="22"/>
    <s v="Male"/>
    <n v="172.2"/>
    <n v="75.3"/>
    <n v="3468"/>
    <n v="373"/>
    <n v="9.8000000000000007"/>
    <n v="70"/>
    <x v="0"/>
    <n v="0"/>
    <n v="2.34"/>
    <n v="7"/>
    <x v="2"/>
  </r>
  <r>
    <n v="1516"/>
    <d v="2023-07-28T00:00:00"/>
    <x v="39"/>
    <s v="Male"/>
    <n v="182.7"/>
    <n v="75.5"/>
    <n v="8291"/>
    <n v="547.9"/>
    <n v="5"/>
    <n v="84"/>
    <x v="1"/>
    <n v="74"/>
    <n v="1.1499999999999999"/>
    <n v="10"/>
    <x v="2"/>
  </r>
  <r>
    <n v="1427"/>
    <d v="2023-07-29T00:00:00"/>
    <x v="36"/>
    <s v="Female"/>
    <n v="168.8"/>
    <n v="74.7"/>
    <n v="8255"/>
    <n v="495.7"/>
    <n v="9.5"/>
    <n v="75"/>
    <x v="0"/>
    <n v="0"/>
    <n v="2.95"/>
    <n v="5"/>
    <x v="2"/>
  </r>
  <r>
    <n v="1538"/>
    <d v="2023-07-30T00:00:00"/>
    <x v="19"/>
    <s v="Female"/>
    <n v="178.5"/>
    <n v="49"/>
    <n v="4920"/>
    <n v="417.5"/>
    <n v="6.9"/>
    <n v="74"/>
    <x v="3"/>
    <n v="73"/>
    <n v="3.41"/>
    <n v="7"/>
    <x v="1"/>
  </r>
  <r>
    <n v="1159"/>
    <d v="2023-07-31T00:00:00"/>
    <x v="41"/>
    <s v="Male"/>
    <n v="176.5"/>
    <n v="53.2"/>
    <n v="5236"/>
    <n v="365.4"/>
    <n v="8.9"/>
    <n v="74"/>
    <x v="3"/>
    <n v="20"/>
    <n v="1.33"/>
    <n v="7"/>
    <x v="0"/>
  </r>
  <r>
    <n v="1148"/>
    <d v="2023-08-01T00:00:00"/>
    <x v="23"/>
    <s v="Male"/>
    <n v="171.4"/>
    <n v="60.7"/>
    <n v="2939"/>
    <n v="372.8"/>
    <n v="7"/>
    <n v="64"/>
    <x v="2"/>
    <n v="82"/>
    <n v="3.76"/>
    <n v="6"/>
    <x v="0"/>
  </r>
  <r>
    <n v="1775"/>
    <d v="2023-08-02T00:00:00"/>
    <x v="10"/>
    <s v="Male"/>
    <n v="175.7"/>
    <n v="70.3"/>
    <n v="4856"/>
    <n v="420.6"/>
    <n v="8.4"/>
    <n v="90"/>
    <x v="2"/>
    <n v="74"/>
    <n v="3.48"/>
    <n v="4"/>
    <x v="1"/>
  </r>
  <r>
    <n v="1229"/>
    <d v="2023-08-03T00:00:00"/>
    <x v="3"/>
    <s v="Male"/>
    <n v="172.5"/>
    <n v="65"/>
    <n v="1050"/>
    <n v="260.2"/>
    <n v="7.7"/>
    <n v="84"/>
    <x v="2"/>
    <n v="46"/>
    <n v="2.06"/>
    <n v="8"/>
    <x v="2"/>
  </r>
  <r>
    <n v="1711"/>
    <d v="2023-08-04T00:00:00"/>
    <x v="28"/>
    <s v="Female"/>
    <n v="168.6"/>
    <n v="74.7"/>
    <n v="16926"/>
    <n v="853.9"/>
    <n v="6"/>
    <n v="75"/>
    <x v="4"/>
    <n v="34"/>
    <n v="1.72"/>
    <n v="2"/>
    <x v="1"/>
  </r>
  <r>
    <n v="1561"/>
    <d v="2023-08-05T00:00:00"/>
    <x v="5"/>
    <s v="Male"/>
    <n v="173.9"/>
    <n v="84.6"/>
    <n v="2360"/>
    <n v="333.2"/>
    <n v="7.2"/>
    <n v="74"/>
    <x v="4"/>
    <n v="28"/>
    <n v="3.24"/>
    <n v="8"/>
    <x v="2"/>
  </r>
  <r>
    <n v="1066"/>
    <d v="2023-08-06T00:00:00"/>
    <x v="24"/>
    <s v="Female"/>
    <n v="184.5"/>
    <n v="55"/>
    <n v="7805"/>
    <n v="572.4"/>
    <n v="6.8"/>
    <n v="66"/>
    <x v="1"/>
    <n v="88"/>
    <n v="1.54"/>
    <n v="5"/>
    <x v="2"/>
  </r>
  <r>
    <n v="1811"/>
    <d v="2023-08-07T00:00:00"/>
    <x v="4"/>
    <s v="Female"/>
    <n v="174.7"/>
    <n v="55.6"/>
    <n v="12928"/>
    <n v="797.5"/>
    <n v="8"/>
    <n v="60"/>
    <x v="4"/>
    <n v="78"/>
    <n v="2.0299999999999998"/>
    <n v="7"/>
    <x v="2"/>
  </r>
  <r>
    <n v="1380"/>
    <d v="2023-08-08T00:00:00"/>
    <x v="9"/>
    <s v="Male"/>
    <n v="172.2"/>
    <n v="72"/>
    <n v="12994"/>
    <n v="692.5"/>
    <n v="7.2"/>
    <n v="66"/>
    <x v="1"/>
    <n v="42"/>
    <n v="1.58"/>
    <n v="3"/>
    <x v="2"/>
  </r>
  <r>
    <n v="1057"/>
    <d v="2023-08-09T00:00:00"/>
    <x v="37"/>
    <s v="Male"/>
    <n v="161.19999999999999"/>
    <n v="68.8"/>
    <n v="4045"/>
    <n v="402.7"/>
    <n v="7.4"/>
    <n v="86"/>
    <x v="3"/>
    <n v="30"/>
    <n v="2.5"/>
    <n v="7"/>
    <x v="1"/>
  </r>
  <r>
    <n v="1258"/>
    <d v="2023-08-10T00:00:00"/>
    <x v="21"/>
    <s v="Female"/>
    <n v="184.2"/>
    <n v="81.2"/>
    <n v="12093"/>
    <n v="753.5"/>
    <n v="5.5"/>
    <n v="71"/>
    <x v="1"/>
    <n v="43"/>
    <n v="3.53"/>
    <n v="9"/>
    <x v="2"/>
  </r>
  <r>
    <n v="1341"/>
    <d v="2023-08-11T00:00:00"/>
    <x v="39"/>
    <s v="Female"/>
    <n v="155.9"/>
    <n v="70.099999999999994"/>
    <n v="1257"/>
    <n v="238.1"/>
    <n v="5.0999999999999996"/>
    <n v="86"/>
    <x v="1"/>
    <n v="73"/>
    <n v="2.76"/>
    <n v="7"/>
    <x v="1"/>
  </r>
  <r>
    <n v="1837"/>
    <d v="2023-08-12T00:00:00"/>
    <x v="38"/>
    <s v="Male"/>
    <n v="152.9"/>
    <n v="96.1"/>
    <n v="12651"/>
    <n v="776.3"/>
    <n v="7.1"/>
    <n v="75"/>
    <x v="2"/>
    <n v="50"/>
    <n v="3.21"/>
    <n v="1"/>
    <x v="2"/>
  </r>
  <r>
    <n v="1129"/>
    <d v="2023-08-13T00:00:00"/>
    <x v="30"/>
    <s v="Male"/>
    <n v="173.7"/>
    <n v="46.2"/>
    <n v="1044"/>
    <n v="249.7"/>
    <n v="7.3"/>
    <n v="66"/>
    <x v="4"/>
    <n v="41"/>
    <n v="2.25"/>
    <n v="9"/>
    <x v="1"/>
  </r>
  <r>
    <n v="1726"/>
    <d v="2023-08-14T00:00:00"/>
    <x v="34"/>
    <s v="Male"/>
    <n v="161.19999999999999"/>
    <n v="82.6"/>
    <n v="18718"/>
    <n v="897.8"/>
    <n v="5.4"/>
    <n v="68"/>
    <x v="5"/>
    <n v="33"/>
    <n v="2.57"/>
    <n v="7"/>
    <x v="0"/>
  </r>
  <r>
    <n v="1171"/>
    <d v="2023-08-15T00:00:00"/>
    <x v="19"/>
    <s v="Female"/>
    <n v="180.9"/>
    <n v="73"/>
    <n v="18055"/>
    <n v="886.7"/>
    <n v="7.9"/>
    <n v="77"/>
    <x v="5"/>
    <n v="24"/>
    <n v="1.64"/>
    <n v="2"/>
    <x v="1"/>
  </r>
  <r>
    <n v="1769"/>
    <d v="2023-08-16T00:00:00"/>
    <x v="28"/>
    <s v="Female"/>
    <n v="153.19999999999999"/>
    <n v="49"/>
    <n v="16354"/>
    <n v="782"/>
    <n v="7.9"/>
    <n v="59"/>
    <x v="2"/>
    <n v="36"/>
    <n v="2.4300000000000002"/>
    <n v="5"/>
    <x v="0"/>
  </r>
  <r>
    <n v="1613"/>
    <d v="2023-08-17T00:00:00"/>
    <x v="41"/>
    <s v="Male"/>
    <n v="179.6"/>
    <n v="45"/>
    <n v="14589"/>
    <n v="781.6"/>
    <n v="7.2"/>
    <n v="67"/>
    <x v="0"/>
    <n v="0"/>
    <n v="1.98"/>
    <n v="10"/>
    <x v="1"/>
  </r>
  <r>
    <n v="1208"/>
    <d v="2023-08-18T00:00:00"/>
    <x v="21"/>
    <s v="Female"/>
    <n v="178.2"/>
    <n v="53.1"/>
    <n v="8000"/>
    <n v="512"/>
    <n v="7"/>
    <n v="70"/>
    <x v="0"/>
    <n v="0"/>
    <n v="2.39"/>
    <n v="2"/>
    <x v="0"/>
  </r>
  <r>
    <n v="1802"/>
    <d v="2023-08-19T00:00:00"/>
    <x v="33"/>
    <s v="Female"/>
    <n v="171.2"/>
    <n v="88.1"/>
    <n v="15480"/>
    <n v="828.6"/>
    <n v="5.0999999999999996"/>
    <n v="83"/>
    <x v="0"/>
    <n v="0"/>
    <n v="2.34"/>
    <n v="7"/>
    <x v="1"/>
  </r>
  <r>
    <n v="1353"/>
    <d v="2023-08-20T00:00:00"/>
    <x v="31"/>
    <s v="Male"/>
    <n v="150"/>
    <n v="86.4"/>
    <n v="7085"/>
    <n v="551.5"/>
    <n v="5.0999999999999996"/>
    <n v="78"/>
    <x v="3"/>
    <n v="23"/>
    <n v="2.2799999999999998"/>
    <n v="9"/>
    <x v="2"/>
  </r>
  <r>
    <n v="1470"/>
    <d v="2023-08-21T00:00:00"/>
    <x v="27"/>
    <s v="Male"/>
    <n v="152.80000000000001"/>
    <n v="68.099999999999994"/>
    <n v="1234"/>
    <n v="248.5"/>
    <n v="7.6"/>
    <n v="77"/>
    <x v="3"/>
    <n v="28"/>
    <n v="3.98"/>
    <n v="4"/>
    <x v="0"/>
  </r>
  <r>
    <n v="1797"/>
    <d v="2023-08-22T00:00:00"/>
    <x v="29"/>
    <s v="Female"/>
    <n v="172.4"/>
    <n v="64.599999999999994"/>
    <n v="7834"/>
    <n v="500"/>
    <n v="5.8"/>
    <n v="80"/>
    <x v="3"/>
    <n v="55"/>
    <n v="3.74"/>
    <n v="3"/>
    <x v="2"/>
  </r>
  <r>
    <n v="1115"/>
    <d v="2023-08-23T00:00:00"/>
    <x v="8"/>
    <s v="Female"/>
    <n v="167.7"/>
    <n v="57.2"/>
    <n v="16055"/>
    <n v="832.2"/>
    <n v="5.9"/>
    <n v="85"/>
    <x v="1"/>
    <n v="70"/>
    <n v="3.49"/>
    <n v="6"/>
    <x v="0"/>
  </r>
  <r>
    <n v="1263"/>
    <d v="2023-08-24T00:00:00"/>
    <x v="16"/>
    <s v="Male"/>
    <n v="177.3"/>
    <n v="67.2"/>
    <n v="4207"/>
    <n v="275.60000000000002"/>
    <n v="7.4"/>
    <n v="76"/>
    <x v="4"/>
    <n v="51"/>
    <n v="3.76"/>
    <n v="8"/>
    <x v="2"/>
  </r>
  <r>
    <n v="1661"/>
    <d v="2023-08-25T00:00:00"/>
    <x v="7"/>
    <s v="Male"/>
    <n v="169.3"/>
    <n v="62.9"/>
    <n v="3400"/>
    <n v="370.2"/>
    <n v="10"/>
    <n v="65"/>
    <x v="3"/>
    <n v="37"/>
    <n v="3.49"/>
    <n v="8"/>
    <x v="2"/>
  </r>
  <r>
    <n v="1811"/>
    <d v="2023-08-26T00:00:00"/>
    <x v="5"/>
    <s v="Male"/>
    <n v="168.4"/>
    <n v="95.6"/>
    <n v="10609"/>
    <n v="616.79999999999995"/>
    <n v="6.4"/>
    <n v="77"/>
    <x v="5"/>
    <n v="34"/>
    <n v="2.48"/>
    <n v="8"/>
    <x v="1"/>
  </r>
  <r>
    <n v="1441"/>
    <d v="2023-08-27T00:00:00"/>
    <x v="29"/>
    <s v="Male"/>
    <n v="150"/>
    <n v="51.5"/>
    <n v="13562"/>
    <n v="746.5"/>
    <n v="10"/>
    <n v="67"/>
    <x v="1"/>
    <n v="39"/>
    <n v="2.41"/>
    <n v="5"/>
    <x v="2"/>
  </r>
  <r>
    <n v="1547"/>
    <d v="2023-08-28T00:00:00"/>
    <x v="2"/>
    <s v="Male"/>
    <n v="178.2"/>
    <n v="75.900000000000006"/>
    <n v="8740"/>
    <n v="539.6"/>
    <n v="6.9"/>
    <n v="54"/>
    <x v="3"/>
    <n v="77"/>
    <n v="2.66"/>
    <n v="6"/>
    <x v="0"/>
  </r>
  <r>
    <n v="1452"/>
    <d v="2023-08-29T00:00:00"/>
    <x v="38"/>
    <s v="Female"/>
    <n v="163.5"/>
    <n v="96.4"/>
    <n v="15184"/>
    <n v="813.7"/>
    <n v="7.8"/>
    <n v="77"/>
    <x v="3"/>
    <n v="59"/>
    <n v="2.35"/>
    <n v="2"/>
    <x v="0"/>
  </r>
  <r>
    <n v="1844"/>
    <d v="2023-08-30T00:00:00"/>
    <x v="2"/>
    <s v="Female"/>
    <n v="166"/>
    <n v="81.599999999999994"/>
    <n v="15038"/>
    <n v="735.9"/>
    <n v="8.4"/>
    <n v="80"/>
    <x v="0"/>
    <n v="0"/>
    <n v="1.77"/>
    <n v="6"/>
    <x v="0"/>
  </r>
  <r>
    <n v="1476"/>
    <d v="2023-08-31T00:00:00"/>
    <x v="23"/>
    <s v="Female"/>
    <n v="159.30000000000001"/>
    <n v="53.1"/>
    <n v="1650"/>
    <n v="265.89999999999998"/>
    <n v="8.5"/>
    <n v="78"/>
    <x v="0"/>
    <n v="0"/>
    <n v="2.71"/>
    <n v="5"/>
    <x v="1"/>
  </r>
  <r>
    <n v="1286"/>
    <d v="2023-09-01T00:00:00"/>
    <x v="17"/>
    <s v="Female"/>
    <n v="154.6"/>
    <n v="46.9"/>
    <n v="17417"/>
    <n v="866.5"/>
    <n v="7.5"/>
    <n v="80"/>
    <x v="4"/>
    <n v="32"/>
    <n v="1.4"/>
    <n v="3"/>
    <x v="1"/>
  </r>
  <r>
    <n v="1302"/>
    <d v="2023-09-02T00:00:00"/>
    <x v="22"/>
    <s v="Male"/>
    <n v="184.7"/>
    <n v="74.099999999999994"/>
    <n v="14119"/>
    <n v="766.5"/>
    <n v="6.7"/>
    <n v="86"/>
    <x v="4"/>
    <n v="81"/>
    <n v="2.6"/>
    <n v="8"/>
    <x v="0"/>
  </r>
  <r>
    <n v="1310"/>
    <d v="2023-09-03T00:00:00"/>
    <x v="21"/>
    <s v="Male"/>
    <n v="178"/>
    <n v="72.3"/>
    <n v="8644"/>
    <n v="495"/>
    <n v="8.1999999999999993"/>
    <n v="65"/>
    <x v="1"/>
    <n v="47"/>
    <n v="1.8"/>
    <n v="4"/>
    <x v="2"/>
  </r>
  <r>
    <n v="1207"/>
    <d v="2023-09-04T00:00:00"/>
    <x v="29"/>
    <s v="Male"/>
    <n v="178.1"/>
    <n v="88.5"/>
    <n v="18494"/>
    <n v="900"/>
    <n v="7.6"/>
    <n v="71"/>
    <x v="5"/>
    <n v="65"/>
    <n v="2.44"/>
    <n v="2"/>
    <x v="1"/>
  </r>
  <r>
    <n v="1617"/>
    <d v="2023-09-05T00:00:00"/>
    <x v="20"/>
    <s v="Female"/>
    <n v="167.8"/>
    <n v="78.2"/>
    <n v="9653"/>
    <n v="587.20000000000005"/>
    <n v="6.3"/>
    <n v="62"/>
    <x v="2"/>
    <n v="34"/>
    <n v="2.63"/>
    <n v="3"/>
    <x v="2"/>
  </r>
  <r>
    <n v="1445"/>
    <d v="2023-09-06T00:00:00"/>
    <x v="6"/>
    <s v="Female"/>
    <n v="152.6"/>
    <n v="62.7"/>
    <n v="15416"/>
    <n v="751.9"/>
    <n v="9.1"/>
    <n v="79"/>
    <x v="0"/>
    <n v="0"/>
    <n v="2.25"/>
    <n v="2"/>
    <x v="1"/>
  </r>
  <r>
    <n v="1669"/>
    <d v="2023-09-07T00:00:00"/>
    <x v="24"/>
    <s v="Female"/>
    <n v="191"/>
    <n v="61.7"/>
    <n v="2874"/>
    <n v="362.3"/>
    <n v="7.7"/>
    <n v="87"/>
    <x v="5"/>
    <n v="42"/>
    <n v="1.35"/>
    <n v="2"/>
    <x v="1"/>
  </r>
  <r>
    <n v="1632"/>
    <d v="2023-09-08T00:00:00"/>
    <x v="40"/>
    <s v="Male"/>
    <n v="174.2"/>
    <n v="50.4"/>
    <n v="11429"/>
    <n v="631.4"/>
    <n v="5.9"/>
    <n v="70"/>
    <x v="0"/>
    <n v="0"/>
    <n v="1.67"/>
    <n v="3"/>
    <x v="1"/>
  </r>
  <r>
    <n v="1054"/>
    <d v="2023-09-09T00:00:00"/>
    <x v="21"/>
    <s v="Female"/>
    <n v="171.4"/>
    <n v="71.900000000000006"/>
    <n v="13213"/>
    <n v="710.6"/>
    <n v="5.7"/>
    <n v="82"/>
    <x v="4"/>
    <n v="85"/>
    <n v="2.82"/>
    <n v="7"/>
    <x v="1"/>
  </r>
  <r>
    <n v="1911"/>
    <d v="2023-09-10T00:00:00"/>
    <x v="36"/>
    <s v="Male"/>
    <n v="166.4"/>
    <n v="48.9"/>
    <n v="17219"/>
    <n v="900"/>
    <n v="9.9"/>
    <n v="67"/>
    <x v="4"/>
    <n v="69"/>
    <n v="2.11"/>
    <n v="10"/>
    <x v="0"/>
  </r>
  <r>
    <n v="1011"/>
    <d v="2023-09-11T00:00:00"/>
    <x v="18"/>
    <s v="Male"/>
    <n v="150"/>
    <n v="83.6"/>
    <n v="18640"/>
    <n v="900"/>
    <n v="6.3"/>
    <n v="81"/>
    <x v="2"/>
    <n v="32"/>
    <n v="2.89"/>
    <n v="1"/>
    <x v="1"/>
  </r>
  <r>
    <n v="1656"/>
    <d v="2023-09-12T00:00:00"/>
    <x v="32"/>
    <s v="Male"/>
    <n v="181.4"/>
    <n v="78.8"/>
    <n v="4240"/>
    <n v="346.3"/>
    <n v="8.1"/>
    <n v="53"/>
    <x v="5"/>
    <n v="21"/>
    <n v="2.5099999999999998"/>
    <n v="10"/>
    <x v="1"/>
  </r>
  <r>
    <n v="1399"/>
    <d v="2023-09-13T00:00:00"/>
    <x v="38"/>
    <s v="Male"/>
    <n v="159.4"/>
    <n v="78.400000000000006"/>
    <n v="16802"/>
    <n v="877.7"/>
    <n v="7.6"/>
    <n v="90"/>
    <x v="5"/>
    <n v="53"/>
    <n v="2.36"/>
    <n v="6"/>
    <x v="0"/>
  </r>
  <r>
    <n v="1907"/>
    <d v="2023-09-14T00:00:00"/>
    <x v="10"/>
    <s v="Male"/>
    <n v="175.5"/>
    <n v="50.2"/>
    <n v="17122"/>
    <n v="900"/>
    <n v="8.1"/>
    <n v="64"/>
    <x v="2"/>
    <n v="59"/>
    <n v="2.74"/>
    <n v="1"/>
    <x v="0"/>
  </r>
  <r>
    <n v="1647"/>
    <d v="2023-09-15T00:00:00"/>
    <x v="24"/>
    <s v="Male"/>
    <n v="177.7"/>
    <n v="67.8"/>
    <n v="11903"/>
    <n v="739.3"/>
    <n v="9.9"/>
    <n v="77"/>
    <x v="4"/>
    <n v="88"/>
    <n v="2.0299999999999998"/>
    <n v="3"/>
    <x v="0"/>
  </r>
  <r>
    <n v="1979"/>
    <d v="2023-09-16T00:00:00"/>
    <x v="8"/>
    <s v="Female"/>
    <n v="173.3"/>
    <n v="64.2"/>
    <n v="2409"/>
    <n v="300.8"/>
    <n v="8.5"/>
    <n v="89"/>
    <x v="1"/>
    <n v="80"/>
    <n v="2.78"/>
    <n v="4"/>
    <x v="0"/>
  </r>
  <r>
    <n v="1514"/>
    <d v="2023-09-17T00:00:00"/>
    <x v="22"/>
    <s v="Male"/>
    <n v="174.7"/>
    <n v="71.5"/>
    <n v="11620"/>
    <n v="688.4"/>
    <n v="8.3000000000000007"/>
    <n v="63"/>
    <x v="5"/>
    <n v="44"/>
    <n v="2.21"/>
    <n v="8"/>
    <x v="2"/>
  </r>
  <r>
    <n v="1655"/>
    <d v="2023-09-18T00:00:00"/>
    <x v="37"/>
    <s v="Male"/>
    <n v="183.5"/>
    <n v="77.900000000000006"/>
    <n v="2832"/>
    <n v="267.60000000000002"/>
    <n v="6.7"/>
    <n v="93"/>
    <x v="3"/>
    <n v="82"/>
    <n v="4.28"/>
    <n v="2"/>
    <x v="0"/>
  </r>
  <r>
    <n v="1541"/>
    <d v="2023-09-19T00:00:00"/>
    <x v="26"/>
    <s v="Female"/>
    <n v="162.1"/>
    <n v="62.3"/>
    <n v="19408"/>
    <n v="900"/>
    <n v="6"/>
    <n v="96"/>
    <x v="5"/>
    <n v="47"/>
    <n v="1.71"/>
    <n v="7"/>
    <x v="0"/>
  </r>
  <r>
    <n v="1236"/>
    <d v="2023-09-20T00:00:00"/>
    <x v="29"/>
    <s v="Male"/>
    <n v="171.6"/>
    <n v="62.9"/>
    <n v="6736"/>
    <n v="497.2"/>
    <n v="10"/>
    <n v="82"/>
    <x v="5"/>
    <n v="75"/>
    <n v="2.25"/>
    <n v="3"/>
    <x v="0"/>
  </r>
  <r>
    <n v="1278"/>
    <d v="2023-09-21T00:00:00"/>
    <x v="32"/>
    <s v="Female"/>
    <n v="167.7"/>
    <n v="80.2"/>
    <n v="5993"/>
    <n v="399.4"/>
    <n v="6.9"/>
    <n v="75"/>
    <x v="5"/>
    <n v="45"/>
    <n v="2.2799999999999998"/>
    <n v="1"/>
    <x v="2"/>
  </r>
  <r>
    <n v="1347"/>
    <d v="2023-09-22T00:00:00"/>
    <x v="27"/>
    <s v="Female"/>
    <n v="151.6"/>
    <n v="53.1"/>
    <n v="12103"/>
    <n v="637.9"/>
    <n v="6.8"/>
    <n v="73"/>
    <x v="4"/>
    <n v="46"/>
    <n v="1.55"/>
    <n v="6"/>
    <x v="0"/>
  </r>
  <r>
    <n v="1626"/>
    <d v="2023-09-23T00:00:00"/>
    <x v="6"/>
    <s v="Female"/>
    <n v="172.9"/>
    <n v="58.8"/>
    <n v="15397"/>
    <n v="848"/>
    <n v="7.4"/>
    <n v="81"/>
    <x v="3"/>
    <n v="45"/>
    <n v="3.01"/>
    <n v="2"/>
    <x v="2"/>
  </r>
  <r>
    <n v="1103"/>
    <d v="2023-09-24T00:00:00"/>
    <x v="16"/>
    <s v="Male"/>
    <n v="182.5"/>
    <n v="70.099999999999994"/>
    <n v="4213"/>
    <n v="361.1"/>
    <n v="7.3"/>
    <n v="82"/>
    <x v="5"/>
    <n v="34"/>
    <n v="2.2000000000000002"/>
    <n v="3"/>
    <x v="1"/>
  </r>
  <r>
    <n v="1629"/>
    <d v="2023-09-25T00:00:00"/>
    <x v="16"/>
    <s v="Male"/>
    <n v="183.8"/>
    <n v="83.5"/>
    <n v="11355"/>
    <n v="665.6"/>
    <n v="9.4"/>
    <n v="55"/>
    <x v="1"/>
    <n v="69"/>
    <n v="0.83"/>
    <n v="6"/>
    <x v="2"/>
  </r>
  <r>
    <n v="1516"/>
    <d v="2023-09-26T00:00:00"/>
    <x v="4"/>
    <s v="Female"/>
    <n v="188.6"/>
    <n v="55.5"/>
    <n v="7208"/>
    <n v="424.2"/>
    <n v="7.8"/>
    <n v="72"/>
    <x v="0"/>
    <n v="0"/>
    <n v="2.99"/>
    <n v="3"/>
    <x v="0"/>
  </r>
  <r>
    <n v="1979"/>
    <d v="2023-09-27T00:00:00"/>
    <x v="0"/>
    <s v="Male"/>
    <n v="152.30000000000001"/>
    <n v="96.8"/>
    <n v="10644"/>
    <n v="580.20000000000005"/>
    <n v="5"/>
    <n v="69"/>
    <x v="0"/>
    <n v="0"/>
    <n v="2.0499999999999998"/>
    <n v="5"/>
    <x v="2"/>
  </r>
  <r>
    <n v="1871"/>
    <d v="2023-09-28T00:00:00"/>
    <x v="16"/>
    <s v="Male"/>
    <n v="186.3"/>
    <n v="49.7"/>
    <n v="7453"/>
    <n v="579.70000000000005"/>
    <n v="6"/>
    <n v="68"/>
    <x v="3"/>
    <n v="23"/>
    <n v="2.4300000000000002"/>
    <n v="3"/>
    <x v="2"/>
  </r>
  <r>
    <n v="1247"/>
    <d v="2023-09-29T00:00:00"/>
    <x v="15"/>
    <s v="Female"/>
    <n v="171.8"/>
    <n v="93.3"/>
    <n v="12093"/>
    <n v="650.79999999999995"/>
    <n v="7"/>
    <n v="68"/>
    <x v="2"/>
    <n v="49"/>
    <n v="2.97"/>
    <n v="7"/>
    <x v="2"/>
  </r>
  <r>
    <n v="1363"/>
    <d v="2023-09-30T00:00:00"/>
    <x v="17"/>
    <s v="Female"/>
    <n v="186"/>
    <n v="88"/>
    <n v="14741"/>
    <n v="779.5"/>
    <n v="8.5"/>
    <n v="62"/>
    <x v="1"/>
    <n v="28"/>
    <n v="2.2400000000000002"/>
    <n v="7"/>
    <x v="2"/>
  </r>
  <r>
    <n v="1320"/>
    <d v="2023-10-01T00:00:00"/>
    <x v="36"/>
    <s v="Male"/>
    <n v="166.1"/>
    <n v="48.5"/>
    <n v="12263"/>
    <n v="702.4"/>
    <n v="4.7"/>
    <n v="90"/>
    <x v="2"/>
    <n v="61"/>
    <n v="2.2400000000000002"/>
    <n v="1"/>
    <x v="2"/>
  </r>
  <r>
    <n v="1632"/>
    <d v="2023-10-02T00:00:00"/>
    <x v="15"/>
    <s v="Female"/>
    <n v="164.7"/>
    <n v="45.5"/>
    <n v="1305"/>
    <n v="198.7"/>
    <n v="7.7"/>
    <n v="69"/>
    <x v="5"/>
    <n v="33"/>
    <n v="4.2300000000000004"/>
    <n v="6"/>
    <x v="2"/>
  </r>
  <r>
    <n v="1285"/>
    <d v="2023-10-03T00:00:00"/>
    <x v="37"/>
    <s v="Female"/>
    <n v="157.80000000000001"/>
    <n v="80.8"/>
    <n v="2384"/>
    <n v="363"/>
    <n v="8.1"/>
    <n v="74"/>
    <x v="4"/>
    <n v="59"/>
    <n v="0.99"/>
    <n v="3"/>
    <x v="2"/>
  </r>
  <r>
    <n v="1148"/>
    <d v="2023-10-04T00:00:00"/>
    <x v="19"/>
    <s v="Female"/>
    <n v="177.8"/>
    <n v="64.3"/>
    <n v="18958"/>
    <n v="900"/>
    <n v="8.3000000000000007"/>
    <n v="72"/>
    <x v="5"/>
    <n v="22"/>
    <n v="1.6"/>
    <n v="7"/>
    <x v="2"/>
  </r>
  <r>
    <n v="1083"/>
    <d v="2023-10-05T00:00:00"/>
    <x v="41"/>
    <s v="Male"/>
    <n v="175.1"/>
    <n v="54.9"/>
    <n v="1872"/>
    <n v="263.10000000000002"/>
    <n v="6.9"/>
    <n v="70"/>
    <x v="5"/>
    <n v="60"/>
    <n v="1.74"/>
    <n v="1"/>
    <x v="1"/>
  </r>
  <r>
    <n v="1965"/>
    <d v="2023-10-06T00:00:00"/>
    <x v="36"/>
    <s v="Male"/>
    <n v="158.80000000000001"/>
    <n v="97.2"/>
    <n v="9360"/>
    <n v="627.79999999999995"/>
    <n v="8.6"/>
    <n v="79"/>
    <x v="2"/>
    <n v="52"/>
    <n v="3.75"/>
    <n v="10"/>
    <x v="1"/>
  </r>
  <r>
    <n v="1405"/>
    <d v="2023-10-07T00:00:00"/>
    <x v="31"/>
    <s v="Male"/>
    <n v="150"/>
    <n v="52.1"/>
    <n v="10795"/>
    <n v="677.4"/>
    <n v="5.8"/>
    <n v="72"/>
    <x v="5"/>
    <n v="79"/>
    <n v="2.0499999999999998"/>
    <n v="3"/>
    <x v="0"/>
  </r>
  <r>
    <n v="1977"/>
    <d v="2023-10-08T00:00:00"/>
    <x v="4"/>
    <s v="Female"/>
    <n v="174.2"/>
    <n v="59.1"/>
    <n v="18414"/>
    <n v="900"/>
    <n v="8.4"/>
    <n v="81"/>
    <x v="1"/>
    <n v="83"/>
    <n v="2.67"/>
    <n v="10"/>
    <x v="0"/>
  </r>
  <r>
    <n v="1455"/>
    <d v="2023-10-09T00:00:00"/>
    <x v="24"/>
    <s v="Male"/>
    <n v="175.3"/>
    <n v="60.9"/>
    <n v="10926"/>
    <n v="615.20000000000005"/>
    <n v="6.9"/>
    <n v="91"/>
    <x v="4"/>
    <n v="81"/>
    <n v="2.17"/>
    <n v="2"/>
    <x v="0"/>
  </r>
  <r>
    <n v="1742"/>
    <d v="2023-10-10T00:00:00"/>
    <x v="2"/>
    <s v="Female"/>
    <n v="160.1"/>
    <n v="45"/>
    <n v="16491"/>
    <n v="900"/>
    <n v="7.1"/>
    <n v="64"/>
    <x v="2"/>
    <n v="26"/>
    <n v="2.92"/>
    <n v="8"/>
    <x v="0"/>
  </r>
  <r>
    <n v="1799"/>
    <d v="2023-10-11T00:00:00"/>
    <x v="11"/>
    <s v="Male"/>
    <n v="158.1"/>
    <n v="71.400000000000006"/>
    <n v="7905"/>
    <n v="548.5"/>
    <n v="7"/>
    <n v="78"/>
    <x v="3"/>
    <n v="69"/>
    <n v="2.4900000000000002"/>
    <n v="8"/>
    <x v="0"/>
  </r>
  <r>
    <n v="1160"/>
    <d v="2023-10-12T00:00:00"/>
    <x v="32"/>
    <s v="Male"/>
    <n v="176.6"/>
    <n v="56.3"/>
    <n v="5442"/>
    <n v="502.2"/>
    <n v="8"/>
    <n v="78"/>
    <x v="0"/>
    <n v="0"/>
    <n v="2.68"/>
    <n v="9"/>
    <x v="0"/>
  </r>
  <r>
    <n v="1783"/>
    <d v="2023-10-13T00:00:00"/>
    <x v="0"/>
    <s v="Female"/>
    <n v="188.6"/>
    <n v="82.2"/>
    <n v="16290"/>
    <n v="900"/>
    <n v="5.3"/>
    <n v="63"/>
    <x v="5"/>
    <n v="66"/>
    <n v="3.4"/>
    <n v="9"/>
    <x v="1"/>
  </r>
  <r>
    <n v="1459"/>
    <d v="2023-10-14T00:00:00"/>
    <x v="27"/>
    <s v="Male"/>
    <n v="165.1"/>
    <n v="84.1"/>
    <n v="4667"/>
    <n v="354.6"/>
    <n v="8.3000000000000007"/>
    <n v="81"/>
    <x v="0"/>
    <n v="0"/>
    <n v="2.81"/>
    <n v="2"/>
    <x v="1"/>
  </r>
  <r>
    <n v="1549"/>
    <d v="2023-10-15T00:00:00"/>
    <x v="14"/>
    <s v="Female"/>
    <n v="161.19999999999999"/>
    <n v="73.5"/>
    <n v="18660"/>
    <n v="900"/>
    <n v="8.3000000000000007"/>
    <n v="72"/>
    <x v="2"/>
    <n v="45"/>
    <n v="1.99"/>
    <n v="7"/>
    <x v="1"/>
  </r>
  <r>
    <n v="1499"/>
    <d v="2023-10-16T00:00:00"/>
    <x v="23"/>
    <s v="Male"/>
    <n v="173"/>
    <n v="73.599999999999994"/>
    <n v="7553"/>
    <n v="411.9"/>
    <n v="6.5"/>
    <n v="91"/>
    <x v="0"/>
    <n v="0"/>
    <n v="2.72"/>
    <n v="7"/>
    <x v="2"/>
  </r>
  <r>
    <n v="1737"/>
    <d v="2023-10-17T00:00:00"/>
    <x v="2"/>
    <s v="Male"/>
    <n v="176.4"/>
    <n v="72.5"/>
    <n v="17926"/>
    <n v="816.5"/>
    <n v="7"/>
    <n v="85"/>
    <x v="5"/>
    <n v="70"/>
    <n v="4.1900000000000004"/>
    <n v="4"/>
    <x v="2"/>
  </r>
  <r>
    <n v="1508"/>
    <d v="2023-10-18T00:00:00"/>
    <x v="12"/>
    <s v="Female"/>
    <n v="166.4"/>
    <n v="59.5"/>
    <n v="5808"/>
    <n v="401.7"/>
    <n v="5.7"/>
    <n v="75"/>
    <x v="5"/>
    <n v="71"/>
    <n v="2.9"/>
    <n v="6"/>
    <x v="0"/>
  </r>
  <r>
    <n v="1653"/>
    <d v="2023-10-19T00:00:00"/>
    <x v="6"/>
    <s v="Female"/>
    <n v="190.3"/>
    <n v="60.8"/>
    <n v="8731"/>
    <n v="612.6"/>
    <n v="5.3"/>
    <n v="73"/>
    <x v="2"/>
    <n v="35"/>
    <n v="2.61"/>
    <n v="1"/>
    <x v="1"/>
  </r>
  <r>
    <n v="1803"/>
    <d v="2023-10-20T00:00:00"/>
    <x v="34"/>
    <s v="Female"/>
    <n v="179"/>
    <n v="89.8"/>
    <n v="1583"/>
    <n v="238.4"/>
    <n v="7.3"/>
    <n v="92"/>
    <x v="1"/>
    <n v="67"/>
    <n v="1.54"/>
    <n v="6"/>
    <x v="0"/>
  </r>
  <r>
    <n v="1480"/>
    <d v="2023-10-21T00:00:00"/>
    <x v="20"/>
    <s v="Male"/>
    <n v="166.2"/>
    <n v="81"/>
    <n v="17894"/>
    <n v="881.9"/>
    <n v="7.3"/>
    <n v="69"/>
    <x v="3"/>
    <n v="46"/>
    <n v="3.01"/>
    <n v="1"/>
    <x v="1"/>
  </r>
  <r>
    <n v="1662"/>
    <d v="2023-10-22T00:00:00"/>
    <x v="2"/>
    <s v="Male"/>
    <n v="154.1"/>
    <n v="73.099999999999994"/>
    <n v="10138"/>
    <n v="640.5"/>
    <n v="6.5"/>
    <n v="78"/>
    <x v="5"/>
    <n v="52"/>
    <n v="3.11"/>
    <n v="5"/>
    <x v="1"/>
  </r>
  <r>
    <n v="1113"/>
    <d v="2023-10-23T00:00:00"/>
    <x v="7"/>
    <s v="Male"/>
    <n v="183.2"/>
    <n v="79"/>
    <n v="8695"/>
    <n v="504.7"/>
    <n v="5.0999999999999996"/>
    <n v="74"/>
    <x v="1"/>
    <n v="42"/>
    <n v="2.72"/>
    <n v="4"/>
    <x v="0"/>
  </r>
  <r>
    <n v="1748"/>
    <d v="2023-10-24T00:00:00"/>
    <x v="2"/>
    <s v="Female"/>
    <n v="181.9"/>
    <n v="69.099999999999994"/>
    <n v="4473"/>
    <n v="470.9"/>
    <n v="7.7"/>
    <n v="87"/>
    <x v="5"/>
    <n v="64"/>
    <n v="2.58"/>
    <n v="6"/>
    <x v="0"/>
  </r>
  <r>
    <n v="1577"/>
    <d v="2023-10-25T00:00:00"/>
    <x v="14"/>
    <s v="Female"/>
    <n v="167"/>
    <n v="72.8"/>
    <n v="2198"/>
    <n v="274.8"/>
    <n v="6.5"/>
    <n v="88"/>
    <x v="5"/>
    <n v="41"/>
    <n v="4.4800000000000004"/>
    <n v="5"/>
    <x v="2"/>
  </r>
  <r>
    <n v="1360"/>
    <d v="2023-10-26T00:00:00"/>
    <x v="8"/>
    <s v="Female"/>
    <n v="173.5"/>
    <n v="78.900000000000006"/>
    <n v="4995"/>
    <n v="446.3"/>
    <n v="5.9"/>
    <n v="80"/>
    <x v="1"/>
    <n v="61"/>
    <n v="3.1"/>
    <n v="5"/>
    <x v="1"/>
  </r>
  <r>
    <n v="1340"/>
    <d v="2023-10-27T00:00:00"/>
    <x v="30"/>
    <s v="Male"/>
    <n v="168.5"/>
    <n v="45"/>
    <n v="13113"/>
    <n v="714.5"/>
    <n v="8.9"/>
    <n v="70"/>
    <x v="5"/>
    <n v="52"/>
    <n v="3.37"/>
    <n v="3"/>
    <x v="2"/>
  </r>
  <r>
    <n v="1769"/>
    <d v="2023-10-28T00:00:00"/>
    <x v="4"/>
    <s v="Male"/>
    <n v="175.2"/>
    <n v="83.6"/>
    <n v="5535"/>
    <n v="422.6"/>
    <n v="5.5"/>
    <n v="73"/>
    <x v="3"/>
    <n v="29"/>
    <n v="2.5499999999999998"/>
    <n v="10"/>
    <x v="2"/>
  </r>
  <r>
    <n v="1986"/>
    <d v="2023-10-29T00:00:00"/>
    <x v="40"/>
    <s v="Female"/>
    <n v="159.80000000000001"/>
    <n v="82.5"/>
    <n v="6871"/>
    <n v="531.20000000000005"/>
    <n v="7.8"/>
    <n v="63"/>
    <x v="0"/>
    <n v="0"/>
    <n v="2.41"/>
    <n v="2"/>
    <x v="2"/>
  </r>
  <r>
    <n v="1760"/>
    <d v="2023-10-30T00:00:00"/>
    <x v="1"/>
    <s v="Male"/>
    <n v="158.30000000000001"/>
    <n v="58.3"/>
    <n v="3447"/>
    <n v="349.3"/>
    <n v="4.8"/>
    <n v="77"/>
    <x v="2"/>
    <n v="58"/>
    <n v="2.94"/>
    <n v="7"/>
    <x v="2"/>
  </r>
  <r>
    <n v="1968"/>
    <d v="2023-10-31T00:00:00"/>
    <x v="32"/>
    <s v="Female"/>
    <n v="178.1"/>
    <n v="88.7"/>
    <n v="10408"/>
    <n v="691"/>
    <n v="4.8"/>
    <n v="67"/>
    <x v="0"/>
    <n v="0"/>
    <n v="2.41"/>
    <n v="10"/>
    <x v="1"/>
  </r>
  <r>
    <n v="1448"/>
    <d v="2023-11-01T00:00:00"/>
    <x v="9"/>
    <s v="Male"/>
    <n v="179.4"/>
    <n v="45"/>
    <n v="7844"/>
    <n v="474.6"/>
    <n v="7.7"/>
    <n v="97"/>
    <x v="1"/>
    <n v="70"/>
    <n v="2.46"/>
    <n v="8"/>
    <x v="1"/>
  </r>
  <r>
    <n v="1842"/>
    <d v="2023-11-02T00:00:00"/>
    <x v="25"/>
    <s v="Male"/>
    <n v="165.1"/>
    <n v="75.3"/>
    <n v="18674"/>
    <n v="882"/>
    <n v="6.5"/>
    <n v="70"/>
    <x v="0"/>
    <n v="0"/>
    <n v="2.82"/>
    <n v="5"/>
    <x v="2"/>
  </r>
  <r>
    <n v="1834"/>
    <d v="2023-11-03T00:00:00"/>
    <x v="38"/>
    <s v="Female"/>
    <n v="162.5"/>
    <n v="70.599999999999994"/>
    <n v="13413"/>
    <n v="649.1"/>
    <n v="5.2"/>
    <n v="85"/>
    <x v="4"/>
    <n v="34"/>
    <n v="2.14"/>
    <n v="9"/>
    <x v="1"/>
  </r>
  <r>
    <n v="1179"/>
    <d v="2023-11-04T00:00:00"/>
    <x v="15"/>
    <s v="Male"/>
    <n v="181.5"/>
    <n v="65.400000000000006"/>
    <n v="16169"/>
    <n v="900"/>
    <n v="8.4"/>
    <n v="90"/>
    <x v="5"/>
    <n v="77"/>
    <n v="2.65"/>
    <n v="1"/>
    <x v="2"/>
  </r>
  <r>
    <n v="1701"/>
    <d v="2023-11-05T00:00:00"/>
    <x v="12"/>
    <s v="Male"/>
    <n v="162.80000000000001"/>
    <n v="70.3"/>
    <n v="8549"/>
    <n v="587"/>
    <n v="7.6"/>
    <n v="83"/>
    <x v="2"/>
    <n v="78"/>
    <n v="2.56"/>
    <n v="3"/>
    <x v="0"/>
  </r>
  <r>
    <n v="1406"/>
    <d v="2023-11-06T00:00:00"/>
    <x v="27"/>
    <s v="Female"/>
    <n v="170.6"/>
    <n v="78.7"/>
    <n v="9693"/>
    <n v="574.4"/>
    <n v="3.8"/>
    <n v="70"/>
    <x v="3"/>
    <n v="45"/>
    <n v="3.18"/>
    <n v="8"/>
    <x v="2"/>
  </r>
  <r>
    <n v="1665"/>
    <d v="2023-11-07T00:00:00"/>
    <x v="31"/>
    <s v="Female"/>
    <n v="169.3"/>
    <n v="45"/>
    <n v="12063"/>
    <n v="697.5"/>
    <n v="8.4"/>
    <n v="69"/>
    <x v="3"/>
    <n v="60"/>
    <n v="2.0699999999999998"/>
    <n v="5"/>
    <x v="0"/>
  </r>
  <r>
    <n v="1195"/>
    <d v="2023-11-08T00:00:00"/>
    <x v="14"/>
    <s v="Male"/>
    <n v="155.30000000000001"/>
    <n v="85"/>
    <n v="17770"/>
    <n v="900"/>
    <n v="5.4"/>
    <n v="104"/>
    <x v="4"/>
    <n v="63"/>
    <n v="1.1000000000000001"/>
    <n v="2"/>
    <x v="2"/>
  </r>
  <r>
    <n v="1465"/>
    <d v="2023-11-09T00:00:00"/>
    <x v="19"/>
    <s v="Female"/>
    <n v="171.9"/>
    <n v="63.8"/>
    <n v="9603"/>
    <n v="574.6"/>
    <n v="4.4000000000000004"/>
    <n v="95"/>
    <x v="0"/>
    <n v="0"/>
    <n v="2.2799999999999998"/>
    <n v="10"/>
    <x v="2"/>
  </r>
  <r>
    <n v="1310"/>
    <d v="2023-11-10T00:00:00"/>
    <x v="7"/>
    <s v="Male"/>
    <n v="170.9"/>
    <n v="85.2"/>
    <n v="3006"/>
    <n v="232.2"/>
    <n v="5.8"/>
    <n v="78"/>
    <x v="3"/>
    <n v="56"/>
    <n v="2.78"/>
    <n v="9"/>
    <x v="1"/>
  </r>
  <r>
    <n v="1261"/>
    <d v="2023-11-11T00:00:00"/>
    <x v="4"/>
    <s v="Female"/>
    <n v="173.6"/>
    <n v="79.7"/>
    <n v="6213"/>
    <n v="361.2"/>
    <n v="6.9"/>
    <n v="72"/>
    <x v="0"/>
    <n v="0"/>
    <n v="3.17"/>
    <n v="1"/>
    <x v="0"/>
  </r>
  <r>
    <n v="1418"/>
    <d v="2023-11-12T00:00:00"/>
    <x v="29"/>
    <s v="Male"/>
    <n v="171.6"/>
    <n v="63.5"/>
    <n v="19531"/>
    <n v="900"/>
    <n v="7.1"/>
    <n v="66"/>
    <x v="2"/>
    <n v="23"/>
    <n v="2.02"/>
    <n v="3"/>
    <x v="1"/>
  </r>
  <r>
    <n v="1405"/>
    <d v="2023-11-13T00:00:00"/>
    <x v="2"/>
    <s v="Male"/>
    <n v="191.4"/>
    <n v="68.8"/>
    <n v="4868"/>
    <n v="399.8"/>
    <n v="4.5"/>
    <n v="69"/>
    <x v="4"/>
    <n v="43"/>
    <n v="2.88"/>
    <n v="4"/>
    <x v="2"/>
  </r>
  <r>
    <n v="1938"/>
    <d v="2023-11-14T00:00:00"/>
    <x v="8"/>
    <s v="Female"/>
    <n v="181.6"/>
    <n v="69.7"/>
    <n v="10530"/>
    <n v="574.1"/>
    <n v="4.9000000000000004"/>
    <n v="82"/>
    <x v="0"/>
    <n v="0"/>
    <n v="3.29"/>
    <n v="7"/>
    <x v="0"/>
  </r>
  <r>
    <n v="1142"/>
    <d v="2023-11-15T00:00:00"/>
    <x v="5"/>
    <s v="Male"/>
    <n v="170.4"/>
    <n v="94.1"/>
    <n v="15360"/>
    <n v="866.1"/>
    <n v="5.9"/>
    <n v="98"/>
    <x v="1"/>
    <n v="82"/>
    <n v="3.03"/>
    <n v="4"/>
    <x v="2"/>
  </r>
  <r>
    <n v="1341"/>
    <d v="2023-11-16T00:00:00"/>
    <x v="34"/>
    <s v="Male"/>
    <n v="171.3"/>
    <n v="52.9"/>
    <n v="7637"/>
    <n v="441.8"/>
    <n v="6"/>
    <n v="74"/>
    <x v="0"/>
    <n v="0"/>
    <n v="1.95"/>
    <n v="2"/>
    <x v="0"/>
  </r>
  <r>
    <n v="1315"/>
    <d v="2023-11-17T00:00:00"/>
    <x v="25"/>
    <s v="Female"/>
    <n v="187.6"/>
    <n v="63.4"/>
    <n v="17736"/>
    <n v="874.8"/>
    <n v="8.1"/>
    <n v="87"/>
    <x v="0"/>
    <n v="0"/>
    <n v="2.02"/>
    <n v="2"/>
    <x v="0"/>
  </r>
  <r>
    <n v="1100"/>
    <d v="2023-11-18T00:00:00"/>
    <x v="5"/>
    <s v="Female"/>
    <n v="178.6"/>
    <n v="46.3"/>
    <n v="5964"/>
    <n v="347.5"/>
    <n v="6.4"/>
    <n v="84"/>
    <x v="4"/>
    <n v="32"/>
    <n v="2.8"/>
    <n v="10"/>
    <x v="2"/>
  </r>
  <r>
    <n v="1243"/>
    <d v="2023-11-19T00:00:00"/>
    <x v="13"/>
    <s v="Male"/>
    <n v="157.69999999999999"/>
    <n v="71.900000000000006"/>
    <n v="2302"/>
    <n v="269.8"/>
    <n v="8.1"/>
    <n v="72"/>
    <x v="1"/>
    <n v="46"/>
    <n v="3.64"/>
    <n v="1"/>
    <x v="2"/>
  </r>
  <r>
    <n v="1489"/>
    <d v="2023-11-20T00:00:00"/>
    <x v="31"/>
    <s v="Female"/>
    <n v="179.5"/>
    <n v="60.6"/>
    <n v="8749"/>
    <n v="550.29999999999995"/>
    <n v="8.6"/>
    <n v="85"/>
    <x v="3"/>
    <n v="36"/>
    <n v="2.5099999999999998"/>
    <n v="7"/>
    <x v="1"/>
  </r>
  <r>
    <n v="1011"/>
    <d v="2023-11-21T00:00:00"/>
    <x v="35"/>
    <s v="Female"/>
    <n v="182.4"/>
    <n v="62.5"/>
    <n v="1846"/>
    <n v="327.7"/>
    <n v="7.8"/>
    <n v="85"/>
    <x v="2"/>
    <n v="88"/>
    <n v="2.38"/>
    <n v="9"/>
    <x v="1"/>
  </r>
  <r>
    <n v="1238"/>
    <d v="2023-11-22T00:00:00"/>
    <x v="8"/>
    <s v="Male"/>
    <n v="186.2"/>
    <n v="92.3"/>
    <n v="14390"/>
    <n v="781.6"/>
    <n v="3"/>
    <n v="84"/>
    <x v="0"/>
    <n v="0"/>
    <n v="1.54"/>
    <n v="10"/>
    <x v="2"/>
  </r>
  <r>
    <n v="1560"/>
    <d v="2023-11-23T00:00:00"/>
    <x v="29"/>
    <s v="Male"/>
    <n v="166"/>
    <n v="57.6"/>
    <n v="14735"/>
    <n v="826.4"/>
    <n v="6.5"/>
    <n v="71"/>
    <x v="5"/>
    <n v="37"/>
    <n v="2.2400000000000002"/>
    <n v="2"/>
    <x v="1"/>
  </r>
  <r>
    <n v="1041"/>
    <d v="2023-11-24T00:00:00"/>
    <x v="31"/>
    <s v="Female"/>
    <n v="165.3"/>
    <n v="67.599999999999994"/>
    <n v="15876"/>
    <n v="885.3"/>
    <n v="6.8"/>
    <n v="82"/>
    <x v="4"/>
    <n v="35"/>
    <n v="2"/>
    <n v="7"/>
    <x v="1"/>
  </r>
  <r>
    <n v="1677"/>
    <d v="2023-11-25T00:00:00"/>
    <x v="1"/>
    <s v="Female"/>
    <n v="160.6"/>
    <n v="63.1"/>
    <n v="14967"/>
    <n v="818.3"/>
    <n v="6.9"/>
    <n v="87"/>
    <x v="3"/>
    <n v="70"/>
    <n v="2.52"/>
    <n v="8"/>
    <x v="2"/>
  </r>
  <r>
    <n v="1593"/>
    <d v="2023-11-26T00:00:00"/>
    <x v="8"/>
    <s v="Female"/>
    <n v="173.1"/>
    <n v="64.099999999999994"/>
    <n v="19908"/>
    <n v="900"/>
    <n v="3.9"/>
    <n v="85"/>
    <x v="0"/>
    <n v="0"/>
    <n v="1.44"/>
    <n v="3"/>
    <x v="0"/>
  </r>
  <r>
    <n v="1428"/>
    <d v="2023-11-27T00:00:00"/>
    <x v="34"/>
    <s v="Male"/>
    <n v="177.3"/>
    <n v="111.6"/>
    <n v="19262"/>
    <n v="900"/>
    <n v="5.9"/>
    <n v="86"/>
    <x v="2"/>
    <n v="58"/>
    <n v="2.27"/>
    <n v="4"/>
    <x v="2"/>
  </r>
  <r>
    <n v="1802"/>
    <d v="2023-11-28T00:00:00"/>
    <x v="13"/>
    <s v="Male"/>
    <n v="164.9"/>
    <n v="45"/>
    <n v="5105"/>
    <n v="478.6"/>
    <n v="5"/>
    <n v="73"/>
    <x v="5"/>
    <n v="75"/>
    <n v="1.79"/>
    <n v="9"/>
    <x v="1"/>
  </r>
  <r>
    <n v="1157"/>
    <d v="2023-11-29T00:00:00"/>
    <x v="19"/>
    <s v="Male"/>
    <n v="168.6"/>
    <n v="79.7"/>
    <n v="3819"/>
    <n v="337"/>
    <n v="5.6"/>
    <n v="86"/>
    <x v="4"/>
    <n v="73"/>
    <n v="3.16"/>
    <n v="4"/>
    <x v="2"/>
  </r>
  <r>
    <n v="1215"/>
    <d v="2023-11-30T00:00:00"/>
    <x v="31"/>
    <s v="Male"/>
    <n v="150"/>
    <n v="106.4"/>
    <n v="9077"/>
    <n v="590.79999999999995"/>
    <n v="6.6"/>
    <n v="88"/>
    <x v="2"/>
    <n v="63"/>
    <n v="1.9"/>
    <n v="6"/>
    <x v="2"/>
  </r>
  <r>
    <n v="1669"/>
    <d v="2023-12-01T00:00:00"/>
    <x v="25"/>
    <s v="Male"/>
    <n v="185.1"/>
    <n v="86.2"/>
    <n v="13022"/>
    <n v="747.3"/>
    <n v="5.9"/>
    <n v="70"/>
    <x v="3"/>
    <n v="65"/>
    <n v="2.1"/>
    <n v="8"/>
    <x v="0"/>
  </r>
  <r>
    <n v="1461"/>
    <d v="2023-12-02T00:00:00"/>
    <x v="27"/>
    <s v="Male"/>
    <n v="154.4"/>
    <n v="70.7"/>
    <n v="10250"/>
    <n v="591.6"/>
    <n v="5.7"/>
    <n v="61"/>
    <x v="0"/>
    <n v="0"/>
    <n v="2.7"/>
    <n v="10"/>
    <x v="0"/>
  </r>
  <r>
    <n v="1133"/>
    <d v="2023-12-03T00:00:00"/>
    <x v="6"/>
    <s v="Male"/>
    <n v="173.7"/>
    <n v="52.4"/>
    <n v="19873"/>
    <n v="900"/>
    <n v="6.7"/>
    <n v="91"/>
    <x v="0"/>
    <n v="0"/>
    <n v="2.1800000000000002"/>
    <n v="2"/>
    <x v="1"/>
  </r>
  <r>
    <n v="1066"/>
    <d v="2023-12-04T00:00:00"/>
    <x v="0"/>
    <s v="Female"/>
    <n v="172.4"/>
    <n v="89.6"/>
    <n v="12793"/>
    <n v="692.5"/>
    <n v="6.3"/>
    <n v="70"/>
    <x v="0"/>
    <n v="0"/>
    <n v="4.1500000000000004"/>
    <n v="1"/>
    <x v="1"/>
  </r>
  <r>
    <n v="1847"/>
    <d v="2023-12-05T00:00:00"/>
    <x v="15"/>
    <s v="Female"/>
    <n v="170.5"/>
    <n v="84.1"/>
    <n v="19677"/>
    <n v="900"/>
    <n v="7.3"/>
    <n v="68"/>
    <x v="4"/>
    <n v="85"/>
    <n v="3.15"/>
    <n v="7"/>
    <x v="1"/>
  </r>
  <r>
    <n v="1006"/>
    <d v="2023-12-06T00:00:00"/>
    <x v="2"/>
    <s v="Male"/>
    <n v="170.7"/>
    <n v="47.1"/>
    <n v="18058"/>
    <n v="900"/>
    <n v="6.4"/>
    <n v="77"/>
    <x v="0"/>
    <n v="0"/>
    <n v="2.5099999999999998"/>
    <n v="1"/>
    <x v="1"/>
  </r>
  <r>
    <n v="1947"/>
    <d v="2023-12-07T00:00:00"/>
    <x v="22"/>
    <s v="Male"/>
    <n v="159.9"/>
    <n v="65.2"/>
    <n v="11070"/>
    <n v="645"/>
    <n v="4.5999999999999996"/>
    <n v="72"/>
    <x v="4"/>
    <n v="62"/>
    <n v="2.76"/>
    <n v="4"/>
    <x v="1"/>
  </r>
  <r>
    <n v="1525"/>
    <d v="2023-12-08T00:00:00"/>
    <x v="41"/>
    <s v="Male"/>
    <n v="166.7"/>
    <n v="51.9"/>
    <n v="7257"/>
    <n v="537"/>
    <n v="5.5"/>
    <n v="56"/>
    <x v="0"/>
    <n v="0"/>
    <n v="0.85"/>
    <n v="5"/>
    <x v="2"/>
  </r>
  <r>
    <n v="1072"/>
    <d v="2023-12-09T00:00:00"/>
    <x v="25"/>
    <s v="Female"/>
    <n v="179.7"/>
    <n v="45"/>
    <n v="2011"/>
    <n v="183.1"/>
    <n v="6.5"/>
    <n v="84"/>
    <x v="1"/>
    <n v="24"/>
    <n v="3.36"/>
    <n v="2"/>
    <x v="2"/>
  </r>
  <r>
    <n v="1398"/>
    <d v="2023-12-10T00:00:00"/>
    <x v="27"/>
    <s v="Male"/>
    <n v="182.7"/>
    <n v="51.6"/>
    <n v="17616"/>
    <n v="900"/>
    <n v="6.3"/>
    <n v="84"/>
    <x v="0"/>
    <n v="0"/>
    <n v="2.86"/>
    <n v="10"/>
    <x v="1"/>
  </r>
  <r>
    <n v="1404"/>
    <d v="2023-12-11T00:00:00"/>
    <x v="13"/>
    <s v="Female"/>
    <n v="165.8"/>
    <n v="71.599999999999994"/>
    <n v="3173"/>
    <n v="362.3"/>
    <n v="4.9000000000000004"/>
    <n v="65"/>
    <x v="1"/>
    <n v="56"/>
    <n v="2.4500000000000002"/>
    <n v="4"/>
    <x v="0"/>
  </r>
  <r>
    <n v="1674"/>
    <d v="2023-12-12T00:00:00"/>
    <x v="26"/>
    <s v="Female"/>
    <n v="154.4"/>
    <n v="78.7"/>
    <n v="4384"/>
    <n v="346.6"/>
    <n v="8"/>
    <n v="75"/>
    <x v="4"/>
    <n v="45"/>
    <n v="2.9"/>
    <n v="10"/>
    <x v="0"/>
  </r>
  <r>
    <n v="1577"/>
    <d v="2023-12-13T00:00:00"/>
    <x v="8"/>
    <s v="Female"/>
    <n v="162.19999999999999"/>
    <n v="65.099999999999994"/>
    <n v="19712"/>
    <n v="900"/>
    <n v="7.5"/>
    <n v="65"/>
    <x v="2"/>
    <n v="28"/>
    <n v="2.98"/>
    <n v="7"/>
    <x v="1"/>
  </r>
  <r>
    <n v="1858"/>
    <d v="2023-12-14T00:00:00"/>
    <x v="14"/>
    <s v="Female"/>
    <n v="188.5"/>
    <n v="90.6"/>
    <n v="1797"/>
    <n v="223.1"/>
    <n v="6.1"/>
    <n v="66"/>
    <x v="3"/>
    <n v="34"/>
    <n v="2.21"/>
    <n v="4"/>
    <x v="2"/>
  </r>
  <r>
    <n v="1129"/>
    <d v="2023-12-15T00:00:00"/>
    <x v="37"/>
    <s v="Female"/>
    <n v="162.80000000000001"/>
    <n v="85.4"/>
    <n v="8121"/>
    <n v="484.9"/>
    <n v="6.8"/>
    <n v="69"/>
    <x v="5"/>
    <n v="45"/>
    <n v="2.77"/>
    <n v="1"/>
    <x v="0"/>
  </r>
  <r>
    <n v="1930"/>
    <d v="2023-12-16T00:00:00"/>
    <x v="3"/>
    <s v="Male"/>
    <n v="169"/>
    <n v="68.099999999999994"/>
    <n v="14594"/>
    <n v="797.3"/>
    <n v="5.4"/>
    <n v="80"/>
    <x v="1"/>
    <n v="82"/>
    <n v="3.23"/>
    <n v="10"/>
    <x v="0"/>
  </r>
  <r>
    <n v="1465"/>
    <d v="2023-12-17T00:00:00"/>
    <x v="2"/>
    <s v="Male"/>
    <n v="184.2"/>
    <n v="66.2"/>
    <n v="15986"/>
    <n v="900"/>
    <n v="8.3000000000000007"/>
    <n v="95"/>
    <x v="3"/>
    <n v="89"/>
    <n v="2.82"/>
    <n v="4"/>
    <x v="0"/>
  </r>
  <r>
    <n v="1205"/>
    <d v="2023-12-18T00:00:00"/>
    <x v="31"/>
    <s v="Female"/>
    <n v="164.7"/>
    <n v="75.7"/>
    <n v="8690"/>
    <n v="580.79999999999995"/>
    <n v="10"/>
    <n v="71"/>
    <x v="0"/>
    <n v="0"/>
    <n v="2.3199999999999998"/>
    <n v="6"/>
    <x v="0"/>
  </r>
  <r>
    <n v="1787"/>
    <d v="2023-12-19T00:00:00"/>
    <x v="15"/>
    <s v="Male"/>
    <n v="168.3"/>
    <n v="69.7"/>
    <n v="13669"/>
    <n v="704.3"/>
    <n v="6"/>
    <n v="83"/>
    <x v="4"/>
    <n v="73"/>
    <n v="2.71"/>
    <n v="5"/>
    <x v="2"/>
  </r>
  <r>
    <n v="1977"/>
    <d v="2023-12-20T00:00:00"/>
    <x v="37"/>
    <s v="Female"/>
    <n v="177.9"/>
    <n v="48.6"/>
    <n v="19973"/>
    <n v="900"/>
    <n v="8.8000000000000007"/>
    <n v="83"/>
    <x v="3"/>
    <n v="50"/>
    <n v="3.47"/>
    <n v="4"/>
    <x v="2"/>
  </r>
  <r>
    <n v="1767"/>
    <d v="2023-12-21T00:00:00"/>
    <x v="34"/>
    <s v="Female"/>
    <n v="187.1"/>
    <n v="65.599999999999994"/>
    <n v="18847"/>
    <n v="900"/>
    <n v="5.7"/>
    <n v="54"/>
    <x v="3"/>
    <n v="51"/>
    <n v="3.05"/>
    <n v="2"/>
    <x v="0"/>
  </r>
  <r>
    <n v="1265"/>
    <d v="2023-12-22T00:00:00"/>
    <x v="31"/>
    <s v="Male"/>
    <n v="163.5"/>
    <n v="80"/>
    <n v="12554"/>
    <n v="615.79999999999995"/>
    <n v="6.2"/>
    <n v="61"/>
    <x v="0"/>
    <n v="0"/>
    <n v="1.69"/>
    <n v="10"/>
    <x v="2"/>
  </r>
  <r>
    <n v="1536"/>
    <d v="2023-12-23T00:00:00"/>
    <x v="13"/>
    <s v="Male"/>
    <n v="183.9"/>
    <n v="89.7"/>
    <n v="18431"/>
    <n v="900"/>
    <n v="9.1999999999999993"/>
    <n v="95"/>
    <x v="3"/>
    <n v="37"/>
    <n v="2.91"/>
    <n v="6"/>
    <x v="2"/>
  </r>
  <r>
    <n v="1961"/>
    <d v="2023-12-24T00:00:00"/>
    <x v="15"/>
    <s v="Male"/>
    <n v="167.2"/>
    <n v="84.4"/>
    <n v="5871"/>
    <n v="427.7"/>
    <n v="6.8"/>
    <n v="70"/>
    <x v="4"/>
    <n v="47"/>
    <n v="2.82"/>
    <n v="6"/>
    <x v="1"/>
  </r>
  <r>
    <n v="1792"/>
    <d v="2023-12-25T00:00:00"/>
    <x v="1"/>
    <s v="Male"/>
    <n v="161.1"/>
    <n v="75"/>
    <n v="14354"/>
    <n v="780.1"/>
    <n v="8"/>
    <n v="80"/>
    <x v="1"/>
    <n v="44"/>
    <n v="3.31"/>
    <n v="6"/>
    <x v="1"/>
  </r>
  <r>
    <n v="1252"/>
    <d v="2023-12-26T00:00:00"/>
    <x v="37"/>
    <s v="Male"/>
    <n v="172.5"/>
    <n v="91.9"/>
    <n v="6289"/>
    <n v="450"/>
    <n v="6.6"/>
    <n v="78"/>
    <x v="5"/>
    <n v="58"/>
    <n v="2.52"/>
    <n v="4"/>
    <x v="1"/>
  </r>
  <r>
    <n v="1821"/>
    <d v="2023-12-27T00:00:00"/>
    <x v="27"/>
    <s v="Female"/>
    <n v="158.4"/>
    <n v="76.400000000000006"/>
    <n v="18945"/>
    <n v="900"/>
    <n v="4.3"/>
    <n v="54"/>
    <x v="2"/>
    <n v="68"/>
    <n v="2.2400000000000002"/>
    <n v="8"/>
    <x v="1"/>
  </r>
  <r>
    <n v="1288"/>
    <d v="2023-12-28T00:00:00"/>
    <x v="9"/>
    <s v="Male"/>
    <n v="174.7"/>
    <n v="68.7"/>
    <n v="16831"/>
    <n v="826.5"/>
    <n v="10"/>
    <n v="68"/>
    <x v="1"/>
    <n v="23"/>
    <n v="1.54"/>
    <n v="1"/>
    <x v="0"/>
  </r>
  <r>
    <n v="1163"/>
    <d v="2023-12-29T00:00:00"/>
    <x v="20"/>
    <s v="Male"/>
    <n v="200"/>
    <n v="92.2"/>
    <n v="7286"/>
    <n v="475.2"/>
    <n v="6.7"/>
    <n v="82"/>
    <x v="5"/>
    <n v="71"/>
    <n v="2.0099999999999998"/>
    <n v="10"/>
    <x v="1"/>
  </r>
  <r>
    <n v="1094"/>
    <d v="2023-12-30T00:00:00"/>
    <x v="2"/>
    <s v="Male"/>
    <n v="181.1"/>
    <n v="80.8"/>
    <n v="17958"/>
    <n v="900"/>
    <n v="7.2"/>
    <n v="66"/>
    <x v="4"/>
    <n v="87"/>
    <n v="3.35"/>
    <n v="8"/>
    <x v="1"/>
  </r>
  <r>
    <n v="1781"/>
    <d v="2023-12-31T00:00:00"/>
    <x v="30"/>
    <s v="Female"/>
    <n v="169"/>
    <n v="89.5"/>
    <n v="14916"/>
    <n v="854.6"/>
    <n v="5.9"/>
    <n v="71"/>
    <x v="5"/>
    <n v="76"/>
    <n v="2.64"/>
    <n v="8"/>
    <x v="2"/>
  </r>
  <r>
    <n v="1832"/>
    <d v="2024-01-01T00:00:00"/>
    <x v="23"/>
    <s v="Male"/>
    <n v="180.5"/>
    <n v="52.2"/>
    <n v="10934"/>
    <n v="602.5"/>
    <n v="8.1999999999999993"/>
    <n v="63"/>
    <x v="4"/>
    <n v="32"/>
    <n v="2.4300000000000002"/>
    <n v="5"/>
    <x v="0"/>
  </r>
  <r>
    <n v="1109"/>
    <d v="2024-01-02T00:00:00"/>
    <x v="7"/>
    <s v="Female"/>
    <n v="160.69999999999999"/>
    <n v="57.1"/>
    <n v="13762"/>
    <n v="738.3"/>
    <n v="8.1"/>
    <n v="67"/>
    <x v="5"/>
    <n v="84"/>
    <n v="3.41"/>
    <n v="9"/>
    <x v="2"/>
  </r>
  <r>
    <n v="1335"/>
    <d v="2024-01-03T00:00:00"/>
    <x v="11"/>
    <s v="Male"/>
    <n v="162.4"/>
    <n v="57.7"/>
    <n v="11550"/>
    <n v="644.20000000000005"/>
    <n v="4.7"/>
    <n v="70"/>
    <x v="1"/>
    <n v="82"/>
    <n v="3.26"/>
    <n v="9"/>
    <x v="2"/>
  </r>
  <r>
    <n v="1821"/>
    <d v="2024-01-04T00:00:00"/>
    <x v="37"/>
    <s v="Male"/>
    <n v="169.2"/>
    <n v="72.7"/>
    <n v="5024"/>
    <n v="480.3"/>
    <n v="7.3"/>
    <n v="56"/>
    <x v="0"/>
    <n v="0"/>
    <n v="1.98"/>
    <n v="10"/>
    <x v="2"/>
  </r>
  <r>
    <n v="1237"/>
    <d v="2024-01-05T00:00:00"/>
    <x v="36"/>
    <s v="Female"/>
    <n v="170.9"/>
    <n v="97.4"/>
    <n v="9722"/>
    <n v="622.1"/>
    <n v="8.3000000000000007"/>
    <n v="87"/>
    <x v="0"/>
    <n v="0"/>
    <n v="3.34"/>
    <n v="4"/>
    <x v="1"/>
  </r>
  <r>
    <n v="1380"/>
    <d v="2024-01-06T00:00:00"/>
    <x v="24"/>
    <s v="Male"/>
    <n v="157.1"/>
    <n v="52.9"/>
    <n v="18374"/>
    <n v="888.3"/>
    <n v="8.8000000000000007"/>
    <n v="61"/>
    <x v="0"/>
    <n v="0"/>
    <n v="1.34"/>
    <n v="2"/>
    <x v="0"/>
  </r>
  <r>
    <n v="1435"/>
    <d v="2024-01-07T00:00:00"/>
    <x v="9"/>
    <s v="Male"/>
    <n v="166.9"/>
    <n v="83.6"/>
    <n v="3120"/>
    <n v="344.7"/>
    <n v="8"/>
    <n v="73"/>
    <x v="4"/>
    <n v="80"/>
    <n v="2.82"/>
    <n v="1"/>
    <x v="1"/>
  </r>
  <r>
    <n v="1898"/>
    <d v="2024-01-08T00:00:00"/>
    <x v="8"/>
    <s v="Female"/>
    <n v="168.6"/>
    <n v="52"/>
    <n v="19825"/>
    <n v="900"/>
    <n v="8.1"/>
    <n v="68"/>
    <x v="3"/>
    <n v="26"/>
    <n v="2.74"/>
    <n v="8"/>
    <x v="0"/>
  </r>
  <r>
    <n v="1482"/>
    <d v="2024-01-09T00:00:00"/>
    <x v="7"/>
    <s v="Male"/>
    <n v="185.4"/>
    <n v="101.8"/>
    <n v="6877"/>
    <n v="488.1"/>
    <n v="6.2"/>
    <n v="86"/>
    <x v="0"/>
    <n v="0"/>
    <n v="3.3"/>
    <n v="8"/>
    <x v="2"/>
  </r>
  <r>
    <n v="1936"/>
    <d v="2024-01-10T00:00:00"/>
    <x v="11"/>
    <s v="Female"/>
    <n v="157.1"/>
    <n v="46.1"/>
    <n v="11720"/>
    <n v="737.1"/>
    <n v="5.2"/>
    <n v="63"/>
    <x v="4"/>
    <n v="36"/>
    <n v="2.77"/>
    <n v="7"/>
    <x v="0"/>
  </r>
  <r>
    <n v="1901"/>
    <d v="2024-01-11T00:00:00"/>
    <x v="25"/>
    <s v="Female"/>
    <n v="156.1"/>
    <n v="81.099999999999994"/>
    <n v="19904"/>
    <n v="898.3"/>
    <n v="6.5"/>
    <n v="67"/>
    <x v="4"/>
    <n v="79"/>
    <n v="2.33"/>
    <n v="3"/>
    <x v="2"/>
  </r>
  <r>
    <n v="1024"/>
    <d v="2024-01-12T00:00:00"/>
    <x v="27"/>
    <s v="Female"/>
    <n v="171.8"/>
    <n v="83.2"/>
    <n v="18335"/>
    <n v="883"/>
    <n v="5.0999999999999996"/>
    <n v="62"/>
    <x v="5"/>
    <n v="85"/>
    <n v="2.38"/>
    <n v="3"/>
    <x v="1"/>
  </r>
  <r>
    <n v="1652"/>
    <d v="2024-01-13T00:00:00"/>
    <x v="21"/>
    <s v="Female"/>
    <n v="181.5"/>
    <n v="79.3"/>
    <n v="15659"/>
    <n v="834.2"/>
    <n v="5.9"/>
    <n v="51"/>
    <x v="4"/>
    <n v="57"/>
    <n v="4.3899999999999997"/>
    <n v="10"/>
    <x v="2"/>
  </r>
  <r>
    <n v="1116"/>
    <d v="2024-01-14T00:00:00"/>
    <x v="11"/>
    <s v="Female"/>
    <n v="175.5"/>
    <n v="56.8"/>
    <n v="1964"/>
    <n v="258.8"/>
    <n v="5.9"/>
    <n v="80"/>
    <x v="5"/>
    <n v="32"/>
    <n v="2.56"/>
    <n v="8"/>
    <x v="1"/>
  </r>
  <r>
    <n v="1481"/>
    <d v="2024-01-15T00:00:00"/>
    <x v="17"/>
    <s v="Male"/>
    <n v="173"/>
    <n v="54.2"/>
    <n v="3134"/>
    <n v="336.1"/>
    <n v="5.6"/>
    <n v="75"/>
    <x v="1"/>
    <n v="71"/>
    <n v="2.92"/>
    <n v="8"/>
    <x v="1"/>
  </r>
  <r>
    <n v="1391"/>
    <d v="2024-01-16T00:00:00"/>
    <x v="36"/>
    <s v="Male"/>
    <n v="167.1"/>
    <n v="89.1"/>
    <n v="3244"/>
    <n v="325.60000000000002"/>
    <n v="7.8"/>
    <n v="77"/>
    <x v="4"/>
    <n v="71"/>
    <n v="1.0900000000000001"/>
    <n v="2"/>
    <x v="1"/>
  </r>
  <r>
    <n v="1916"/>
    <d v="2024-01-17T00:00:00"/>
    <x v="26"/>
    <s v="Male"/>
    <n v="176.8"/>
    <n v="85.7"/>
    <n v="3803"/>
    <n v="268.10000000000002"/>
    <n v="5.5"/>
    <n v="83"/>
    <x v="3"/>
    <n v="51"/>
    <n v="1.92"/>
    <n v="1"/>
    <x v="2"/>
  </r>
  <r>
    <n v="1993"/>
    <d v="2024-01-18T00:00:00"/>
    <x v="33"/>
    <s v="Female"/>
    <n v="178.3"/>
    <n v="85.5"/>
    <n v="4911"/>
    <n v="427.5"/>
    <n v="9.8000000000000007"/>
    <n v="76"/>
    <x v="3"/>
    <n v="28"/>
    <n v="2.86"/>
    <n v="1"/>
    <x v="1"/>
  </r>
  <r>
    <n v="1963"/>
    <d v="2024-01-19T00:00:00"/>
    <x v="5"/>
    <s v="Female"/>
    <n v="167.4"/>
    <n v="87.3"/>
    <n v="12216"/>
    <n v="621.9"/>
    <n v="8.5"/>
    <n v="71"/>
    <x v="1"/>
    <n v="36"/>
    <n v="1.37"/>
    <n v="1"/>
    <x v="0"/>
  </r>
  <r>
    <n v="1536"/>
    <d v="2024-01-20T00:00:00"/>
    <x v="18"/>
    <s v="Female"/>
    <n v="160.5"/>
    <n v="47"/>
    <n v="2408"/>
    <n v="306.60000000000002"/>
    <n v="8.8000000000000007"/>
    <n v="78"/>
    <x v="0"/>
    <n v="0"/>
    <n v="2.88"/>
    <n v="3"/>
    <x v="0"/>
  </r>
  <r>
    <n v="1078"/>
    <d v="2024-01-21T00:00:00"/>
    <x v="6"/>
    <s v="Female"/>
    <n v="160.6"/>
    <n v="46.5"/>
    <n v="14195"/>
    <n v="745.1"/>
    <n v="6"/>
    <n v="70"/>
    <x v="3"/>
    <n v="73"/>
    <n v="1.99"/>
    <n v="1"/>
    <x v="0"/>
  </r>
  <r>
    <n v="1579"/>
    <d v="2024-01-22T00:00:00"/>
    <x v="34"/>
    <s v="Male"/>
    <n v="178.8"/>
    <n v="59.9"/>
    <n v="12170"/>
    <n v="806.9"/>
    <n v="7.3"/>
    <n v="86"/>
    <x v="5"/>
    <n v="73"/>
    <n v="1.78"/>
    <n v="8"/>
    <x v="0"/>
  </r>
  <r>
    <n v="1172"/>
    <d v="2024-01-23T00:00:00"/>
    <x v="32"/>
    <s v="Male"/>
    <n v="154.6"/>
    <n v="62.8"/>
    <n v="8663"/>
    <n v="540.5"/>
    <n v="5.4"/>
    <n v="71"/>
    <x v="4"/>
    <n v="47"/>
    <n v="1.99"/>
    <n v="8"/>
    <x v="1"/>
  </r>
  <r>
    <n v="1955"/>
    <d v="2024-01-24T00:00:00"/>
    <x v="27"/>
    <s v="Female"/>
    <n v="186.8"/>
    <n v="61.2"/>
    <n v="10809"/>
    <n v="649.9"/>
    <n v="7.3"/>
    <n v="74"/>
    <x v="2"/>
    <n v="69"/>
    <n v="3.57"/>
    <n v="9"/>
    <x v="0"/>
  </r>
  <r>
    <n v="1011"/>
    <d v="2024-01-25T00:00:00"/>
    <x v="3"/>
    <s v="Female"/>
    <n v="165.4"/>
    <n v="74.2"/>
    <n v="8113"/>
    <n v="552.20000000000005"/>
    <n v="4.3"/>
    <n v="81"/>
    <x v="4"/>
    <n v="37"/>
    <n v="2.73"/>
    <n v="4"/>
    <x v="2"/>
  </r>
  <r>
    <n v="1799"/>
    <d v="2024-01-26T00:00:00"/>
    <x v="6"/>
    <s v="Male"/>
    <n v="173.1"/>
    <n v="86.7"/>
    <n v="9142"/>
    <n v="582.6"/>
    <n v="8.6"/>
    <n v="98"/>
    <x v="4"/>
    <n v="32"/>
    <n v="1.86"/>
    <n v="8"/>
    <x v="0"/>
  </r>
  <r>
    <n v="1127"/>
    <d v="2024-01-27T00:00:00"/>
    <x v="28"/>
    <s v="Female"/>
    <n v="177"/>
    <n v="65.599999999999994"/>
    <n v="14778"/>
    <n v="789.8"/>
    <n v="6"/>
    <n v="65"/>
    <x v="2"/>
    <n v="52"/>
    <n v="3.04"/>
    <n v="7"/>
    <x v="0"/>
  </r>
  <r>
    <n v="1607"/>
    <d v="2024-01-28T00:00:00"/>
    <x v="23"/>
    <s v="Female"/>
    <n v="163.19999999999999"/>
    <n v="57.8"/>
    <n v="18772"/>
    <n v="900"/>
    <n v="7.5"/>
    <n v="63"/>
    <x v="0"/>
    <n v="0"/>
    <n v="3.08"/>
    <n v="4"/>
    <x v="2"/>
  </r>
  <r>
    <n v="1091"/>
    <d v="2024-01-29T00:00:00"/>
    <x v="13"/>
    <s v="Female"/>
    <n v="165.4"/>
    <n v="82.2"/>
    <n v="5367"/>
    <n v="409.1"/>
    <n v="7.7"/>
    <n v="73"/>
    <x v="3"/>
    <n v="57"/>
    <n v="2.23"/>
    <n v="1"/>
    <x v="2"/>
  </r>
  <r>
    <n v="1652"/>
    <d v="2024-01-30T00:00:00"/>
    <x v="28"/>
    <s v="Male"/>
    <n v="171.3"/>
    <n v="65.8"/>
    <n v="13679"/>
    <n v="653.9"/>
    <n v="6.2"/>
    <n v="68"/>
    <x v="3"/>
    <n v="25"/>
    <n v="3.17"/>
    <n v="3"/>
    <x v="0"/>
  </r>
  <r>
    <n v="1542"/>
    <d v="2024-01-31T00:00:00"/>
    <x v="39"/>
    <s v="Male"/>
    <n v="161.5"/>
    <n v="71.599999999999994"/>
    <n v="11786"/>
    <n v="695.8"/>
    <n v="5.8"/>
    <n v="82"/>
    <x v="4"/>
    <n v="64"/>
    <n v="3.2"/>
    <n v="8"/>
    <x v="1"/>
  </r>
  <r>
    <n v="1845"/>
    <d v="2024-02-01T00:00:00"/>
    <x v="1"/>
    <s v="Female"/>
    <n v="159.30000000000001"/>
    <n v="65"/>
    <n v="14012"/>
    <n v="900"/>
    <n v="6.8"/>
    <n v="77"/>
    <x v="3"/>
    <n v="78"/>
    <n v="3.1"/>
    <n v="8"/>
    <x v="2"/>
  </r>
  <r>
    <n v="1531"/>
    <d v="2024-02-02T00:00:00"/>
    <x v="32"/>
    <s v="Male"/>
    <n v="160.19999999999999"/>
    <n v="75.099999999999994"/>
    <n v="10938"/>
    <n v="646.4"/>
    <n v="8.1999999999999993"/>
    <n v="64"/>
    <x v="5"/>
    <n v="67"/>
    <n v="2.0299999999999998"/>
    <n v="2"/>
    <x v="1"/>
  </r>
  <r>
    <n v="1657"/>
    <d v="2024-02-03T00:00:00"/>
    <x v="37"/>
    <s v="Female"/>
    <n v="182.1"/>
    <n v="54.8"/>
    <n v="12693"/>
    <n v="724.7"/>
    <n v="6.8"/>
    <n v="82"/>
    <x v="5"/>
    <n v="60"/>
    <n v="1.67"/>
    <n v="7"/>
    <x v="1"/>
  </r>
  <r>
    <n v="1988"/>
    <d v="2024-02-04T00:00:00"/>
    <x v="0"/>
    <s v="Female"/>
    <n v="174"/>
    <n v="80.900000000000006"/>
    <n v="12051"/>
    <n v="604.4"/>
    <n v="7.9"/>
    <n v="93"/>
    <x v="2"/>
    <n v="74"/>
    <n v="1.31"/>
    <n v="1"/>
    <x v="0"/>
  </r>
  <r>
    <n v="1827"/>
    <d v="2024-02-05T00:00:00"/>
    <x v="25"/>
    <s v="Male"/>
    <n v="162.1"/>
    <n v="69.5"/>
    <n v="4978"/>
    <n v="358.3"/>
    <n v="8.1999999999999993"/>
    <n v="67"/>
    <x v="4"/>
    <n v="80"/>
    <n v="2.04"/>
    <n v="4"/>
    <x v="1"/>
  </r>
  <r>
    <n v="1446"/>
    <d v="2024-02-06T00:00:00"/>
    <x v="27"/>
    <s v="Female"/>
    <n v="178.7"/>
    <n v="58.5"/>
    <n v="16611"/>
    <n v="900"/>
    <n v="6.7"/>
    <n v="78"/>
    <x v="0"/>
    <n v="0"/>
    <n v="2.2400000000000002"/>
    <n v="7"/>
    <x v="1"/>
  </r>
  <r>
    <n v="1389"/>
    <d v="2024-02-07T00:00:00"/>
    <x v="23"/>
    <s v="Female"/>
    <n v="162.6"/>
    <n v="78"/>
    <n v="5490"/>
    <n v="347.2"/>
    <n v="6.8"/>
    <n v="53"/>
    <x v="5"/>
    <n v="21"/>
    <n v="2.2999999999999998"/>
    <n v="4"/>
    <x v="1"/>
  </r>
  <r>
    <n v="1671"/>
    <d v="2024-02-08T00:00:00"/>
    <x v="3"/>
    <s v="Male"/>
    <n v="150.5"/>
    <n v="58.5"/>
    <n v="18236"/>
    <n v="893"/>
    <n v="7.2"/>
    <n v="71"/>
    <x v="1"/>
    <n v="29"/>
    <n v="2.4700000000000002"/>
    <n v="4"/>
    <x v="0"/>
  </r>
  <r>
    <n v="1860"/>
    <d v="2024-02-09T00:00:00"/>
    <x v="31"/>
    <s v="Female"/>
    <n v="177"/>
    <n v="59.2"/>
    <n v="7377"/>
    <n v="523.5"/>
    <n v="8.6999999999999993"/>
    <n v="78"/>
    <x v="3"/>
    <n v="58"/>
    <n v="3.71"/>
    <n v="7"/>
    <x v="2"/>
  </r>
  <r>
    <n v="1042"/>
    <d v="2024-02-10T00:00:00"/>
    <x v="21"/>
    <s v="Female"/>
    <n v="186.5"/>
    <n v="52"/>
    <n v="10903"/>
    <n v="676.6"/>
    <n v="6.5"/>
    <n v="74"/>
    <x v="0"/>
    <n v="0"/>
    <n v="2.2599999999999998"/>
    <n v="1"/>
    <x v="0"/>
  </r>
  <r>
    <n v="1253"/>
    <d v="2024-02-11T00:00:00"/>
    <x v="7"/>
    <s v="Female"/>
    <n v="175.6"/>
    <n v="45"/>
    <n v="15567"/>
    <n v="817.2"/>
    <n v="8.6999999999999993"/>
    <n v="76"/>
    <x v="4"/>
    <n v="84"/>
    <n v="2.4700000000000002"/>
    <n v="5"/>
    <x v="2"/>
  </r>
  <r>
    <n v="1129"/>
    <d v="2024-02-12T00:00:00"/>
    <x v="33"/>
    <s v="Male"/>
    <n v="151.1"/>
    <n v="78"/>
    <n v="16788"/>
    <n v="877.7"/>
    <n v="7.4"/>
    <n v="67"/>
    <x v="5"/>
    <n v="85"/>
    <n v="1.23"/>
    <n v="6"/>
    <x v="1"/>
  </r>
  <r>
    <n v="1059"/>
    <d v="2024-02-13T00:00:00"/>
    <x v="32"/>
    <s v="Female"/>
    <n v="169.8"/>
    <n v="87.5"/>
    <n v="18440"/>
    <n v="900"/>
    <n v="5.9"/>
    <n v="88"/>
    <x v="2"/>
    <n v="71"/>
    <n v="4.0599999999999996"/>
    <n v="7"/>
    <x v="2"/>
  </r>
  <r>
    <n v="1662"/>
    <d v="2024-02-14T00:00:00"/>
    <x v="6"/>
    <s v="Male"/>
    <n v="167.3"/>
    <n v="63.2"/>
    <n v="3260"/>
    <n v="268.7"/>
    <n v="6.9"/>
    <n v="71"/>
    <x v="5"/>
    <n v="63"/>
    <n v="1.58"/>
    <n v="7"/>
    <x v="2"/>
  </r>
  <r>
    <n v="1466"/>
    <d v="2024-02-15T00:00:00"/>
    <x v="0"/>
    <s v="Female"/>
    <n v="173.8"/>
    <n v="58"/>
    <n v="18292"/>
    <n v="900"/>
    <n v="5.3"/>
    <n v="63"/>
    <x v="1"/>
    <n v="53"/>
    <n v="2.0099999999999998"/>
    <n v="7"/>
    <x v="2"/>
  </r>
  <r>
    <n v="1286"/>
    <d v="2024-02-16T00:00:00"/>
    <x v="19"/>
    <s v="Female"/>
    <n v="161.5"/>
    <n v="45"/>
    <n v="17833"/>
    <n v="900"/>
    <n v="5"/>
    <n v="75"/>
    <x v="5"/>
    <n v="64"/>
    <n v="2.99"/>
    <n v="2"/>
    <x v="2"/>
  </r>
  <r>
    <n v="1516"/>
    <d v="2024-02-17T00:00:00"/>
    <x v="19"/>
    <s v="Female"/>
    <n v="166.7"/>
    <n v="45"/>
    <n v="17952"/>
    <n v="900"/>
    <n v="7.9"/>
    <n v="84"/>
    <x v="4"/>
    <n v="51"/>
    <n v="2.67"/>
    <n v="6"/>
    <x v="1"/>
  </r>
  <r>
    <n v="1466"/>
    <d v="2024-02-18T00:00:00"/>
    <x v="21"/>
    <s v="Female"/>
    <n v="155.80000000000001"/>
    <n v="80.900000000000006"/>
    <n v="4498"/>
    <n v="283.60000000000002"/>
    <n v="8.1999999999999993"/>
    <n v="81"/>
    <x v="2"/>
    <n v="24"/>
    <n v="3.65"/>
    <n v="9"/>
    <x v="2"/>
  </r>
  <r>
    <n v="1929"/>
    <d v="2024-02-19T00:00:00"/>
    <x v="34"/>
    <s v="Male"/>
    <n v="172.2"/>
    <n v="45"/>
    <n v="14961"/>
    <n v="875.2"/>
    <n v="7"/>
    <n v="70"/>
    <x v="2"/>
    <n v="82"/>
    <n v="3"/>
    <n v="7"/>
    <x v="2"/>
  </r>
  <r>
    <n v="1777"/>
    <d v="2024-02-20T00:00:00"/>
    <x v="9"/>
    <s v="Male"/>
    <n v="156.19999999999999"/>
    <n v="52.8"/>
    <n v="11518"/>
    <n v="606.1"/>
    <n v="7.1"/>
    <n v="93"/>
    <x v="1"/>
    <n v="88"/>
    <n v="2.44"/>
    <n v="7"/>
    <x v="1"/>
  </r>
  <r>
    <n v="1344"/>
    <d v="2024-02-21T00:00:00"/>
    <x v="41"/>
    <s v="Female"/>
    <n v="174.4"/>
    <n v="74.3"/>
    <n v="13501"/>
    <n v="743.6"/>
    <n v="6.1"/>
    <n v="74"/>
    <x v="4"/>
    <n v="73"/>
    <n v="3.23"/>
    <n v="2"/>
    <x v="2"/>
  </r>
  <r>
    <n v="1641"/>
    <d v="2024-02-22T00:00:00"/>
    <x v="14"/>
    <s v="Female"/>
    <n v="162.5"/>
    <n v="71.3"/>
    <n v="2308"/>
    <n v="308.39999999999998"/>
    <n v="7.3"/>
    <n v="58"/>
    <x v="1"/>
    <n v="57"/>
    <n v="3.31"/>
    <n v="7"/>
    <x v="0"/>
  </r>
  <r>
    <n v="1381"/>
    <d v="2024-02-23T00:00:00"/>
    <x v="17"/>
    <s v="Female"/>
    <n v="150"/>
    <n v="74.900000000000006"/>
    <n v="16902"/>
    <n v="853.3"/>
    <n v="10"/>
    <n v="81"/>
    <x v="1"/>
    <n v="28"/>
    <n v="2.04"/>
    <n v="9"/>
    <x v="2"/>
  </r>
  <r>
    <n v="1778"/>
    <d v="2024-02-24T00:00:00"/>
    <x v="23"/>
    <s v="Female"/>
    <n v="177.9"/>
    <n v="70.099999999999994"/>
    <n v="1717"/>
    <n v="280.89999999999998"/>
    <n v="8.5"/>
    <n v="74"/>
    <x v="1"/>
    <n v="80"/>
    <n v="3.17"/>
    <n v="3"/>
    <x v="0"/>
  </r>
  <r>
    <n v="1689"/>
    <d v="2024-02-25T00:00:00"/>
    <x v="15"/>
    <s v="Female"/>
    <n v="174.9"/>
    <n v="64.599999999999994"/>
    <n v="4345"/>
    <n v="335"/>
    <n v="6.9"/>
    <n v="74"/>
    <x v="5"/>
    <n v="40"/>
    <n v="2.34"/>
    <n v="2"/>
    <x v="0"/>
  </r>
  <r>
    <n v="1252"/>
    <d v="2024-02-26T00:00:00"/>
    <x v="7"/>
    <s v="Female"/>
    <n v="183.5"/>
    <n v="52.9"/>
    <n v="16370"/>
    <n v="900"/>
    <n v="6.8"/>
    <n v="84"/>
    <x v="3"/>
    <n v="55"/>
    <n v="2.4300000000000002"/>
    <n v="6"/>
    <x v="0"/>
  </r>
  <r>
    <n v="1926"/>
    <d v="2024-02-27T00:00:00"/>
    <x v="13"/>
    <s v="Female"/>
    <n v="150"/>
    <n v="60.5"/>
    <n v="14953"/>
    <n v="785.1"/>
    <n v="6.4"/>
    <n v="72"/>
    <x v="5"/>
    <n v="20"/>
    <n v="2.6"/>
    <n v="2"/>
    <x v="1"/>
  </r>
  <r>
    <n v="1055"/>
    <d v="2024-02-28T00:00:00"/>
    <x v="35"/>
    <s v="Female"/>
    <n v="163.5"/>
    <n v="65.7"/>
    <n v="10095"/>
    <n v="648.79999999999995"/>
    <n v="4.9000000000000004"/>
    <n v="72"/>
    <x v="4"/>
    <n v="41"/>
    <n v="2.23"/>
    <n v="1"/>
    <x v="0"/>
  </r>
  <r>
    <n v="1462"/>
    <d v="2024-02-29T00:00:00"/>
    <x v="28"/>
    <s v="Male"/>
    <n v="171.3"/>
    <n v="45"/>
    <n v="10642"/>
    <n v="571"/>
    <n v="6.3"/>
    <n v="62"/>
    <x v="0"/>
    <n v="0"/>
    <n v="2.2000000000000002"/>
    <n v="10"/>
    <x v="0"/>
  </r>
  <r>
    <n v="1456"/>
    <d v="2024-03-01T00:00:00"/>
    <x v="24"/>
    <s v="Male"/>
    <n v="175.7"/>
    <n v="58.2"/>
    <n v="18839"/>
    <n v="900"/>
    <n v="8"/>
    <n v="70"/>
    <x v="1"/>
    <n v="65"/>
    <n v="3.19"/>
    <n v="4"/>
    <x v="1"/>
  </r>
  <r>
    <n v="1982"/>
    <d v="2024-03-02T00:00:00"/>
    <x v="36"/>
    <s v="Male"/>
    <n v="155.4"/>
    <n v="64.400000000000006"/>
    <n v="8035"/>
    <n v="485.5"/>
    <n v="5.6"/>
    <n v="77"/>
    <x v="1"/>
    <n v="84"/>
    <n v="1.43"/>
    <n v="9"/>
    <x v="1"/>
  </r>
  <r>
    <n v="1082"/>
    <d v="2024-03-03T00:00:00"/>
    <x v="28"/>
    <s v="Female"/>
    <n v="174.3"/>
    <n v="59.7"/>
    <n v="1531"/>
    <n v="191.6"/>
    <n v="6.6"/>
    <n v="69"/>
    <x v="3"/>
    <n v="25"/>
    <n v="1.76"/>
    <n v="10"/>
    <x v="0"/>
  </r>
  <r>
    <n v="1904"/>
    <d v="2024-03-04T00:00:00"/>
    <x v="18"/>
    <s v="Female"/>
    <n v="164.3"/>
    <n v="64.900000000000006"/>
    <n v="3267"/>
    <n v="277.39999999999998"/>
    <n v="5.3"/>
    <n v="58"/>
    <x v="2"/>
    <n v="59"/>
    <n v="2.97"/>
    <n v="3"/>
    <x v="1"/>
  </r>
  <r>
    <n v="1098"/>
    <d v="2024-03-05T00:00:00"/>
    <x v="25"/>
    <s v="Female"/>
    <n v="151.4"/>
    <n v="80"/>
    <n v="17716"/>
    <n v="866.2"/>
    <n v="8.1999999999999993"/>
    <n v="82"/>
    <x v="1"/>
    <n v="54"/>
    <n v="2.4500000000000002"/>
    <n v="3"/>
    <x v="2"/>
  </r>
  <r>
    <n v="1148"/>
    <d v="2024-03-06T00:00:00"/>
    <x v="7"/>
    <s v="Male"/>
    <n v="162.5"/>
    <n v="81.900000000000006"/>
    <n v="17130"/>
    <n v="890.8"/>
    <n v="5.0999999999999996"/>
    <n v="82"/>
    <x v="5"/>
    <n v="80"/>
    <n v="3.19"/>
    <n v="6"/>
    <x v="0"/>
  </r>
  <r>
    <n v="1328"/>
    <d v="2024-03-07T00:00:00"/>
    <x v="39"/>
    <s v="Female"/>
    <n v="175.1"/>
    <n v="92.7"/>
    <n v="14736"/>
    <n v="900"/>
    <n v="7.9"/>
    <n v="82"/>
    <x v="1"/>
    <n v="42"/>
    <n v="2.75"/>
    <n v="6"/>
    <x v="0"/>
  </r>
  <r>
    <n v="1155"/>
    <d v="2024-03-08T00:00:00"/>
    <x v="3"/>
    <s v="Male"/>
    <n v="151.9"/>
    <n v="47.4"/>
    <n v="10513"/>
    <n v="757.3"/>
    <n v="8.5"/>
    <n v="66"/>
    <x v="4"/>
    <n v="39"/>
    <n v="1.57"/>
    <n v="8"/>
    <x v="2"/>
  </r>
  <r>
    <n v="1189"/>
    <d v="2024-03-09T00:00:00"/>
    <x v="25"/>
    <s v="Female"/>
    <n v="176.4"/>
    <n v="63.7"/>
    <n v="14815"/>
    <n v="776.5"/>
    <n v="6.5"/>
    <n v="75"/>
    <x v="3"/>
    <n v="47"/>
    <n v="2.54"/>
    <n v="10"/>
    <x v="1"/>
  </r>
  <r>
    <n v="1493"/>
    <d v="2024-03-10T00:00:00"/>
    <x v="18"/>
    <s v="Male"/>
    <n v="172.8"/>
    <n v="88.4"/>
    <n v="13244"/>
    <n v="777.7"/>
    <n v="6"/>
    <n v="77"/>
    <x v="0"/>
    <n v="0"/>
    <n v="2.87"/>
    <n v="6"/>
    <x v="2"/>
  </r>
  <r>
    <n v="1882"/>
    <d v="2024-03-11T00:00:00"/>
    <x v="33"/>
    <s v="Male"/>
    <n v="167.5"/>
    <n v="45"/>
    <n v="10900"/>
    <n v="573.29999999999995"/>
    <n v="7.7"/>
    <n v="81"/>
    <x v="2"/>
    <n v="26"/>
    <n v="2.66"/>
    <n v="8"/>
    <x v="2"/>
  </r>
  <r>
    <n v="1262"/>
    <d v="2024-03-12T00:00:00"/>
    <x v="14"/>
    <s v="Male"/>
    <n v="153.6"/>
    <n v="52.4"/>
    <n v="12718"/>
    <n v="603.5"/>
    <n v="9.4"/>
    <n v="81"/>
    <x v="0"/>
    <n v="0"/>
    <n v="2.17"/>
    <n v="8"/>
    <x v="1"/>
  </r>
  <r>
    <n v="1079"/>
    <d v="2024-03-13T00:00:00"/>
    <x v="17"/>
    <s v="Female"/>
    <n v="154.5"/>
    <n v="60.8"/>
    <n v="17784"/>
    <n v="900"/>
    <n v="9"/>
    <n v="61"/>
    <x v="4"/>
    <n v="43"/>
    <n v="2.31"/>
    <n v="7"/>
    <x v="1"/>
  </r>
  <r>
    <n v="1399"/>
    <d v="2024-03-14T00:00:00"/>
    <x v="20"/>
    <s v="Male"/>
    <n v="166"/>
    <n v="100.7"/>
    <n v="12822"/>
    <n v="740.2"/>
    <n v="6.9"/>
    <n v="92"/>
    <x v="5"/>
    <n v="32"/>
    <n v="2.11"/>
    <n v="5"/>
    <x v="0"/>
  </r>
  <r>
    <n v="1763"/>
    <d v="2024-03-15T00:00:00"/>
    <x v="40"/>
    <s v="Female"/>
    <n v="158.80000000000001"/>
    <n v="55.4"/>
    <n v="12229"/>
    <n v="728.3"/>
    <n v="5.7"/>
    <n v="63"/>
    <x v="0"/>
    <n v="0"/>
    <n v="1.57"/>
    <n v="4"/>
    <x v="0"/>
  </r>
  <r>
    <n v="1608"/>
    <d v="2024-03-16T00:00:00"/>
    <x v="33"/>
    <s v="Female"/>
    <n v="166.7"/>
    <n v="86.3"/>
    <n v="4991"/>
    <n v="453.6"/>
    <n v="6.7"/>
    <n v="59"/>
    <x v="4"/>
    <n v="34"/>
    <n v="1.48"/>
    <n v="1"/>
    <x v="0"/>
  </r>
  <r>
    <n v="1259"/>
    <d v="2024-03-17T00:00:00"/>
    <x v="4"/>
    <s v="Female"/>
    <n v="179.1"/>
    <n v="69.599999999999994"/>
    <n v="18441"/>
    <n v="900"/>
    <n v="4.5"/>
    <n v="50"/>
    <x v="0"/>
    <n v="0"/>
    <n v="2.77"/>
    <n v="6"/>
    <x v="1"/>
  </r>
  <r>
    <n v="1771"/>
    <d v="2024-03-18T00:00:00"/>
    <x v="9"/>
    <s v="Female"/>
    <n v="167.3"/>
    <n v="52.8"/>
    <n v="8933"/>
    <n v="560.9"/>
    <n v="6.2"/>
    <n v="82"/>
    <x v="1"/>
    <n v="88"/>
    <n v="1.89"/>
    <n v="8"/>
    <x v="0"/>
  </r>
  <r>
    <n v="1614"/>
    <d v="2024-03-19T00:00:00"/>
    <x v="34"/>
    <s v="Female"/>
    <n v="167"/>
    <n v="112"/>
    <n v="15583"/>
    <n v="864.4"/>
    <n v="7.7"/>
    <n v="89"/>
    <x v="3"/>
    <n v="79"/>
    <n v="2.9"/>
    <n v="4"/>
    <x v="2"/>
  </r>
  <r>
    <n v="1551"/>
    <d v="2024-03-20T00:00:00"/>
    <x v="6"/>
    <s v="Male"/>
    <n v="167"/>
    <n v="72.900000000000006"/>
    <n v="9233"/>
    <n v="629"/>
    <n v="6.4"/>
    <n v="69"/>
    <x v="1"/>
    <n v="29"/>
    <n v="2.08"/>
    <n v="7"/>
    <x v="0"/>
  </r>
  <r>
    <n v="1784"/>
    <d v="2024-03-21T00:00:00"/>
    <x v="16"/>
    <s v="Female"/>
    <n v="180.1"/>
    <n v="75.599999999999994"/>
    <n v="14088"/>
    <n v="718.2"/>
    <n v="6.1"/>
    <n v="57"/>
    <x v="3"/>
    <n v="70"/>
    <n v="1.58"/>
    <n v="3"/>
    <x v="1"/>
  </r>
  <r>
    <n v="1100"/>
    <d v="2024-03-22T00:00:00"/>
    <x v="0"/>
    <s v="Female"/>
    <n v="182.9"/>
    <n v="78"/>
    <n v="17410"/>
    <n v="900"/>
    <n v="6.9"/>
    <n v="84"/>
    <x v="5"/>
    <n v="83"/>
    <n v="2.21"/>
    <n v="5"/>
    <x v="1"/>
  </r>
  <r>
    <n v="1358"/>
    <d v="2024-03-23T00:00:00"/>
    <x v="38"/>
    <s v="Female"/>
    <n v="174.2"/>
    <n v="76.900000000000006"/>
    <n v="3618"/>
    <n v="377.2"/>
    <n v="6.6"/>
    <n v="62"/>
    <x v="4"/>
    <n v="75"/>
    <n v="3.97"/>
    <n v="7"/>
    <x v="0"/>
  </r>
  <r>
    <n v="1379"/>
    <d v="2024-03-24T00:00:00"/>
    <x v="21"/>
    <s v="Female"/>
    <n v="171.4"/>
    <n v="102.3"/>
    <n v="10362"/>
    <n v="621.9"/>
    <n v="8.1"/>
    <n v="81"/>
    <x v="0"/>
    <n v="0"/>
    <n v="2.4300000000000002"/>
    <n v="9"/>
    <x v="1"/>
  </r>
  <r>
    <n v="1819"/>
    <d v="2024-03-25T00:00:00"/>
    <x v="8"/>
    <s v="Female"/>
    <n v="172.3"/>
    <n v="96.8"/>
    <n v="7639"/>
    <n v="474.5"/>
    <n v="5"/>
    <n v="66"/>
    <x v="3"/>
    <n v="42"/>
    <n v="2.95"/>
    <n v="9"/>
    <x v="1"/>
  </r>
  <r>
    <n v="1220"/>
    <d v="2024-03-26T00:00:00"/>
    <x v="29"/>
    <s v="Male"/>
    <n v="184.3"/>
    <n v="56"/>
    <n v="8042"/>
    <n v="521.79999999999995"/>
    <n v="7.8"/>
    <n v="71"/>
    <x v="4"/>
    <n v="73"/>
    <n v="2.62"/>
    <n v="7"/>
    <x v="0"/>
  </r>
  <r>
    <n v="1819"/>
    <d v="2024-03-27T00:00:00"/>
    <x v="24"/>
    <s v="Male"/>
    <n v="174.8"/>
    <n v="100.3"/>
    <n v="12391"/>
    <n v="722.1"/>
    <n v="6.9"/>
    <n v="78"/>
    <x v="0"/>
    <n v="0"/>
    <n v="1.52"/>
    <n v="4"/>
    <x v="0"/>
  </r>
  <r>
    <n v="1419"/>
    <d v="2024-03-28T00:00:00"/>
    <x v="24"/>
    <s v="Female"/>
    <n v="185.2"/>
    <n v="59.5"/>
    <n v="3018"/>
    <n v="282.7"/>
    <n v="7.7"/>
    <n v="78"/>
    <x v="3"/>
    <n v="80"/>
    <n v="3.51"/>
    <n v="6"/>
    <x v="2"/>
  </r>
  <r>
    <n v="1123"/>
    <d v="2024-03-29T00:00:00"/>
    <x v="37"/>
    <s v="Male"/>
    <n v="165.8"/>
    <n v="74.8"/>
    <n v="13952"/>
    <n v="698.2"/>
    <n v="4.9000000000000004"/>
    <n v="76"/>
    <x v="1"/>
    <n v="39"/>
    <n v="2.33"/>
    <n v="4"/>
    <x v="1"/>
  </r>
  <r>
    <n v="1421"/>
    <d v="2024-03-30T00:00:00"/>
    <x v="32"/>
    <s v="Male"/>
    <n v="156.6"/>
    <n v="48.2"/>
    <n v="17240"/>
    <n v="900"/>
    <n v="8.3000000000000007"/>
    <n v="90"/>
    <x v="3"/>
    <n v="72"/>
    <n v="1.58"/>
    <n v="3"/>
    <x v="0"/>
  </r>
  <r>
    <n v="1230"/>
    <d v="2024-03-31T00:00:00"/>
    <x v="14"/>
    <s v="Female"/>
    <n v="163.30000000000001"/>
    <n v="85.5"/>
    <n v="3047"/>
    <n v="331.3"/>
    <n v="7.8"/>
    <n v="92"/>
    <x v="3"/>
    <n v="34"/>
    <n v="2.14"/>
    <n v="9"/>
    <x v="2"/>
  </r>
  <r>
    <n v="1689"/>
    <d v="2024-04-01T00:00:00"/>
    <x v="4"/>
    <s v="Male"/>
    <n v="164.4"/>
    <n v="65.400000000000006"/>
    <n v="18942"/>
    <n v="900"/>
    <n v="9.5"/>
    <n v="93"/>
    <x v="2"/>
    <n v="48"/>
    <n v="2.36"/>
    <n v="5"/>
    <x v="1"/>
  </r>
  <r>
    <n v="1062"/>
    <d v="2024-04-02T00:00:00"/>
    <x v="38"/>
    <s v="Female"/>
    <n v="186"/>
    <n v="52.8"/>
    <n v="2722"/>
    <n v="319.39999999999998"/>
    <n v="5.8"/>
    <n v="73"/>
    <x v="0"/>
    <n v="0"/>
    <n v="3.02"/>
    <n v="8"/>
    <x v="1"/>
  </r>
  <r>
    <n v="1484"/>
    <d v="2024-04-03T00:00:00"/>
    <x v="18"/>
    <s v="Male"/>
    <n v="177.4"/>
    <n v="87.8"/>
    <n v="5052"/>
    <n v="454.6"/>
    <n v="6.1"/>
    <n v="76"/>
    <x v="0"/>
    <n v="0"/>
    <n v="2.02"/>
    <n v="3"/>
    <x v="2"/>
  </r>
  <r>
    <n v="1627"/>
    <d v="2024-04-04T00:00:00"/>
    <x v="27"/>
    <s v="Male"/>
    <n v="163.6"/>
    <n v="91.5"/>
    <n v="2651"/>
    <n v="310"/>
    <n v="4.3"/>
    <n v="89"/>
    <x v="5"/>
    <n v="81"/>
    <n v="4.33"/>
    <n v="9"/>
    <x v="1"/>
  </r>
  <r>
    <n v="1702"/>
    <d v="2024-04-05T00:00:00"/>
    <x v="37"/>
    <s v="Male"/>
    <n v="178.1"/>
    <n v="92.1"/>
    <n v="2778"/>
    <n v="340.5"/>
    <n v="5.8"/>
    <n v="68"/>
    <x v="0"/>
    <n v="0"/>
    <n v="1.84"/>
    <n v="1"/>
    <x v="0"/>
  </r>
  <r>
    <n v="1573"/>
    <d v="2024-04-06T00:00:00"/>
    <x v="11"/>
    <s v="Female"/>
    <n v="168.7"/>
    <n v="47.2"/>
    <n v="1683"/>
    <n v="211.8"/>
    <n v="9.1999999999999993"/>
    <n v="71"/>
    <x v="1"/>
    <n v="35"/>
    <n v="2.93"/>
    <n v="2"/>
    <x v="2"/>
  </r>
  <r>
    <n v="1767"/>
    <d v="2024-04-07T00:00:00"/>
    <x v="37"/>
    <s v="Male"/>
    <n v="186.3"/>
    <n v="93.6"/>
    <n v="10471"/>
    <n v="530.6"/>
    <n v="7.4"/>
    <n v="75"/>
    <x v="1"/>
    <n v="73"/>
    <n v="1.1200000000000001"/>
    <n v="4"/>
    <x v="2"/>
  </r>
  <r>
    <n v="1482"/>
    <d v="2024-04-08T00:00:00"/>
    <x v="28"/>
    <s v="Male"/>
    <n v="166.7"/>
    <n v="65.5"/>
    <n v="19394"/>
    <n v="900"/>
    <n v="5.9"/>
    <n v="75"/>
    <x v="4"/>
    <n v="26"/>
    <n v="2.41"/>
    <n v="2"/>
    <x v="0"/>
  </r>
  <r>
    <n v="1518"/>
    <d v="2024-04-09T00:00:00"/>
    <x v="26"/>
    <s v="Female"/>
    <n v="154.6"/>
    <n v="100.8"/>
    <n v="14937"/>
    <n v="726.2"/>
    <n v="7.2"/>
    <n v="72"/>
    <x v="3"/>
    <n v="79"/>
    <n v="2.76"/>
    <n v="9"/>
    <x v="2"/>
  </r>
  <r>
    <n v="1154"/>
    <d v="2024-04-10T00:00:00"/>
    <x v="14"/>
    <s v="Female"/>
    <n v="168.1"/>
    <n v="79.400000000000006"/>
    <n v="19966"/>
    <n v="892.8"/>
    <n v="6.9"/>
    <n v="66"/>
    <x v="3"/>
    <n v="29"/>
    <n v="1.72"/>
    <n v="7"/>
    <x v="0"/>
  </r>
  <r>
    <n v="1091"/>
    <d v="2024-04-11T00:00:00"/>
    <x v="23"/>
    <s v="Male"/>
    <n v="166.7"/>
    <n v="73.8"/>
    <n v="9505"/>
    <n v="595.29999999999995"/>
    <n v="4.0999999999999996"/>
    <n v="84"/>
    <x v="0"/>
    <n v="0"/>
    <n v="3.55"/>
    <n v="2"/>
    <x v="0"/>
  </r>
  <r>
    <n v="1981"/>
    <d v="2024-04-12T00:00:00"/>
    <x v="35"/>
    <s v="Female"/>
    <n v="156.6"/>
    <n v="70.099999999999994"/>
    <n v="8443"/>
    <n v="449.3"/>
    <n v="4.4000000000000004"/>
    <n v="71"/>
    <x v="3"/>
    <n v="27"/>
    <n v="2.8"/>
    <n v="4"/>
    <x v="1"/>
  </r>
  <r>
    <n v="1525"/>
    <d v="2024-04-13T00:00:00"/>
    <x v="3"/>
    <s v="Male"/>
    <n v="175.9"/>
    <n v="69.8"/>
    <n v="6492"/>
    <n v="507.2"/>
    <n v="8.6999999999999993"/>
    <n v="77"/>
    <x v="1"/>
    <n v="56"/>
    <n v="2.2799999999999998"/>
    <n v="6"/>
    <x v="1"/>
  </r>
  <r>
    <n v="1454"/>
    <d v="2024-04-14T00:00:00"/>
    <x v="41"/>
    <s v="Male"/>
    <n v="184.2"/>
    <n v="59.8"/>
    <n v="17827"/>
    <n v="900"/>
    <n v="8.1"/>
    <n v="75"/>
    <x v="2"/>
    <n v="23"/>
    <n v="2.8"/>
    <n v="2"/>
    <x v="1"/>
  </r>
  <r>
    <n v="1740"/>
    <d v="2024-04-15T00:00:00"/>
    <x v="14"/>
    <s v="Female"/>
    <n v="158.80000000000001"/>
    <n v="54"/>
    <n v="19055"/>
    <n v="890.1"/>
    <n v="4.8"/>
    <n v="82"/>
    <x v="4"/>
    <n v="42"/>
    <n v="2.08"/>
    <n v="9"/>
    <x v="1"/>
  </r>
  <r>
    <n v="1597"/>
    <d v="2024-04-16T00:00:00"/>
    <x v="22"/>
    <s v="Female"/>
    <n v="179.7"/>
    <n v="64.599999999999994"/>
    <n v="4266"/>
    <n v="385.1"/>
    <n v="6.8"/>
    <n v="80"/>
    <x v="3"/>
    <n v="28"/>
    <n v="3.38"/>
    <n v="3"/>
    <x v="1"/>
  </r>
  <r>
    <n v="1644"/>
    <d v="2024-04-17T00:00:00"/>
    <x v="37"/>
    <s v="Female"/>
    <n v="163.9"/>
    <n v="87.9"/>
    <n v="6909"/>
    <n v="569.29999999999995"/>
    <n v="5.9"/>
    <n v="72"/>
    <x v="2"/>
    <n v="57"/>
    <n v="3.21"/>
    <n v="2"/>
    <x v="0"/>
  </r>
  <r>
    <n v="1509"/>
    <d v="2024-04-18T00:00:00"/>
    <x v="40"/>
    <s v="Male"/>
    <n v="169.8"/>
    <n v="49.1"/>
    <n v="13869"/>
    <n v="731.2"/>
    <n v="8.6"/>
    <n v="71"/>
    <x v="0"/>
    <n v="0"/>
    <n v="2.76"/>
    <n v="4"/>
    <x v="2"/>
  </r>
  <r>
    <n v="1182"/>
    <d v="2024-04-19T00:00:00"/>
    <x v="12"/>
    <s v="Female"/>
    <n v="168.7"/>
    <n v="90.1"/>
    <n v="8014"/>
    <n v="551.1"/>
    <n v="7.7"/>
    <n v="74"/>
    <x v="5"/>
    <n v="64"/>
    <n v="2.93"/>
    <n v="5"/>
    <x v="2"/>
  </r>
  <r>
    <n v="1385"/>
    <d v="2024-04-20T00:00:00"/>
    <x v="11"/>
    <s v="Male"/>
    <n v="169.8"/>
    <n v="72.2"/>
    <n v="12287"/>
    <n v="811.1"/>
    <n v="5.3"/>
    <n v="64"/>
    <x v="1"/>
    <n v="37"/>
    <n v="1.47"/>
    <n v="4"/>
    <x v="1"/>
  </r>
  <r>
    <n v="1573"/>
    <d v="2024-04-21T00:00:00"/>
    <x v="32"/>
    <s v="Female"/>
    <n v="174.7"/>
    <n v="81.7"/>
    <n v="8819"/>
    <n v="468.9"/>
    <n v="7.2"/>
    <n v="67"/>
    <x v="5"/>
    <n v="65"/>
    <n v="3.53"/>
    <n v="3"/>
    <x v="0"/>
  </r>
  <r>
    <n v="1730"/>
    <d v="2024-04-22T00:00:00"/>
    <x v="4"/>
    <s v="Male"/>
    <n v="159.80000000000001"/>
    <n v="82.5"/>
    <n v="15837"/>
    <n v="782.5"/>
    <n v="6.9"/>
    <n v="80"/>
    <x v="1"/>
    <n v="21"/>
    <n v="2.4300000000000002"/>
    <n v="3"/>
    <x v="0"/>
  </r>
  <r>
    <n v="1404"/>
    <d v="2024-04-23T00:00:00"/>
    <x v="22"/>
    <s v="Female"/>
    <n v="182.9"/>
    <n v="83.9"/>
    <n v="16186"/>
    <n v="875.6"/>
    <n v="6.9"/>
    <n v="78"/>
    <x v="4"/>
    <n v="67"/>
    <n v="3.22"/>
    <n v="3"/>
    <x v="0"/>
  </r>
  <r>
    <n v="1245"/>
    <d v="2024-04-24T00:00:00"/>
    <x v="8"/>
    <s v="Male"/>
    <n v="175"/>
    <n v="70.3"/>
    <n v="11056"/>
    <n v="750.9"/>
    <n v="6.2"/>
    <n v="65"/>
    <x v="0"/>
    <n v="0"/>
    <n v="3.02"/>
    <n v="3"/>
    <x v="2"/>
  </r>
  <r>
    <n v="1741"/>
    <d v="2024-04-25T00:00:00"/>
    <x v="4"/>
    <s v="Female"/>
    <n v="178.4"/>
    <n v="70.8"/>
    <n v="1715"/>
    <n v="233"/>
    <n v="7"/>
    <n v="74"/>
    <x v="5"/>
    <n v="35"/>
    <n v="3.21"/>
    <n v="6"/>
    <x v="0"/>
  </r>
  <r>
    <n v="1590"/>
    <d v="2024-04-26T00:00:00"/>
    <x v="12"/>
    <s v="Male"/>
    <n v="162.19999999999999"/>
    <n v="83.4"/>
    <n v="18275"/>
    <n v="900"/>
    <n v="5.7"/>
    <n v="59"/>
    <x v="4"/>
    <n v="64"/>
    <n v="1.77"/>
    <n v="4"/>
    <x v="1"/>
  </r>
  <r>
    <n v="1660"/>
    <d v="2024-04-27T00:00:00"/>
    <x v="31"/>
    <s v="Female"/>
    <n v="158.9"/>
    <n v="54.4"/>
    <n v="17884"/>
    <n v="900"/>
    <n v="5.2"/>
    <n v="76"/>
    <x v="4"/>
    <n v="67"/>
    <n v="1.86"/>
    <n v="7"/>
    <x v="0"/>
  </r>
  <r>
    <n v="1649"/>
    <d v="2024-04-28T00:00:00"/>
    <x v="2"/>
    <s v="Female"/>
    <n v="181.8"/>
    <n v="52.1"/>
    <n v="13694"/>
    <n v="649.4"/>
    <n v="5.0999999999999996"/>
    <n v="72"/>
    <x v="4"/>
    <n v="43"/>
    <n v="4.07"/>
    <n v="7"/>
    <x v="1"/>
  </r>
  <r>
    <n v="1470"/>
    <d v="2024-04-29T00:00:00"/>
    <x v="8"/>
    <s v="Male"/>
    <n v="158.4"/>
    <n v="63"/>
    <n v="9894"/>
    <n v="675.3"/>
    <n v="5.4"/>
    <n v="96"/>
    <x v="5"/>
    <n v="84"/>
    <n v="1.44"/>
    <n v="4"/>
    <x v="2"/>
  </r>
  <r>
    <n v="1825"/>
    <d v="2024-04-30T00:00:00"/>
    <x v="32"/>
    <s v="Female"/>
    <n v="171.5"/>
    <n v="74.3"/>
    <n v="19717"/>
    <n v="900"/>
    <n v="7.6"/>
    <n v="81"/>
    <x v="5"/>
    <n v="52"/>
    <n v="1.73"/>
    <n v="1"/>
    <x v="2"/>
  </r>
  <r>
    <n v="1887"/>
    <d v="2024-05-01T00:00:00"/>
    <x v="5"/>
    <s v="Male"/>
    <n v="180.2"/>
    <n v="98.8"/>
    <n v="19578"/>
    <n v="900"/>
    <n v="7.7"/>
    <n v="65"/>
    <x v="5"/>
    <n v="23"/>
    <n v="2.5299999999999998"/>
    <n v="9"/>
    <x v="0"/>
  </r>
  <r>
    <n v="1422"/>
    <d v="2024-05-02T00:00:00"/>
    <x v="7"/>
    <s v="Male"/>
    <n v="168.7"/>
    <n v="70.7"/>
    <n v="11201"/>
    <n v="565.1"/>
    <n v="9.1999999999999993"/>
    <n v="65"/>
    <x v="3"/>
    <n v="20"/>
    <n v="2.5299999999999998"/>
    <n v="7"/>
    <x v="2"/>
  </r>
  <r>
    <n v="1900"/>
    <d v="2024-05-03T00:00:00"/>
    <x v="25"/>
    <s v="Female"/>
    <n v="181.7"/>
    <n v="100"/>
    <n v="11515"/>
    <n v="622.9"/>
    <n v="6.7"/>
    <n v="81"/>
    <x v="4"/>
    <n v="52"/>
    <n v="2.12"/>
    <n v="6"/>
    <x v="2"/>
  </r>
  <r>
    <n v="1064"/>
    <d v="2024-05-04T00:00:00"/>
    <x v="36"/>
    <s v="Male"/>
    <n v="167.3"/>
    <n v="77.7"/>
    <n v="10077"/>
    <n v="528.20000000000005"/>
    <n v="8.1"/>
    <n v="84"/>
    <x v="0"/>
    <n v="0"/>
    <n v="2.93"/>
    <n v="5"/>
    <x v="0"/>
  </r>
  <r>
    <n v="1012"/>
    <d v="2024-05-05T00:00:00"/>
    <x v="26"/>
    <s v="Female"/>
    <n v="157.19999999999999"/>
    <n v="63.2"/>
    <n v="18975"/>
    <n v="878.9"/>
    <n v="7.1"/>
    <n v="94"/>
    <x v="3"/>
    <n v="22"/>
    <n v="3.13"/>
    <n v="9"/>
    <x v="2"/>
  </r>
  <r>
    <n v="1212"/>
    <d v="2024-05-06T00:00:00"/>
    <x v="14"/>
    <s v="Female"/>
    <n v="173.7"/>
    <n v="87.2"/>
    <n v="11443"/>
    <n v="662.6"/>
    <n v="7.4"/>
    <n v="87"/>
    <x v="1"/>
    <n v="64"/>
    <n v="2.4900000000000002"/>
    <n v="9"/>
    <x v="1"/>
  </r>
  <r>
    <n v="1985"/>
    <d v="2024-05-07T00:00:00"/>
    <x v="30"/>
    <s v="Male"/>
    <n v="172"/>
    <n v="66.400000000000006"/>
    <n v="5440"/>
    <n v="445.9"/>
    <n v="8.1999999999999993"/>
    <n v="80"/>
    <x v="5"/>
    <n v="40"/>
    <n v="2.31"/>
    <n v="10"/>
    <x v="0"/>
  </r>
  <r>
    <n v="1241"/>
    <d v="2024-05-08T00:00:00"/>
    <x v="5"/>
    <s v="Female"/>
    <n v="196.9"/>
    <n v="73.8"/>
    <n v="2783"/>
    <n v="284"/>
    <n v="7.9"/>
    <n v="89"/>
    <x v="0"/>
    <n v="0"/>
    <n v="2.48"/>
    <n v="6"/>
    <x v="1"/>
  </r>
  <r>
    <n v="1492"/>
    <d v="2024-05-09T00:00:00"/>
    <x v="26"/>
    <s v="Male"/>
    <n v="160.5"/>
    <n v="50"/>
    <n v="14113"/>
    <n v="692.7"/>
    <n v="7.2"/>
    <n v="76"/>
    <x v="2"/>
    <n v="76"/>
    <n v="2.15"/>
    <n v="8"/>
    <x v="2"/>
  </r>
  <r>
    <n v="1212"/>
    <d v="2024-05-10T00:00:00"/>
    <x v="24"/>
    <s v="Male"/>
    <n v="167.5"/>
    <n v="47.4"/>
    <n v="6385"/>
    <n v="391.6"/>
    <n v="6.1"/>
    <n v="75"/>
    <x v="1"/>
    <n v="59"/>
    <n v="1.31"/>
    <n v="7"/>
    <x v="0"/>
  </r>
  <r>
    <n v="1692"/>
    <d v="2024-05-11T00:00:00"/>
    <x v="13"/>
    <s v="Female"/>
    <n v="162.69999999999999"/>
    <n v="78.3"/>
    <n v="5117"/>
    <n v="423.3"/>
    <n v="7.4"/>
    <n v="63"/>
    <x v="4"/>
    <n v="81"/>
    <n v="2.71"/>
    <n v="1"/>
    <x v="1"/>
  </r>
  <r>
    <n v="1337"/>
    <d v="2024-05-12T00:00:00"/>
    <x v="22"/>
    <s v="Female"/>
    <n v="168.6"/>
    <n v="86.6"/>
    <n v="7982"/>
    <n v="524.79999999999995"/>
    <n v="9"/>
    <n v="90"/>
    <x v="4"/>
    <n v="62"/>
    <n v="3.04"/>
    <n v="2"/>
    <x v="0"/>
  </r>
  <r>
    <n v="1996"/>
    <d v="2024-05-13T00:00:00"/>
    <x v="35"/>
    <s v="Male"/>
    <n v="168.2"/>
    <n v="99.2"/>
    <n v="3583"/>
    <n v="362.7"/>
    <n v="7.3"/>
    <n v="76"/>
    <x v="0"/>
    <n v="0"/>
    <n v="2.39"/>
    <n v="9"/>
    <x v="1"/>
  </r>
  <r>
    <n v="1172"/>
    <d v="2024-05-14T00:00:00"/>
    <x v="17"/>
    <s v="Male"/>
    <n v="161.30000000000001"/>
    <n v="57.9"/>
    <n v="10921"/>
    <n v="714.8"/>
    <n v="6.4"/>
    <n v="74"/>
    <x v="3"/>
    <n v="43"/>
    <n v="0.91"/>
    <n v="10"/>
    <x v="1"/>
  </r>
  <r>
    <n v="1671"/>
    <d v="2024-05-15T00:00:00"/>
    <x v="5"/>
    <s v="Female"/>
    <n v="174.7"/>
    <n v="92"/>
    <n v="14407"/>
    <n v="805"/>
    <n v="8.1999999999999993"/>
    <n v="67"/>
    <x v="5"/>
    <n v="43"/>
    <n v="2.1"/>
    <n v="4"/>
    <x v="0"/>
  </r>
  <r>
    <n v="1163"/>
    <d v="2024-05-16T00:00:00"/>
    <x v="37"/>
    <s v="Female"/>
    <n v="167.9"/>
    <n v="89.7"/>
    <n v="16316"/>
    <n v="873.1"/>
    <n v="4.9000000000000004"/>
    <n v="87"/>
    <x v="0"/>
    <n v="0"/>
    <n v="3.13"/>
    <n v="3"/>
    <x v="1"/>
  </r>
  <r>
    <n v="1464"/>
    <d v="2024-05-17T00:00:00"/>
    <x v="17"/>
    <s v="Female"/>
    <n v="183.5"/>
    <n v="62.6"/>
    <n v="14756"/>
    <n v="900"/>
    <n v="6.5"/>
    <n v="85"/>
    <x v="5"/>
    <n v="87"/>
    <n v="1.49"/>
    <n v="2"/>
    <x v="0"/>
  </r>
  <r>
    <n v="1994"/>
    <d v="2024-05-18T00:00:00"/>
    <x v="8"/>
    <s v="Female"/>
    <n v="163.5"/>
    <n v="90.8"/>
    <n v="16348"/>
    <n v="840.2"/>
    <n v="5.5"/>
    <n v="66"/>
    <x v="1"/>
    <n v="76"/>
    <n v="2.99"/>
    <n v="8"/>
    <x v="2"/>
  </r>
  <r>
    <n v="1496"/>
    <d v="2024-05-19T00:00:00"/>
    <x v="35"/>
    <s v="Male"/>
    <n v="188.6"/>
    <n v="84.2"/>
    <n v="3430"/>
    <n v="456.4"/>
    <n v="6.8"/>
    <n v="80"/>
    <x v="0"/>
    <n v="0"/>
    <n v="2.19"/>
    <n v="7"/>
    <x v="1"/>
  </r>
  <r>
    <n v="1699"/>
    <d v="2024-05-20T00:00:00"/>
    <x v="9"/>
    <s v="Female"/>
    <n v="172.8"/>
    <n v="87.1"/>
    <n v="8060"/>
    <n v="593.6"/>
    <n v="8.9"/>
    <n v="83"/>
    <x v="1"/>
    <n v="67"/>
    <n v="2.4900000000000002"/>
    <n v="9"/>
    <x v="1"/>
  </r>
  <r>
    <n v="1394"/>
    <d v="2024-05-21T00:00:00"/>
    <x v="24"/>
    <s v="Male"/>
    <n v="182.7"/>
    <n v="102.5"/>
    <n v="3936"/>
    <n v="342.5"/>
    <n v="8"/>
    <n v="63"/>
    <x v="1"/>
    <n v="46"/>
    <n v="2.02"/>
    <n v="3"/>
    <x v="1"/>
  </r>
  <r>
    <n v="1702"/>
    <d v="2024-05-22T00:00:00"/>
    <x v="22"/>
    <s v="Male"/>
    <n v="171.2"/>
    <n v="86.5"/>
    <n v="12864"/>
    <n v="754.8"/>
    <n v="4.2"/>
    <n v="81"/>
    <x v="2"/>
    <n v="49"/>
    <n v="1.71"/>
    <n v="1"/>
    <x v="1"/>
  </r>
  <r>
    <n v="1916"/>
    <d v="2024-05-23T00:00:00"/>
    <x v="2"/>
    <s v="Female"/>
    <n v="162.19999999999999"/>
    <n v="45"/>
    <n v="10307"/>
    <n v="601.5"/>
    <n v="6.1"/>
    <n v="79"/>
    <x v="2"/>
    <n v="65"/>
    <n v="3.5"/>
    <n v="9"/>
    <x v="2"/>
  </r>
  <r>
    <n v="1307"/>
    <d v="2024-05-24T00:00:00"/>
    <x v="35"/>
    <s v="Male"/>
    <n v="167.4"/>
    <n v="74.8"/>
    <n v="7709"/>
    <n v="436.5"/>
    <n v="4.8"/>
    <n v="81"/>
    <x v="4"/>
    <n v="31"/>
    <n v="3.07"/>
    <n v="5"/>
    <x v="0"/>
  </r>
  <r>
    <n v="1767"/>
    <d v="2024-05-25T00:00:00"/>
    <x v="36"/>
    <s v="Female"/>
    <n v="156.1"/>
    <n v="46.5"/>
    <n v="10075"/>
    <n v="602.6"/>
    <n v="8.6"/>
    <n v="95"/>
    <x v="4"/>
    <n v="79"/>
    <n v="2.95"/>
    <n v="5"/>
    <x v="0"/>
  </r>
  <r>
    <n v="1182"/>
    <d v="2024-05-26T00:00:00"/>
    <x v="36"/>
    <s v="Male"/>
    <n v="168.9"/>
    <n v="72.3"/>
    <n v="7616"/>
    <n v="431.3"/>
    <n v="6.1"/>
    <n v="105"/>
    <x v="4"/>
    <n v="38"/>
    <n v="3.14"/>
    <n v="3"/>
    <x v="0"/>
  </r>
  <r>
    <n v="1628"/>
    <d v="2024-05-27T00:00:00"/>
    <x v="26"/>
    <s v="Female"/>
    <n v="171.7"/>
    <n v="71.400000000000006"/>
    <n v="3419"/>
    <n v="348.4"/>
    <n v="7.1"/>
    <n v="87"/>
    <x v="0"/>
    <n v="0"/>
    <n v="2.85"/>
    <n v="8"/>
    <x v="2"/>
  </r>
  <r>
    <n v="1793"/>
    <d v="2024-05-28T00:00:00"/>
    <x v="14"/>
    <s v="Male"/>
    <n v="170.5"/>
    <n v="61.2"/>
    <n v="2399"/>
    <n v="336"/>
    <n v="7.2"/>
    <n v="78"/>
    <x v="5"/>
    <n v="73"/>
    <n v="3.16"/>
    <n v="8"/>
    <x v="2"/>
  </r>
  <r>
    <n v="1509"/>
    <d v="2024-05-29T00:00:00"/>
    <x v="13"/>
    <s v="Male"/>
    <n v="183.3"/>
    <n v="54.6"/>
    <n v="10768"/>
    <n v="619.9"/>
    <n v="7.3"/>
    <n v="81"/>
    <x v="4"/>
    <n v="53"/>
    <n v="2.04"/>
    <n v="1"/>
    <x v="0"/>
  </r>
  <r>
    <n v="1707"/>
    <d v="2024-05-30T00:00:00"/>
    <x v="16"/>
    <s v="Female"/>
    <n v="168.5"/>
    <n v="62"/>
    <n v="19468"/>
    <n v="900"/>
    <n v="3"/>
    <n v="79"/>
    <x v="3"/>
    <n v="26"/>
    <n v="3.46"/>
    <n v="4"/>
    <x v="0"/>
  </r>
  <r>
    <n v="1545"/>
    <d v="2024-05-31T00:00:00"/>
    <x v="21"/>
    <s v="Female"/>
    <n v="151.1"/>
    <n v="64.900000000000006"/>
    <n v="15245"/>
    <n v="820.5"/>
    <n v="7.5"/>
    <n v="99"/>
    <x v="1"/>
    <n v="61"/>
    <n v="3.4"/>
    <n v="6"/>
    <x v="2"/>
  </r>
  <r>
    <n v="1563"/>
    <d v="2024-06-01T00:00:00"/>
    <x v="29"/>
    <s v="Male"/>
    <n v="200"/>
    <n v="68"/>
    <n v="13978"/>
    <n v="801.3"/>
    <n v="6.2"/>
    <n v="76"/>
    <x v="0"/>
    <n v="0"/>
    <n v="2.77"/>
    <n v="9"/>
    <x v="2"/>
  </r>
  <r>
    <n v="1623"/>
    <d v="2024-06-02T00:00:00"/>
    <x v="3"/>
    <s v="Male"/>
    <n v="163.1"/>
    <n v="71.599999999999994"/>
    <n v="15436"/>
    <n v="821.9"/>
    <n v="8.3000000000000007"/>
    <n v="71"/>
    <x v="5"/>
    <n v="72"/>
    <n v="2.2999999999999998"/>
    <n v="2"/>
    <x v="1"/>
  </r>
  <r>
    <n v="1763"/>
    <d v="2024-06-03T00:00:00"/>
    <x v="2"/>
    <s v="Female"/>
    <n v="179.7"/>
    <n v="78.8"/>
    <n v="2535"/>
    <n v="285.7"/>
    <n v="7.3"/>
    <n v="80"/>
    <x v="2"/>
    <n v="27"/>
    <n v="1.64"/>
    <n v="7"/>
    <x v="0"/>
  </r>
  <r>
    <n v="1593"/>
    <d v="2024-06-04T00:00:00"/>
    <x v="22"/>
    <s v="Male"/>
    <n v="155"/>
    <n v="65.3"/>
    <n v="9281"/>
    <n v="611.20000000000005"/>
    <n v="7.9"/>
    <n v="96"/>
    <x v="1"/>
    <n v="41"/>
    <n v="2.66"/>
    <n v="10"/>
    <x v="0"/>
  </r>
  <r>
    <n v="1743"/>
    <d v="2024-06-05T00:00:00"/>
    <x v="20"/>
    <s v="Female"/>
    <n v="172.5"/>
    <n v="89.2"/>
    <n v="16365"/>
    <n v="862.5"/>
    <n v="5.9"/>
    <n v="65"/>
    <x v="4"/>
    <n v="45"/>
    <n v="3.68"/>
    <n v="1"/>
    <x v="0"/>
  </r>
  <r>
    <n v="1226"/>
    <d v="2024-06-06T00:00:00"/>
    <x v="12"/>
    <s v="Male"/>
    <n v="162.1"/>
    <n v="69.400000000000006"/>
    <n v="14450"/>
    <n v="671.2"/>
    <n v="5.3"/>
    <n v="68"/>
    <x v="2"/>
    <n v="82"/>
    <n v="1.69"/>
    <n v="10"/>
    <x v="0"/>
  </r>
  <r>
    <n v="1744"/>
    <d v="2024-06-07T00:00:00"/>
    <x v="39"/>
    <s v="Female"/>
    <n v="150"/>
    <n v="83.9"/>
    <n v="5190"/>
    <n v="390.1"/>
    <n v="8.3000000000000007"/>
    <n v="68"/>
    <x v="2"/>
    <n v="65"/>
    <n v="3.21"/>
    <n v="4"/>
    <x v="0"/>
  </r>
  <r>
    <n v="1732"/>
    <d v="2024-06-08T00:00:00"/>
    <x v="8"/>
    <s v="Male"/>
    <n v="167.2"/>
    <n v="65.400000000000006"/>
    <n v="19038"/>
    <n v="900"/>
    <n v="7.8"/>
    <n v="63"/>
    <x v="2"/>
    <n v="63"/>
    <n v="2.17"/>
    <n v="10"/>
    <x v="1"/>
  </r>
  <r>
    <n v="1435"/>
    <d v="2024-06-09T00:00:00"/>
    <x v="11"/>
    <s v="Female"/>
    <n v="169.5"/>
    <n v="111.2"/>
    <n v="11093"/>
    <n v="651.1"/>
    <n v="7.3"/>
    <n v="65"/>
    <x v="0"/>
    <n v="0"/>
    <n v="2.23"/>
    <n v="7"/>
    <x v="2"/>
  </r>
  <r>
    <n v="1924"/>
    <d v="2024-06-10T00:00:00"/>
    <x v="29"/>
    <s v="Female"/>
    <n v="167.8"/>
    <n v="77"/>
    <n v="11871"/>
    <n v="676.8"/>
    <n v="7.3"/>
    <n v="84"/>
    <x v="1"/>
    <n v="55"/>
    <n v="1.68"/>
    <n v="3"/>
    <x v="1"/>
  </r>
  <r>
    <n v="1421"/>
    <d v="2024-06-11T00:00:00"/>
    <x v="11"/>
    <s v="Male"/>
    <n v="172.4"/>
    <n v="94.5"/>
    <n v="8452"/>
    <n v="440.6"/>
    <n v="7.6"/>
    <n v="77"/>
    <x v="5"/>
    <n v="60"/>
    <n v="1.97"/>
    <n v="3"/>
    <x v="1"/>
  </r>
  <r>
    <n v="1553"/>
    <d v="2024-06-12T00:00:00"/>
    <x v="15"/>
    <s v="Female"/>
    <n v="167.3"/>
    <n v="59.6"/>
    <n v="4960"/>
    <n v="323.8"/>
    <n v="5.0999999999999996"/>
    <n v="62"/>
    <x v="1"/>
    <n v="46"/>
    <n v="2.95"/>
    <n v="4"/>
    <x v="0"/>
  </r>
  <r>
    <n v="1020"/>
    <d v="2024-06-13T00:00:00"/>
    <x v="13"/>
    <s v="Male"/>
    <n v="170.7"/>
    <n v="63.3"/>
    <n v="7834"/>
    <n v="465.7"/>
    <n v="8.6"/>
    <n v="82"/>
    <x v="3"/>
    <n v="89"/>
    <n v="3.04"/>
    <n v="8"/>
    <x v="1"/>
  </r>
  <r>
    <n v="1553"/>
    <d v="2024-06-14T00:00:00"/>
    <x v="0"/>
    <s v="Female"/>
    <n v="171.7"/>
    <n v="66.2"/>
    <n v="11564"/>
    <n v="665.8"/>
    <n v="6.8"/>
    <n v="78"/>
    <x v="4"/>
    <n v="60"/>
    <n v="2.67"/>
    <n v="3"/>
    <x v="1"/>
  </r>
  <r>
    <n v="1396"/>
    <d v="2024-06-15T00:00:00"/>
    <x v="21"/>
    <s v="Female"/>
    <n v="169.6"/>
    <n v="107.1"/>
    <n v="15742"/>
    <n v="883.4"/>
    <n v="6.8"/>
    <n v="85"/>
    <x v="0"/>
    <n v="0"/>
    <n v="2.15"/>
    <n v="8"/>
    <x v="0"/>
  </r>
  <r>
    <n v="1624"/>
    <d v="2024-06-16T00:00:00"/>
    <x v="38"/>
    <s v="Female"/>
    <n v="168.3"/>
    <n v="66.8"/>
    <n v="6091"/>
    <n v="363.5"/>
    <n v="6.4"/>
    <n v="69"/>
    <x v="5"/>
    <n v="76"/>
    <n v="1.73"/>
    <n v="10"/>
    <x v="1"/>
  </r>
  <r>
    <n v="1104"/>
    <d v="2024-06-17T00:00:00"/>
    <x v="0"/>
    <s v="Male"/>
    <n v="161.1"/>
    <n v="57.6"/>
    <n v="17902"/>
    <n v="882.5"/>
    <n v="3.3"/>
    <n v="63"/>
    <x v="0"/>
    <n v="0"/>
    <n v="2.54"/>
    <n v="9"/>
    <x v="1"/>
  </r>
  <r>
    <n v="1191"/>
    <d v="2024-06-18T00:00:00"/>
    <x v="14"/>
    <s v="Female"/>
    <n v="175.9"/>
    <n v="89.5"/>
    <n v="4710"/>
    <n v="386"/>
    <n v="7.9"/>
    <n v="82"/>
    <x v="5"/>
    <n v="31"/>
    <n v="2.2400000000000002"/>
    <n v="8"/>
    <x v="2"/>
  </r>
  <r>
    <n v="1016"/>
    <d v="2024-06-19T00:00:00"/>
    <x v="1"/>
    <s v="Male"/>
    <n v="167.2"/>
    <n v="70.900000000000006"/>
    <n v="18213"/>
    <n v="882"/>
    <n v="5.5"/>
    <n v="83"/>
    <x v="4"/>
    <n v="44"/>
    <n v="2.65"/>
    <n v="8"/>
    <x v="0"/>
  </r>
  <r>
    <n v="1119"/>
    <d v="2024-06-20T00:00:00"/>
    <x v="4"/>
    <s v="Female"/>
    <n v="166.4"/>
    <n v="66.7"/>
    <n v="7627"/>
    <n v="509.4"/>
    <n v="7.2"/>
    <n v="64"/>
    <x v="3"/>
    <n v="53"/>
    <n v="2.2799999999999998"/>
    <n v="9"/>
    <x v="0"/>
  </r>
  <r>
    <n v="1392"/>
    <d v="2024-06-21T00:00:00"/>
    <x v="28"/>
    <s v="Male"/>
    <n v="175.1"/>
    <n v="60.8"/>
    <n v="8988"/>
    <n v="591.5"/>
    <n v="5.8"/>
    <n v="77"/>
    <x v="2"/>
    <n v="43"/>
    <n v="2.29"/>
    <n v="4"/>
    <x v="1"/>
  </r>
  <r>
    <n v="1424"/>
    <d v="2024-06-22T00:00:00"/>
    <x v="21"/>
    <s v="Male"/>
    <n v="172.1"/>
    <n v="77.3"/>
    <n v="3986"/>
    <n v="321.60000000000002"/>
    <n v="6.5"/>
    <n v="69"/>
    <x v="4"/>
    <n v="82"/>
    <n v="2.61"/>
    <n v="3"/>
    <x v="0"/>
  </r>
  <r>
    <n v="1128"/>
    <d v="2024-06-23T00:00:00"/>
    <x v="36"/>
    <s v="Male"/>
    <n v="163"/>
    <n v="85.9"/>
    <n v="11509"/>
    <n v="676.7"/>
    <n v="6.4"/>
    <n v="85"/>
    <x v="2"/>
    <n v="82"/>
    <n v="2.75"/>
    <n v="8"/>
    <x v="2"/>
  </r>
  <r>
    <n v="1129"/>
    <d v="2024-06-24T00:00:00"/>
    <x v="11"/>
    <s v="Female"/>
    <n v="182.5"/>
    <n v="81.8"/>
    <n v="16300"/>
    <n v="846.3"/>
    <n v="5.7"/>
    <n v="82"/>
    <x v="4"/>
    <n v="29"/>
    <n v="3.36"/>
    <n v="1"/>
    <x v="1"/>
  </r>
  <r>
    <n v="1571"/>
    <d v="2024-06-25T00:00:00"/>
    <x v="20"/>
    <s v="Male"/>
    <n v="158.1"/>
    <n v="62.8"/>
    <n v="13665"/>
    <n v="689.1"/>
    <n v="6.7"/>
    <n v="87"/>
    <x v="1"/>
    <n v="24"/>
    <n v="2.2599999999999998"/>
    <n v="10"/>
    <x v="2"/>
  </r>
  <r>
    <n v="1559"/>
    <d v="2024-06-26T00:00:00"/>
    <x v="7"/>
    <s v="Female"/>
    <n v="159.69999999999999"/>
    <n v="55.2"/>
    <n v="17560"/>
    <n v="895.4"/>
    <n v="6.3"/>
    <n v="67"/>
    <x v="0"/>
    <n v="0"/>
    <n v="2.88"/>
    <n v="1"/>
    <x v="1"/>
  </r>
  <r>
    <n v="1028"/>
    <d v="2024-06-27T00:00:00"/>
    <x v="14"/>
    <s v="Male"/>
    <n v="176.7"/>
    <n v="45"/>
    <n v="11513"/>
    <n v="683.4"/>
    <n v="5.4"/>
    <n v="68"/>
    <x v="3"/>
    <n v="47"/>
    <n v="3.76"/>
    <n v="4"/>
    <x v="1"/>
  </r>
  <r>
    <n v="1096"/>
    <d v="2024-06-28T00:00:00"/>
    <x v="33"/>
    <s v="Male"/>
    <n v="187.5"/>
    <n v="55.8"/>
    <n v="10906"/>
    <n v="706.9"/>
    <n v="8.8000000000000007"/>
    <n v="71"/>
    <x v="0"/>
    <n v="0"/>
    <n v="2.9"/>
    <n v="10"/>
    <x v="0"/>
  </r>
  <r>
    <n v="1009"/>
    <d v="2024-06-29T00:00:00"/>
    <x v="32"/>
    <s v="Male"/>
    <n v="164.2"/>
    <n v="64.400000000000006"/>
    <n v="7170"/>
    <n v="569"/>
    <n v="5.8"/>
    <n v="70"/>
    <x v="3"/>
    <n v="64"/>
    <n v="3.31"/>
    <n v="3"/>
    <x v="0"/>
  </r>
  <r>
    <n v="1241"/>
    <d v="2024-06-30T00:00:00"/>
    <x v="39"/>
    <s v="Male"/>
    <n v="174.1"/>
    <n v="69.099999999999994"/>
    <n v="3623"/>
    <n v="316.5"/>
    <n v="7.8"/>
    <n v="79"/>
    <x v="4"/>
    <n v="85"/>
    <n v="2.0699999999999998"/>
    <n v="10"/>
    <x v="1"/>
  </r>
  <r>
    <n v="1825"/>
    <d v="2024-07-01T00:00:00"/>
    <x v="8"/>
    <s v="Female"/>
    <n v="158.1"/>
    <n v="65.900000000000006"/>
    <n v="16576"/>
    <n v="831.6"/>
    <n v="8"/>
    <n v="64"/>
    <x v="3"/>
    <n v="68"/>
    <n v="2"/>
    <n v="2"/>
    <x v="2"/>
  </r>
  <r>
    <n v="1955"/>
    <d v="2024-07-02T00:00:00"/>
    <x v="14"/>
    <s v="Male"/>
    <n v="160.69999999999999"/>
    <n v="112"/>
    <n v="5365"/>
    <n v="416.6"/>
    <n v="8.4"/>
    <n v="90"/>
    <x v="2"/>
    <n v="59"/>
    <n v="2.39"/>
    <n v="9"/>
    <x v="1"/>
  </r>
  <r>
    <n v="1231"/>
    <d v="2024-07-03T00:00:00"/>
    <x v="5"/>
    <s v="Male"/>
    <n v="181.3"/>
    <n v="77.400000000000006"/>
    <n v="12379"/>
    <n v="668"/>
    <n v="6.2"/>
    <n v="92"/>
    <x v="3"/>
    <n v="85"/>
    <n v="2.46"/>
    <n v="5"/>
    <x v="1"/>
  </r>
  <r>
    <n v="1788"/>
    <d v="2024-07-04T00:00:00"/>
    <x v="25"/>
    <s v="Female"/>
    <n v="173.7"/>
    <n v="51.4"/>
    <n v="5340"/>
    <n v="474.3"/>
    <n v="6.7"/>
    <n v="86"/>
    <x v="3"/>
    <n v="27"/>
    <n v="3.25"/>
    <n v="3"/>
    <x v="1"/>
  </r>
  <r>
    <n v="1283"/>
    <d v="2024-07-05T00:00:00"/>
    <x v="19"/>
    <s v="Male"/>
    <n v="181.6"/>
    <n v="79.8"/>
    <n v="5755"/>
    <n v="435.2"/>
    <n v="6.7"/>
    <n v="80"/>
    <x v="0"/>
    <n v="0"/>
    <n v="1.99"/>
    <n v="9"/>
    <x v="2"/>
  </r>
  <r>
    <n v="1714"/>
    <d v="2024-07-06T00:00:00"/>
    <x v="14"/>
    <s v="Male"/>
    <n v="180.9"/>
    <n v="75.900000000000006"/>
    <n v="16963"/>
    <n v="881.3"/>
    <n v="7.8"/>
    <n v="74"/>
    <x v="3"/>
    <n v="36"/>
    <n v="2.44"/>
    <n v="8"/>
    <x v="0"/>
  </r>
  <r>
    <n v="1758"/>
    <d v="2024-07-07T00:00:00"/>
    <x v="25"/>
    <s v="Male"/>
    <n v="150"/>
    <n v="54.3"/>
    <n v="10098"/>
    <n v="636.1"/>
    <n v="6.6"/>
    <n v="77"/>
    <x v="5"/>
    <n v="87"/>
    <n v="3.25"/>
    <n v="4"/>
    <x v="0"/>
  </r>
  <r>
    <n v="1801"/>
    <d v="2024-07-08T00:00:00"/>
    <x v="14"/>
    <s v="Male"/>
    <n v="158"/>
    <n v="74.3"/>
    <n v="16991"/>
    <n v="887.6"/>
    <n v="7.7"/>
    <n v="67"/>
    <x v="4"/>
    <n v="63"/>
    <n v="2.65"/>
    <n v="10"/>
    <x v="2"/>
  </r>
  <r>
    <n v="1775"/>
    <d v="2024-07-09T00:00:00"/>
    <x v="3"/>
    <s v="Female"/>
    <n v="172.7"/>
    <n v="78"/>
    <n v="19259"/>
    <n v="900"/>
    <n v="6.6"/>
    <n v="77"/>
    <x v="1"/>
    <n v="50"/>
    <n v="2.4900000000000002"/>
    <n v="5"/>
    <x v="0"/>
  </r>
  <r>
    <n v="1954"/>
    <d v="2024-07-10T00:00:00"/>
    <x v="13"/>
    <s v="Female"/>
    <n v="153"/>
    <n v="85.4"/>
    <n v="4958"/>
    <n v="411.5"/>
    <n v="8.6999999999999993"/>
    <n v="78"/>
    <x v="1"/>
    <n v="24"/>
    <n v="2.67"/>
    <n v="5"/>
    <x v="1"/>
  </r>
  <r>
    <n v="1725"/>
    <d v="2024-07-11T00:00:00"/>
    <x v="19"/>
    <s v="Male"/>
    <n v="159.5"/>
    <n v="45"/>
    <n v="3136"/>
    <n v="318.2"/>
    <n v="7"/>
    <n v="67"/>
    <x v="5"/>
    <n v="79"/>
    <n v="1.71"/>
    <n v="8"/>
    <x v="0"/>
  </r>
  <r>
    <n v="1199"/>
    <d v="2024-07-12T00:00:00"/>
    <x v="22"/>
    <s v="Female"/>
    <n v="184.3"/>
    <n v="79.7"/>
    <n v="11788"/>
    <n v="626.4"/>
    <n v="6.8"/>
    <n v="91"/>
    <x v="0"/>
    <n v="0"/>
    <n v="1.7"/>
    <n v="7"/>
    <x v="0"/>
  </r>
  <r>
    <n v="1944"/>
    <d v="2024-07-13T00:00:00"/>
    <x v="11"/>
    <s v="Female"/>
    <n v="164.6"/>
    <n v="91.1"/>
    <n v="10045"/>
    <n v="689.8"/>
    <n v="7.5"/>
    <n v="74"/>
    <x v="5"/>
    <n v="61"/>
    <n v="1.39"/>
    <n v="3"/>
    <x v="2"/>
  </r>
  <r>
    <n v="1078"/>
    <d v="2024-07-14T00:00:00"/>
    <x v="8"/>
    <s v="Male"/>
    <n v="177.1"/>
    <n v="98.3"/>
    <n v="1506"/>
    <n v="215"/>
    <n v="9.5"/>
    <n v="65"/>
    <x v="1"/>
    <n v="42"/>
    <n v="2.64"/>
    <n v="6"/>
    <x v="2"/>
  </r>
  <r>
    <n v="1912"/>
    <d v="2024-07-15T00:00:00"/>
    <x v="40"/>
    <s v="Female"/>
    <n v="169.7"/>
    <n v="51.6"/>
    <n v="9599"/>
    <n v="666.7"/>
    <n v="6.1"/>
    <n v="73"/>
    <x v="2"/>
    <n v="36"/>
    <n v="3.14"/>
    <n v="6"/>
    <x v="1"/>
  </r>
  <r>
    <n v="1955"/>
    <d v="2024-07-16T00:00:00"/>
    <x v="34"/>
    <s v="Male"/>
    <n v="163.19999999999999"/>
    <n v="67.8"/>
    <n v="9715"/>
    <n v="605.70000000000005"/>
    <n v="8.6"/>
    <n v="69"/>
    <x v="1"/>
    <n v="77"/>
    <n v="3.04"/>
    <n v="2"/>
    <x v="1"/>
  </r>
  <r>
    <n v="1854"/>
    <d v="2024-07-17T00:00:00"/>
    <x v="27"/>
    <s v="Female"/>
    <n v="153.4"/>
    <n v="69.3"/>
    <n v="4050"/>
    <n v="331.9"/>
    <n v="5.8"/>
    <n v="67"/>
    <x v="1"/>
    <n v="68"/>
    <n v="3.3"/>
    <n v="1"/>
    <x v="0"/>
  </r>
  <r>
    <n v="1855"/>
    <d v="2024-07-18T00:00:00"/>
    <x v="6"/>
    <s v="Female"/>
    <n v="172.3"/>
    <n v="80.099999999999994"/>
    <n v="15783"/>
    <n v="859.1"/>
    <n v="7.1"/>
    <n v="91"/>
    <x v="4"/>
    <n v="22"/>
    <n v="3.52"/>
    <n v="7"/>
    <x v="2"/>
  </r>
  <r>
    <n v="1172"/>
    <d v="2024-07-19T00:00:00"/>
    <x v="31"/>
    <s v="Female"/>
    <n v="184.5"/>
    <n v="67.5"/>
    <n v="3397"/>
    <n v="375.2"/>
    <n v="5.8"/>
    <n v="75"/>
    <x v="1"/>
    <n v="64"/>
    <n v="2.6"/>
    <n v="3"/>
    <x v="2"/>
  </r>
  <r>
    <n v="1466"/>
    <d v="2024-07-20T00:00:00"/>
    <x v="12"/>
    <s v="Male"/>
    <n v="163.5"/>
    <n v="59.3"/>
    <n v="8912"/>
    <n v="642.4"/>
    <n v="6.4"/>
    <n v="85"/>
    <x v="1"/>
    <n v="54"/>
    <n v="2.4500000000000002"/>
    <n v="5"/>
    <x v="1"/>
  </r>
  <r>
    <n v="1580"/>
    <d v="2024-07-21T00:00:00"/>
    <x v="9"/>
    <s v="Female"/>
    <n v="170.7"/>
    <n v="73.3"/>
    <n v="2309"/>
    <n v="226.6"/>
    <n v="6"/>
    <n v="79"/>
    <x v="3"/>
    <n v="21"/>
    <n v="3.53"/>
    <n v="8"/>
    <x v="0"/>
  </r>
  <r>
    <n v="1415"/>
    <d v="2024-07-22T00:00:00"/>
    <x v="34"/>
    <s v="Male"/>
    <n v="154.80000000000001"/>
    <n v="64.900000000000006"/>
    <n v="8202"/>
    <n v="521.1"/>
    <n v="8"/>
    <n v="80"/>
    <x v="5"/>
    <n v="66"/>
    <n v="2.0099999999999998"/>
    <n v="5"/>
    <x v="0"/>
  </r>
  <r>
    <n v="1939"/>
    <d v="2024-07-23T00:00:00"/>
    <x v="17"/>
    <s v="Male"/>
    <n v="163.30000000000001"/>
    <n v="78.400000000000006"/>
    <n v="8700"/>
    <n v="616.9"/>
    <n v="6.3"/>
    <n v="75"/>
    <x v="1"/>
    <n v="22"/>
    <n v="1.68"/>
    <n v="5"/>
    <x v="2"/>
  </r>
  <r>
    <n v="1448"/>
    <d v="2024-07-24T00:00:00"/>
    <x v="24"/>
    <s v="Female"/>
    <n v="173.4"/>
    <n v="57.9"/>
    <n v="5718"/>
    <n v="466"/>
    <n v="7.8"/>
    <n v="71"/>
    <x v="1"/>
    <n v="48"/>
    <n v="2.2599999999999998"/>
    <n v="5"/>
    <x v="2"/>
  </r>
  <r>
    <n v="1086"/>
    <d v="2024-07-25T00:00:00"/>
    <x v="12"/>
    <s v="Male"/>
    <n v="177.4"/>
    <n v="54.7"/>
    <n v="6950"/>
    <n v="502.3"/>
    <n v="6.2"/>
    <n v="88"/>
    <x v="2"/>
    <n v="39"/>
    <n v="2.1800000000000002"/>
    <n v="7"/>
    <x v="2"/>
  </r>
  <r>
    <n v="1100"/>
    <d v="2024-07-26T00:00:00"/>
    <x v="33"/>
    <s v="Female"/>
    <n v="175.6"/>
    <n v="89.7"/>
    <n v="11233"/>
    <n v="723.2"/>
    <n v="7"/>
    <n v="82"/>
    <x v="1"/>
    <n v="53"/>
    <n v="2.5299999999999998"/>
    <n v="2"/>
    <x v="2"/>
  </r>
  <r>
    <n v="1007"/>
    <d v="2024-07-27T00:00:00"/>
    <x v="4"/>
    <s v="Male"/>
    <n v="150"/>
    <n v="104.1"/>
    <n v="15171"/>
    <n v="797.8"/>
    <n v="9.1999999999999993"/>
    <n v="73"/>
    <x v="4"/>
    <n v="59"/>
    <n v="1.9"/>
    <n v="1"/>
    <x v="1"/>
  </r>
  <r>
    <n v="1844"/>
    <d v="2024-07-28T00:00:00"/>
    <x v="12"/>
    <s v="Male"/>
    <n v="165.4"/>
    <n v="97.3"/>
    <n v="11726"/>
    <n v="549.1"/>
    <n v="5.9"/>
    <n v="85"/>
    <x v="0"/>
    <n v="0"/>
    <n v="2.76"/>
    <n v="4"/>
    <x v="1"/>
  </r>
  <r>
    <n v="1199"/>
    <d v="2024-07-29T00:00:00"/>
    <x v="20"/>
    <s v="Female"/>
    <n v="160.30000000000001"/>
    <n v="68.900000000000006"/>
    <n v="18139"/>
    <n v="900"/>
    <n v="5.9"/>
    <n v="90"/>
    <x v="2"/>
    <n v="82"/>
    <n v="2.1"/>
    <n v="5"/>
    <x v="2"/>
  </r>
  <r>
    <n v="1504"/>
    <d v="2024-07-30T00:00:00"/>
    <x v="10"/>
    <s v="Female"/>
    <n v="166.9"/>
    <n v="85.8"/>
    <n v="1145"/>
    <n v="346.4"/>
    <n v="6.6"/>
    <n v="79"/>
    <x v="1"/>
    <n v="75"/>
    <n v="3.36"/>
    <n v="7"/>
    <x v="0"/>
  </r>
  <r>
    <n v="1086"/>
    <d v="2024-07-31T00:00:00"/>
    <x v="10"/>
    <s v="Female"/>
    <n v="168.9"/>
    <n v="59.7"/>
    <n v="13014"/>
    <n v="735.5"/>
    <n v="7"/>
    <n v="91"/>
    <x v="0"/>
    <n v="0"/>
    <n v="1.66"/>
    <n v="1"/>
    <x v="1"/>
  </r>
  <r>
    <n v="1042"/>
    <d v="2024-08-01T00:00:00"/>
    <x v="12"/>
    <s v="Female"/>
    <n v="180.7"/>
    <n v="77.599999999999994"/>
    <n v="2858"/>
    <n v="272.2"/>
    <n v="7.9"/>
    <n v="70"/>
    <x v="4"/>
    <n v="85"/>
    <n v="2.4"/>
    <n v="9"/>
    <x v="2"/>
  </r>
  <r>
    <n v="1384"/>
    <d v="2024-08-02T00:00:00"/>
    <x v="10"/>
    <s v="Male"/>
    <n v="173"/>
    <n v="61.2"/>
    <n v="5722"/>
    <n v="495.6"/>
    <n v="7.1"/>
    <n v="66"/>
    <x v="5"/>
    <n v="60"/>
    <n v="2.27"/>
    <n v="10"/>
    <x v="2"/>
  </r>
  <r>
    <n v="1620"/>
    <d v="2024-08-03T00:00:00"/>
    <x v="3"/>
    <s v="Male"/>
    <n v="184.2"/>
    <n v="88.8"/>
    <n v="4598"/>
    <n v="426.2"/>
    <n v="7.4"/>
    <n v="72"/>
    <x v="1"/>
    <n v="48"/>
    <n v="2.66"/>
    <n v="4"/>
    <x v="0"/>
  </r>
  <r>
    <n v="1434"/>
    <d v="2024-08-04T00:00:00"/>
    <x v="11"/>
    <s v="Male"/>
    <n v="163"/>
    <n v="86.9"/>
    <n v="14583"/>
    <n v="790.7"/>
    <n v="5.3"/>
    <n v="75"/>
    <x v="5"/>
    <n v="70"/>
    <n v="3.15"/>
    <n v="6"/>
    <x v="0"/>
  </r>
  <r>
    <n v="1407"/>
    <d v="2024-08-05T00:00:00"/>
    <x v="12"/>
    <s v="Female"/>
    <n v="155.80000000000001"/>
    <n v="101.1"/>
    <n v="15869"/>
    <n v="864"/>
    <n v="7.5"/>
    <n v="91"/>
    <x v="1"/>
    <n v="31"/>
    <n v="2.69"/>
    <n v="1"/>
    <x v="2"/>
  </r>
  <r>
    <n v="1482"/>
    <d v="2024-08-06T00:00:00"/>
    <x v="13"/>
    <s v="Male"/>
    <n v="184.6"/>
    <n v="66.599999999999994"/>
    <n v="18013"/>
    <n v="869.7"/>
    <n v="7.5"/>
    <n v="71"/>
    <x v="2"/>
    <n v="63"/>
    <n v="2.41"/>
    <n v="9"/>
    <x v="1"/>
  </r>
  <r>
    <n v="1663"/>
    <d v="2024-08-07T00:00:00"/>
    <x v="6"/>
    <s v="Female"/>
    <n v="174.3"/>
    <n v="93.7"/>
    <n v="16216"/>
    <n v="830.5"/>
    <n v="8"/>
    <n v="79"/>
    <x v="2"/>
    <n v="29"/>
    <n v="2.98"/>
    <n v="4"/>
    <x v="1"/>
  </r>
  <r>
    <n v="1016"/>
    <d v="2024-08-08T00:00:00"/>
    <x v="20"/>
    <s v="Male"/>
    <n v="162.6"/>
    <n v="77.599999999999994"/>
    <n v="12358"/>
    <n v="691.1"/>
    <n v="6.5"/>
    <n v="86"/>
    <x v="0"/>
    <n v="0"/>
    <n v="3.09"/>
    <n v="5"/>
    <x v="0"/>
  </r>
  <r>
    <n v="1644"/>
    <d v="2024-08-09T00:00:00"/>
    <x v="31"/>
    <s v="Female"/>
    <n v="174.4"/>
    <n v="71.099999999999994"/>
    <n v="4518"/>
    <n v="435.7"/>
    <n v="7"/>
    <n v="80"/>
    <x v="4"/>
    <n v="48"/>
    <n v="2.69"/>
    <n v="8"/>
    <x v="1"/>
  </r>
  <r>
    <n v="1147"/>
    <d v="2024-08-10T00:00:00"/>
    <x v="2"/>
    <s v="Male"/>
    <n v="178.4"/>
    <n v="75.099999999999994"/>
    <n v="5352"/>
    <n v="386.6"/>
    <n v="8.1"/>
    <n v="70"/>
    <x v="3"/>
    <n v="48"/>
    <n v="2.77"/>
    <n v="6"/>
    <x v="1"/>
  </r>
  <r>
    <n v="1276"/>
    <d v="2024-08-11T00:00:00"/>
    <x v="18"/>
    <s v="Male"/>
    <n v="171.2"/>
    <n v="95.5"/>
    <n v="13106"/>
    <n v="723"/>
    <n v="5.4"/>
    <n v="62"/>
    <x v="0"/>
    <n v="0"/>
    <n v="2.95"/>
    <n v="10"/>
    <x v="1"/>
  </r>
  <r>
    <n v="1231"/>
    <d v="2024-08-12T00:00:00"/>
    <x v="30"/>
    <s v="Female"/>
    <n v="162.69999999999999"/>
    <n v="68"/>
    <n v="8429"/>
    <n v="609.20000000000005"/>
    <n v="4.3"/>
    <n v="87"/>
    <x v="0"/>
    <n v="0"/>
    <n v="1.35"/>
    <n v="3"/>
    <x v="2"/>
  </r>
  <r>
    <n v="1825"/>
    <d v="2024-08-13T00:00:00"/>
    <x v="28"/>
    <s v="Male"/>
    <n v="165.6"/>
    <n v="68.8"/>
    <n v="10096"/>
    <n v="730.1"/>
    <n v="5.3"/>
    <n v="64"/>
    <x v="4"/>
    <n v="22"/>
    <n v="2.25"/>
    <n v="10"/>
    <x v="2"/>
  </r>
  <r>
    <n v="1926"/>
    <d v="2024-08-14T00:00:00"/>
    <x v="29"/>
    <s v="Female"/>
    <n v="172.9"/>
    <n v="45"/>
    <n v="6555"/>
    <n v="418.7"/>
    <n v="6"/>
    <n v="71"/>
    <x v="1"/>
    <n v="23"/>
    <n v="2.76"/>
    <n v="8"/>
    <x v="1"/>
  </r>
  <r>
    <n v="1365"/>
    <d v="2024-08-15T00:00:00"/>
    <x v="11"/>
    <s v="Male"/>
    <n v="172"/>
    <n v="67.8"/>
    <n v="8997"/>
    <n v="566.9"/>
    <n v="8.6"/>
    <n v="75"/>
    <x v="5"/>
    <n v="74"/>
    <n v="2.2999999999999998"/>
    <n v="6"/>
    <x v="2"/>
  </r>
  <r>
    <n v="1227"/>
    <d v="2024-08-16T00:00:00"/>
    <x v="30"/>
    <s v="Male"/>
    <n v="182.1"/>
    <n v="74"/>
    <n v="11809"/>
    <n v="597"/>
    <n v="10"/>
    <n v="88"/>
    <x v="5"/>
    <n v="33"/>
    <n v="2.2999999999999998"/>
    <n v="2"/>
    <x v="0"/>
  </r>
  <r>
    <n v="1650"/>
    <d v="2024-08-17T00:00:00"/>
    <x v="21"/>
    <s v="Female"/>
    <n v="167.2"/>
    <n v="58.6"/>
    <n v="17491"/>
    <n v="898.9"/>
    <n v="5.6"/>
    <n v="85"/>
    <x v="1"/>
    <n v="47"/>
    <n v="2.76"/>
    <n v="5"/>
    <x v="1"/>
  </r>
  <r>
    <n v="1435"/>
    <d v="2024-08-18T00:00:00"/>
    <x v="15"/>
    <s v="Female"/>
    <n v="160.4"/>
    <n v="54.9"/>
    <n v="10868"/>
    <n v="620.20000000000005"/>
    <n v="6.9"/>
    <n v="76"/>
    <x v="3"/>
    <n v="82"/>
    <n v="2.78"/>
    <n v="3"/>
    <x v="1"/>
  </r>
  <r>
    <n v="1398"/>
    <d v="2024-08-19T00:00:00"/>
    <x v="32"/>
    <s v="Male"/>
    <n v="195.8"/>
    <n v="45"/>
    <n v="5195"/>
    <n v="470.4"/>
    <n v="6.2"/>
    <n v="87"/>
    <x v="3"/>
    <n v="58"/>
    <n v="2.83"/>
    <n v="4"/>
    <x v="0"/>
  </r>
  <r>
    <n v="1210"/>
    <d v="2024-08-20T00:00:00"/>
    <x v="16"/>
    <s v="Male"/>
    <n v="171.7"/>
    <n v="61.2"/>
    <n v="9456"/>
    <n v="519.6"/>
    <n v="7.7"/>
    <n v="89"/>
    <x v="3"/>
    <n v="83"/>
    <n v="1.95"/>
    <n v="9"/>
    <x v="1"/>
  </r>
  <r>
    <n v="1390"/>
    <d v="2024-08-21T00:00:00"/>
    <x v="1"/>
    <s v="Male"/>
    <n v="178.3"/>
    <n v="91.3"/>
    <n v="4821"/>
    <n v="327.3"/>
    <n v="7.4"/>
    <n v="70"/>
    <x v="1"/>
    <n v="79"/>
    <n v="1.51"/>
    <n v="3"/>
    <x v="1"/>
  </r>
  <r>
    <n v="1498"/>
    <d v="2024-08-22T00:00:00"/>
    <x v="30"/>
    <s v="Male"/>
    <n v="175.2"/>
    <n v="47.8"/>
    <n v="18060"/>
    <n v="900"/>
    <n v="5.7"/>
    <n v="71"/>
    <x v="2"/>
    <n v="39"/>
    <n v="3.06"/>
    <n v="5"/>
    <x v="1"/>
  </r>
  <r>
    <n v="1539"/>
    <d v="2024-08-23T00:00:00"/>
    <x v="26"/>
    <s v="Male"/>
    <n v="171.9"/>
    <n v="81.8"/>
    <n v="12678"/>
    <n v="675.5"/>
    <n v="6.1"/>
    <n v="82"/>
    <x v="0"/>
    <n v="0"/>
    <n v="1.98"/>
    <n v="8"/>
    <x v="0"/>
  </r>
  <r>
    <n v="1562"/>
    <d v="2024-08-24T00:00:00"/>
    <x v="28"/>
    <s v="Male"/>
    <n v="167.7"/>
    <n v="83.2"/>
    <n v="6178"/>
    <n v="457"/>
    <n v="6.8"/>
    <n v="92"/>
    <x v="2"/>
    <n v="33"/>
    <n v="1.93"/>
    <n v="9"/>
    <x v="2"/>
  </r>
  <r>
    <n v="1490"/>
    <d v="2024-08-25T00:00:00"/>
    <x v="36"/>
    <s v="Female"/>
    <n v="150"/>
    <n v="106.8"/>
    <n v="11898"/>
    <n v="690.7"/>
    <n v="8.8000000000000007"/>
    <n v="68"/>
    <x v="1"/>
    <n v="77"/>
    <n v="1.87"/>
    <n v="7"/>
    <x v="2"/>
  </r>
  <r>
    <n v="1441"/>
    <d v="2024-08-26T00:00:00"/>
    <x v="4"/>
    <s v="Female"/>
    <n v="159.4"/>
    <n v="85.6"/>
    <n v="6566"/>
    <n v="423.3"/>
    <n v="6"/>
    <n v="57"/>
    <x v="2"/>
    <n v="58"/>
    <n v="3.31"/>
    <n v="4"/>
    <x v="1"/>
  </r>
  <r>
    <n v="1260"/>
    <d v="2024-08-27T00:00:00"/>
    <x v="12"/>
    <s v="Female"/>
    <n v="173.3"/>
    <n v="84.3"/>
    <n v="6420"/>
    <n v="417.5"/>
    <n v="4.7"/>
    <n v="81"/>
    <x v="3"/>
    <n v="77"/>
    <n v="2.65"/>
    <n v="9"/>
    <x v="2"/>
  </r>
  <r>
    <n v="1772"/>
    <d v="2024-08-28T00:00:00"/>
    <x v="31"/>
    <s v="Male"/>
    <n v="150"/>
    <n v="75.5"/>
    <n v="1607"/>
    <n v="320.60000000000002"/>
    <n v="9"/>
    <n v="89"/>
    <x v="2"/>
    <n v="34"/>
    <n v="2.74"/>
    <n v="2"/>
    <x v="1"/>
  </r>
  <r>
    <n v="1349"/>
    <d v="2024-08-29T00:00:00"/>
    <x v="30"/>
    <s v="Male"/>
    <n v="170.7"/>
    <n v="70"/>
    <n v="6674"/>
    <n v="500.8"/>
    <n v="7.7"/>
    <n v="76"/>
    <x v="1"/>
    <n v="22"/>
    <n v="2.98"/>
    <n v="2"/>
    <x v="0"/>
  </r>
  <r>
    <n v="1351"/>
    <d v="2024-08-30T00:00:00"/>
    <x v="37"/>
    <s v="Male"/>
    <n v="176.6"/>
    <n v="82.8"/>
    <n v="3394"/>
    <n v="335"/>
    <n v="5.3"/>
    <n v="101"/>
    <x v="0"/>
    <n v="0"/>
    <n v="2.4700000000000002"/>
    <n v="4"/>
    <x v="0"/>
  </r>
  <r>
    <n v="1519"/>
    <d v="2024-08-31T00:00:00"/>
    <x v="15"/>
    <s v="Female"/>
    <n v="178.3"/>
    <n v="88.7"/>
    <n v="12051"/>
    <n v="675.2"/>
    <n v="7.5"/>
    <n v="67"/>
    <x v="2"/>
    <n v="61"/>
    <n v="3.21"/>
    <n v="2"/>
    <x v="1"/>
  </r>
  <r>
    <n v="1319"/>
    <d v="2024-09-01T00:00:00"/>
    <x v="2"/>
    <s v="Female"/>
    <n v="176"/>
    <n v="72.599999999999994"/>
    <n v="9070"/>
    <n v="578.6"/>
    <n v="8.1999999999999993"/>
    <n v="68"/>
    <x v="2"/>
    <n v="34"/>
    <n v="1.66"/>
    <n v="3"/>
    <x v="1"/>
  </r>
  <r>
    <n v="1137"/>
    <d v="2024-09-02T00:00:00"/>
    <x v="19"/>
    <s v="Male"/>
    <n v="179.6"/>
    <n v="89.4"/>
    <n v="11039"/>
    <n v="660.7"/>
    <n v="7.1"/>
    <n v="67"/>
    <x v="2"/>
    <n v="22"/>
    <n v="1.74"/>
    <n v="5"/>
    <x v="1"/>
  </r>
  <r>
    <n v="1549"/>
    <d v="2024-09-03T00:00:00"/>
    <x v="39"/>
    <s v="Male"/>
    <n v="186.1"/>
    <n v="113.2"/>
    <n v="3021"/>
    <n v="383.9"/>
    <n v="9"/>
    <n v="76"/>
    <x v="2"/>
    <n v="54"/>
    <n v="1.7"/>
    <n v="3"/>
    <x v="2"/>
  </r>
  <r>
    <n v="1622"/>
    <d v="2024-09-04T00:00:00"/>
    <x v="19"/>
    <s v="Female"/>
    <n v="181"/>
    <n v="71.099999999999994"/>
    <n v="17110"/>
    <n v="883.4"/>
    <n v="7.8"/>
    <n v="76"/>
    <x v="0"/>
    <n v="0"/>
    <n v="2.8"/>
    <n v="1"/>
    <x v="0"/>
  </r>
  <r>
    <n v="1991"/>
    <d v="2024-09-05T00:00:00"/>
    <x v="11"/>
    <s v="Female"/>
    <n v="172"/>
    <n v="71.5"/>
    <n v="3048"/>
    <n v="344.1"/>
    <n v="7.5"/>
    <n v="67"/>
    <x v="1"/>
    <n v="43"/>
    <n v="2.85"/>
    <n v="3"/>
    <x v="1"/>
  </r>
  <r>
    <n v="1367"/>
    <d v="2024-09-06T00:00:00"/>
    <x v="27"/>
    <s v="Female"/>
    <n v="168.7"/>
    <n v="68.599999999999994"/>
    <n v="1893"/>
    <n v="311.60000000000002"/>
    <n v="7.3"/>
    <n v="86"/>
    <x v="4"/>
    <n v="50"/>
    <n v="2.17"/>
    <n v="6"/>
    <x v="2"/>
  </r>
  <r>
    <n v="1219"/>
    <d v="2024-09-07T00:00:00"/>
    <x v="31"/>
    <s v="Male"/>
    <n v="171.1"/>
    <n v="72"/>
    <n v="14043"/>
    <n v="798.5"/>
    <n v="7.2"/>
    <n v="78"/>
    <x v="2"/>
    <n v="23"/>
    <n v="2.34"/>
    <n v="3"/>
    <x v="1"/>
  </r>
  <r>
    <n v="1336"/>
    <d v="2024-09-08T00:00:00"/>
    <x v="15"/>
    <s v="Male"/>
    <n v="167.2"/>
    <n v="88.3"/>
    <n v="12792"/>
    <n v="784.2"/>
    <n v="8.3000000000000007"/>
    <n v="65"/>
    <x v="4"/>
    <n v="22"/>
    <n v="3.39"/>
    <n v="9"/>
    <x v="0"/>
  </r>
  <r>
    <n v="1222"/>
    <d v="2024-09-09T00:00:00"/>
    <x v="27"/>
    <s v="Male"/>
    <n v="181.2"/>
    <n v="71.3"/>
    <n v="14613"/>
    <n v="783.9"/>
    <n v="6.8"/>
    <n v="81"/>
    <x v="0"/>
    <n v="0"/>
    <n v="2.0099999999999998"/>
    <n v="3"/>
    <x v="0"/>
  </r>
  <r>
    <n v="1647"/>
    <d v="2024-09-10T00:00:00"/>
    <x v="6"/>
    <s v="Female"/>
    <n v="175.7"/>
    <n v="72.8"/>
    <n v="15316"/>
    <n v="784.3"/>
    <n v="8.4"/>
    <n v="71"/>
    <x v="1"/>
    <n v="87"/>
    <n v="2.71"/>
    <n v="3"/>
    <x v="0"/>
  </r>
  <r>
    <n v="1767"/>
    <d v="2024-09-11T00:00:00"/>
    <x v="3"/>
    <s v="Female"/>
    <n v="166.2"/>
    <n v="66.3"/>
    <n v="7087"/>
    <n v="465.6"/>
    <n v="7.5"/>
    <n v="76"/>
    <x v="5"/>
    <n v="79"/>
    <n v="2.02"/>
    <n v="3"/>
    <x v="1"/>
  </r>
  <r>
    <n v="1359"/>
    <d v="2024-09-12T00:00:00"/>
    <x v="28"/>
    <s v="Male"/>
    <n v="183.2"/>
    <n v="77.3"/>
    <n v="3933"/>
    <n v="389.4"/>
    <n v="7.2"/>
    <n v="84"/>
    <x v="4"/>
    <n v="30"/>
    <n v="3.27"/>
    <n v="5"/>
    <x v="0"/>
  </r>
  <r>
    <n v="1920"/>
    <d v="2024-09-13T00:00:00"/>
    <x v="41"/>
    <s v="Male"/>
    <n v="167.1"/>
    <n v="62.5"/>
    <n v="19665"/>
    <n v="900"/>
    <n v="6.5"/>
    <n v="85"/>
    <x v="1"/>
    <n v="55"/>
    <n v="2.94"/>
    <n v="7"/>
    <x v="1"/>
  </r>
  <r>
    <n v="1328"/>
    <d v="2024-09-14T00:00:00"/>
    <x v="7"/>
    <s v="Female"/>
    <n v="160.5"/>
    <n v="51.6"/>
    <n v="9264"/>
    <n v="684.9"/>
    <n v="6.6"/>
    <n v="84"/>
    <x v="5"/>
    <n v="21"/>
    <n v="1.52"/>
    <n v="5"/>
    <x v="2"/>
  </r>
  <r>
    <n v="1961"/>
    <d v="2024-09-15T00:00:00"/>
    <x v="13"/>
    <s v="Male"/>
    <n v="169.9"/>
    <n v="76.7"/>
    <n v="2380"/>
    <n v="295.8"/>
    <n v="7.5"/>
    <n v="75"/>
    <x v="2"/>
    <n v="69"/>
    <n v="2.3199999999999998"/>
    <n v="9"/>
    <x v="2"/>
  </r>
  <r>
    <n v="1462"/>
    <d v="2024-09-16T00:00:00"/>
    <x v="20"/>
    <s v="Female"/>
    <n v="161.80000000000001"/>
    <n v="99.7"/>
    <n v="17867"/>
    <n v="866.9"/>
    <n v="8.5"/>
    <n v="65"/>
    <x v="0"/>
    <n v="0"/>
    <n v="1.04"/>
    <n v="6"/>
    <x v="2"/>
  </r>
  <r>
    <n v="1945"/>
    <d v="2024-09-17T00:00:00"/>
    <x v="21"/>
    <s v="Female"/>
    <n v="179.4"/>
    <n v="65.7"/>
    <n v="10221"/>
    <n v="625"/>
    <n v="7.8"/>
    <n v="72"/>
    <x v="0"/>
    <n v="0"/>
    <n v="3.13"/>
    <n v="1"/>
    <x v="1"/>
  </r>
  <r>
    <n v="1962"/>
    <d v="2024-09-18T00:00:00"/>
    <x v="36"/>
    <s v="Male"/>
    <n v="161.5"/>
    <n v="54.4"/>
    <n v="12973"/>
    <n v="795.9"/>
    <n v="5.9"/>
    <n v="75"/>
    <x v="1"/>
    <n v="81"/>
    <n v="3.93"/>
    <n v="9"/>
    <x v="0"/>
  </r>
  <r>
    <n v="1560"/>
    <d v="2024-09-19T00:00:00"/>
    <x v="24"/>
    <s v="Female"/>
    <n v="168.8"/>
    <n v="98.7"/>
    <n v="14164"/>
    <n v="725.8"/>
    <n v="4.5999999999999996"/>
    <n v="90"/>
    <x v="3"/>
    <n v="33"/>
    <n v="0.97"/>
    <n v="3"/>
    <x v="0"/>
  </r>
  <r>
    <n v="1803"/>
    <d v="2024-09-20T00:00:00"/>
    <x v="14"/>
    <s v="Male"/>
    <n v="179.4"/>
    <n v="70.7"/>
    <n v="7101"/>
    <n v="441.8"/>
    <n v="8.1"/>
    <n v="70"/>
    <x v="5"/>
    <n v="42"/>
    <n v="1.5"/>
    <n v="8"/>
    <x v="1"/>
  </r>
  <r>
    <n v="1381"/>
    <d v="2024-09-21T00:00:00"/>
    <x v="1"/>
    <s v="Female"/>
    <n v="162.9"/>
    <n v="84.2"/>
    <n v="5954"/>
    <n v="428.8"/>
    <n v="10"/>
    <n v="77"/>
    <x v="3"/>
    <n v="35"/>
    <n v="2.62"/>
    <n v="3"/>
    <x v="2"/>
  </r>
  <r>
    <n v="1835"/>
    <d v="2024-09-22T00:00:00"/>
    <x v="27"/>
    <s v="Female"/>
    <n v="174.1"/>
    <n v="59.1"/>
    <n v="6953"/>
    <n v="445.8"/>
    <n v="6.6"/>
    <n v="63"/>
    <x v="0"/>
    <n v="0"/>
    <n v="2.4900000000000002"/>
    <n v="8"/>
    <x v="2"/>
  </r>
  <r>
    <n v="1589"/>
    <d v="2024-09-23T00:00:00"/>
    <x v="1"/>
    <s v="Male"/>
    <n v="160.30000000000001"/>
    <n v="70.099999999999994"/>
    <n v="7280"/>
    <n v="423.7"/>
    <n v="6.3"/>
    <n v="78"/>
    <x v="0"/>
    <n v="0"/>
    <n v="2.21"/>
    <n v="4"/>
    <x v="1"/>
  </r>
  <r>
    <n v="1616"/>
    <d v="2024-09-24T00:00:00"/>
    <x v="25"/>
    <s v="Female"/>
    <n v="172.4"/>
    <n v="91"/>
    <n v="1778"/>
    <n v="194.1"/>
    <n v="8.1999999999999993"/>
    <n v="75"/>
    <x v="2"/>
    <n v="75"/>
    <n v="1.28"/>
    <n v="1"/>
    <x v="0"/>
  </r>
  <r>
    <n v="1168"/>
    <d v="2024-09-25T00:00:00"/>
    <x v="23"/>
    <s v="Male"/>
    <n v="175.7"/>
    <n v="72"/>
    <n v="4475"/>
    <n v="390.6"/>
    <n v="5.7"/>
    <n v="74"/>
    <x v="2"/>
    <n v="64"/>
    <n v="2.73"/>
    <n v="6"/>
    <x v="0"/>
  </r>
  <r>
    <n v="1216"/>
    <d v="2024-09-26T00:00:00"/>
    <x v="25"/>
    <s v="Male"/>
    <n v="169.6"/>
    <n v="72.099999999999994"/>
    <n v="5723"/>
    <n v="464.7"/>
    <n v="9.1999999999999993"/>
    <n v="83"/>
    <x v="4"/>
    <n v="59"/>
    <n v="3.12"/>
    <n v="7"/>
    <x v="0"/>
  </r>
  <r>
    <n v="1377"/>
    <d v="2024-09-27T00:00:00"/>
    <x v="36"/>
    <s v="Female"/>
    <n v="170.3"/>
    <n v="47.7"/>
    <n v="15890"/>
    <n v="800.5"/>
    <n v="7.6"/>
    <n v="68"/>
    <x v="0"/>
    <n v="0"/>
    <n v="4.49"/>
    <n v="8"/>
    <x v="0"/>
  </r>
  <r>
    <n v="1118"/>
    <d v="2024-09-28T00:00:00"/>
    <x v="14"/>
    <s v="Male"/>
    <n v="174.4"/>
    <n v="81.8"/>
    <n v="7713"/>
    <n v="505"/>
    <n v="7"/>
    <n v="89"/>
    <x v="2"/>
    <n v="51"/>
    <n v="3.42"/>
    <n v="6"/>
    <x v="2"/>
  </r>
  <r>
    <n v="1189"/>
    <d v="2024-09-29T00:00:00"/>
    <x v="13"/>
    <s v="Male"/>
    <n v="167.2"/>
    <n v="58.2"/>
    <n v="9601"/>
    <n v="593.29999999999995"/>
    <n v="5.8"/>
    <n v="67"/>
    <x v="4"/>
    <n v="20"/>
    <n v="1.59"/>
    <n v="1"/>
    <x v="0"/>
  </r>
  <r>
    <n v="1766"/>
    <d v="2024-09-30T00:00:00"/>
    <x v="7"/>
    <s v="Male"/>
    <n v="178.9"/>
    <n v="86.8"/>
    <n v="18443"/>
    <n v="882.5"/>
    <n v="8.3000000000000007"/>
    <n v="89"/>
    <x v="5"/>
    <n v="54"/>
    <n v="2.4900000000000002"/>
    <n v="5"/>
    <x v="1"/>
  </r>
  <r>
    <n v="1369"/>
    <d v="2024-10-01T00:00:00"/>
    <x v="15"/>
    <s v="Male"/>
    <n v="183.7"/>
    <n v="73"/>
    <n v="19693"/>
    <n v="900"/>
    <n v="6.3"/>
    <n v="59"/>
    <x v="3"/>
    <n v="55"/>
    <n v="2.91"/>
    <n v="9"/>
    <x v="0"/>
  </r>
  <r>
    <n v="1777"/>
    <d v="2024-10-02T00:00:00"/>
    <x v="30"/>
    <s v="Male"/>
    <n v="160.69999999999999"/>
    <n v="74.400000000000006"/>
    <n v="18984"/>
    <n v="900"/>
    <n v="8.1"/>
    <n v="78"/>
    <x v="5"/>
    <n v="85"/>
    <n v="2.02"/>
    <n v="3"/>
    <x v="2"/>
  </r>
  <r>
    <n v="1148"/>
    <d v="2024-10-03T00:00:00"/>
    <x v="9"/>
    <s v="Male"/>
    <n v="187.7"/>
    <n v="81.599999999999994"/>
    <n v="13735"/>
    <n v="775.6"/>
    <n v="7.6"/>
    <n v="81"/>
    <x v="3"/>
    <n v="48"/>
    <n v="3.05"/>
    <n v="5"/>
    <x v="0"/>
  </r>
  <r>
    <n v="1675"/>
    <d v="2024-10-04T00:00:00"/>
    <x v="40"/>
    <s v="Female"/>
    <n v="167"/>
    <n v="75.599999999999994"/>
    <n v="19617"/>
    <n v="900"/>
    <n v="8.9"/>
    <n v="71"/>
    <x v="1"/>
    <n v="62"/>
    <n v="2.99"/>
    <n v="6"/>
    <x v="0"/>
  </r>
  <r>
    <n v="1651"/>
    <d v="2024-10-05T00:00:00"/>
    <x v="31"/>
    <s v="Male"/>
    <n v="189.9"/>
    <n v="95.8"/>
    <n v="10489"/>
    <n v="740.8"/>
    <n v="7.2"/>
    <n v="78"/>
    <x v="5"/>
    <n v="48"/>
    <n v="3.37"/>
    <n v="5"/>
    <x v="1"/>
  </r>
  <r>
    <n v="1858"/>
    <d v="2024-10-06T00:00:00"/>
    <x v="24"/>
    <s v="Female"/>
    <n v="167.1"/>
    <n v="93.4"/>
    <n v="14974"/>
    <n v="747.7"/>
    <n v="10"/>
    <n v="71"/>
    <x v="1"/>
    <n v="62"/>
    <n v="3.06"/>
    <n v="4"/>
    <x v="0"/>
  </r>
  <r>
    <n v="1487"/>
    <d v="2024-10-07T00:00:00"/>
    <x v="11"/>
    <s v="Female"/>
    <n v="177.1"/>
    <n v="51.7"/>
    <n v="17735"/>
    <n v="864.8"/>
    <n v="7.8"/>
    <n v="79"/>
    <x v="3"/>
    <n v="38"/>
    <n v="2.7"/>
    <n v="2"/>
    <x v="0"/>
  </r>
  <r>
    <n v="1769"/>
    <d v="2024-10-08T00:00:00"/>
    <x v="12"/>
    <s v="Male"/>
    <n v="177"/>
    <n v="67.400000000000006"/>
    <n v="14724"/>
    <n v="873.1"/>
    <n v="7.2"/>
    <n v="78"/>
    <x v="0"/>
    <n v="0"/>
    <n v="2.0499999999999998"/>
    <n v="5"/>
    <x v="1"/>
  </r>
  <r>
    <n v="1373"/>
    <d v="2024-10-09T00:00:00"/>
    <x v="0"/>
    <s v="Female"/>
    <n v="166.1"/>
    <n v="82.5"/>
    <n v="12414"/>
    <n v="729.2"/>
    <n v="6.4"/>
    <n v="97"/>
    <x v="0"/>
    <n v="0"/>
    <n v="1.59"/>
    <n v="10"/>
    <x v="1"/>
  </r>
  <r>
    <n v="1780"/>
    <d v="2024-10-10T00:00:00"/>
    <x v="30"/>
    <s v="Female"/>
    <n v="170.7"/>
    <n v="55.9"/>
    <n v="11623"/>
    <n v="668.4"/>
    <n v="8.3000000000000007"/>
    <n v="61"/>
    <x v="4"/>
    <n v="38"/>
    <n v="2.65"/>
    <n v="1"/>
    <x v="1"/>
  </r>
  <r>
    <n v="1692"/>
    <d v="2024-10-11T00:00:00"/>
    <x v="35"/>
    <s v="Male"/>
    <n v="184.4"/>
    <n v="46.5"/>
    <n v="16395"/>
    <n v="831.9"/>
    <n v="6.5"/>
    <n v="77"/>
    <x v="5"/>
    <n v="48"/>
    <n v="2.2200000000000002"/>
    <n v="1"/>
    <x v="1"/>
  </r>
  <r>
    <n v="1159"/>
    <d v="2024-10-12T00:00:00"/>
    <x v="40"/>
    <s v="Male"/>
    <n v="166.8"/>
    <n v="58.6"/>
    <n v="7469"/>
    <n v="487.2"/>
    <n v="5.8"/>
    <n v="71"/>
    <x v="5"/>
    <n v="26"/>
    <n v="2.2799999999999998"/>
    <n v="8"/>
    <x v="2"/>
  </r>
  <r>
    <n v="1350"/>
    <d v="2024-10-13T00:00:00"/>
    <x v="39"/>
    <s v="Male"/>
    <n v="165.8"/>
    <n v="68.3"/>
    <n v="11705"/>
    <n v="657.6"/>
    <n v="6.3"/>
    <n v="76"/>
    <x v="4"/>
    <n v="77"/>
    <n v="3.29"/>
    <n v="4"/>
    <x v="0"/>
  </r>
  <r>
    <n v="1911"/>
    <d v="2024-10-14T00:00:00"/>
    <x v="26"/>
    <s v="Female"/>
    <n v="158.5"/>
    <n v="45"/>
    <n v="4166"/>
    <n v="291.89999999999998"/>
    <n v="6.7"/>
    <n v="74"/>
    <x v="4"/>
    <n v="79"/>
    <n v="3.46"/>
    <n v="1"/>
    <x v="0"/>
  </r>
  <r>
    <n v="1287"/>
    <d v="2024-10-15T00:00:00"/>
    <x v="28"/>
    <s v="Female"/>
    <n v="185.7"/>
    <n v="53.3"/>
    <n v="3209"/>
    <n v="377"/>
    <n v="10"/>
    <n v="72"/>
    <x v="2"/>
    <n v="70"/>
    <n v="1.64"/>
    <n v="2"/>
    <x v="2"/>
  </r>
  <r>
    <n v="1287"/>
    <d v="2024-10-16T00:00:00"/>
    <x v="26"/>
    <s v="Male"/>
    <n v="165.2"/>
    <n v="45"/>
    <n v="9747"/>
    <n v="489.3"/>
    <n v="7.4"/>
    <n v="70"/>
    <x v="0"/>
    <n v="0"/>
    <n v="2.35"/>
    <n v="5"/>
    <x v="1"/>
  </r>
  <r>
    <n v="1891"/>
    <d v="2024-10-17T00:00:00"/>
    <x v="38"/>
    <s v="Male"/>
    <n v="182"/>
    <n v="87.2"/>
    <n v="1299"/>
    <n v="209.5"/>
    <n v="6"/>
    <n v="82"/>
    <x v="2"/>
    <n v="40"/>
    <n v="2.2000000000000002"/>
    <n v="7"/>
    <x v="0"/>
  </r>
  <r>
    <n v="1225"/>
    <d v="2024-10-18T00:00:00"/>
    <x v="2"/>
    <s v="Female"/>
    <n v="164"/>
    <n v="84"/>
    <n v="14551"/>
    <n v="760.5"/>
    <n v="8.6"/>
    <n v="71"/>
    <x v="3"/>
    <n v="28"/>
    <n v="2.72"/>
    <n v="5"/>
    <x v="1"/>
  </r>
  <r>
    <n v="1522"/>
    <d v="2024-10-19T00:00:00"/>
    <x v="38"/>
    <s v="Female"/>
    <n v="181.7"/>
    <n v="74.2"/>
    <n v="1563"/>
    <n v="369.7"/>
    <n v="7.3"/>
    <n v="75"/>
    <x v="0"/>
    <n v="0"/>
    <n v="0.91"/>
    <n v="10"/>
    <x v="1"/>
  </r>
  <r>
    <n v="1521"/>
    <d v="2024-10-20T00:00:00"/>
    <x v="23"/>
    <s v="Female"/>
    <n v="178.1"/>
    <n v="71.5"/>
    <n v="13201"/>
    <n v="723"/>
    <n v="8.9"/>
    <n v="77"/>
    <x v="5"/>
    <n v="53"/>
    <n v="1.48"/>
    <n v="6"/>
    <x v="2"/>
  </r>
  <r>
    <n v="1782"/>
    <d v="2024-10-21T00:00:00"/>
    <x v="18"/>
    <s v="Female"/>
    <n v="167.7"/>
    <n v="78.2"/>
    <n v="10214"/>
    <n v="624.4"/>
    <n v="9.9"/>
    <n v="68"/>
    <x v="4"/>
    <n v="66"/>
    <n v="2.42"/>
    <n v="7"/>
    <x v="2"/>
  </r>
  <r>
    <n v="1272"/>
    <d v="2024-10-22T00:00:00"/>
    <x v="26"/>
    <s v="Male"/>
    <n v="162.69999999999999"/>
    <n v="55"/>
    <n v="18574"/>
    <n v="899.1"/>
    <n v="4.8"/>
    <n v="81"/>
    <x v="4"/>
    <n v="43"/>
    <n v="3.05"/>
    <n v="3"/>
    <x v="1"/>
  </r>
  <r>
    <n v="1935"/>
    <d v="2024-10-23T00:00:00"/>
    <x v="37"/>
    <s v="Female"/>
    <n v="163.5"/>
    <n v="88.8"/>
    <n v="11096"/>
    <n v="687.3"/>
    <n v="3.4"/>
    <n v="65"/>
    <x v="0"/>
    <n v="0"/>
    <n v="2.5499999999999998"/>
    <n v="10"/>
    <x v="0"/>
  </r>
  <r>
    <n v="1401"/>
    <d v="2024-10-24T00:00:00"/>
    <x v="29"/>
    <s v="Female"/>
    <n v="163.30000000000001"/>
    <n v="71.400000000000006"/>
    <n v="11228"/>
    <n v="796.7"/>
    <n v="10"/>
    <n v="80"/>
    <x v="1"/>
    <n v="65"/>
    <n v="2.97"/>
    <n v="5"/>
    <x v="1"/>
  </r>
  <r>
    <n v="1182"/>
    <d v="2024-10-25T00:00:00"/>
    <x v="30"/>
    <s v="Female"/>
    <n v="180.7"/>
    <n v="83.8"/>
    <n v="10218"/>
    <n v="633.29999999999995"/>
    <n v="6"/>
    <n v="79"/>
    <x v="2"/>
    <n v="70"/>
    <n v="2.64"/>
    <n v="8"/>
    <x v="0"/>
  </r>
  <r>
    <n v="1968"/>
    <d v="2024-10-26T00:00:00"/>
    <x v="7"/>
    <s v="Female"/>
    <n v="171.6"/>
    <n v="83.1"/>
    <n v="19802"/>
    <n v="900"/>
    <n v="4.5"/>
    <n v="74"/>
    <x v="0"/>
    <n v="0"/>
    <n v="3.39"/>
    <n v="6"/>
    <x v="1"/>
  </r>
  <r>
    <n v="1664"/>
    <d v="2024-10-27T00:00:00"/>
    <x v="37"/>
    <s v="Male"/>
    <n v="158.80000000000001"/>
    <n v="78"/>
    <n v="15613"/>
    <n v="722.9"/>
    <n v="6.2"/>
    <n v="64"/>
    <x v="0"/>
    <n v="0"/>
    <n v="3.54"/>
    <n v="2"/>
    <x v="1"/>
  </r>
  <r>
    <n v="1487"/>
    <d v="2024-10-28T00:00:00"/>
    <x v="27"/>
    <s v="Male"/>
    <n v="167.5"/>
    <n v="74.7"/>
    <n v="19947"/>
    <n v="900"/>
    <n v="5.5"/>
    <n v="75"/>
    <x v="1"/>
    <n v="72"/>
    <n v="1.97"/>
    <n v="9"/>
    <x v="0"/>
  </r>
  <r>
    <n v="1826"/>
    <d v="2024-10-29T00:00:00"/>
    <x v="5"/>
    <s v="Female"/>
    <n v="168.7"/>
    <n v="73.599999999999994"/>
    <n v="15093"/>
    <n v="754.4"/>
    <n v="5.8"/>
    <n v="65"/>
    <x v="4"/>
    <n v="83"/>
    <n v="3.12"/>
    <n v="2"/>
    <x v="2"/>
  </r>
  <r>
    <n v="1845"/>
    <d v="2024-10-30T00:00:00"/>
    <x v="29"/>
    <s v="Female"/>
    <n v="150"/>
    <n v="69.099999999999994"/>
    <n v="17653"/>
    <n v="868.3"/>
    <n v="8.3000000000000007"/>
    <n v="74"/>
    <x v="5"/>
    <n v="71"/>
    <n v="2.86"/>
    <n v="6"/>
    <x v="2"/>
  </r>
  <r>
    <n v="1123"/>
    <d v="2024-10-31T00:00:00"/>
    <x v="26"/>
    <s v="Male"/>
    <n v="168"/>
    <n v="77.2"/>
    <n v="7619"/>
    <n v="551.29999999999995"/>
    <n v="6.5"/>
    <n v="83"/>
    <x v="5"/>
    <n v="79"/>
    <n v="4.25"/>
    <n v="2"/>
    <x v="1"/>
  </r>
  <r>
    <n v="1984"/>
    <d v="2024-11-01T00:00:00"/>
    <x v="34"/>
    <s v="Male"/>
    <n v="177.2"/>
    <n v="73.099999999999994"/>
    <n v="10119"/>
    <n v="581.1"/>
    <n v="4.5999999999999996"/>
    <n v="75"/>
    <x v="1"/>
    <n v="60"/>
    <n v="1.94"/>
    <n v="10"/>
    <x v="0"/>
  </r>
  <r>
    <n v="1625"/>
    <d v="2024-11-02T00:00:00"/>
    <x v="33"/>
    <s v="Female"/>
    <n v="168.6"/>
    <n v="62.7"/>
    <n v="5555"/>
    <n v="417.5"/>
    <n v="7"/>
    <n v="88"/>
    <x v="2"/>
    <n v="30"/>
    <n v="2.42"/>
    <n v="7"/>
    <x v="2"/>
  </r>
  <r>
    <n v="1789"/>
    <d v="2024-11-03T00:00:00"/>
    <x v="32"/>
    <s v="Female"/>
    <n v="172.5"/>
    <n v="79.099999999999994"/>
    <n v="14327"/>
    <n v="810.6"/>
    <n v="5.7"/>
    <n v="78"/>
    <x v="3"/>
    <n v="23"/>
    <n v="1.78"/>
    <n v="1"/>
    <x v="0"/>
  </r>
  <r>
    <n v="1413"/>
    <d v="2024-11-04T00:00:00"/>
    <x v="32"/>
    <s v="Male"/>
    <n v="174.8"/>
    <n v="74.2"/>
    <n v="2042"/>
    <n v="246.4"/>
    <n v="6.6"/>
    <n v="83"/>
    <x v="0"/>
    <n v="0"/>
    <n v="1.82"/>
    <n v="4"/>
    <x v="2"/>
  </r>
  <r>
    <n v="1979"/>
    <d v="2024-11-05T00:00:00"/>
    <x v="35"/>
    <s v="Male"/>
    <n v="166.6"/>
    <n v="88.1"/>
    <n v="6444"/>
    <n v="393.3"/>
    <n v="6.7"/>
    <n v="82"/>
    <x v="5"/>
    <n v="32"/>
    <n v="2.77"/>
    <n v="8"/>
    <x v="0"/>
  </r>
  <r>
    <n v="1724"/>
    <d v="2024-11-06T00:00:00"/>
    <x v="41"/>
    <s v="Male"/>
    <n v="177.3"/>
    <n v="45"/>
    <n v="5188"/>
    <n v="430.7"/>
    <n v="8.3000000000000007"/>
    <n v="89"/>
    <x v="3"/>
    <n v="34"/>
    <n v="2.64"/>
    <n v="9"/>
    <x v="1"/>
  </r>
  <r>
    <n v="1171"/>
    <d v="2024-11-07T00:00:00"/>
    <x v="3"/>
    <s v="Male"/>
    <n v="184.6"/>
    <n v="70.5"/>
    <n v="14060"/>
    <n v="800.1"/>
    <n v="6.2"/>
    <n v="62"/>
    <x v="0"/>
    <n v="0"/>
    <n v="2.88"/>
    <n v="10"/>
    <x v="0"/>
  </r>
  <r>
    <n v="1287"/>
    <d v="2024-11-08T00:00:00"/>
    <x v="32"/>
    <s v="Male"/>
    <n v="154.80000000000001"/>
    <n v="59.1"/>
    <n v="11233"/>
    <n v="620.4"/>
    <n v="8"/>
    <n v="70"/>
    <x v="2"/>
    <n v="30"/>
    <n v="2.86"/>
    <n v="3"/>
    <x v="1"/>
  </r>
  <r>
    <n v="1434"/>
    <d v="2024-11-09T00:00:00"/>
    <x v="0"/>
    <s v="Male"/>
    <n v="166.6"/>
    <n v="62.2"/>
    <n v="4088"/>
    <n v="332.2"/>
    <n v="4.5999999999999996"/>
    <n v="75"/>
    <x v="1"/>
    <n v="42"/>
    <n v="2.34"/>
    <n v="9"/>
    <x v="2"/>
  </r>
  <r>
    <n v="1685"/>
    <d v="2024-11-10T00:00:00"/>
    <x v="9"/>
    <s v="Female"/>
    <n v="193.3"/>
    <n v="78.400000000000006"/>
    <n v="2646"/>
    <n v="250.8"/>
    <n v="8.3000000000000007"/>
    <n v="83"/>
    <x v="2"/>
    <n v="26"/>
    <n v="2.33"/>
    <n v="8"/>
    <x v="0"/>
  </r>
  <r>
    <n v="1112"/>
    <d v="2024-11-11T00:00:00"/>
    <x v="1"/>
    <s v="Male"/>
    <n v="171.7"/>
    <n v="48.5"/>
    <n v="14127"/>
    <n v="800.8"/>
    <n v="8.9"/>
    <n v="77"/>
    <x v="4"/>
    <n v="88"/>
    <n v="1.82"/>
    <n v="4"/>
    <x v="2"/>
  </r>
  <r>
    <n v="1887"/>
    <d v="2024-11-12T00:00:00"/>
    <x v="19"/>
    <s v="Male"/>
    <n v="169.7"/>
    <n v="72"/>
    <n v="1487"/>
    <n v="355.4"/>
    <n v="6.7"/>
    <n v="75"/>
    <x v="2"/>
    <n v="51"/>
    <n v="2.0099999999999998"/>
    <n v="1"/>
    <x v="2"/>
  </r>
  <r>
    <n v="1916"/>
    <d v="2024-11-13T00:00:00"/>
    <x v="28"/>
    <s v="Male"/>
    <n v="167.4"/>
    <n v="70.5"/>
    <n v="16453"/>
    <n v="900"/>
    <n v="5.8"/>
    <n v="85"/>
    <x v="1"/>
    <n v="63"/>
    <n v="2.46"/>
    <n v="10"/>
    <x v="1"/>
  </r>
  <r>
    <n v="1994"/>
    <d v="2024-11-14T00:00:00"/>
    <x v="4"/>
    <s v="Male"/>
    <n v="182.7"/>
    <n v="54.3"/>
    <n v="2747"/>
    <n v="305.3"/>
    <n v="5.4"/>
    <n v="72"/>
    <x v="1"/>
    <n v="22"/>
    <n v="2.64"/>
    <n v="5"/>
    <x v="0"/>
  </r>
  <r>
    <n v="1121"/>
    <d v="2024-11-15T00:00:00"/>
    <x v="19"/>
    <s v="Female"/>
    <n v="160.6"/>
    <n v="72.400000000000006"/>
    <n v="17911"/>
    <n v="900"/>
    <n v="7"/>
    <n v="71"/>
    <x v="2"/>
    <n v="63"/>
    <n v="3"/>
    <n v="7"/>
    <x v="1"/>
  </r>
  <r>
    <n v="1543"/>
    <d v="2024-11-16T00:00:00"/>
    <x v="16"/>
    <s v="Female"/>
    <n v="179.3"/>
    <n v="58.6"/>
    <n v="18551"/>
    <n v="900"/>
    <n v="8.8000000000000007"/>
    <n v="80"/>
    <x v="0"/>
    <n v="0"/>
    <n v="2.93"/>
    <n v="5"/>
    <x v="0"/>
  </r>
  <r>
    <n v="1221"/>
    <d v="2024-11-17T00:00:00"/>
    <x v="22"/>
    <s v="Male"/>
    <n v="167.2"/>
    <n v="103"/>
    <n v="17278"/>
    <n v="900"/>
    <n v="6.4"/>
    <n v="99"/>
    <x v="1"/>
    <n v="70"/>
    <n v="3.59"/>
    <n v="5"/>
    <x v="2"/>
  </r>
  <r>
    <n v="1630"/>
    <d v="2024-11-18T00:00:00"/>
    <x v="12"/>
    <s v="Female"/>
    <n v="162.5"/>
    <n v="88"/>
    <n v="12931"/>
    <n v="663"/>
    <n v="8.6999999999999993"/>
    <n v="75"/>
    <x v="4"/>
    <n v="80"/>
    <n v="1.82"/>
    <n v="5"/>
    <x v="2"/>
  </r>
  <r>
    <n v="1038"/>
    <d v="2024-11-19T00:00:00"/>
    <x v="27"/>
    <s v="Female"/>
    <n v="167.7"/>
    <n v="71"/>
    <n v="1483"/>
    <n v="253.2"/>
    <n v="5.3"/>
    <n v="69"/>
    <x v="3"/>
    <n v="70"/>
    <n v="2.34"/>
    <n v="3"/>
    <x v="0"/>
  </r>
  <r>
    <n v="1496"/>
    <d v="2024-11-20T00:00:00"/>
    <x v="34"/>
    <s v="Female"/>
    <n v="169.5"/>
    <n v="63.5"/>
    <n v="1451"/>
    <n v="311.8"/>
    <n v="6.5"/>
    <n v="69"/>
    <x v="2"/>
    <n v="52"/>
    <n v="1.88"/>
    <n v="6"/>
    <x v="2"/>
  </r>
  <r>
    <n v="1779"/>
    <d v="2024-11-21T00:00:00"/>
    <x v="36"/>
    <s v="Female"/>
    <n v="165"/>
    <n v="77.599999999999994"/>
    <n v="5069"/>
    <n v="443.4"/>
    <n v="6.9"/>
    <n v="71"/>
    <x v="1"/>
    <n v="39"/>
    <n v="3.39"/>
    <n v="4"/>
    <x v="2"/>
  </r>
  <r>
    <n v="1232"/>
    <d v="2024-11-22T00:00:00"/>
    <x v="24"/>
    <s v="Female"/>
    <n v="181.1"/>
    <n v="81.5"/>
    <n v="14386"/>
    <n v="803.9"/>
    <n v="7.3"/>
    <n v="88"/>
    <x v="0"/>
    <n v="0"/>
    <n v="2.15"/>
    <n v="10"/>
    <x v="1"/>
  </r>
  <r>
    <n v="1942"/>
    <d v="2024-11-23T00:00:00"/>
    <x v="12"/>
    <s v="Female"/>
    <n v="162.6"/>
    <n v="73.8"/>
    <n v="8207"/>
    <n v="549.1"/>
    <n v="6.5"/>
    <n v="71"/>
    <x v="0"/>
    <n v="0"/>
    <n v="3.31"/>
    <n v="2"/>
    <x v="2"/>
  </r>
  <r>
    <n v="1529"/>
    <d v="2024-11-24T00:00:00"/>
    <x v="31"/>
    <s v="Male"/>
    <n v="171.4"/>
    <n v="54.8"/>
    <n v="5397"/>
    <n v="379.1"/>
    <n v="8.9"/>
    <n v="78"/>
    <x v="0"/>
    <n v="0"/>
    <n v="3.52"/>
    <n v="4"/>
    <x v="2"/>
  </r>
  <r>
    <n v="1148"/>
    <d v="2024-11-25T00:00:00"/>
    <x v="36"/>
    <s v="Male"/>
    <n v="175.4"/>
    <n v="66.900000000000006"/>
    <n v="6671"/>
    <n v="474"/>
    <n v="8.9"/>
    <n v="74"/>
    <x v="3"/>
    <n v="40"/>
    <n v="2.79"/>
    <n v="6"/>
    <x v="2"/>
  </r>
  <r>
    <n v="1396"/>
    <d v="2024-11-26T00:00:00"/>
    <x v="11"/>
    <s v="Male"/>
    <n v="171.3"/>
    <n v="71.2"/>
    <n v="19157"/>
    <n v="900"/>
    <n v="6.7"/>
    <n v="62"/>
    <x v="4"/>
    <n v="72"/>
    <n v="2.71"/>
    <n v="6"/>
    <x v="0"/>
  </r>
  <r>
    <n v="1660"/>
    <d v="2024-11-27T00:00:00"/>
    <x v="31"/>
    <s v="Male"/>
    <n v="177.7"/>
    <n v="74.400000000000006"/>
    <n v="10190"/>
    <n v="595.4"/>
    <n v="6.2"/>
    <n v="72"/>
    <x v="2"/>
    <n v="30"/>
    <n v="2.5299999999999998"/>
    <n v="9"/>
    <x v="2"/>
  </r>
  <r>
    <n v="1637"/>
    <d v="2024-11-28T00:00:00"/>
    <x v="0"/>
    <s v="Male"/>
    <n v="165.7"/>
    <n v="74.7"/>
    <n v="8412"/>
    <n v="526.29999999999995"/>
    <n v="6.1"/>
    <n v="50"/>
    <x v="1"/>
    <n v="29"/>
    <n v="2.2799999999999998"/>
    <n v="8"/>
    <x v="1"/>
  </r>
  <r>
    <n v="1903"/>
    <d v="2024-11-29T00:00:00"/>
    <x v="11"/>
    <s v="Female"/>
    <n v="176.2"/>
    <n v="81"/>
    <n v="19449"/>
    <n v="900"/>
    <n v="8.6"/>
    <n v="77"/>
    <x v="3"/>
    <n v="54"/>
    <n v="2.19"/>
    <n v="5"/>
    <x v="1"/>
  </r>
  <r>
    <n v="1301"/>
    <d v="2024-11-30T00:00:00"/>
    <x v="35"/>
    <s v="Male"/>
    <n v="176.5"/>
    <n v="90.1"/>
    <n v="9589"/>
    <n v="569.29999999999995"/>
    <n v="6"/>
    <n v="80"/>
    <x v="4"/>
    <n v="45"/>
    <n v="2.4"/>
    <n v="10"/>
    <x v="1"/>
  </r>
  <r>
    <n v="1359"/>
    <d v="2024-12-01T00:00:00"/>
    <x v="1"/>
    <s v="Male"/>
    <n v="179.7"/>
    <n v="85.2"/>
    <n v="15929"/>
    <n v="798.5"/>
    <n v="4.8"/>
    <n v="67"/>
    <x v="5"/>
    <n v="63"/>
    <n v="3.78"/>
    <n v="3"/>
    <x v="1"/>
  </r>
  <r>
    <n v="1237"/>
    <d v="2024-12-02T00:00:00"/>
    <x v="21"/>
    <s v="Female"/>
    <n v="151.1"/>
    <n v="78.900000000000006"/>
    <n v="7332"/>
    <n v="494.5"/>
    <n v="5"/>
    <n v="70"/>
    <x v="1"/>
    <n v="23"/>
    <n v="1.77"/>
    <n v="4"/>
    <x v="2"/>
  </r>
  <r>
    <n v="1646"/>
    <d v="2024-12-03T00:00:00"/>
    <x v="24"/>
    <s v="Female"/>
    <n v="175.1"/>
    <n v="51.1"/>
    <n v="16979"/>
    <n v="863.1"/>
    <n v="8"/>
    <n v="62"/>
    <x v="0"/>
    <n v="0"/>
    <n v="2.64"/>
    <n v="5"/>
    <x v="1"/>
  </r>
  <r>
    <n v="1662"/>
    <d v="2024-12-04T00:00:00"/>
    <x v="38"/>
    <s v="Male"/>
    <n v="179"/>
    <n v="87.8"/>
    <n v="8913"/>
    <n v="482.8"/>
    <n v="5"/>
    <n v="53"/>
    <x v="0"/>
    <n v="0"/>
    <n v="3"/>
    <n v="1"/>
    <x v="0"/>
  </r>
  <r>
    <n v="1235"/>
    <d v="2024-12-05T00:00:00"/>
    <x v="26"/>
    <s v="Female"/>
    <n v="165.9"/>
    <n v="82.3"/>
    <n v="10995"/>
    <n v="769.8"/>
    <n v="6.4"/>
    <n v="60"/>
    <x v="4"/>
    <n v="60"/>
    <n v="2.2999999999999998"/>
    <n v="9"/>
    <x v="0"/>
  </r>
  <r>
    <n v="1735"/>
    <d v="2024-12-06T00:00:00"/>
    <x v="29"/>
    <s v="Female"/>
    <n v="164.5"/>
    <n v="66.2"/>
    <n v="2946"/>
    <n v="266"/>
    <n v="7.2"/>
    <n v="82"/>
    <x v="3"/>
    <n v="86"/>
    <n v="2.79"/>
    <n v="4"/>
    <x v="2"/>
  </r>
  <r>
    <n v="1202"/>
    <d v="2024-12-07T00:00:00"/>
    <x v="7"/>
    <s v="Female"/>
    <n v="163"/>
    <n v="70.400000000000006"/>
    <n v="4415"/>
    <n v="369.9"/>
    <n v="4.5"/>
    <n v="72"/>
    <x v="0"/>
    <n v="0"/>
    <n v="1.45"/>
    <n v="8"/>
    <x v="0"/>
  </r>
  <r>
    <n v="1255"/>
    <d v="2024-12-08T00:00:00"/>
    <x v="29"/>
    <s v="Female"/>
    <n v="159.69999999999999"/>
    <n v="71"/>
    <n v="2394"/>
    <n v="298.8"/>
    <n v="7.3"/>
    <n v="77"/>
    <x v="2"/>
    <n v="23"/>
    <n v="3.43"/>
    <n v="5"/>
    <x v="0"/>
  </r>
  <r>
    <n v="1597"/>
    <d v="2024-12-09T00:00:00"/>
    <x v="31"/>
    <s v="Male"/>
    <n v="176.7"/>
    <n v="63.4"/>
    <n v="16084"/>
    <n v="816.6"/>
    <n v="6.5"/>
    <n v="95"/>
    <x v="3"/>
    <n v="32"/>
    <n v="3.29"/>
    <n v="5"/>
    <x v="2"/>
  </r>
  <r>
    <n v="1661"/>
    <d v="2024-12-10T00:00:00"/>
    <x v="24"/>
    <s v="Female"/>
    <n v="192.8"/>
    <n v="45"/>
    <n v="3421"/>
    <n v="332.4"/>
    <n v="4.0999999999999996"/>
    <n v="85"/>
    <x v="0"/>
    <n v="0"/>
    <n v="2.4300000000000002"/>
    <n v="2"/>
    <x v="2"/>
  </r>
  <r>
    <n v="1234"/>
    <d v="2024-12-11T00:00:00"/>
    <x v="21"/>
    <s v="Male"/>
    <n v="164.4"/>
    <n v="53.3"/>
    <n v="8345"/>
    <n v="492.9"/>
    <n v="7.3"/>
    <n v="80"/>
    <x v="2"/>
    <n v="26"/>
    <n v="1.88"/>
    <n v="8"/>
    <x v="1"/>
  </r>
  <r>
    <n v="1344"/>
    <d v="2024-12-12T00:00:00"/>
    <x v="11"/>
    <s v="Male"/>
    <n v="165.3"/>
    <n v="56.4"/>
    <n v="9030"/>
    <n v="597.6"/>
    <n v="7.6"/>
    <n v="70"/>
    <x v="4"/>
    <n v="47"/>
    <n v="3.06"/>
    <n v="10"/>
    <x v="1"/>
  </r>
  <r>
    <n v="1533"/>
    <d v="2024-12-13T00:00:00"/>
    <x v="25"/>
    <s v="Female"/>
    <n v="170.2"/>
    <n v="45"/>
    <n v="11980"/>
    <n v="678.1"/>
    <n v="7.3"/>
    <n v="91"/>
    <x v="4"/>
    <n v="78"/>
    <n v="1.7"/>
    <n v="7"/>
    <x v="2"/>
  </r>
  <r>
    <n v="1859"/>
    <d v="2024-12-14T00:00:00"/>
    <x v="11"/>
    <s v="Female"/>
    <n v="154"/>
    <n v="53.3"/>
    <n v="2844"/>
    <n v="349.7"/>
    <n v="7.8"/>
    <n v="87"/>
    <x v="3"/>
    <n v="56"/>
    <n v="1.8"/>
    <n v="2"/>
    <x v="0"/>
  </r>
  <r>
    <n v="1796"/>
    <d v="2024-12-15T00:00:00"/>
    <x v="39"/>
    <s v="Female"/>
    <n v="163"/>
    <n v="87.1"/>
    <n v="2804"/>
    <n v="385.7"/>
    <n v="7.4"/>
    <n v="84"/>
    <x v="3"/>
    <n v="34"/>
    <n v="2.46"/>
    <n v="6"/>
    <x v="2"/>
  </r>
  <r>
    <n v="1780"/>
    <d v="2024-12-16T00:00:00"/>
    <x v="19"/>
    <s v="Male"/>
    <n v="169.4"/>
    <n v="77.3"/>
    <n v="10081"/>
    <n v="589.20000000000005"/>
    <n v="8.1"/>
    <n v="75"/>
    <x v="2"/>
    <n v="49"/>
    <n v="3.56"/>
    <n v="9"/>
    <x v="1"/>
  </r>
  <r>
    <n v="1465"/>
    <d v="2024-12-17T00:00:00"/>
    <x v="35"/>
    <s v="Female"/>
    <n v="161.1"/>
    <n v="55.4"/>
    <n v="19887"/>
    <n v="900"/>
    <n v="5.6"/>
    <n v="66"/>
    <x v="1"/>
    <n v="31"/>
    <n v="2.95"/>
    <n v="8"/>
    <x v="2"/>
  </r>
  <r>
    <n v="1769"/>
    <d v="2024-12-18T00:00:00"/>
    <x v="9"/>
    <s v="Female"/>
    <n v="182"/>
    <n v="59.7"/>
    <n v="19277"/>
    <n v="900"/>
    <n v="4.9000000000000004"/>
    <n v="90"/>
    <x v="3"/>
    <n v="49"/>
    <n v="2.0499999999999998"/>
    <n v="10"/>
    <x v="2"/>
  </r>
  <r>
    <n v="1540"/>
    <d v="2024-12-19T00:00:00"/>
    <x v="5"/>
    <s v="Female"/>
    <n v="157.1"/>
    <n v="88.4"/>
    <n v="19050"/>
    <n v="900"/>
    <n v="5.3"/>
    <n v="84"/>
    <x v="0"/>
    <n v="0"/>
    <n v="1.32"/>
    <n v="3"/>
    <x v="0"/>
  </r>
  <r>
    <n v="1212"/>
    <d v="2024-12-20T00:00:00"/>
    <x v="38"/>
    <s v="Female"/>
    <n v="179"/>
    <n v="88.1"/>
    <n v="5344"/>
    <n v="448.3"/>
    <n v="5.8"/>
    <n v="73"/>
    <x v="1"/>
    <n v="55"/>
    <n v="2.5299999999999998"/>
    <n v="7"/>
    <x v="2"/>
  </r>
  <r>
    <n v="1462"/>
    <d v="2024-12-21T00:00:00"/>
    <x v="6"/>
    <s v="Female"/>
    <n v="184.7"/>
    <n v="71"/>
    <n v="12833"/>
    <n v="690.1"/>
    <n v="10"/>
    <n v="72"/>
    <x v="1"/>
    <n v="40"/>
    <n v="2.68"/>
    <n v="4"/>
    <x v="1"/>
  </r>
  <r>
    <n v="1435"/>
    <d v="2024-12-22T00:00:00"/>
    <x v="29"/>
    <s v="Male"/>
    <n v="173.8"/>
    <n v="87.6"/>
    <n v="2259"/>
    <n v="350.2"/>
    <n v="5.8"/>
    <n v="63"/>
    <x v="1"/>
    <n v="51"/>
    <n v="2.4500000000000002"/>
    <n v="4"/>
    <x v="2"/>
  </r>
  <r>
    <n v="1282"/>
    <d v="2024-12-23T00:00:00"/>
    <x v="25"/>
    <s v="Female"/>
    <n v="168.6"/>
    <n v="58.5"/>
    <n v="19604"/>
    <n v="900"/>
    <n v="6.2"/>
    <n v="83"/>
    <x v="4"/>
    <n v="82"/>
    <n v="3.76"/>
    <n v="7"/>
    <x v="0"/>
  </r>
  <r>
    <n v="1561"/>
    <d v="2024-12-24T00:00:00"/>
    <x v="33"/>
    <s v="Female"/>
    <n v="172.5"/>
    <n v="73.400000000000006"/>
    <n v="14859"/>
    <n v="829.5"/>
    <n v="6.6"/>
    <n v="77"/>
    <x v="4"/>
    <n v="32"/>
    <n v="2.41"/>
    <n v="7"/>
    <x v="2"/>
  </r>
  <r>
    <n v="1606"/>
    <d v="2024-12-25T00:00:00"/>
    <x v="8"/>
    <s v="Female"/>
    <n v="165.6"/>
    <n v="47.9"/>
    <n v="12030"/>
    <n v="731"/>
    <n v="6.5"/>
    <n v="79"/>
    <x v="1"/>
    <n v="56"/>
    <n v="0.9"/>
    <n v="1"/>
    <x v="0"/>
  </r>
  <r>
    <n v="1462"/>
    <d v="2024-12-26T00:00:00"/>
    <x v="9"/>
    <s v="Male"/>
    <n v="150"/>
    <n v="64.5"/>
    <n v="3447"/>
    <n v="278.89999999999998"/>
    <n v="9.6999999999999993"/>
    <n v="84"/>
    <x v="1"/>
    <n v="63"/>
    <n v="2.2200000000000002"/>
    <n v="1"/>
    <x v="2"/>
  </r>
  <r>
    <n v="1406"/>
    <d v="2024-12-27T00:00:00"/>
    <x v="12"/>
    <s v="Female"/>
    <n v="160.19999999999999"/>
    <n v="70.400000000000006"/>
    <n v="4129"/>
    <n v="331.8"/>
    <n v="4.4000000000000004"/>
    <n v="82"/>
    <x v="4"/>
    <n v="40"/>
    <n v="2.82"/>
    <n v="6"/>
    <x v="0"/>
  </r>
  <r>
    <n v="1087"/>
    <d v="2024-12-28T00:00:00"/>
    <x v="10"/>
    <s v="Male"/>
    <n v="169.9"/>
    <n v="45"/>
    <n v="19282"/>
    <n v="900"/>
    <n v="10"/>
    <n v="66"/>
    <x v="2"/>
    <n v="37"/>
    <n v="2.77"/>
    <n v="2"/>
    <x v="2"/>
  </r>
  <r>
    <n v="1043"/>
    <d v="2024-12-29T00:00:00"/>
    <x v="40"/>
    <s v="Male"/>
    <n v="160.6"/>
    <n v="78.900000000000006"/>
    <n v="8697"/>
    <n v="601.9"/>
    <n v="7.2"/>
    <n v="75"/>
    <x v="0"/>
    <n v="0"/>
    <n v="2.38"/>
    <n v="3"/>
    <x v="2"/>
  </r>
  <r>
    <n v="1460"/>
    <d v="2024-12-30T00:00:00"/>
    <x v="5"/>
    <s v="Female"/>
    <n v="165.9"/>
    <n v="81.400000000000006"/>
    <n v="4949"/>
    <n v="339.2"/>
    <n v="8.4"/>
    <n v="79"/>
    <x v="5"/>
    <n v="66"/>
    <n v="2.2599999999999998"/>
    <n v="2"/>
    <x v="2"/>
  </r>
  <r>
    <n v="1277"/>
    <d v="2024-12-31T00:00:00"/>
    <x v="6"/>
    <s v="Female"/>
    <n v="174.8"/>
    <n v="85.2"/>
    <n v="11659"/>
    <n v="682.6"/>
    <n v="7"/>
    <n v="80"/>
    <x v="3"/>
    <n v="45"/>
    <n v="1.1000000000000001"/>
    <n v="2"/>
    <x v="2"/>
  </r>
  <r>
    <n v="1682"/>
    <d v="2025-01-01T00:00:00"/>
    <x v="30"/>
    <s v="Female"/>
    <n v="171.5"/>
    <n v="105"/>
    <n v="9010"/>
    <n v="596.70000000000005"/>
    <n v="8.1999999999999993"/>
    <n v="59"/>
    <x v="1"/>
    <n v="24"/>
    <n v="2.56"/>
    <n v="8"/>
    <x v="2"/>
  </r>
  <r>
    <n v="1420"/>
    <d v="2025-01-02T00:00:00"/>
    <x v="24"/>
    <s v="Male"/>
    <n v="180.6"/>
    <n v="76.3"/>
    <n v="17400"/>
    <n v="900"/>
    <n v="5.6"/>
    <n v="65"/>
    <x v="4"/>
    <n v="24"/>
    <n v="2.2599999999999998"/>
    <n v="8"/>
    <x v="1"/>
  </r>
  <r>
    <n v="1700"/>
    <d v="2025-01-03T00:00:00"/>
    <x v="41"/>
    <s v="Male"/>
    <n v="172.9"/>
    <n v="69"/>
    <n v="8959"/>
    <n v="622.1"/>
    <n v="5"/>
    <n v="82"/>
    <x v="1"/>
    <n v="50"/>
    <n v="2.67"/>
    <n v="6"/>
    <x v="1"/>
  </r>
  <r>
    <n v="1352"/>
    <d v="2025-01-04T00:00:00"/>
    <x v="0"/>
    <s v="Male"/>
    <n v="173.5"/>
    <n v="46"/>
    <n v="7241"/>
    <n v="393.4"/>
    <n v="10"/>
    <n v="81"/>
    <x v="1"/>
    <n v="47"/>
    <n v="2.84"/>
    <n v="3"/>
    <x v="2"/>
  </r>
  <r>
    <n v="1695"/>
    <d v="2025-01-05T00:00:00"/>
    <x v="25"/>
    <s v="Male"/>
    <n v="162.9"/>
    <n v="75.900000000000006"/>
    <n v="15787"/>
    <n v="861.9"/>
    <n v="9.9"/>
    <n v="91"/>
    <x v="1"/>
    <n v="84"/>
    <n v="3.37"/>
    <n v="5"/>
    <x v="0"/>
  </r>
  <r>
    <n v="1514"/>
    <d v="2025-01-06T00:00:00"/>
    <x v="39"/>
    <s v="Male"/>
    <n v="156.69999999999999"/>
    <n v="78.400000000000006"/>
    <n v="8906"/>
    <n v="547.20000000000005"/>
    <n v="5.4"/>
    <n v="59"/>
    <x v="1"/>
    <n v="32"/>
    <n v="1.83"/>
    <n v="7"/>
    <x v="0"/>
  </r>
  <r>
    <n v="1702"/>
    <d v="2025-01-07T00:00:00"/>
    <x v="37"/>
    <s v="Male"/>
    <n v="165.9"/>
    <n v="49.7"/>
    <n v="14185"/>
    <n v="692.1"/>
    <n v="8.1"/>
    <n v="84"/>
    <x v="2"/>
    <n v="37"/>
    <n v="1.59"/>
    <n v="5"/>
    <x v="1"/>
  </r>
  <r>
    <n v="1629"/>
    <d v="2025-01-08T00:00:00"/>
    <x v="20"/>
    <s v="Female"/>
    <n v="162.69999999999999"/>
    <n v="66.400000000000006"/>
    <n v="14303"/>
    <n v="718.1"/>
    <n v="8.6999999999999993"/>
    <n v="79"/>
    <x v="3"/>
    <n v="43"/>
    <n v="2.1"/>
    <n v="7"/>
    <x v="1"/>
  </r>
  <r>
    <n v="1018"/>
    <d v="2025-01-09T00:00:00"/>
    <x v="5"/>
    <s v="Female"/>
    <n v="168.3"/>
    <n v="70.2"/>
    <n v="2266"/>
    <n v="368.9"/>
    <n v="8"/>
    <n v="64"/>
    <x v="3"/>
    <n v="48"/>
    <n v="1.99"/>
    <n v="10"/>
    <x v="1"/>
  </r>
  <r>
    <n v="1022"/>
    <d v="2025-01-10T00:00:00"/>
    <x v="6"/>
    <s v="Male"/>
    <n v="159.30000000000001"/>
    <n v="77.900000000000006"/>
    <n v="1478"/>
    <n v="290.7"/>
    <n v="6.7"/>
    <n v="57"/>
    <x v="4"/>
    <n v="47"/>
    <n v="1.92"/>
    <n v="7"/>
    <x v="0"/>
  </r>
  <r>
    <n v="1412"/>
    <d v="2025-01-11T00:00:00"/>
    <x v="8"/>
    <s v="Female"/>
    <n v="178.4"/>
    <n v="82.8"/>
    <n v="4977"/>
    <n v="439.2"/>
    <n v="10"/>
    <n v="84"/>
    <x v="2"/>
    <n v="64"/>
    <n v="3.51"/>
    <n v="4"/>
    <x v="1"/>
  </r>
  <r>
    <n v="1029"/>
    <d v="2025-01-12T00:00:00"/>
    <x v="21"/>
    <s v="Female"/>
    <n v="162.69999999999999"/>
    <n v="62"/>
    <n v="7068"/>
    <n v="530.70000000000005"/>
    <n v="8"/>
    <n v="65"/>
    <x v="2"/>
    <n v="30"/>
    <n v="2.6"/>
    <n v="10"/>
    <x v="1"/>
  </r>
  <r>
    <n v="1806"/>
    <d v="2025-01-13T00:00:00"/>
    <x v="30"/>
    <s v="Male"/>
    <n v="166.4"/>
    <n v="73"/>
    <n v="12736"/>
    <n v="641.6"/>
    <n v="5.6"/>
    <n v="62"/>
    <x v="3"/>
    <n v="70"/>
    <n v="3.88"/>
    <n v="10"/>
    <x v="1"/>
  </r>
  <r>
    <n v="1107"/>
    <d v="2025-01-14T00:00:00"/>
    <x v="13"/>
    <s v="Male"/>
    <n v="169.8"/>
    <n v="78.599999999999994"/>
    <n v="13740"/>
    <n v="761.9"/>
    <n v="6.4"/>
    <n v="80"/>
    <x v="4"/>
    <n v="78"/>
    <n v="2.5"/>
    <n v="6"/>
    <x v="2"/>
  </r>
  <r>
    <n v="1366"/>
    <d v="2025-01-15T00:00:00"/>
    <x v="27"/>
    <s v="Female"/>
    <n v="181.2"/>
    <n v="67.3"/>
    <n v="8791"/>
    <n v="606.6"/>
    <n v="5.4"/>
    <n v="75"/>
    <x v="2"/>
    <n v="32"/>
    <n v="1.68"/>
    <n v="9"/>
    <x v="2"/>
  </r>
  <r>
    <n v="1280"/>
    <d v="2025-01-16T00:00:00"/>
    <x v="11"/>
    <s v="Male"/>
    <n v="187.6"/>
    <n v="63.7"/>
    <n v="1485"/>
    <n v="239.3"/>
    <n v="6.8"/>
    <n v="81"/>
    <x v="4"/>
    <n v="66"/>
    <n v="1.93"/>
    <n v="4"/>
    <x v="1"/>
  </r>
  <r>
    <n v="1127"/>
    <d v="2025-01-17T00:00:00"/>
    <x v="1"/>
    <s v="Male"/>
    <n v="188.3"/>
    <n v="80.7"/>
    <n v="13280"/>
    <n v="799.3"/>
    <n v="6.8"/>
    <n v="79"/>
    <x v="3"/>
    <n v="62"/>
    <n v="3.22"/>
    <n v="10"/>
    <x v="0"/>
  </r>
  <r>
    <n v="1228"/>
    <d v="2025-01-18T00:00:00"/>
    <x v="32"/>
    <s v="Female"/>
    <n v="157.19999999999999"/>
    <n v="67.3"/>
    <n v="5673"/>
    <n v="396.3"/>
    <n v="8.1"/>
    <n v="108"/>
    <x v="1"/>
    <n v="43"/>
    <n v="1.71"/>
    <n v="1"/>
    <x v="2"/>
  </r>
  <r>
    <n v="1110"/>
    <d v="2025-01-19T00:00:00"/>
    <x v="23"/>
    <s v="Male"/>
    <n v="166.3"/>
    <n v="52"/>
    <n v="1337"/>
    <n v="259.7"/>
    <n v="8.1"/>
    <n v="82"/>
    <x v="0"/>
    <n v="0"/>
    <n v="2.89"/>
    <n v="8"/>
    <x v="1"/>
  </r>
  <r>
    <n v="1135"/>
    <d v="2025-01-20T00:00:00"/>
    <x v="17"/>
    <s v="Female"/>
    <n v="164.4"/>
    <n v="90.6"/>
    <n v="16092"/>
    <n v="863.6"/>
    <n v="7.6"/>
    <n v="82"/>
    <x v="0"/>
    <n v="0"/>
    <n v="2.25"/>
    <n v="4"/>
    <x v="2"/>
  </r>
  <r>
    <n v="1361"/>
    <d v="2025-01-21T00:00:00"/>
    <x v="30"/>
    <s v="Female"/>
    <n v="173.7"/>
    <n v="53.7"/>
    <n v="3003"/>
    <n v="357.8"/>
    <n v="7.5"/>
    <n v="66"/>
    <x v="0"/>
    <n v="0"/>
    <n v="1.85"/>
    <n v="8"/>
    <x v="0"/>
  </r>
  <r>
    <n v="1185"/>
    <d v="2025-01-22T00:00:00"/>
    <x v="28"/>
    <s v="Female"/>
    <n v="173.1"/>
    <n v="68.599999999999994"/>
    <n v="2471"/>
    <n v="284.5"/>
    <n v="8.6"/>
    <n v="91"/>
    <x v="2"/>
    <n v="88"/>
    <n v="3.47"/>
    <n v="9"/>
    <x v="1"/>
  </r>
  <r>
    <n v="1655"/>
    <d v="2025-01-23T00:00:00"/>
    <x v="38"/>
    <s v="Female"/>
    <n v="164.2"/>
    <n v="74.8"/>
    <n v="19426"/>
    <n v="900"/>
    <n v="6.7"/>
    <n v="70"/>
    <x v="4"/>
    <n v="73"/>
    <n v="2.09"/>
    <n v="8"/>
    <x v="1"/>
  </r>
  <r>
    <n v="1583"/>
    <d v="2025-01-24T00:00:00"/>
    <x v="4"/>
    <s v="Female"/>
    <n v="163.4"/>
    <n v="76.8"/>
    <n v="12620"/>
    <n v="726.2"/>
    <n v="3.4"/>
    <n v="66"/>
    <x v="1"/>
    <n v="33"/>
    <n v="1.92"/>
    <n v="1"/>
    <x v="2"/>
  </r>
  <r>
    <n v="1128"/>
    <d v="2025-01-25T00:00:00"/>
    <x v="24"/>
    <s v="Male"/>
    <n v="160"/>
    <n v="72.5"/>
    <n v="18903"/>
    <n v="874.2"/>
    <n v="10"/>
    <n v="73"/>
    <x v="3"/>
    <n v="34"/>
    <n v="2.44"/>
    <n v="9"/>
    <x v="1"/>
  </r>
  <r>
    <n v="1875"/>
    <d v="2025-01-26T00:00:00"/>
    <x v="29"/>
    <s v="Male"/>
    <n v="150"/>
    <n v="45"/>
    <n v="7489"/>
    <n v="591.4"/>
    <n v="5.6"/>
    <n v="79"/>
    <x v="5"/>
    <n v="29"/>
    <n v="2.14"/>
    <n v="5"/>
    <x v="2"/>
  </r>
  <r>
    <n v="1260"/>
    <d v="2025-01-27T00:00:00"/>
    <x v="24"/>
    <s v="Male"/>
    <n v="157"/>
    <n v="59.5"/>
    <n v="8856"/>
    <n v="506.3"/>
    <n v="8"/>
    <n v="70"/>
    <x v="0"/>
    <n v="0"/>
    <n v="4.05"/>
    <n v="8"/>
    <x v="0"/>
  </r>
  <r>
    <n v="1514"/>
    <d v="2025-01-28T00:00:00"/>
    <x v="20"/>
    <s v="Male"/>
    <n v="178.7"/>
    <n v="74.400000000000006"/>
    <n v="10365"/>
    <n v="710.6"/>
    <n v="6.5"/>
    <n v="66"/>
    <x v="2"/>
    <n v="32"/>
    <n v="3.24"/>
    <n v="6"/>
    <x v="2"/>
  </r>
  <r>
    <n v="1448"/>
    <d v="2025-01-29T00:00:00"/>
    <x v="28"/>
    <s v="Female"/>
    <n v="184.6"/>
    <n v="68.400000000000006"/>
    <n v="2605"/>
    <n v="296.3"/>
    <n v="9.1"/>
    <n v="66"/>
    <x v="2"/>
    <n v="84"/>
    <n v="2.09"/>
    <n v="7"/>
    <x v="1"/>
  </r>
  <r>
    <n v="1899"/>
    <d v="2025-01-30T00:00:00"/>
    <x v="37"/>
    <s v="Female"/>
    <n v="183.5"/>
    <n v="77.7"/>
    <n v="6664"/>
    <n v="449.4"/>
    <n v="5.6"/>
    <n v="77"/>
    <x v="4"/>
    <n v="33"/>
    <n v="2.17"/>
    <n v="3"/>
    <x v="0"/>
  </r>
  <r>
    <n v="1103"/>
    <d v="2025-01-31T00:00:00"/>
    <x v="13"/>
    <s v="Male"/>
    <n v="179.1"/>
    <n v="85.3"/>
    <n v="6379"/>
    <n v="475.1"/>
    <n v="5.9"/>
    <n v="81"/>
    <x v="3"/>
    <n v="63"/>
    <n v="1.0900000000000001"/>
    <n v="9"/>
    <x v="0"/>
  </r>
  <r>
    <n v="1482"/>
    <d v="2025-02-01T00:00:00"/>
    <x v="20"/>
    <s v="Female"/>
    <n v="159.9"/>
    <n v="77.599999999999994"/>
    <n v="12585"/>
    <n v="668.5"/>
    <n v="6.3"/>
    <n v="81"/>
    <x v="0"/>
    <n v="0"/>
    <n v="2.6"/>
    <n v="9"/>
    <x v="0"/>
  </r>
  <r>
    <n v="1223"/>
    <d v="2025-02-02T00:00:00"/>
    <x v="13"/>
    <s v="Male"/>
    <n v="158.19999999999999"/>
    <n v="59.1"/>
    <n v="3124"/>
    <n v="230.7"/>
    <n v="7.8"/>
    <n v="59"/>
    <x v="3"/>
    <n v="54"/>
    <n v="1.98"/>
    <n v="10"/>
    <x v="2"/>
  </r>
  <r>
    <n v="1831"/>
    <d v="2025-02-03T00:00:00"/>
    <x v="10"/>
    <s v="Male"/>
    <n v="151.9"/>
    <n v="61.9"/>
    <n v="14421"/>
    <n v="771.4"/>
    <n v="7.3"/>
    <n v="67"/>
    <x v="2"/>
    <n v="84"/>
    <n v="2.56"/>
    <n v="2"/>
    <x v="0"/>
  </r>
  <r>
    <n v="1873"/>
    <d v="2025-02-04T00:00:00"/>
    <x v="12"/>
    <s v="Male"/>
    <n v="164.2"/>
    <n v="94.5"/>
    <n v="5991"/>
    <n v="458.4"/>
    <n v="7.8"/>
    <n v="84"/>
    <x v="2"/>
    <n v="46"/>
    <n v="1.1200000000000001"/>
    <n v="4"/>
    <x v="1"/>
  </r>
  <r>
    <n v="1865"/>
    <d v="2025-02-05T00:00:00"/>
    <x v="19"/>
    <s v="Female"/>
    <n v="170.9"/>
    <n v="67.3"/>
    <n v="7794"/>
    <n v="588.6"/>
    <n v="7.2"/>
    <n v="71"/>
    <x v="0"/>
    <n v="0"/>
    <n v="2.48"/>
    <n v="4"/>
    <x v="0"/>
  </r>
  <r>
    <n v="1490"/>
    <d v="2025-02-06T00:00:00"/>
    <x v="4"/>
    <s v="Female"/>
    <n v="159.9"/>
    <n v="68.599999999999994"/>
    <n v="18830"/>
    <n v="893.6"/>
    <n v="8.4"/>
    <n v="77"/>
    <x v="0"/>
    <n v="0"/>
    <n v="3.69"/>
    <n v="1"/>
    <x v="0"/>
  </r>
  <r>
    <n v="1472"/>
    <d v="2025-02-07T00:00:00"/>
    <x v="11"/>
    <s v="Female"/>
    <n v="174.3"/>
    <n v="77.599999999999994"/>
    <n v="4306"/>
    <n v="401.3"/>
    <n v="8.4"/>
    <n v="101"/>
    <x v="4"/>
    <n v="41"/>
    <n v="2.54"/>
    <n v="4"/>
    <x v="2"/>
  </r>
  <r>
    <n v="1009"/>
    <d v="2025-02-08T00:00:00"/>
    <x v="41"/>
    <s v="Female"/>
    <n v="176.5"/>
    <n v="88.6"/>
    <n v="19756"/>
    <n v="900"/>
    <n v="9.3000000000000007"/>
    <n v="52"/>
    <x v="4"/>
    <n v="53"/>
    <n v="1.96"/>
    <n v="3"/>
    <x v="2"/>
  </r>
  <r>
    <n v="1404"/>
    <d v="2025-02-09T00:00:00"/>
    <x v="25"/>
    <s v="Male"/>
    <n v="165.3"/>
    <n v="56.5"/>
    <n v="17534"/>
    <n v="900"/>
    <n v="7.5"/>
    <n v="74"/>
    <x v="5"/>
    <n v="28"/>
    <n v="2.4900000000000002"/>
    <n v="2"/>
    <x v="1"/>
  </r>
  <r>
    <n v="1895"/>
    <d v="2025-02-10T00:00:00"/>
    <x v="35"/>
    <s v="Female"/>
    <n v="156.6"/>
    <n v="62.6"/>
    <n v="16905"/>
    <n v="900"/>
    <n v="7.5"/>
    <n v="82"/>
    <x v="1"/>
    <n v="69"/>
    <n v="2.46"/>
    <n v="6"/>
    <x v="1"/>
  </r>
  <r>
    <n v="1301"/>
    <d v="2025-02-11T00:00:00"/>
    <x v="41"/>
    <s v="Female"/>
    <n v="183.8"/>
    <n v="45.9"/>
    <n v="19043"/>
    <n v="900"/>
    <n v="9.6999999999999993"/>
    <n v="65"/>
    <x v="4"/>
    <n v="73"/>
    <n v="4.03"/>
    <n v="3"/>
    <x v="2"/>
  </r>
  <r>
    <n v="1230"/>
    <d v="2025-02-12T00:00:00"/>
    <x v="24"/>
    <s v="Female"/>
    <n v="170.4"/>
    <n v="65.599999999999994"/>
    <n v="10070"/>
    <n v="611.20000000000005"/>
    <n v="8.8000000000000007"/>
    <n v="74"/>
    <x v="1"/>
    <n v="77"/>
    <n v="2.27"/>
    <n v="10"/>
    <x v="0"/>
  </r>
  <r>
    <n v="1730"/>
    <d v="2025-02-13T00:00:00"/>
    <x v="39"/>
    <s v="Male"/>
    <n v="189.4"/>
    <n v="78.5"/>
    <n v="8199"/>
    <n v="582.5"/>
    <n v="7.8"/>
    <n v="63"/>
    <x v="2"/>
    <n v="81"/>
    <n v="1.66"/>
    <n v="9"/>
    <x v="2"/>
  </r>
  <r>
    <n v="1922"/>
    <d v="2025-02-14T00:00:00"/>
    <x v="15"/>
    <s v="Male"/>
    <n v="170.9"/>
    <n v="64.5"/>
    <n v="19703"/>
    <n v="900"/>
    <n v="4.9000000000000004"/>
    <n v="81"/>
    <x v="5"/>
    <n v="57"/>
    <n v="2.52"/>
    <n v="9"/>
    <x v="2"/>
  </r>
  <r>
    <n v="1065"/>
    <d v="2025-02-15T00:00:00"/>
    <x v="22"/>
    <s v="Female"/>
    <n v="171.6"/>
    <n v="96.4"/>
    <n v="15133"/>
    <n v="744.3"/>
    <n v="4.5"/>
    <n v="68"/>
    <x v="5"/>
    <n v="46"/>
    <n v="2.64"/>
    <n v="8"/>
    <x v="2"/>
  </r>
  <r>
    <n v="1936"/>
    <d v="2025-02-16T00:00:00"/>
    <x v="8"/>
    <s v="Female"/>
    <n v="160.4"/>
    <n v="71.7"/>
    <n v="18899"/>
    <n v="900"/>
    <n v="7.9"/>
    <n v="71"/>
    <x v="5"/>
    <n v="83"/>
    <n v="2.89"/>
    <n v="8"/>
    <x v="1"/>
  </r>
  <r>
    <n v="1111"/>
    <d v="2025-02-17T00:00:00"/>
    <x v="21"/>
    <s v="Female"/>
    <n v="165.8"/>
    <n v="68.5"/>
    <n v="12579"/>
    <n v="696"/>
    <n v="8"/>
    <n v="84"/>
    <x v="3"/>
    <n v="22"/>
    <n v="3.03"/>
    <n v="2"/>
    <x v="1"/>
  </r>
  <r>
    <n v="1012"/>
    <d v="2025-02-18T00:00:00"/>
    <x v="21"/>
    <s v="Female"/>
    <n v="154.4"/>
    <n v="64.7"/>
    <n v="17973"/>
    <n v="900"/>
    <n v="5.9"/>
    <n v="81"/>
    <x v="0"/>
    <n v="0"/>
    <n v="3.87"/>
    <n v="6"/>
    <x v="1"/>
  </r>
  <r>
    <n v="1392"/>
    <d v="2025-02-19T00:00:00"/>
    <x v="0"/>
    <s v="Male"/>
    <n v="156.6"/>
    <n v="49.6"/>
    <n v="1587"/>
    <n v="250.9"/>
    <n v="7.5"/>
    <n v="85"/>
    <x v="0"/>
    <n v="0"/>
    <n v="2.08"/>
    <n v="4"/>
    <x v="1"/>
  </r>
  <r>
    <n v="1499"/>
    <d v="2025-02-20T00:00:00"/>
    <x v="36"/>
    <s v="Female"/>
    <n v="177.4"/>
    <n v="68.599999999999994"/>
    <n v="7223"/>
    <n v="493.1"/>
    <n v="5.6"/>
    <n v="93"/>
    <x v="2"/>
    <n v="48"/>
    <n v="2.02"/>
    <n v="10"/>
    <x v="0"/>
  </r>
  <r>
    <n v="1931"/>
    <d v="2025-02-21T00:00:00"/>
    <x v="24"/>
    <s v="Female"/>
    <n v="167.2"/>
    <n v="75.400000000000006"/>
    <n v="15197"/>
    <n v="870.4"/>
    <n v="7.9"/>
    <n v="76"/>
    <x v="3"/>
    <n v="88"/>
    <n v="1.2"/>
    <n v="2"/>
    <x v="1"/>
  </r>
  <r>
    <n v="1597"/>
    <d v="2025-02-22T00:00:00"/>
    <x v="29"/>
    <s v="Female"/>
    <n v="165.8"/>
    <n v="68.2"/>
    <n v="10387"/>
    <n v="598.5"/>
    <n v="7.9"/>
    <n v="96"/>
    <x v="3"/>
    <n v="27"/>
    <n v="2.96"/>
    <n v="2"/>
    <x v="1"/>
  </r>
  <r>
    <n v="1233"/>
    <d v="2025-02-23T00:00:00"/>
    <x v="3"/>
    <s v="Male"/>
    <n v="162.6"/>
    <n v="73.5"/>
    <n v="5353"/>
    <n v="487.8"/>
    <n v="7.9"/>
    <n v="77"/>
    <x v="5"/>
    <n v="38"/>
    <n v="1.88"/>
    <n v="10"/>
    <x v="0"/>
  </r>
  <r>
    <n v="1601"/>
    <d v="2025-02-24T00:00:00"/>
    <x v="20"/>
    <s v="Male"/>
    <n v="166.1"/>
    <n v="59.9"/>
    <n v="15839"/>
    <n v="753.3"/>
    <n v="7.5"/>
    <n v="88"/>
    <x v="3"/>
    <n v="87"/>
    <n v="3.12"/>
    <n v="7"/>
    <x v="0"/>
  </r>
  <r>
    <n v="1313"/>
    <d v="2025-02-25T00:00:00"/>
    <x v="30"/>
    <s v="Female"/>
    <n v="181.3"/>
    <n v="51.3"/>
    <n v="3605"/>
    <n v="324.60000000000002"/>
    <n v="6.6"/>
    <n v="75"/>
    <x v="2"/>
    <n v="88"/>
    <n v="2.16"/>
    <n v="1"/>
    <x v="2"/>
  </r>
  <r>
    <n v="1565"/>
    <d v="2025-02-26T00:00:00"/>
    <x v="5"/>
    <s v="Female"/>
    <n v="171.4"/>
    <n v="68.400000000000006"/>
    <n v="3538"/>
    <n v="273.3"/>
    <n v="6.7"/>
    <n v="83"/>
    <x v="2"/>
    <n v="67"/>
    <n v="3.71"/>
    <n v="8"/>
    <x v="0"/>
  </r>
  <r>
    <n v="1011"/>
    <d v="2025-02-27T00:00:00"/>
    <x v="12"/>
    <s v="Female"/>
    <n v="158.19999999999999"/>
    <n v="73.3"/>
    <n v="14896"/>
    <n v="801.7"/>
    <n v="8.6999999999999993"/>
    <n v="71"/>
    <x v="3"/>
    <n v="59"/>
    <n v="1.5"/>
    <n v="5"/>
    <x v="0"/>
  </r>
  <r>
    <n v="1208"/>
    <d v="2025-02-28T00:00:00"/>
    <x v="1"/>
    <s v="Female"/>
    <n v="180.3"/>
    <n v="67.5"/>
    <n v="9757"/>
    <n v="627.79999999999995"/>
    <n v="7.6"/>
    <n v="88"/>
    <x v="0"/>
    <n v="0"/>
    <n v="3.22"/>
    <n v="10"/>
    <x v="1"/>
  </r>
  <r>
    <n v="1973"/>
    <d v="2025-03-01T00:00:00"/>
    <x v="37"/>
    <s v="Female"/>
    <n v="187.3"/>
    <n v="73.099999999999994"/>
    <n v="17198"/>
    <n v="879.9"/>
    <n v="7.7"/>
    <n v="87"/>
    <x v="2"/>
    <n v="35"/>
    <n v="3.13"/>
    <n v="8"/>
    <x v="1"/>
  </r>
  <r>
    <n v="1013"/>
    <d v="2025-03-02T00:00:00"/>
    <x v="33"/>
    <s v="Male"/>
    <n v="174.9"/>
    <n v="81.599999999999994"/>
    <n v="2756"/>
    <n v="286.5"/>
    <n v="7.1"/>
    <n v="73"/>
    <x v="0"/>
    <n v="0"/>
    <n v="2.87"/>
    <n v="2"/>
    <x v="1"/>
  </r>
  <r>
    <n v="1632"/>
    <d v="2025-03-03T00:00:00"/>
    <x v="1"/>
    <s v="Male"/>
    <n v="178.9"/>
    <n v="81.599999999999994"/>
    <n v="2360"/>
    <n v="226.4"/>
    <n v="8"/>
    <n v="77"/>
    <x v="1"/>
    <n v="27"/>
    <n v="1.72"/>
    <n v="1"/>
    <x v="1"/>
  </r>
  <r>
    <n v="1417"/>
    <d v="2025-03-04T00:00:00"/>
    <x v="3"/>
    <s v="Male"/>
    <n v="182.2"/>
    <n v="82.9"/>
    <n v="19757"/>
    <n v="900"/>
    <n v="8.4"/>
    <n v="66"/>
    <x v="3"/>
    <n v="24"/>
    <n v="2.87"/>
    <n v="2"/>
    <x v="0"/>
  </r>
  <r>
    <n v="1436"/>
    <d v="2025-03-05T00:00:00"/>
    <x v="31"/>
    <s v="Female"/>
    <n v="153.4"/>
    <n v="85.1"/>
    <n v="2195"/>
    <n v="286.7"/>
    <n v="6.1"/>
    <n v="84"/>
    <x v="5"/>
    <n v="44"/>
    <n v="2.59"/>
    <n v="6"/>
    <x v="1"/>
  </r>
  <r>
    <n v="1376"/>
    <d v="2025-03-06T00:00:00"/>
    <x v="6"/>
    <s v="Male"/>
    <n v="188.6"/>
    <n v="77.5"/>
    <n v="19515"/>
    <n v="900"/>
    <n v="7.9"/>
    <n v="83"/>
    <x v="5"/>
    <n v="72"/>
    <n v="1.22"/>
    <n v="4"/>
    <x v="1"/>
  </r>
  <r>
    <n v="1019"/>
    <d v="2025-03-07T00:00:00"/>
    <x v="15"/>
    <s v="Male"/>
    <n v="181"/>
    <n v="75.3"/>
    <n v="9009"/>
    <n v="638.5"/>
    <n v="6.7"/>
    <n v="63"/>
    <x v="2"/>
    <n v="68"/>
    <n v="3.59"/>
    <n v="8"/>
    <x v="2"/>
  </r>
  <r>
    <n v="1586"/>
    <d v="2025-03-08T00:00:00"/>
    <x v="37"/>
    <s v="Male"/>
    <n v="174.9"/>
    <n v="99.1"/>
    <n v="14792"/>
    <n v="774.1"/>
    <n v="7.5"/>
    <n v="97"/>
    <x v="2"/>
    <n v="40"/>
    <n v="2.2599999999999998"/>
    <n v="9"/>
    <x v="0"/>
  </r>
  <r>
    <n v="1911"/>
    <d v="2025-03-09T00:00:00"/>
    <x v="34"/>
    <s v="Female"/>
    <n v="168.7"/>
    <n v="81.8"/>
    <n v="16777"/>
    <n v="825.6"/>
    <n v="8.3000000000000007"/>
    <n v="79"/>
    <x v="5"/>
    <n v="70"/>
    <n v="3.54"/>
    <n v="9"/>
    <x v="0"/>
  </r>
  <r>
    <n v="1754"/>
    <d v="2025-03-10T00:00:00"/>
    <x v="8"/>
    <s v="Female"/>
    <n v="156.6"/>
    <n v="57.3"/>
    <n v="19751"/>
    <n v="900"/>
    <n v="4.8"/>
    <n v="73"/>
    <x v="1"/>
    <n v="65"/>
    <n v="2.4500000000000002"/>
    <n v="5"/>
    <x v="0"/>
  </r>
  <r>
    <n v="1734"/>
    <d v="2025-03-11T00:00:00"/>
    <x v="19"/>
    <s v="Male"/>
    <n v="166.7"/>
    <n v="45"/>
    <n v="16025"/>
    <n v="798.1"/>
    <n v="5.4"/>
    <n v="87"/>
    <x v="5"/>
    <n v="28"/>
    <n v="3.19"/>
    <n v="6"/>
    <x v="2"/>
  </r>
  <r>
    <n v="1069"/>
    <d v="2025-03-12T00:00:00"/>
    <x v="20"/>
    <s v="Female"/>
    <n v="174.5"/>
    <n v="66.400000000000006"/>
    <n v="2333"/>
    <n v="240"/>
    <n v="6"/>
    <n v="70"/>
    <x v="3"/>
    <n v="83"/>
    <n v="1.9"/>
    <n v="7"/>
    <x v="0"/>
  </r>
  <r>
    <n v="1823"/>
    <d v="2025-03-13T00:00:00"/>
    <x v="23"/>
    <s v="Male"/>
    <n v="159"/>
    <n v="79.400000000000006"/>
    <n v="13836"/>
    <n v="718.8"/>
    <n v="5.9"/>
    <n v="88"/>
    <x v="5"/>
    <n v="42"/>
    <n v="2.65"/>
    <n v="4"/>
    <x v="0"/>
  </r>
  <r>
    <n v="1210"/>
    <d v="2025-03-14T00:00:00"/>
    <x v="16"/>
    <s v="Male"/>
    <n v="169.3"/>
    <n v="84.4"/>
    <n v="4336"/>
    <n v="494.2"/>
    <n v="6.8"/>
    <n v="63"/>
    <x v="4"/>
    <n v="79"/>
    <n v="2.6"/>
    <n v="10"/>
    <x v="1"/>
  </r>
  <r>
    <n v="1100"/>
    <d v="2025-03-15T00:00:00"/>
    <x v="8"/>
    <s v="Male"/>
    <n v="158.19999999999999"/>
    <n v="51.2"/>
    <n v="9157"/>
    <n v="508.8"/>
    <n v="9.5"/>
    <n v="73"/>
    <x v="1"/>
    <n v="78"/>
    <n v="2.27"/>
    <n v="3"/>
    <x v="0"/>
  </r>
  <r>
    <n v="1697"/>
    <d v="2025-03-16T00:00:00"/>
    <x v="2"/>
    <s v="Male"/>
    <n v="166.2"/>
    <n v="80.900000000000006"/>
    <n v="4387"/>
    <n v="300.89999999999998"/>
    <n v="8.8000000000000007"/>
    <n v="74"/>
    <x v="1"/>
    <n v="27"/>
    <n v="1.89"/>
    <n v="2"/>
    <x v="1"/>
  </r>
  <r>
    <n v="1131"/>
    <d v="2025-03-17T00:00:00"/>
    <x v="3"/>
    <s v="Female"/>
    <n v="156.5"/>
    <n v="87"/>
    <n v="5713"/>
    <n v="442.4"/>
    <n v="6.1"/>
    <n v="70"/>
    <x v="5"/>
    <n v="83"/>
    <n v="0.5"/>
    <n v="10"/>
    <x v="2"/>
  </r>
  <r>
    <n v="1622"/>
    <d v="2025-03-18T00:00:00"/>
    <x v="28"/>
    <s v="Female"/>
    <n v="155.4"/>
    <n v="79.099999999999994"/>
    <n v="6101"/>
    <n v="440.2"/>
    <n v="8.3000000000000007"/>
    <n v="68"/>
    <x v="4"/>
    <n v="73"/>
    <n v="1.91"/>
    <n v="4"/>
    <x v="1"/>
  </r>
  <r>
    <n v="1380"/>
    <d v="2025-03-19T00:00:00"/>
    <x v="23"/>
    <s v="Female"/>
    <n v="173.4"/>
    <n v="76.2"/>
    <n v="3431"/>
    <n v="370.2"/>
    <n v="6.9"/>
    <n v="70"/>
    <x v="3"/>
    <n v="34"/>
    <n v="2.99"/>
    <n v="9"/>
    <x v="2"/>
  </r>
  <r>
    <n v="1131"/>
    <d v="2025-03-20T00:00:00"/>
    <x v="15"/>
    <s v="Female"/>
    <n v="164.2"/>
    <n v="68"/>
    <n v="2016"/>
    <n v="252.9"/>
    <n v="7.5"/>
    <n v="70"/>
    <x v="5"/>
    <n v="71"/>
    <n v="1.52"/>
    <n v="5"/>
    <x v="2"/>
  </r>
  <r>
    <n v="1019"/>
    <d v="2025-03-21T00:00:00"/>
    <x v="5"/>
    <s v="Male"/>
    <n v="165.1"/>
    <n v="63.1"/>
    <n v="18025"/>
    <n v="877.6"/>
    <n v="5.5"/>
    <n v="70"/>
    <x v="3"/>
    <n v="70"/>
    <n v="1.67"/>
    <n v="1"/>
    <x v="2"/>
  </r>
  <r>
    <n v="1905"/>
    <d v="2025-03-22T00:00:00"/>
    <x v="3"/>
    <s v="Female"/>
    <n v="163.69999999999999"/>
    <n v="81.8"/>
    <n v="9507"/>
    <n v="664"/>
    <n v="5"/>
    <n v="89"/>
    <x v="4"/>
    <n v="23"/>
    <n v="1.5"/>
    <n v="5"/>
    <x v="1"/>
  </r>
  <r>
    <n v="1535"/>
    <d v="2025-03-23T00:00:00"/>
    <x v="12"/>
    <s v="Male"/>
    <n v="197.2"/>
    <n v="78.8"/>
    <n v="1440"/>
    <n v="177"/>
    <n v="8.1"/>
    <n v="79"/>
    <x v="5"/>
    <n v="53"/>
    <n v="2.65"/>
    <n v="6"/>
    <x v="2"/>
  </r>
  <r>
    <n v="1226"/>
    <d v="2025-03-24T00:00:00"/>
    <x v="26"/>
    <s v="Female"/>
    <n v="176.1"/>
    <n v="65.099999999999994"/>
    <n v="18522"/>
    <n v="900"/>
    <n v="7"/>
    <n v="74"/>
    <x v="5"/>
    <n v="43"/>
    <n v="1.87"/>
    <n v="10"/>
    <x v="1"/>
  </r>
  <r>
    <n v="1153"/>
    <d v="2025-03-25T00:00:00"/>
    <x v="32"/>
    <s v="Female"/>
    <n v="177.1"/>
    <n v="108.1"/>
    <n v="15634"/>
    <n v="859.9"/>
    <n v="7.8"/>
    <n v="83"/>
    <x v="3"/>
    <n v="40"/>
    <n v="3.35"/>
    <n v="6"/>
    <x v="1"/>
  </r>
  <r>
    <n v="1804"/>
    <d v="2025-03-26T00:00:00"/>
    <x v="38"/>
    <s v="Female"/>
    <n v="162.19999999999999"/>
    <n v="47.4"/>
    <n v="6243"/>
    <n v="490.8"/>
    <n v="9.4"/>
    <n v="74"/>
    <x v="5"/>
    <n v="21"/>
    <n v="3.01"/>
    <n v="5"/>
    <x v="1"/>
  </r>
  <r>
    <n v="1741"/>
    <d v="2025-03-27T00:00:00"/>
    <x v="25"/>
    <s v="Male"/>
    <n v="175"/>
    <n v="66.5"/>
    <n v="3303"/>
    <n v="317"/>
    <n v="6.6"/>
    <n v="67"/>
    <x v="4"/>
    <n v="26"/>
    <n v="2.64"/>
    <n v="8"/>
    <x v="2"/>
  </r>
  <r>
    <n v="1468"/>
    <d v="2025-03-28T00:00:00"/>
    <x v="23"/>
    <s v="Male"/>
    <n v="167.7"/>
    <n v="58.4"/>
    <n v="15986"/>
    <n v="777"/>
    <n v="6.7"/>
    <n v="59"/>
    <x v="5"/>
    <n v="75"/>
    <n v="2.71"/>
    <n v="5"/>
    <x v="1"/>
  </r>
  <r>
    <n v="1821"/>
    <d v="2025-03-29T00:00:00"/>
    <x v="13"/>
    <s v="Male"/>
    <n v="162.19999999999999"/>
    <n v="75.8"/>
    <n v="13334"/>
    <n v="808.3"/>
    <n v="9.6999999999999993"/>
    <n v="85"/>
    <x v="2"/>
    <n v="87"/>
    <n v="1.97"/>
    <n v="10"/>
    <x v="1"/>
  </r>
  <r>
    <n v="1999"/>
    <d v="2025-03-30T00:00:00"/>
    <x v="13"/>
    <s v="Male"/>
    <n v="189.3"/>
    <n v="45"/>
    <n v="15040"/>
    <n v="779.3"/>
    <n v="7"/>
    <n v="53"/>
    <x v="4"/>
    <n v="54"/>
    <n v="1.97"/>
    <n v="3"/>
    <x v="2"/>
  </r>
  <r>
    <n v="1870"/>
    <d v="2025-03-31T00:00:00"/>
    <x v="19"/>
    <s v="Female"/>
    <n v="175.7"/>
    <n v="89"/>
    <n v="6950"/>
    <n v="554.5"/>
    <n v="5.8"/>
    <n v="60"/>
    <x v="1"/>
    <n v="45"/>
    <n v="3"/>
    <n v="3"/>
    <x v="1"/>
  </r>
  <r>
    <n v="1404"/>
    <d v="2025-04-01T00:00:00"/>
    <x v="30"/>
    <s v="Male"/>
    <n v="175.2"/>
    <n v="85.1"/>
    <n v="8046"/>
    <n v="540.20000000000005"/>
    <n v="8.1"/>
    <n v="80"/>
    <x v="3"/>
    <n v="37"/>
    <n v="3.14"/>
    <n v="4"/>
    <x v="2"/>
  </r>
  <r>
    <n v="1201"/>
    <d v="2025-04-02T00:00:00"/>
    <x v="9"/>
    <s v="Male"/>
    <n v="160.30000000000001"/>
    <n v="74"/>
    <n v="7606"/>
    <n v="480"/>
    <n v="6.6"/>
    <n v="75"/>
    <x v="0"/>
    <n v="0"/>
    <n v="2.99"/>
    <n v="10"/>
    <x v="2"/>
  </r>
  <r>
    <n v="1037"/>
    <d v="2025-04-03T00:00:00"/>
    <x v="25"/>
    <s v="Female"/>
    <n v="157.30000000000001"/>
    <n v="65.3"/>
    <n v="4421"/>
    <n v="396.5"/>
    <n v="5.8"/>
    <n v="90"/>
    <x v="0"/>
    <n v="0"/>
    <n v="2.17"/>
    <n v="8"/>
    <x v="2"/>
  </r>
  <r>
    <n v="1941"/>
    <d v="2025-04-04T00:00:00"/>
    <x v="40"/>
    <s v="Female"/>
    <n v="169.4"/>
    <n v="80.7"/>
    <n v="14434"/>
    <n v="834.9"/>
    <n v="7.1"/>
    <n v="69"/>
    <x v="4"/>
    <n v="74"/>
    <n v="2.23"/>
    <n v="9"/>
    <x v="1"/>
  </r>
  <r>
    <n v="1771"/>
    <d v="2025-04-05T00:00:00"/>
    <x v="26"/>
    <s v="Male"/>
    <n v="164.3"/>
    <n v="74.900000000000006"/>
    <n v="19462"/>
    <n v="900"/>
    <n v="8.1999999999999993"/>
    <n v="83"/>
    <x v="0"/>
    <n v="0"/>
    <n v="1.85"/>
    <n v="7"/>
    <x v="1"/>
  </r>
  <r>
    <n v="1187"/>
    <d v="2025-04-06T00:00:00"/>
    <x v="25"/>
    <s v="Female"/>
    <n v="176.1"/>
    <n v="84.3"/>
    <n v="7103"/>
    <n v="447.2"/>
    <n v="5.3"/>
    <n v="73"/>
    <x v="1"/>
    <n v="56"/>
    <n v="3.04"/>
    <n v="2"/>
    <x v="0"/>
  </r>
  <r>
    <n v="1056"/>
    <d v="2025-04-07T00:00:00"/>
    <x v="5"/>
    <s v="Male"/>
    <n v="176.8"/>
    <n v="68.2"/>
    <n v="3200"/>
    <n v="238.6"/>
    <n v="5.2"/>
    <n v="80"/>
    <x v="1"/>
    <n v="71"/>
    <n v="1.1299999999999999"/>
    <n v="9"/>
    <x v="0"/>
  </r>
  <r>
    <n v="1940"/>
    <d v="2025-04-08T00:00:00"/>
    <x v="0"/>
    <s v="Female"/>
    <n v="170.7"/>
    <n v="67.3"/>
    <n v="9227"/>
    <n v="547.9"/>
    <n v="6.9"/>
    <n v="77"/>
    <x v="4"/>
    <n v="38"/>
    <n v="0.96"/>
    <n v="6"/>
    <x v="0"/>
  </r>
  <r>
    <n v="1019"/>
    <d v="2025-04-09T00:00:00"/>
    <x v="10"/>
    <s v="Male"/>
    <n v="178.3"/>
    <n v="86.2"/>
    <n v="10009"/>
    <n v="640.70000000000005"/>
    <n v="5.3"/>
    <n v="80"/>
    <x v="1"/>
    <n v="34"/>
    <n v="1.1000000000000001"/>
    <n v="6"/>
    <x v="2"/>
  </r>
  <r>
    <n v="1272"/>
    <d v="2025-04-10T00:00:00"/>
    <x v="29"/>
    <s v="Male"/>
    <n v="171.9"/>
    <n v="79.5"/>
    <n v="15221"/>
    <n v="758.3"/>
    <n v="5.0999999999999996"/>
    <n v="77"/>
    <x v="1"/>
    <n v="71"/>
    <n v="1"/>
    <n v="6"/>
    <x v="0"/>
  </r>
  <r>
    <n v="1118"/>
    <d v="2025-04-11T00:00:00"/>
    <x v="41"/>
    <s v="Male"/>
    <n v="161.30000000000001"/>
    <n v="67.400000000000006"/>
    <n v="15108"/>
    <n v="838.4"/>
    <n v="7"/>
    <n v="78"/>
    <x v="0"/>
    <n v="0"/>
    <n v="3.45"/>
    <n v="1"/>
    <x v="1"/>
  </r>
  <r>
    <n v="1582"/>
    <d v="2025-04-12T00:00:00"/>
    <x v="26"/>
    <s v="Male"/>
    <n v="168"/>
    <n v="75.5"/>
    <n v="2946"/>
    <n v="319.2"/>
    <n v="8.6999999999999993"/>
    <n v="64"/>
    <x v="2"/>
    <n v="64"/>
    <n v="3.05"/>
    <n v="9"/>
    <x v="2"/>
  </r>
  <r>
    <n v="1515"/>
    <d v="2025-04-13T00:00:00"/>
    <x v="13"/>
    <s v="Male"/>
    <n v="171.4"/>
    <n v="72.8"/>
    <n v="4956"/>
    <n v="435.5"/>
    <n v="8.1999999999999993"/>
    <n v="76"/>
    <x v="5"/>
    <n v="40"/>
    <n v="1.66"/>
    <n v="6"/>
    <x v="2"/>
  </r>
  <r>
    <n v="1220"/>
    <d v="2025-04-14T00:00:00"/>
    <x v="22"/>
    <s v="Female"/>
    <n v="179.3"/>
    <n v="77"/>
    <n v="13543"/>
    <n v="624.79999999999995"/>
    <n v="6.8"/>
    <n v="81"/>
    <x v="0"/>
    <n v="0"/>
    <n v="2.4300000000000002"/>
    <n v="7"/>
    <x v="1"/>
  </r>
  <r>
    <n v="1525"/>
    <d v="2025-04-15T00:00:00"/>
    <x v="10"/>
    <s v="Male"/>
    <n v="172.2"/>
    <n v="89"/>
    <n v="19609"/>
    <n v="900"/>
    <n v="8.9"/>
    <n v="74"/>
    <x v="0"/>
    <n v="0"/>
    <n v="3.53"/>
    <n v="1"/>
    <x v="0"/>
  </r>
  <r>
    <n v="1514"/>
    <d v="2025-04-16T00:00:00"/>
    <x v="16"/>
    <s v="Male"/>
    <n v="164.3"/>
    <n v="64.8"/>
    <n v="8715"/>
    <n v="525.5"/>
    <n v="9.6"/>
    <n v="74"/>
    <x v="2"/>
    <n v="67"/>
    <n v="2.85"/>
    <n v="5"/>
    <x v="0"/>
  </r>
  <r>
    <n v="1727"/>
    <d v="2025-04-17T00:00:00"/>
    <x v="9"/>
    <s v="Male"/>
    <n v="179.7"/>
    <n v="60.3"/>
    <n v="4325"/>
    <n v="466.3"/>
    <n v="7.7"/>
    <n v="56"/>
    <x v="5"/>
    <n v="38"/>
    <n v="3.98"/>
    <n v="3"/>
    <x v="1"/>
  </r>
  <r>
    <n v="1740"/>
    <d v="2025-04-18T00:00:00"/>
    <x v="27"/>
    <s v="Male"/>
    <n v="173.8"/>
    <n v="74.099999999999994"/>
    <n v="9699"/>
    <n v="550.20000000000005"/>
    <n v="6.5"/>
    <n v="90"/>
    <x v="1"/>
    <n v="73"/>
    <n v="2.42"/>
    <n v="9"/>
    <x v="1"/>
  </r>
  <r>
    <n v="1335"/>
    <d v="2025-04-19T00:00:00"/>
    <x v="26"/>
    <s v="Male"/>
    <n v="185.5"/>
    <n v="62"/>
    <n v="4745"/>
    <n v="383.5"/>
    <n v="9.3000000000000007"/>
    <n v="61"/>
    <x v="5"/>
    <n v="21"/>
    <n v="2.04"/>
    <n v="2"/>
    <x v="0"/>
  </r>
  <r>
    <n v="1697"/>
    <d v="2025-04-20T00:00:00"/>
    <x v="11"/>
    <s v="Female"/>
    <n v="170.9"/>
    <n v="56.3"/>
    <n v="13308"/>
    <n v="839.9"/>
    <n v="9.3000000000000007"/>
    <n v="69"/>
    <x v="2"/>
    <n v="51"/>
    <n v="1.74"/>
    <n v="4"/>
    <x v="1"/>
  </r>
  <r>
    <n v="1054"/>
    <d v="2025-04-21T00:00:00"/>
    <x v="26"/>
    <s v="Female"/>
    <n v="159.6"/>
    <n v="84.9"/>
    <n v="13069"/>
    <n v="744.2"/>
    <n v="7.4"/>
    <n v="67"/>
    <x v="3"/>
    <n v="81"/>
    <n v="2.52"/>
    <n v="3"/>
    <x v="0"/>
  </r>
  <r>
    <n v="1499"/>
    <d v="2025-04-22T00:00:00"/>
    <x v="24"/>
    <s v="Male"/>
    <n v="181.8"/>
    <n v="65.7"/>
    <n v="14489"/>
    <n v="822.5"/>
    <n v="8.8000000000000007"/>
    <n v="78"/>
    <x v="3"/>
    <n v="26"/>
    <n v="3.16"/>
    <n v="9"/>
    <x v="1"/>
  </r>
  <r>
    <n v="1899"/>
    <d v="2025-04-23T00:00:00"/>
    <x v="1"/>
    <s v="Female"/>
    <n v="164.2"/>
    <n v="45"/>
    <n v="18789"/>
    <n v="900"/>
    <n v="5.8"/>
    <n v="78"/>
    <x v="5"/>
    <n v="87"/>
    <n v="2.57"/>
    <n v="3"/>
    <x v="0"/>
  </r>
  <r>
    <n v="1887"/>
    <d v="2025-04-24T00:00:00"/>
    <x v="40"/>
    <s v="Male"/>
    <n v="173"/>
    <n v="82.7"/>
    <n v="14348"/>
    <n v="832.9"/>
    <n v="3.9"/>
    <n v="82"/>
    <x v="3"/>
    <n v="41"/>
    <n v="2.25"/>
    <n v="1"/>
    <x v="1"/>
  </r>
  <r>
    <n v="1765"/>
    <d v="2025-04-25T00:00:00"/>
    <x v="24"/>
    <s v="Female"/>
    <n v="171.9"/>
    <n v="63.4"/>
    <n v="19420"/>
    <n v="900"/>
    <n v="5.5"/>
    <n v="82"/>
    <x v="4"/>
    <n v="48"/>
    <n v="3.38"/>
    <n v="8"/>
    <x v="2"/>
  </r>
  <r>
    <n v="1535"/>
    <d v="2025-04-26T00:00:00"/>
    <x v="8"/>
    <s v="Female"/>
    <n v="170.5"/>
    <n v="78.7"/>
    <n v="3677"/>
    <n v="372.2"/>
    <n v="7.3"/>
    <n v="92"/>
    <x v="3"/>
    <n v="22"/>
    <n v="2.87"/>
    <n v="1"/>
    <x v="2"/>
  </r>
  <r>
    <n v="1161"/>
    <d v="2025-04-27T00:00:00"/>
    <x v="33"/>
    <s v="Male"/>
    <n v="168.3"/>
    <n v="86.3"/>
    <n v="2744"/>
    <n v="305.5"/>
    <n v="6.9"/>
    <n v="72"/>
    <x v="5"/>
    <n v="41"/>
    <n v="2.42"/>
    <n v="1"/>
    <x v="2"/>
  </r>
  <r>
    <n v="1669"/>
    <d v="2025-04-28T00:00:00"/>
    <x v="22"/>
    <s v="Female"/>
    <n v="153.5"/>
    <n v="72.8"/>
    <n v="12175"/>
    <n v="715"/>
    <n v="8.4"/>
    <n v="67"/>
    <x v="1"/>
    <n v="72"/>
    <n v="1.96"/>
    <n v="7"/>
    <x v="1"/>
  </r>
  <r>
    <n v="1593"/>
    <d v="2025-04-29T00:00:00"/>
    <x v="4"/>
    <s v="Female"/>
    <n v="160"/>
    <n v="45"/>
    <n v="11550"/>
    <n v="580.70000000000005"/>
    <n v="4.8"/>
    <n v="73"/>
    <x v="2"/>
    <n v="76"/>
    <n v="2.3199999999999998"/>
    <n v="9"/>
    <x v="0"/>
  </r>
  <r>
    <n v="1914"/>
    <d v="2025-04-30T00:00:00"/>
    <x v="6"/>
    <s v="Male"/>
    <n v="181.2"/>
    <n v="45"/>
    <n v="10423"/>
    <n v="671.4"/>
    <n v="4.8"/>
    <n v="64"/>
    <x v="3"/>
    <n v="29"/>
    <n v="2.83"/>
    <n v="4"/>
    <x v="0"/>
  </r>
  <r>
    <n v="1158"/>
    <d v="2025-05-01T00:00:00"/>
    <x v="19"/>
    <s v="Male"/>
    <n v="174.3"/>
    <n v="59.9"/>
    <n v="2177"/>
    <n v="244.6"/>
    <n v="8.1"/>
    <n v="72"/>
    <x v="5"/>
    <n v="59"/>
    <n v="1.95"/>
    <n v="10"/>
    <x v="0"/>
  </r>
  <r>
    <n v="1187"/>
    <d v="2025-05-02T00:00:00"/>
    <x v="40"/>
    <s v="Female"/>
    <n v="189.1"/>
    <n v="69.099999999999994"/>
    <n v="1761"/>
    <n v="256.5"/>
    <n v="4.8"/>
    <n v="59"/>
    <x v="2"/>
    <n v="39"/>
    <n v="1.64"/>
    <n v="4"/>
    <x v="2"/>
  </r>
  <r>
    <n v="1059"/>
    <d v="2025-05-03T00:00:00"/>
    <x v="13"/>
    <s v="Female"/>
    <n v="159.6"/>
    <n v="88"/>
    <n v="5778"/>
    <n v="497"/>
    <n v="6.6"/>
    <n v="67"/>
    <x v="4"/>
    <n v="30"/>
    <n v="2.16"/>
    <n v="5"/>
    <x v="2"/>
  </r>
  <r>
    <n v="1914"/>
    <d v="2025-05-04T00:00:00"/>
    <x v="8"/>
    <s v="Female"/>
    <n v="169.7"/>
    <n v="74.400000000000006"/>
    <n v="7458"/>
    <n v="553.20000000000005"/>
    <n v="7"/>
    <n v="58"/>
    <x v="1"/>
    <n v="27"/>
    <n v="2.4700000000000002"/>
    <n v="5"/>
    <x v="0"/>
  </r>
  <r>
    <n v="1816"/>
    <d v="2025-05-05T00:00:00"/>
    <x v="26"/>
    <s v="Male"/>
    <n v="181.6"/>
    <n v="109.3"/>
    <n v="10735"/>
    <n v="548.29999999999995"/>
    <n v="6"/>
    <n v="87"/>
    <x v="0"/>
    <n v="0"/>
    <n v="3.45"/>
    <n v="2"/>
    <x v="1"/>
  </r>
  <r>
    <n v="1318"/>
    <d v="2025-05-06T00:00:00"/>
    <x v="17"/>
    <s v="Female"/>
    <n v="164.3"/>
    <n v="47.6"/>
    <n v="19317"/>
    <n v="900"/>
    <n v="7.9"/>
    <n v="76"/>
    <x v="2"/>
    <n v="44"/>
    <n v="1.69"/>
    <n v="9"/>
    <x v="1"/>
  </r>
  <r>
    <n v="1877"/>
    <d v="2025-05-07T00:00:00"/>
    <x v="34"/>
    <s v="Female"/>
    <n v="165.1"/>
    <n v="71.8"/>
    <n v="8179"/>
    <n v="559.20000000000005"/>
    <n v="3.9"/>
    <n v="94"/>
    <x v="0"/>
    <n v="0"/>
    <n v="2.66"/>
    <n v="10"/>
    <x v="0"/>
  </r>
  <r>
    <n v="1210"/>
    <d v="2025-05-08T00:00:00"/>
    <x v="36"/>
    <s v="Female"/>
    <n v="167.1"/>
    <n v="63.3"/>
    <n v="15849"/>
    <n v="747"/>
    <n v="9.6999999999999993"/>
    <n v="86"/>
    <x v="2"/>
    <n v="81"/>
    <n v="2.31"/>
    <n v="9"/>
    <x v="0"/>
  </r>
  <r>
    <n v="1405"/>
    <d v="2025-05-09T00:00:00"/>
    <x v="21"/>
    <s v="Male"/>
    <n v="165.5"/>
    <n v="73.5"/>
    <n v="5444"/>
    <n v="488.7"/>
    <n v="6.5"/>
    <n v="87"/>
    <x v="5"/>
    <n v="40"/>
    <n v="2.34"/>
    <n v="9"/>
    <x v="1"/>
  </r>
  <r>
    <n v="1663"/>
    <d v="2025-05-10T00:00:00"/>
    <x v="33"/>
    <s v="Male"/>
    <n v="175.3"/>
    <n v="96.3"/>
    <n v="3964"/>
    <n v="364.5"/>
    <n v="6.7"/>
    <n v="74"/>
    <x v="4"/>
    <n v="38"/>
    <n v="3.58"/>
    <n v="9"/>
    <x v="0"/>
  </r>
  <r>
    <n v="1108"/>
    <d v="2025-05-11T00:00:00"/>
    <x v="29"/>
    <s v="Male"/>
    <n v="152.19999999999999"/>
    <n v="97.2"/>
    <n v="10222"/>
    <n v="679.5"/>
    <n v="10"/>
    <n v="80"/>
    <x v="3"/>
    <n v="44"/>
    <n v="2.56"/>
    <n v="1"/>
    <x v="1"/>
  </r>
  <r>
    <n v="1075"/>
    <d v="2025-05-12T00:00:00"/>
    <x v="5"/>
    <s v="Male"/>
    <n v="186.4"/>
    <n v="70.8"/>
    <n v="13811"/>
    <n v="715.2"/>
    <n v="5"/>
    <n v="66"/>
    <x v="4"/>
    <n v="24"/>
    <n v="1.86"/>
    <n v="8"/>
    <x v="1"/>
  </r>
  <r>
    <n v="1541"/>
    <d v="2025-05-13T00:00:00"/>
    <x v="16"/>
    <s v="Female"/>
    <n v="160.4"/>
    <n v="82.9"/>
    <n v="11067"/>
    <n v="609.9"/>
    <n v="5.4"/>
    <n v="70"/>
    <x v="1"/>
    <n v="31"/>
    <n v="3.12"/>
    <n v="8"/>
    <x v="2"/>
  </r>
  <r>
    <n v="1313"/>
    <d v="2025-05-14T00:00:00"/>
    <x v="12"/>
    <s v="Male"/>
    <n v="150"/>
    <n v="73.2"/>
    <n v="8224"/>
    <n v="580.70000000000005"/>
    <n v="9.1"/>
    <n v="75"/>
    <x v="0"/>
    <n v="0"/>
    <n v="3.07"/>
    <n v="4"/>
    <x v="2"/>
  </r>
  <r>
    <n v="1997"/>
    <d v="2025-05-15T00:00:00"/>
    <x v="36"/>
    <s v="Female"/>
    <n v="169.9"/>
    <n v="53.9"/>
    <n v="11472"/>
    <n v="644.1"/>
    <n v="4.7"/>
    <n v="58"/>
    <x v="3"/>
    <n v="24"/>
    <n v="1.8"/>
    <n v="10"/>
    <x v="2"/>
  </r>
  <r>
    <n v="1116"/>
    <d v="2025-05-16T00:00:00"/>
    <x v="20"/>
    <s v="Female"/>
    <n v="166.2"/>
    <n v="70.2"/>
    <n v="16126"/>
    <n v="783"/>
    <n v="7.7"/>
    <n v="70"/>
    <x v="0"/>
    <n v="0"/>
    <n v="1.66"/>
    <n v="1"/>
    <x v="0"/>
  </r>
  <r>
    <n v="1926"/>
    <d v="2025-05-17T00:00:00"/>
    <x v="23"/>
    <s v="Female"/>
    <n v="168.2"/>
    <n v="62.4"/>
    <n v="4101"/>
    <n v="392.1"/>
    <n v="6.1"/>
    <n v="83"/>
    <x v="4"/>
    <n v="23"/>
    <n v="2.79"/>
    <n v="1"/>
    <x v="1"/>
  </r>
  <r>
    <n v="1867"/>
    <d v="2025-05-18T00:00:00"/>
    <x v="15"/>
    <s v="Female"/>
    <n v="173.1"/>
    <n v="69.099999999999994"/>
    <n v="4897"/>
    <n v="316.3"/>
    <n v="4.5999999999999996"/>
    <n v="70"/>
    <x v="1"/>
    <n v="64"/>
    <n v="2.48"/>
    <n v="1"/>
    <x v="0"/>
  </r>
  <r>
    <n v="1703"/>
    <d v="2025-05-19T00:00:00"/>
    <x v="41"/>
    <s v="Male"/>
    <n v="176.4"/>
    <n v="57.2"/>
    <n v="4678"/>
    <n v="459.2"/>
    <n v="7.8"/>
    <n v="68"/>
    <x v="2"/>
    <n v="66"/>
    <n v="2.17"/>
    <n v="3"/>
    <x v="0"/>
  </r>
  <r>
    <n v="1018"/>
    <d v="2025-05-20T00:00:00"/>
    <x v="9"/>
    <s v="Male"/>
    <n v="186.9"/>
    <n v="72.3"/>
    <n v="2843"/>
    <n v="322.89999999999998"/>
    <n v="7.8"/>
    <n v="71"/>
    <x v="2"/>
    <n v="47"/>
    <n v="3.24"/>
    <n v="10"/>
    <x v="0"/>
  </r>
  <r>
    <n v="1431"/>
    <d v="2025-05-21T00:00:00"/>
    <x v="41"/>
    <s v="Male"/>
    <n v="163.1"/>
    <n v="74.599999999999994"/>
    <n v="19322"/>
    <n v="900"/>
    <n v="7"/>
    <n v="82"/>
    <x v="0"/>
    <n v="0"/>
    <n v="2.09"/>
    <n v="3"/>
    <x v="1"/>
  </r>
  <r>
    <n v="1684"/>
    <d v="2025-05-22T00:00:00"/>
    <x v="5"/>
    <s v="Male"/>
    <n v="177.7"/>
    <n v="80.599999999999994"/>
    <n v="16958"/>
    <n v="900"/>
    <n v="10"/>
    <n v="79"/>
    <x v="0"/>
    <n v="0"/>
    <n v="2.8"/>
    <n v="4"/>
    <x v="2"/>
  </r>
  <r>
    <n v="1739"/>
    <d v="2025-05-23T00:00:00"/>
    <x v="17"/>
    <s v="Male"/>
    <n v="177.1"/>
    <n v="74.599999999999994"/>
    <n v="8083"/>
    <n v="581.5"/>
    <n v="5.8"/>
    <n v="73"/>
    <x v="2"/>
    <n v="31"/>
    <n v="3.32"/>
    <n v="2"/>
    <x v="1"/>
  </r>
  <r>
    <n v="1349"/>
    <d v="2025-05-24T00:00:00"/>
    <x v="17"/>
    <s v="Female"/>
    <n v="150"/>
    <n v="94.5"/>
    <n v="2466"/>
    <n v="298.8"/>
    <n v="8.3000000000000007"/>
    <n v="75"/>
    <x v="0"/>
    <n v="0"/>
    <n v="2.2599999999999998"/>
    <n v="9"/>
    <x v="1"/>
  </r>
  <r>
    <n v="1182"/>
    <d v="2025-05-25T00:00:00"/>
    <x v="28"/>
    <s v="Male"/>
    <n v="161.69999999999999"/>
    <n v="102.9"/>
    <n v="18119"/>
    <n v="900"/>
    <n v="7.5"/>
    <n v="84"/>
    <x v="2"/>
    <n v="47"/>
    <n v="1.22"/>
    <n v="10"/>
    <x v="0"/>
  </r>
  <r>
    <n v="1112"/>
    <d v="2025-05-26T00:00:00"/>
    <x v="6"/>
    <s v="Male"/>
    <n v="157.1"/>
    <n v="63.9"/>
    <n v="1339"/>
    <n v="366.2"/>
    <n v="8.5"/>
    <n v="88"/>
    <x v="0"/>
    <n v="0"/>
    <n v="2.2200000000000002"/>
    <n v="9"/>
    <x v="0"/>
  </r>
  <r>
    <n v="1182"/>
    <d v="2025-05-27T00:00:00"/>
    <x v="32"/>
    <s v="Male"/>
    <n v="174.5"/>
    <n v="84.6"/>
    <n v="12779"/>
    <n v="727.3"/>
    <n v="6.2"/>
    <n v="70"/>
    <x v="3"/>
    <n v="87"/>
    <n v="2.63"/>
    <n v="10"/>
    <x v="2"/>
  </r>
  <r>
    <n v="1480"/>
    <d v="2025-05-28T00:00:00"/>
    <x v="6"/>
    <s v="Male"/>
    <n v="173.4"/>
    <n v="101.7"/>
    <n v="18760"/>
    <n v="900"/>
    <n v="4.9000000000000004"/>
    <n v="74"/>
    <x v="0"/>
    <n v="0"/>
    <n v="3.2"/>
    <n v="7"/>
    <x v="1"/>
  </r>
  <r>
    <n v="1145"/>
    <d v="2025-05-29T00:00:00"/>
    <x v="33"/>
    <s v="Female"/>
    <n v="173.6"/>
    <n v="84.9"/>
    <n v="18088"/>
    <n v="900"/>
    <n v="6"/>
    <n v="87"/>
    <x v="2"/>
    <n v="55"/>
    <n v="2.14"/>
    <n v="2"/>
    <x v="2"/>
  </r>
  <r>
    <n v="1830"/>
    <d v="2025-05-30T00:00:00"/>
    <x v="30"/>
    <s v="Female"/>
    <n v="166.9"/>
    <n v="80.8"/>
    <n v="4724"/>
    <n v="332.2"/>
    <n v="6.9"/>
    <n v="80"/>
    <x v="3"/>
    <n v="81"/>
    <n v="3.71"/>
    <n v="3"/>
    <x v="0"/>
  </r>
  <r>
    <n v="1627"/>
    <d v="2025-05-31T00:00:00"/>
    <x v="20"/>
    <s v="Female"/>
    <n v="168"/>
    <n v="45"/>
    <n v="9189"/>
    <n v="581.9"/>
    <n v="8"/>
    <n v="61"/>
    <x v="3"/>
    <n v="58"/>
    <n v="1.59"/>
    <n v="8"/>
    <x v="0"/>
  </r>
  <r>
    <n v="1112"/>
    <d v="2025-06-01T00:00:00"/>
    <x v="0"/>
    <s v="Female"/>
    <n v="169.7"/>
    <n v="61.6"/>
    <n v="11334"/>
    <n v="619.29999999999995"/>
    <n v="7"/>
    <n v="66"/>
    <x v="4"/>
    <n v="60"/>
    <n v="2.61"/>
    <n v="9"/>
    <x v="2"/>
  </r>
  <r>
    <n v="1762"/>
    <d v="2025-06-02T00:00:00"/>
    <x v="4"/>
    <s v="Female"/>
    <n v="166"/>
    <n v="63.8"/>
    <n v="1552"/>
    <n v="220.9"/>
    <n v="7.3"/>
    <n v="66"/>
    <x v="2"/>
    <n v="79"/>
    <n v="2.33"/>
    <n v="4"/>
    <x v="2"/>
  </r>
  <r>
    <n v="1475"/>
    <d v="2025-06-03T00:00:00"/>
    <x v="27"/>
    <s v="Male"/>
    <n v="177.8"/>
    <n v="90.8"/>
    <n v="4491"/>
    <n v="385.7"/>
    <n v="9.6"/>
    <n v="71"/>
    <x v="5"/>
    <n v="85"/>
    <n v="3.44"/>
    <n v="9"/>
    <x v="1"/>
  </r>
  <r>
    <n v="1762"/>
    <d v="2025-06-04T00:00:00"/>
    <x v="10"/>
    <s v="Female"/>
    <n v="159.30000000000001"/>
    <n v="59"/>
    <n v="1789"/>
    <n v="281.39999999999998"/>
    <n v="7"/>
    <n v="79"/>
    <x v="0"/>
    <n v="0"/>
    <n v="1.47"/>
    <n v="4"/>
    <x v="2"/>
  </r>
  <r>
    <n v="1302"/>
    <d v="2025-06-05T00:00:00"/>
    <x v="8"/>
    <s v="Female"/>
    <n v="162.19999999999999"/>
    <n v="68.7"/>
    <n v="2173"/>
    <n v="206.3"/>
    <n v="6.2"/>
    <n v="94"/>
    <x v="2"/>
    <n v="59"/>
    <n v="2.8"/>
    <n v="2"/>
    <x v="2"/>
  </r>
  <r>
    <n v="1970"/>
    <d v="2025-06-06T00:00:00"/>
    <x v="21"/>
    <s v="Female"/>
    <n v="171.2"/>
    <n v="82.6"/>
    <n v="1552"/>
    <n v="279.3"/>
    <n v="7.7"/>
    <n v="74"/>
    <x v="5"/>
    <n v="38"/>
    <n v="2.33"/>
    <n v="7"/>
    <x v="1"/>
  </r>
  <r>
    <n v="1824"/>
    <d v="2025-06-07T00:00:00"/>
    <x v="40"/>
    <s v="Male"/>
    <n v="166.3"/>
    <n v="58.4"/>
    <n v="5211"/>
    <n v="395.9"/>
    <n v="4.4000000000000004"/>
    <n v="82"/>
    <x v="2"/>
    <n v="74"/>
    <n v="3.57"/>
    <n v="9"/>
    <x v="0"/>
  </r>
  <r>
    <n v="1117"/>
    <d v="2025-06-08T00:00:00"/>
    <x v="8"/>
    <s v="Male"/>
    <n v="158.9"/>
    <n v="74.2"/>
    <n v="9823"/>
    <n v="662.8"/>
    <n v="4.4000000000000004"/>
    <n v="86"/>
    <x v="3"/>
    <n v="65"/>
    <n v="1.92"/>
    <n v="2"/>
    <x v="1"/>
  </r>
  <r>
    <n v="1812"/>
    <d v="2025-06-09T00:00:00"/>
    <x v="41"/>
    <s v="Female"/>
    <n v="175.3"/>
    <n v="72.2"/>
    <n v="17653"/>
    <n v="900"/>
    <n v="6.8"/>
    <n v="90"/>
    <x v="2"/>
    <n v="23"/>
    <n v="2.79"/>
    <n v="8"/>
    <x v="0"/>
  </r>
  <r>
    <n v="1160"/>
    <d v="2025-06-10T00:00:00"/>
    <x v="1"/>
    <s v="Male"/>
    <n v="164.3"/>
    <n v="83.2"/>
    <n v="1860"/>
    <n v="231.6"/>
    <n v="5.6"/>
    <n v="86"/>
    <x v="2"/>
    <n v="81"/>
    <n v="1.91"/>
    <n v="6"/>
    <x v="0"/>
  </r>
  <r>
    <n v="1400"/>
    <d v="2025-06-11T00:00:00"/>
    <x v="18"/>
    <s v="Male"/>
    <n v="161.6"/>
    <n v="79.900000000000006"/>
    <n v="1290"/>
    <n v="317.2"/>
    <n v="6.1"/>
    <n v="68"/>
    <x v="2"/>
    <n v="44"/>
    <n v="2.63"/>
    <n v="9"/>
    <x v="2"/>
  </r>
  <r>
    <n v="1197"/>
    <d v="2025-06-12T00:00:00"/>
    <x v="16"/>
    <s v="Female"/>
    <n v="168.3"/>
    <n v="79.400000000000006"/>
    <n v="10649"/>
    <n v="652.79999999999995"/>
    <n v="8.4"/>
    <n v="60"/>
    <x v="2"/>
    <n v="82"/>
    <n v="2.2400000000000002"/>
    <n v="5"/>
    <x v="2"/>
  </r>
  <r>
    <n v="1259"/>
    <d v="2025-06-13T00:00:00"/>
    <x v="22"/>
    <s v="Male"/>
    <n v="161.1"/>
    <n v="73"/>
    <n v="15344"/>
    <n v="802.8"/>
    <n v="7.8"/>
    <n v="69"/>
    <x v="4"/>
    <n v="89"/>
    <n v="2.23"/>
    <n v="1"/>
    <x v="2"/>
  </r>
  <r>
    <n v="1659"/>
    <d v="2025-06-14T00:00:00"/>
    <x v="20"/>
    <s v="Male"/>
    <n v="169.7"/>
    <n v="45"/>
    <n v="6870"/>
    <n v="449.2"/>
    <n v="6.9"/>
    <n v="77"/>
    <x v="0"/>
    <n v="0"/>
    <n v="1.1100000000000001"/>
    <n v="5"/>
    <x v="2"/>
  </r>
  <r>
    <n v="1751"/>
    <d v="2025-06-15T00:00:00"/>
    <x v="18"/>
    <s v="Male"/>
    <n v="166.4"/>
    <n v="72.099999999999994"/>
    <n v="1629"/>
    <n v="207.8"/>
    <n v="7.1"/>
    <n v="68"/>
    <x v="4"/>
    <n v="23"/>
    <n v="2.79"/>
    <n v="10"/>
    <x v="2"/>
  </r>
  <r>
    <n v="1046"/>
    <d v="2025-06-16T00:00:00"/>
    <x v="0"/>
    <s v="Female"/>
    <n v="164.9"/>
    <n v="70.8"/>
    <n v="8007"/>
    <n v="459.4"/>
    <n v="6.4"/>
    <n v="59"/>
    <x v="3"/>
    <n v="21"/>
    <n v="1.74"/>
    <n v="7"/>
    <x v="0"/>
  </r>
  <r>
    <n v="1986"/>
    <d v="2025-06-17T00:00:00"/>
    <x v="21"/>
    <s v="Female"/>
    <n v="164.9"/>
    <n v="81.5"/>
    <n v="17186"/>
    <n v="796.1"/>
    <n v="8.3000000000000007"/>
    <n v="63"/>
    <x v="3"/>
    <n v="86"/>
    <n v="1.72"/>
    <n v="7"/>
    <x v="1"/>
  </r>
  <r>
    <n v="1398"/>
    <d v="2025-06-18T00:00:00"/>
    <x v="1"/>
    <s v="Female"/>
    <n v="180"/>
    <n v="63.7"/>
    <n v="6943"/>
    <n v="478.8"/>
    <n v="8.1999999999999993"/>
    <n v="105"/>
    <x v="5"/>
    <n v="49"/>
    <n v="1.41"/>
    <n v="4"/>
    <x v="2"/>
  </r>
  <r>
    <n v="1709"/>
    <d v="2025-06-19T00:00:00"/>
    <x v="8"/>
    <s v="Male"/>
    <n v="173.7"/>
    <n v="70.599999999999994"/>
    <n v="17858"/>
    <n v="811.3"/>
    <n v="8.5"/>
    <n v="73"/>
    <x v="3"/>
    <n v="23"/>
    <n v="1.76"/>
    <n v="10"/>
    <x v="0"/>
  </r>
  <r>
    <n v="1558"/>
    <d v="2025-06-20T00:00:00"/>
    <x v="25"/>
    <s v="Female"/>
    <n v="152.9"/>
    <n v="71.099999999999994"/>
    <n v="5080"/>
    <n v="359.9"/>
    <n v="8.4"/>
    <n v="93"/>
    <x v="4"/>
    <n v="67"/>
    <n v="2.85"/>
    <n v="6"/>
    <x v="2"/>
  </r>
  <r>
    <n v="1077"/>
    <d v="2025-06-21T00:00:00"/>
    <x v="30"/>
    <s v="Male"/>
    <n v="178.8"/>
    <n v="59.3"/>
    <n v="13972"/>
    <n v="791.7"/>
    <n v="7.1"/>
    <n v="73"/>
    <x v="3"/>
    <n v="62"/>
    <n v="2.82"/>
    <n v="6"/>
    <x v="1"/>
  </r>
  <r>
    <n v="1123"/>
    <d v="2025-06-22T00:00:00"/>
    <x v="1"/>
    <s v="Male"/>
    <n v="175.2"/>
    <n v="52.7"/>
    <n v="2760"/>
    <n v="385.1"/>
    <n v="6"/>
    <n v="83"/>
    <x v="5"/>
    <n v="64"/>
    <n v="2.96"/>
    <n v="10"/>
    <x v="0"/>
  </r>
  <r>
    <n v="1074"/>
    <d v="2025-06-23T00:00:00"/>
    <x v="4"/>
    <s v="Male"/>
    <n v="174.6"/>
    <n v="75.7"/>
    <n v="12274"/>
    <n v="633.5"/>
    <n v="6.7"/>
    <n v="74"/>
    <x v="5"/>
    <n v="32"/>
    <n v="1.78"/>
    <n v="10"/>
    <x v="1"/>
  </r>
  <r>
    <n v="1870"/>
    <d v="2025-06-24T00:00:00"/>
    <x v="30"/>
    <s v="Female"/>
    <n v="178.9"/>
    <n v="85.1"/>
    <n v="5708"/>
    <n v="458.8"/>
    <n v="7.2"/>
    <n v="75"/>
    <x v="4"/>
    <n v="66"/>
    <n v="2.65"/>
    <n v="1"/>
    <x v="2"/>
  </r>
  <r>
    <n v="1136"/>
    <d v="2025-06-25T00:00:00"/>
    <x v="25"/>
    <s v="Female"/>
    <n v="170.2"/>
    <n v="60.6"/>
    <n v="13166"/>
    <n v="711.2"/>
    <n v="6"/>
    <n v="83"/>
    <x v="3"/>
    <n v="47"/>
    <n v="2.0699999999999998"/>
    <n v="5"/>
    <x v="0"/>
  </r>
  <r>
    <n v="1601"/>
    <d v="2025-06-26T00:00:00"/>
    <x v="3"/>
    <s v="Female"/>
    <n v="176.2"/>
    <n v="66.7"/>
    <n v="4398"/>
    <n v="350.1"/>
    <n v="9.4"/>
    <n v="71"/>
    <x v="0"/>
    <n v="0"/>
    <n v="3.17"/>
    <n v="7"/>
    <x v="1"/>
  </r>
  <r>
    <n v="1399"/>
    <d v="2025-06-27T00:00:00"/>
    <x v="22"/>
    <s v="Female"/>
    <n v="165.4"/>
    <n v="82.4"/>
    <n v="15930"/>
    <n v="844.9"/>
    <n v="9.5"/>
    <n v="63"/>
    <x v="5"/>
    <n v="47"/>
    <n v="2.8"/>
    <n v="5"/>
    <x v="2"/>
  </r>
  <r>
    <n v="1836"/>
    <d v="2025-06-28T00:00:00"/>
    <x v="12"/>
    <s v="Male"/>
    <n v="178.5"/>
    <n v="83.9"/>
    <n v="11515"/>
    <n v="627.9"/>
    <n v="6.8"/>
    <n v="67"/>
    <x v="3"/>
    <n v="46"/>
    <n v="2.04"/>
    <n v="8"/>
    <x v="2"/>
  </r>
  <r>
    <n v="1504"/>
    <d v="2025-06-29T00:00:00"/>
    <x v="25"/>
    <s v="Female"/>
    <n v="172.2"/>
    <n v="73.5"/>
    <n v="15705"/>
    <n v="824"/>
    <n v="8.5"/>
    <n v="67"/>
    <x v="3"/>
    <n v="49"/>
    <n v="3.23"/>
    <n v="1"/>
    <x v="0"/>
  </r>
  <r>
    <n v="1499"/>
    <d v="2025-06-30T00:00:00"/>
    <x v="31"/>
    <s v="Male"/>
    <n v="156.19999999999999"/>
    <n v="76.2"/>
    <n v="4561"/>
    <n v="386"/>
    <n v="7.8"/>
    <n v="76"/>
    <x v="0"/>
    <n v="0"/>
    <n v="2.86"/>
    <n v="9"/>
    <x v="2"/>
  </r>
  <r>
    <n v="1572"/>
    <d v="2025-07-01T00:00:00"/>
    <x v="9"/>
    <s v="Female"/>
    <n v="180.4"/>
    <n v="78"/>
    <n v="11607"/>
    <n v="722.3"/>
    <n v="6.3"/>
    <n v="56"/>
    <x v="4"/>
    <n v="28"/>
    <n v="1.53"/>
    <n v="2"/>
    <x v="1"/>
  </r>
  <r>
    <n v="1137"/>
    <d v="2025-07-02T00:00:00"/>
    <x v="15"/>
    <s v="Female"/>
    <n v="168.7"/>
    <n v="80.7"/>
    <n v="14018"/>
    <n v="829.6"/>
    <n v="7.6"/>
    <n v="78"/>
    <x v="4"/>
    <n v="25"/>
    <n v="1.33"/>
    <n v="8"/>
    <x v="2"/>
  </r>
  <r>
    <n v="1049"/>
    <d v="2025-07-03T00:00:00"/>
    <x v="14"/>
    <s v="Female"/>
    <n v="167.3"/>
    <n v="53.9"/>
    <n v="10816"/>
    <n v="602.70000000000005"/>
    <n v="5.8"/>
    <n v="88"/>
    <x v="3"/>
    <n v="48"/>
    <n v="1.56"/>
    <n v="5"/>
    <x v="1"/>
  </r>
  <r>
    <n v="1770"/>
    <d v="2025-07-04T00:00:00"/>
    <x v="15"/>
    <s v="Male"/>
    <n v="165.6"/>
    <n v="98.8"/>
    <n v="18892"/>
    <n v="900"/>
    <n v="5.7"/>
    <n v="70"/>
    <x v="2"/>
    <n v="89"/>
    <n v="3.65"/>
    <n v="10"/>
    <x v="1"/>
  </r>
  <r>
    <n v="1972"/>
    <d v="2025-07-05T00:00:00"/>
    <x v="25"/>
    <s v="Male"/>
    <n v="166.3"/>
    <n v="74.099999999999994"/>
    <n v="7831"/>
    <n v="553.5"/>
    <n v="7.7"/>
    <n v="68"/>
    <x v="2"/>
    <n v="85"/>
    <n v="1.79"/>
    <n v="7"/>
    <x v="1"/>
  </r>
  <r>
    <n v="1618"/>
    <d v="2025-07-06T00:00:00"/>
    <x v="25"/>
    <s v="Male"/>
    <n v="172.3"/>
    <n v="80.900000000000006"/>
    <n v="9195"/>
    <n v="558.79999999999995"/>
    <n v="7.7"/>
    <n v="95"/>
    <x v="1"/>
    <n v="72"/>
    <n v="3.81"/>
    <n v="7"/>
    <x v="1"/>
  </r>
  <r>
    <n v="1624"/>
    <d v="2025-07-07T00:00:00"/>
    <x v="9"/>
    <s v="Male"/>
    <n v="160.1"/>
    <n v="58.6"/>
    <n v="4447"/>
    <n v="413.6"/>
    <n v="10"/>
    <n v="90"/>
    <x v="1"/>
    <n v="89"/>
    <n v="1.75"/>
    <n v="1"/>
    <x v="0"/>
  </r>
  <r>
    <n v="1861"/>
    <d v="2025-07-08T00:00:00"/>
    <x v="13"/>
    <s v="Male"/>
    <n v="154.30000000000001"/>
    <n v="67.2"/>
    <n v="14680"/>
    <n v="832.3"/>
    <n v="6.8"/>
    <n v="79"/>
    <x v="1"/>
    <n v="24"/>
    <n v="1.68"/>
    <n v="8"/>
    <x v="1"/>
  </r>
  <r>
    <n v="1253"/>
    <d v="2025-07-09T00:00:00"/>
    <x v="24"/>
    <s v="Female"/>
    <n v="159.4"/>
    <n v="75.7"/>
    <n v="6584"/>
    <n v="514.29999999999995"/>
    <n v="6.2"/>
    <n v="68"/>
    <x v="4"/>
    <n v="39"/>
    <n v="3.12"/>
    <n v="3"/>
    <x v="0"/>
  </r>
  <r>
    <n v="1629"/>
    <d v="2025-07-10T00:00:00"/>
    <x v="28"/>
    <s v="Male"/>
    <n v="173.8"/>
    <n v="45"/>
    <n v="4791"/>
    <n v="396"/>
    <n v="8.4"/>
    <n v="81"/>
    <x v="3"/>
    <n v="31"/>
    <n v="3.15"/>
    <n v="4"/>
    <x v="0"/>
  </r>
  <r>
    <n v="1709"/>
    <d v="2025-07-11T00:00:00"/>
    <x v="25"/>
    <s v="Male"/>
    <n v="168.4"/>
    <n v="56.5"/>
    <n v="10352"/>
    <n v="555.9"/>
    <n v="7"/>
    <n v="65"/>
    <x v="0"/>
    <n v="0"/>
    <n v="2.89"/>
    <n v="3"/>
    <x v="0"/>
  </r>
  <r>
    <n v="1848"/>
    <d v="2025-07-12T00:00:00"/>
    <x v="30"/>
    <s v="Male"/>
    <n v="181.1"/>
    <n v="59.1"/>
    <n v="18217"/>
    <n v="900"/>
    <n v="6"/>
    <n v="62"/>
    <x v="0"/>
    <n v="0"/>
    <n v="2.97"/>
    <n v="2"/>
    <x v="2"/>
  </r>
  <r>
    <n v="1876"/>
    <d v="2025-07-13T00:00:00"/>
    <x v="7"/>
    <s v="Male"/>
    <n v="169.4"/>
    <n v="50.8"/>
    <n v="15698"/>
    <n v="802.6"/>
    <n v="6.1"/>
    <n v="80"/>
    <x v="5"/>
    <n v="68"/>
    <n v="1.94"/>
    <n v="7"/>
    <x v="1"/>
  </r>
  <r>
    <n v="1562"/>
    <d v="2025-07-14T00:00:00"/>
    <x v="33"/>
    <s v="Female"/>
    <n v="178.4"/>
    <n v="71.599999999999994"/>
    <n v="11190"/>
    <n v="686.5"/>
    <n v="6.7"/>
    <n v="70"/>
    <x v="3"/>
    <n v="83"/>
    <n v="3.08"/>
    <n v="10"/>
    <x v="2"/>
  </r>
  <r>
    <n v="1756"/>
    <d v="2025-07-15T00:00:00"/>
    <x v="21"/>
    <s v="Male"/>
    <n v="163.1"/>
    <n v="68.900000000000006"/>
    <n v="6335"/>
    <n v="529.70000000000005"/>
    <n v="8.6"/>
    <n v="55"/>
    <x v="3"/>
    <n v="69"/>
    <n v="2.67"/>
    <n v="5"/>
    <x v="1"/>
  </r>
  <r>
    <n v="1914"/>
    <d v="2025-07-16T00:00:00"/>
    <x v="35"/>
    <s v="Female"/>
    <n v="165.6"/>
    <n v="91.4"/>
    <n v="7260"/>
    <n v="568.1"/>
    <n v="7.6"/>
    <n v="81"/>
    <x v="1"/>
    <n v="58"/>
    <n v="2.2400000000000002"/>
    <n v="7"/>
    <x v="0"/>
  </r>
  <r>
    <n v="1425"/>
    <d v="2025-07-17T00:00:00"/>
    <x v="10"/>
    <s v="Female"/>
    <n v="170.1"/>
    <n v="53.2"/>
    <n v="16605"/>
    <n v="900"/>
    <n v="5.7"/>
    <n v="90"/>
    <x v="3"/>
    <n v="59"/>
    <n v="2.57"/>
    <n v="1"/>
    <x v="2"/>
  </r>
  <r>
    <n v="1546"/>
    <d v="2025-07-18T00:00:00"/>
    <x v="7"/>
    <s v="Female"/>
    <n v="168.5"/>
    <n v="73.5"/>
    <n v="19559"/>
    <n v="900"/>
    <n v="9.8000000000000007"/>
    <n v="82"/>
    <x v="0"/>
    <n v="0"/>
    <n v="3.24"/>
    <n v="10"/>
    <x v="2"/>
  </r>
  <r>
    <n v="1301"/>
    <d v="2025-07-19T00:00:00"/>
    <x v="6"/>
    <s v="Male"/>
    <n v="167.6"/>
    <n v="56.8"/>
    <n v="10573"/>
    <n v="693.1"/>
    <n v="5.6"/>
    <n v="70"/>
    <x v="1"/>
    <n v="22"/>
    <n v="2.77"/>
    <n v="2"/>
    <x v="0"/>
  </r>
  <r>
    <n v="1921"/>
    <d v="2025-07-20T00:00:00"/>
    <x v="14"/>
    <s v="Female"/>
    <n v="161.30000000000001"/>
    <n v="45"/>
    <n v="3788"/>
    <n v="372.8"/>
    <n v="5.9"/>
    <n v="54"/>
    <x v="3"/>
    <n v="49"/>
    <n v="0.99"/>
    <n v="6"/>
    <x v="0"/>
  </r>
  <r>
    <n v="1580"/>
    <d v="2025-07-21T00:00:00"/>
    <x v="20"/>
    <s v="Male"/>
    <n v="154.1"/>
    <n v="78.8"/>
    <n v="12013"/>
    <n v="639.29999999999995"/>
    <n v="8.8000000000000007"/>
    <n v="76"/>
    <x v="5"/>
    <n v="48"/>
    <n v="3.12"/>
    <n v="6"/>
    <x v="0"/>
  </r>
  <r>
    <n v="1348"/>
    <d v="2025-07-22T00:00:00"/>
    <x v="25"/>
    <s v="Male"/>
    <n v="176.3"/>
    <n v="80.099999999999994"/>
    <n v="13369"/>
    <n v="777.9"/>
    <n v="9.1999999999999993"/>
    <n v="68"/>
    <x v="2"/>
    <n v="89"/>
    <n v="3.07"/>
    <n v="3"/>
    <x v="2"/>
  </r>
  <r>
    <n v="1831"/>
    <d v="2025-07-23T00:00:00"/>
    <x v="19"/>
    <s v="Male"/>
    <n v="175.2"/>
    <n v="78.3"/>
    <n v="7721"/>
    <n v="497.8"/>
    <n v="7.5"/>
    <n v="66"/>
    <x v="2"/>
    <n v="75"/>
    <n v="2.23"/>
    <n v="10"/>
    <x v="0"/>
  </r>
  <r>
    <n v="1932"/>
    <d v="2025-07-24T00:00:00"/>
    <x v="13"/>
    <s v="Male"/>
    <n v="163.9"/>
    <n v="50.3"/>
    <n v="8312"/>
    <n v="435"/>
    <n v="5.0999999999999996"/>
    <n v="56"/>
    <x v="4"/>
    <n v="85"/>
    <n v="2.58"/>
    <n v="1"/>
    <x v="2"/>
  </r>
  <r>
    <n v="1979"/>
    <d v="2025-07-25T00:00:00"/>
    <x v="6"/>
    <s v="Male"/>
    <n v="173.8"/>
    <n v="71.3"/>
    <n v="15912"/>
    <n v="787.5"/>
    <n v="7.1"/>
    <n v="94"/>
    <x v="5"/>
    <n v="82"/>
    <n v="2.58"/>
    <n v="3"/>
    <x v="1"/>
  </r>
  <r>
    <n v="1048"/>
    <d v="2025-07-26T00:00:00"/>
    <x v="10"/>
    <s v="Female"/>
    <n v="168.3"/>
    <n v="79"/>
    <n v="5616"/>
    <n v="421.4"/>
    <n v="4.9000000000000004"/>
    <n v="64"/>
    <x v="0"/>
    <n v="0"/>
    <n v="1.1100000000000001"/>
    <n v="4"/>
    <x v="0"/>
  </r>
  <r>
    <n v="1916"/>
    <d v="2025-07-27T00:00:00"/>
    <x v="41"/>
    <s v="Female"/>
    <n v="181.1"/>
    <n v="84.3"/>
    <n v="1995"/>
    <n v="274.60000000000002"/>
    <n v="10"/>
    <n v="57"/>
    <x v="3"/>
    <n v="72"/>
    <n v="2.2200000000000002"/>
    <n v="1"/>
    <x v="2"/>
  </r>
  <r>
    <n v="1073"/>
    <d v="2025-07-28T00:00:00"/>
    <x v="17"/>
    <s v="Male"/>
    <n v="156.9"/>
    <n v="79.400000000000006"/>
    <n v="1356"/>
    <n v="201"/>
    <n v="7.4"/>
    <n v="92"/>
    <x v="5"/>
    <n v="65"/>
    <n v="2.25"/>
    <n v="7"/>
    <x v="0"/>
  </r>
  <r>
    <n v="1703"/>
    <d v="2025-07-29T00:00:00"/>
    <x v="4"/>
    <s v="Female"/>
    <n v="168.7"/>
    <n v="84.5"/>
    <n v="2693"/>
    <n v="345.3"/>
    <n v="8.1999999999999993"/>
    <n v="75"/>
    <x v="3"/>
    <n v="28"/>
    <n v="2.39"/>
    <n v="3"/>
    <x v="0"/>
  </r>
  <r>
    <n v="1260"/>
    <d v="2025-07-30T00:00:00"/>
    <x v="21"/>
    <s v="Male"/>
    <n v="167.9"/>
    <n v="86"/>
    <n v="3590"/>
    <n v="369.6"/>
    <n v="6.4"/>
    <n v="74"/>
    <x v="5"/>
    <n v="26"/>
    <n v="2.13"/>
    <n v="8"/>
    <x v="2"/>
  </r>
  <r>
    <n v="1355"/>
    <d v="2025-07-31T00:00:00"/>
    <x v="19"/>
    <s v="Female"/>
    <n v="171.6"/>
    <n v="71.599999999999994"/>
    <n v="10534"/>
    <n v="549.6"/>
    <n v="9.6999999999999993"/>
    <n v="78"/>
    <x v="5"/>
    <n v="82"/>
    <n v="2.96"/>
    <n v="7"/>
    <x v="2"/>
  </r>
  <r>
    <n v="1581"/>
    <d v="2025-08-01T00:00:00"/>
    <x v="33"/>
    <s v="Female"/>
    <n v="185.4"/>
    <n v="77.5"/>
    <n v="8921"/>
    <n v="688.5"/>
    <n v="6.2"/>
    <n v="79"/>
    <x v="2"/>
    <n v="66"/>
    <n v="1.93"/>
    <n v="6"/>
    <x v="2"/>
  </r>
  <r>
    <n v="1601"/>
    <d v="2025-08-02T00:00:00"/>
    <x v="19"/>
    <s v="Female"/>
    <n v="168.8"/>
    <n v="85"/>
    <n v="2691"/>
    <n v="246.9"/>
    <n v="5.7"/>
    <n v="77"/>
    <x v="5"/>
    <n v="63"/>
    <n v="3.14"/>
    <n v="8"/>
    <x v="0"/>
  </r>
  <r>
    <n v="1259"/>
    <d v="2025-08-03T00:00:00"/>
    <x v="7"/>
    <s v="Female"/>
    <n v="177.4"/>
    <n v="75.900000000000006"/>
    <n v="10274"/>
    <n v="588.1"/>
    <n v="7.5"/>
    <n v="60"/>
    <x v="4"/>
    <n v="68"/>
    <n v="2.93"/>
    <n v="9"/>
    <x v="1"/>
  </r>
  <r>
    <n v="1637"/>
    <d v="2025-08-04T00:00:00"/>
    <x v="20"/>
    <s v="Female"/>
    <n v="168.5"/>
    <n v="88"/>
    <n v="19441"/>
    <n v="900"/>
    <n v="8.3000000000000007"/>
    <n v="59"/>
    <x v="3"/>
    <n v="81"/>
    <n v="3.45"/>
    <n v="2"/>
    <x v="1"/>
  </r>
  <r>
    <n v="1742"/>
    <d v="2025-08-05T00:00:00"/>
    <x v="4"/>
    <s v="Male"/>
    <n v="180.7"/>
    <n v="83.1"/>
    <n v="3904"/>
    <n v="333.4"/>
    <n v="10"/>
    <n v="68"/>
    <x v="1"/>
    <n v="78"/>
    <n v="3.71"/>
    <n v="10"/>
    <x v="0"/>
  </r>
  <r>
    <n v="1294"/>
    <d v="2025-08-06T00:00:00"/>
    <x v="35"/>
    <s v="Male"/>
    <n v="177.5"/>
    <n v="60.5"/>
    <n v="12387"/>
    <n v="768.2"/>
    <n v="9.4"/>
    <n v="70"/>
    <x v="5"/>
    <n v="32"/>
    <n v="3.72"/>
    <n v="9"/>
    <x v="0"/>
  </r>
  <r>
    <n v="1930"/>
    <d v="2025-08-07T00:00:00"/>
    <x v="36"/>
    <s v="Female"/>
    <n v="166.7"/>
    <n v="50.4"/>
    <n v="12609"/>
    <n v="695.6"/>
    <n v="8.8000000000000007"/>
    <n v="71"/>
    <x v="1"/>
    <n v="49"/>
    <n v="1.67"/>
    <n v="10"/>
    <x v="2"/>
  </r>
  <r>
    <n v="1640"/>
    <d v="2025-08-08T00:00:00"/>
    <x v="9"/>
    <s v="Male"/>
    <n v="165.9"/>
    <n v="70.3"/>
    <n v="7937"/>
    <n v="471.4"/>
    <n v="6"/>
    <n v="77"/>
    <x v="2"/>
    <n v="62"/>
    <n v="2.74"/>
    <n v="5"/>
    <x v="1"/>
  </r>
  <r>
    <n v="1791"/>
    <d v="2025-08-09T00:00:00"/>
    <x v="38"/>
    <s v="Female"/>
    <n v="174.9"/>
    <n v="52.3"/>
    <n v="19764"/>
    <n v="900"/>
    <n v="5.9"/>
    <n v="72"/>
    <x v="1"/>
    <n v="70"/>
    <n v="2"/>
    <n v="1"/>
    <x v="1"/>
  </r>
  <r>
    <n v="1312"/>
    <d v="2025-08-10T00:00:00"/>
    <x v="33"/>
    <s v="Male"/>
    <n v="163.4"/>
    <n v="71.2"/>
    <n v="9208"/>
    <n v="423.3"/>
    <n v="5.7"/>
    <n v="68"/>
    <x v="4"/>
    <n v="27"/>
    <n v="4.8"/>
    <n v="1"/>
    <x v="1"/>
  </r>
  <r>
    <n v="1611"/>
    <d v="2025-08-11T00:00:00"/>
    <x v="20"/>
    <s v="Female"/>
    <n v="171.9"/>
    <n v="69.900000000000006"/>
    <n v="16783"/>
    <n v="898"/>
    <n v="6.8"/>
    <n v="79"/>
    <x v="4"/>
    <n v="56"/>
    <n v="2.93"/>
    <n v="7"/>
    <x v="2"/>
  </r>
  <r>
    <n v="1837"/>
    <d v="2025-08-12T00:00:00"/>
    <x v="7"/>
    <s v="Female"/>
    <n v="166.4"/>
    <n v="89.5"/>
    <n v="9515"/>
    <n v="645.1"/>
    <n v="4.0999999999999996"/>
    <n v="82"/>
    <x v="2"/>
    <n v="83"/>
    <n v="3.49"/>
    <n v="6"/>
    <x v="1"/>
  </r>
  <r>
    <n v="1808"/>
    <d v="2025-08-13T00:00:00"/>
    <x v="35"/>
    <s v="Female"/>
    <n v="173.7"/>
    <n v="77.599999999999994"/>
    <n v="3070"/>
    <n v="207.5"/>
    <n v="9"/>
    <n v="67"/>
    <x v="0"/>
    <n v="0"/>
    <n v="2.8"/>
    <n v="10"/>
    <x v="2"/>
  </r>
  <r>
    <n v="1181"/>
    <d v="2025-08-14T00:00:00"/>
    <x v="2"/>
    <s v="Male"/>
    <n v="168.4"/>
    <n v="84.7"/>
    <n v="18314"/>
    <n v="900"/>
    <n v="5.5"/>
    <n v="61"/>
    <x v="4"/>
    <n v="27"/>
    <n v="0.66"/>
    <n v="9"/>
    <x v="0"/>
  </r>
  <r>
    <n v="1685"/>
    <d v="2025-08-15T00:00:00"/>
    <x v="35"/>
    <s v="Male"/>
    <n v="163.1"/>
    <n v="62.7"/>
    <n v="13746"/>
    <n v="667.5"/>
    <n v="5.3"/>
    <n v="77"/>
    <x v="3"/>
    <n v="81"/>
    <n v="1.95"/>
    <n v="1"/>
    <x v="2"/>
  </r>
  <r>
    <n v="1827"/>
    <d v="2025-08-16T00:00:00"/>
    <x v="12"/>
    <s v="Female"/>
    <n v="181.1"/>
    <n v="92.9"/>
    <n v="14771"/>
    <n v="791.5"/>
    <n v="6.4"/>
    <n v="71"/>
    <x v="0"/>
    <n v="0"/>
    <n v="2.02"/>
    <n v="10"/>
    <x v="0"/>
  </r>
  <r>
    <n v="1363"/>
    <d v="2025-08-17T00:00:00"/>
    <x v="22"/>
    <s v="Female"/>
    <n v="172.4"/>
    <n v="83.4"/>
    <n v="13844"/>
    <n v="865.9"/>
    <n v="5"/>
    <n v="83"/>
    <x v="4"/>
    <n v="33"/>
    <n v="2.23"/>
    <n v="10"/>
    <x v="1"/>
  </r>
  <r>
    <n v="1187"/>
    <d v="2025-08-18T00:00:00"/>
    <x v="8"/>
    <s v="Male"/>
    <n v="169.5"/>
    <n v="76.400000000000006"/>
    <n v="18828"/>
    <n v="900"/>
    <n v="8"/>
    <n v="65"/>
    <x v="0"/>
    <n v="0"/>
    <n v="2.75"/>
    <n v="10"/>
    <x v="0"/>
  </r>
  <r>
    <n v="1568"/>
    <d v="2025-08-19T00:00:00"/>
    <x v="34"/>
    <s v="Male"/>
    <n v="174.2"/>
    <n v="45"/>
    <n v="13228"/>
    <n v="718.2"/>
    <n v="5.6"/>
    <n v="63"/>
    <x v="5"/>
    <n v="76"/>
    <n v="2.85"/>
    <n v="10"/>
    <x v="0"/>
  </r>
  <r>
    <n v="1542"/>
    <d v="2025-08-20T00:00:00"/>
    <x v="5"/>
    <s v="Male"/>
    <n v="153.30000000000001"/>
    <n v="87.7"/>
    <n v="18905"/>
    <n v="815"/>
    <n v="7.8"/>
    <n v="69"/>
    <x v="4"/>
    <n v="40"/>
    <n v="0.66"/>
    <n v="7"/>
    <x v="0"/>
  </r>
  <r>
    <n v="1595"/>
    <d v="2025-08-21T00:00:00"/>
    <x v="23"/>
    <s v="Male"/>
    <n v="190.9"/>
    <n v="96.6"/>
    <n v="4098"/>
    <n v="308.60000000000002"/>
    <n v="8.4"/>
    <n v="80"/>
    <x v="0"/>
    <n v="0"/>
    <n v="2.33"/>
    <n v="8"/>
    <x v="2"/>
  </r>
  <r>
    <n v="1663"/>
    <d v="2025-08-22T00:00:00"/>
    <x v="14"/>
    <s v="Male"/>
    <n v="170.2"/>
    <n v="70.2"/>
    <n v="19571"/>
    <n v="900"/>
    <n v="6.2"/>
    <n v="71"/>
    <x v="3"/>
    <n v="23"/>
    <n v="2.16"/>
    <n v="10"/>
    <x v="2"/>
  </r>
  <r>
    <n v="1984"/>
    <d v="2025-08-23T00:00:00"/>
    <x v="15"/>
    <s v="Female"/>
    <n v="150.4"/>
    <n v="70.5"/>
    <n v="19952"/>
    <n v="900"/>
    <n v="5.9"/>
    <n v="74"/>
    <x v="2"/>
    <n v="62"/>
    <n v="3.47"/>
    <n v="4"/>
    <x v="2"/>
  </r>
  <r>
    <n v="1547"/>
    <d v="2025-08-24T00:00:00"/>
    <x v="13"/>
    <s v="Male"/>
    <n v="182"/>
    <n v="62.2"/>
    <n v="11985"/>
    <n v="696.6"/>
    <n v="5.8"/>
    <n v="70"/>
    <x v="4"/>
    <n v="30"/>
    <n v="2.91"/>
    <n v="1"/>
    <x v="0"/>
  </r>
  <r>
    <n v="1724"/>
    <d v="2025-08-25T00:00:00"/>
    <x v="28"/>
    <s v="Female"/>
    <n v="162.5"/>
    <n v="45.5"/>
    <n v="9283"/>
    <n v="609.70000000000005"/>
    <n v="5.4"/>
    <n v="85"/>
    <x v="3"/>
    <n v="38"/>
    <n v="2.37"/>
    <n v="3"/>
    <x v="0"/>
  </r>
  <r>
    <n v="1925"/>
    <d v="2025-08-26T00:00:00"/>
    <x v="21"/>
    <s v="Female"/>
    <n v="180.4"/>
    <n v="61.6"/>
    <n v="14555"/>
    <n v="736.9"/>
    <n v="6.4"/>
    <n v="80"/>
    <x v="5"/>
    <n v="84"/>
    <n v="2.66"/>
    <n v="2"/>
    <x v="0"/>
  </r>
  <r>
    <n v="1407"/>
    <d v="2025-08-27T00:00:00"/>
    <x v="7"/>
    <s v="Male"/>
    <n v="171.2"/>
    <n v="94.9"/>
    <n v="5940"/>
    <n v="439.6"/>
    <n v="7.1"/>
    <n v="60"/>
    <x v="1"/>
    <n v="21"/>
    <n v="1.32"/>
    <n v="3"/>
    <x v="1"/>
  </r>
  <r>
    <n v="1875"/>
    <d v="2025-08-28T00:00:00"/>
    <x v="41"/>
    <s v="Male"/>
    <n v="154.30000000000001"/>
    <n v="86.2"/>
    <n v="5762"/>
    <n v="405.7"/>
    <n v="4.9000000000000004"/>
    <n v="84"/>
    <x v="1"/>
    <n v="68"/>
    <n v="2.96"/>
    <n v="6"/>
    <x v="2"/>
  </r>
  <r>
    <n v="1617"/>
    <d v="2025-08-29T00:00:00"/>
    <x v="23"/>
    <s v="Female"/>
    <n v="172.6"/>
    <n v="58.4"/>
    <n v="2753"/>
    <n v="263.2"/>
    <n v="6"/>
    <n v="81"/>
    <x v="2"/>
    <n v="88"/>
    <n v="2.2200000000000002"/>
    <n v="10"/>
    <x v="1"/>
  </r>
  <r>
    <n v="1413"/>
    <d v="2025-08-30T00:00:00"/>
    <x v="30"/>
    <s v="Male"/>
    <n v="171.9"/>
    <n v="61.3"/>
    <n v="6054"/>
    <n v="398.6"/>
    <n v="7.2"/>
    <n v="86"/>
    <x v="2"/>
    <n v="53"/>
    <n v="1.93"/>
    <n v="3"/>
    <x v="1"/>
  </r>
  <r>
    <n v="1341"/>
    <d v="2025-08-31T00:00:00"/>
    <x v="29"/>
    <s v="Female"/>
    <n v="181.5"/>
    <n v="102"/>
    <n v="14276"/>
    <n v="798.1"/>
    <n v="7.1"/>
    <n v="70"/>
    <x v="1"/>
    <n v="23"/>
    <n v="3.42"/>
    <n v="10"/>
    <x v="1"/>
  </r>
  <r>
    <n v="1219"/>
    <d v="2025-09-01T00:00:00"/>
    <x v="38"/>
    <s v="Male"/>
    <n v="175.2"/>
    <n v="54.7"/>
    <n v="6781"/>
    <n v="343"/>
    <n v="3"/>
    <n v="66"/>
    <x v="1"/>
    <n v="58"/>
    <n v="2.69"/>
    <n v="4"/>
    <x v="0"/>
  </r>
  <r>
    <n v="1902"/>
    <d v="2025-09-02T00:00:00"/>
    <x v="39"/>
    <s v="Male"/>
    <n v="157.6"/>
    <n v="59.3"/>
    <n v="17471"/>
    <n v="806.1"/>
    <n v="8"/>
    <n v="74"/>
    <x v="2"/>
    <n v="68"/>
    <n v="2.0299999999999998"/>
    <n v="1"/>
    <x v="2"/>
  </r>
  <r>
    <n v="1162"/>
    <d v="2025-09-03T00:00:00"/>
    <x v="23"/>
    <s v="Male"/>
    <n v="180"/>
    <n v="63.6"/>
    <n v="19025"/>
    <n v="900"/>
    <n v="8.9"/>
    <n v="77"/>
    <x v="1"/>
    <n v="22"/>
    <n v="2.08"/>
    <n v="6"/>
    <x v="1"/>
  </r>
  <r>
    <n v="1950"/>
    <d v="2025-09-04T00:00:00"/>
    <x v="41"/>
    <s v="Female"/>
    <n v="165.9"/>
    <n v="49.6"/>
    <n v="3962"/>
    <n v="325.3"/>
    <n v="6.1"/>
    <n v="87"/>
    <x v="4"/>
    <n v="45"/>
    <n v="2.76"/>
    <n v="2"/>
    <x v="2"/>
  </r>
  <r>
    <n v="1219"/>
    <d v="2025-09-05T00:00:00"/>
    <x v="19"/>
    <s v="Male"/>
    <n v="187.2"/>
    <n v="61.9"/>
    <n v="6413"/>
    <n v="530"/>
    <n v="4.4000000000000004"/>
    <n v="81"/>
    <x v="0"/>
    <n v="0"/>
    <n v="2.7"/>
    <n v="4"/>
    <x v="2"/>
  </r>
  <r>
    <n v="1269"/>
    <d v="2025-09-06T00:00:00"/>
    <x v="35"/>
    <s v="Female"/>
    <n v="166.5"/>
    <n v="62.2"/>
    <n v="8420"/>
    <n v="533.6"/>
    <n v="5.9"/>
    <n v="76"/>
    <x v="3"/>
    <n v="84"/>
    <n v="2.52"/>
    <n v="5"/>
    <x v="0"/>
  </r>
  <r>
    <n v="1631"/>
    <d v="2025-09-07T00:00:00"/>
    <x v="11"/>
    <s v="Male"/>
    <n v="167.9"/>
    <n v="56.5"/>
    <n v="9742"/>
    <n v="561.6"/>
    <n v="5.8"/>
    <n v="74"/>
    <x v="0"/>
    <n v="0"/>
    <n v="1.66"/>
    <n v="5"/>
    <x v="1"/>
  </r>
  <r>
    <n v="1905"/>
    <d v="2025-09-08T00:00:00"/>
    <x v="28"/>
    <s v="Female"/>
    <n v="161.80000000000001"/>
    <n v="89.9"/>
    <n v="11638"/>
    <n v="698.4"/>
    <n v="8.8000000000000007"/>
    <n v="75"/>
    <x v="2"/>
    <n v="77"/>
    <n v="1.76"/>
    <n v="4"/>
    <x v="0"/>
  </r>
  <r>
    <n v="1847"/>
    <d v="2025-09-09T00:00:00"/>
    <x v="17"/>
    <s v="Male"/>
    <n v="165"/>
    <n v="52.5"/>
    <n v="7910"/>
    <n v="520.4"/>
    <n v="5.4"/>
    <n v="71"/>
    <x v="3"/>
    <n v="54"/>
    <n v="1.98"/>
    <n v="3"/>
    <x v="2"/>
  </r>
  <r>
    <n v="1399"/>
    <d v="2025-09-10T00:00:00"/>
    <x v="22"/>
    <s v="Female"/>
    <n v="162.4"/>
    <n v="67.900000000000006"/>
    <n v="11482"/>
    <n v="650.29999999999995"/>
    <n v="6.5"/>
    <n v="82"/>
    <x v="5"/>
    <n v="35"/>
    <n v="2.36"/>
    <n v="4"/>
    <x v="1"/>
  </r>
  <r>
    <n v="1181"/>
    <d v="2025-09-11T00:00:00"/>
    <x v="33"/>
    <s v="Female"/>
    <n v="181.8"/>
    <n v="56.8"/>
    <n v="13029"/>
    <n v="719"/>
    <n v="9.5"/>
    <n v="60"/>
    <x v="5"/>
    <n v="52"/>
    <n v="2.4700000000000002"/>
    <n v="3"/>
    <x v="2"/>
  </r>
  <r>
    <n v="1990"/>
    <d v="2025-09-12T00:00:00"/>
    <x v="32"/>
    <s v="Female"/>
    <n v="156.69999999999999"/>
    <n v="66.900000000000006"/>
    <n v="9815"/>
    <n v="612.29999999999995"/>
    <n v="7.2"/>
    <n v="75"/>
    <x v="4"/>
    <n v="50"/>
    <n v="2.39"/>
    <n v="3"/>
    <x v="2"/>
  </r>
  <r>
    <n v="1617"/>
    <d v="2025-09-13T00:00:00"/>
    <x v="36"/>
    <s v="Female"/>
    <n v="178"/>
    <n v="56.1"/>
    <n v="4757"/>
    <n v="355.9"/>
    <n v="7.3"/>
    <n v="85"/>
    <x v="5"/>
    <n v="41"/>
    <n v="2.42"/>
    <n v="4"/>
    <x v="0"/>
  </r>
  <r>
    <n v="1728"/>
    <d v="2025-09-14T00:00:00"/>
    <x v="26"/>
    <s v="Female"/>
    <n v="178.3"/>
    <n v="71.099999999999994"/>
    <n v="5796"/>
    <n v="407.7"/>
    <n v="6.8"/>
    <n v="64"/>
    <x v="2"/>
    <n v="80"/>
    <n v="3.82"/>
    <n v="9"/>
    <x v="1"/>
  </r>
  <r>
    <n v="1204"/>
    <d v="2025-09-15T00:00:00"/>
    <x v="36"/>
    <s v="Female"/>
    <n v="183.8"/>
    <n v="74.8"/>
    <n v="4292"/>
    <n v="322.8"/>
    <n v="8.5"/>
    <n v="94"/>
    <x v="4"/>
    <n v="83"/>
    <n v="3.09"/>
    <n v="9"/>
    <x v="0"/>
  </r>
  <r>
    <n v="1581"/>
    <d v="2025-09-16T00:00:00"/>
    <x v="17"/>
    <s v="Male"/>
    <n v="170.4"/>
    <n v="91"/>
    <n v="4832"/>
    <n v="332.9"/>
    <n v="7.6"/>
    <n v="64"/>
    <x v="0"/>
    <n v="0"/>
    <n v="3.33"/>
    <n v="8"/>
    <x v="0"/>
  </r>
  <r>
    <n v="1555"/>
    <d v="2025-09-17T00:00:00"/>
    <x v="24"/>
    <s v="Female"/>
    <n v="159.69999999999999"/>
    <n v="61.2"/>
    <n v="3611"/>
    <n v="436.9"/>
    <n v="9.8000000000000007"/>
    <n v="70"/>
    <x v="4"/>
    <n v="54"/>
    <n v="2.82"/>
    <n v="4"/>
    <x v="2"/>
  </r>
  <r>
    <n v="1840"/>
    <d v="2025-09-18T00:00:00"/>
    <x v="31"/>
    <s v="Female"/>
    <n v="168.3"/>
    <n v="94.3"/>
    <n v="9353"/>
    <n v="528.79999999999995"/>
    <n v="9.9"/>
    <n v="85"/>
    <x v="2"/>
    <n v="58"/>
    <n v="2.5499999999999998"/>
    <n v="2"/>
    <x v="1"/>
  </r>
  <r>
    <n v="1812"/>
    <d v="2025-09-19T00:00:00"/>
    <x v="11"/>
    <s v="Female"/>
    <n v="175.9"/>
    <n v="57.9"/>
    <n v="11274"/>
    <n v="700.9"/>
    <n v="7.5"/>
    <n v="90"/>
    <x v="1"/>
    <n v="22"/>
    <n v="2.79"/>
    <n v="9"/>
    <x v="1"/>
  </r>
  <r>
    <n v="1227"/>
    <d v="2025-09-20T00:00:00"/>
    <x v="18"/>
    <s v="Male"/>
    <n v="170.8"/>
    <n v="66.400000000000006"/>
    <n v="9228"/>
    <n v="551.29999999999995"/>
    <n v="6.9"/>
    <n v="79"/>
    <x v="3"/>
    <n v="32"/>
    <n v="2.66"/>
    <n v="6"/>
    <x v="1"/>
  </r>
  <r>
    <n v="1695"/>
    <d v="2025-09-21T00:00:00"/>
    <x v="18"/>
    <s v="Male"/>
    <n v="173.7"/>
    <n v="96.5"/>
    <n v="12068"/>
    <n v="709.7"/>
    <n v="7.2"/>
    <n v="78"/>
    <x v="2"/>
    <n v="33"/>
    <n v="3.07"/>
    <n v="8"/>
    <x v="0"/>
  </r>
  <r>
    <n v="1618"/>
    <d v="2025-09-22T00:00:00"/>
    <x v="8"/>
    <s v="Male"/>
    <n v="183.7"/>
    <n v="113.5"/>
    <n v="4346"/>
    <n v="373.7"/>
    <n v="6.2"/>
    <n v="93"/>
    <x v="1"/>
    <n v="60"/>
    <n v="1.82"/>
    <n v="4"/>
    <x v="0"/>
  </r>
  <r>
    <n v="1595"/>
    <d v="2025-09-23T00:00:00"/>
    <x v="39"/>
    <s v="Female"/>
    <n v="175.8"/>
    <n v="95.3"/>
    <n v="5054"/>
    <n v="312.60000000000002"/>
    <n v="7.2"/>
    <n v="61"/>
    <x v="1"/>
    <n v="27"/>
    <n v="3.01"/>
    <n v="8"/>
    <x v="0"/>
  </r>
  <r>
    <n v="1849"/>
    <d v="2025-09-24T00:00:00"/>
    <x v="2"/>
    <s v="Male"/>
    <n v="172"/>
    <n v="66.599999999999994"/>
    <n v="16992"/>
    <n v="881.1"/>
    <n v="4.8"/>
    <n v="58"/>
    <x v="5"/>
    <n v="38"/>
    <n v="2.62"/>
    <n v="6"/>
    <x v="2"/>
  </r>
  <r>
    <n v="1249"/>
    <d v="2025-09-25T00:00:00"/>
    <x v="15"/>
    <s v="Male"/>
    <n v="151.6"/>
    <n v="77.7"/>
    <n v="5200"/>
    <n v="438.3"/>
    <n v="5.9"/>
    <n v="56"/>
    <x v="0"/>
    <n v="0"/>
    <n v="1.24"/>
    <n v="6"/>
    <x v="0"/>
  </r>
  <r>
    <n v="1874"/>
    <d v="2025-09-26T00:00:00"/>
    <x v="34"/>
    <s v="Female"/>
    <n v="162.19999999999999"/>
    <n v="80.2"/>
    <n v="15491"/>
    <n v="771.9"/>
    <n v="8.1999999999999993"/>
    <n v="66"/>
    <x v="4"/>
    <n v="69"/>
    <n v="2.56"/>
    <n v="6"/>
    <x v="1"/>
  </r>
  <r>
    <n v="1440"/>
    <d v="2025-09-27T00:00:00"/>
    <x v="35"/>
    <s v="Female"/>
    <n v="166"/>
    <n v="75.2"/>
    <n v="9527"/>
    <n v="697.2"/>
    <n v="7.8"/>
    <n v="68"/>
    <x v="4"/>
    <n v="80"/>
    <n v="1.59"/>
    <n v="9"/>
    <x v="2"/>
  </r>
  <r>
    <n v="1532"/>
    <d v="2025-09-28T00:00:00"/>
    <x v="40"/>
    <s v="Male"/>
    <n v="150.19999999999999"/>
    <n v="54.9"/>
    <n v="15245"/>
    <n v="850.4"/>
    <n v="6.8"/>
    <n v="79"/>
    <x v="5"/>
    <n v="55"/>
    <n v="2.13"/>
    <n v="1"/>
    <x v="1"/>
  </r>
  <r>
    <n v="1195"/>
    <d v="2025-09-29T00:00:00"/>
    <x v="27"/>
    <s v="Female"/>
    <n v="158.9"/>
    <n v="73.5"/>
    <n v="11535"/>
    <n v="702.4"/>
    <n v="7.6"/>
    <n v="85"/>
    <x v="5"/>
    <n v="86"/>
    <n v="2.39"/>
    <n v="1"/>
    <x v="0"/>
  </r>
  <r>
    <n v="1689"/>
    <d v="2025-09-30T00:00:00"/>
    <x v="4"/>
    <s v="Female"/>
    <n v="167.3"/>
    <n v="62.4"/>
    <n v="18944"/>
    <n v="900"/>
    <n v="9.3000000000000007"/>
    <n v="84"/>
    <x v="4"/>
    <n v="64"/>
    <n v="1.45"/>
    <n v="5"/>
    <x v="1"/>
  </r>
  <r>
    <n v="1928"/>
    <d v="2025-10-01T00:00:00"/>
    <x v="20"/>
    <s v="Female"/>
    <n v="168.9"/>
    <n v="55.5"/>
    <n v="8522"/>
    <n v="424.2"/>
    <n v="6.4"/>
    <n v="84"/>
    <x v="2"/>
    <n v="26"/>
    <n v="2.46"/>
    <n v="1"/>
    <x v="2"/>
  </r>
  <r>
    <n v="1986"/>
    <d v="2025-10-02T00:00:00"/>
    <x v="21"/>
    <s v="Female"/>
    <n v="175.1"/>
    <n v="65.3"/>
    <n v="14173"/>
    <n v="802.2"/>
    <n v="4.8"/>
    <n v="65"/>
    <x v="2"/>
    <n v="41"/>
    <n v="2.5499999999999998"/>
    <n v="10"/>
    <x v="0"/>
  </r>
  <r>
    <n v="1518"/>
    <d v="2025-10-03T00:00:00"/>
    <x v="27"/>
    <s v="Male"/>
    <n v="167.9"/>
    <n v="74.7"/>
    <n v="5164"/>
    <n v="520.4"/>
    <n v="7.9"/>
    <n v="79"/>
    <x v="2"/>
    <n v="28"/>
    <n v="3.03"/>
    <n v="9"/>
    <x v="2"/>
  </r>
  <r>
    <n v="1069"/>
    <d v="2025-10-04T00:00:00"/>
    <x v="17"/>
    <s v="Female"/>
    <n v="172.5"/>
    <n v="85"/>
    <n v="13438"/>
    <n v="775.5"/>
    <n v="7.8"/>
    <n v="68"/>
    <x v="2"/>
    <n v="79"/>
    <n v="2.1800000000000002"/>
    <n v="4"/>
    <x v="0"/>
  </r>
  <r>
    <n v="1638"/>
    <d v="2025-10-05T00:00:00"/>
    <x v="30"/>
    <s v="Male"/>
    <n v="165.8"/>
    <n v="66.2"/>
    <n v="5852"/>
    <n v="420.9"/>
    <n v="8.1"/>
    <n v="81"/>
    <x v="5"/>
    <n v="61"/>
    <n v="2.69"/>
    <n v="2"/>
    <x v="2"/>
  </r>
  <r>
    <n v="1398"/>
    <d v="2025-10-06T00:00:00"/>
    <x v="26"/>
    <s v="Male"/>
    <n v="170.4"/>
    <n v="68.8"/>
    <n v="7713"/>
    <n v="452.8"/>
    <n v="5.2"/>
    <n v="75"/>
    <x v="3"/>
    <n v="78"/>
    <n v="2.4300000000000002"/>
    <n v="3"/>
    <x v="2"/>
  </r>
  <r>
    <n v="1977"/>
    <d v="2025-10-07T00:00:00"/>
    <x v="31"/>
    <s v="Male"/>
    <n v="174.5"/>
    <n v="82.1"/>
    <n v="4183"/>
    <n v="306.7"/>
    <n v="4.7"/>
    <n v="84"/>
    <x v="3"/>
    <n v="59"/>
    <n v="2.21"/>
    <n v="9"/>
    <x v="1"/>
  </r>
  <r>
    <n v="1671"/>
    <d v="2025-10-08T00:00:00"/>
    <x v="3"/>
    <s v="Male"/>
    <n v="184.7"/>
    <n v="71.099999999999994"/>
    <n v="9032"/>
    <n v="494.7"/>
    <n v="7.4"/>
    <n v="99"/>
    <x v="4"/>
    <n v="48"/>
    <n v="1.33"/>
    <n v="8"/>
    <x v="0"/>
  </r>
  <r>
    <n v="1759"/>
    <d v="2025-10-09T00:00:00"/>
    <x v="13"/>
    <s v="Female"/>
    <n v="164.9"/>
    <n v="75.7"/>
    <n v="15275"/>
    <n v="791"/>
    <n v="7.3"/>
    <n v="75"/>
    <x v="3"/>
    <n v="74"/>
    <n v="2.42"/>
    <n v="3"/>
    <x v="0"/>
  </r>
  <r>
    <n v="1202"/>
    <d v="2025-10-10T00:00:00"/>
    <x v="38"/>
    <s v="Female"/>
    <n v="171.4"/>
    <n v="71.2"/>
    <n v="19793"/>
    <n v="900"/>
    <n v="6.5"/>
    <n v="64"/>
    <x v="2"/>
    <n v="83"/>
    <n v="3.02"/>
    <n v="8"/>
    <x v="0"/>
  </r>
  <r>
    <n v="1147"/>
    <d v="2025-10-11T00:00:00"/>
    <x v="38"/>
    <s v="Female"/>
    <n v="178.7"/>
    <n v="73"/>
    <n v="5298"/>
    <n v="404.3"/>
    <n v="9.1999999999999993"/>
    <n v="59"/>
    <x v="5"/>
    <n v="61"/>
    <n v="1.85"/>
    <n v="4"/>
    <x v="2"/>
  </r>
  <r>
    <n v="1471"/>
    <d v="2025-10-12T00:00:00"/>
    <x v="0"/>
    <s v="Male"/>
    <n v="155.6"/>
    <n v="53.8"/>
    <n v="19918"/>
    <n v="900"/>
    <n v="7"/>
    <n v="66"/>
    <x v="2"/>
    <n v="48"/>
    <n v="2.35"/>
    <n v="6"/>
    <x v="1"/>
  </r>
  <r>
    <n v="1654"/>
    <d v="2025-10-13T00:00:00"/>
    <x v="19"/>
    <s v="Male"/>
    <n v="190"/>
    <n v="71.8"/>
    <n v="6599"/>
    <n v="378"/>
    <n v="8.8000000000000007"/>
    <n v="86"/>
    <x v="1"/>
    <n v="40"/>
    <n v="2.4500000000000002"/>
    <n v="4"/>
    <x v="1"/>
  </r>
  <r>
    <n v="1943"/>
    <d v="2025-10-14T00:00:00"/>
    <x v="30"/>
    <s v="Male"/>
    <n v="181.8"/>
    <n v="91.4"/>
    <n v="1003"/>
    <n v="201.9"/>
    <n v="8.3000000000000007"/>
    <n v="80"/>
    <x v="5"/>
    <n v="82"/>
    <n v="3.27"/>
    <n v="5"/>
    <x v="0"/>
  </r>
  <r>
    <n v="1198"/>
    <d v="2025-10-15T00:00:00"/>
    <x v="25"/>
    <s v="Female"/>
    <n v="152.9"/>
    <n v="72.5"/>
    <n v="14440"/>
    <n v="748.6"/>
    <n v="5.4"/>
    <n v="77"/>
    <x v="1"/>
    <n v="82"/>
    <n v="2.52"/>
    <n v="10"/>
    <x v="0"/>
  </r>
  <r>
    <n v="1916"/>
    <d v="2025-10-16T00:00:00"/>
    <x v="9"/>
    <s v="Male"/>
    <n v="173.7"/>
    <n v="57.5"/>
    <n v="12289"/>
    <n v="661.2"/>
    <n v="5.7"/>
    <n v="79"/>
    <x v="1"/>
    <n v="57"/>
    <n v="2.7"/>
    <n v="9"/>
    <x v="2"/>
  </r>
  <r>
    <n v="1425"/>
    <d v="2025-10-17T00:00:00"/>
    <x v="18"/>
    <s v="Female"/>
    <n v="164.4"/>
    <n v="92.1"/>
    <n v="12040"/>
    <n v="682.5"/>
    <n v="5.0999999999999996"/>
    <n v="82"/>
    <x v="4"/>
    <n v="85"/>
    <n v="2.4900000000000002"/>
    <n v="2"/>
    <x v="2"/>
  </r>
  <r>
    <n v="1665"/>
    <d v="2025-10-18T00:00:00"/>
    <x v="6"/>
    <s v="Female"/>
    <n v="166"/>
    <n v="80.8"/>
    <n v="14264"/>
    <n v="776.8"/>
    <n v="7.6"/>
    <n v="59"/>
    <x v="1"/>
    <n v="31"/>
    <n v="2.16"/>
    <n v="9"/>
    <x v="2"/>
  </r>
  <r>
    <n v="1491"/>
    <d v="2025-10-19T00:00:00"/>
    <x v="22"/>
    <s v="Female"/>
    <n v="173.5"/>
    <n v="81.5"/>
    <n v="17410"/>
    <n v="875.2"/>
    <n v="7.1"/>
    <n v="85"/>
    <x v="3"/>
    <n v="52"/>
    <n v="1.71"/>
    <n v="3"/>
    <x v="1"/>
  </r>
  <r>
    <n v="1887"/>
    <d v="2025-10-20T00:00:00"/>
    <x v="32"/>
    <s v="Female"/>
    <n v="180.5"/>
    <n v="81.099999999999994"/>
    <n v="6161"/>
    <n v="412.8"/>
    <n v="9"/>
    <n v="79"/>
    <x v="3"/>
    <n v="20"/>
    <n v="2.2999999999999998"/>
    <n v="5"/>
    <x v="2"/>
  </r>
  <r>
    <n v="1895"/>
    <d v="2025-10-21T00:00:00"/>
    <x v="11"/>
    <s v="Male"/>
    <n v="165.3"/>
    <n v="53.1"/>
    <n v="1964"/>
    <n v="277.5"/>
    <n v="7.9"/>
    <n v="61"/>
    <x v="1"/>
    <n v="87"/>
    <n v="2.78"/>
    <n v="7"/>
    <x v="2"/>
  </r>
  <r>
    <n v="1141"/>
    <d v="2025-10-22T00:00:00"/>
    <x v="36"/>
    <s v="Female"/>
    <n v="165.5"/>
    <n v="79.7"/>
    <n v="16942"/>
    <n v="900"/>
    <n v="5.0999999999999996"/>
    <n v="78"/>
    <x v="4"/>
    <n v="47"/>
    <n v="2.59"/>
    <n v="2"/>
    <x v="2"/>
  </r>
  <r>
    <n v="1312"/>
    <d v="2025-10-23T00:00:00"/>
    <x v="30"/>
    <s v="Male"/>
    <n v="173.7"/>
    <n v="90.8"/>
    <n v="17455"/>
    <n v="825.4"/>
    <n v="6.3"/>
    <n v="62"/>
    <x v="1"/>
    <n v="81"/>
    <n v="3.54"/>
    <n v="4"/>
    <x v="0"/>
  </r>
  <r>
    <n v="1164"/>
    <d v="2025-10-24T00:00:00"/>
    <x v="25"/>
    <s v="Female"/>
    <n v="175.7"/>
    <n v="62.8"/>
    <n v="6601"/>
    <n v="520.6"/>
    <n v="3.8"/>
    <n v="80"/>
    <x v="5"/>
    <n v="78"/>
    <n v="3.16"/>
    <n v="1"/>
    <x v="2"/>
  </r>
  <r>
    <n v="1313"/>
    <d v="2025-10-25T00:00:00"/>
    <x v="16"/>
    <s v="Male"/>
    <n v="159.9"/>
    <n v="45"/>
    <n v="15184"/>
    <n v="725.7"/>
    <n v="7.4"/>
    <n v="76"/>
    <x v="5"/>
    <n v="68"/>
    <n v="3.37"/>
    <n v="3"/>
    <x v="0"/>
  </r>
  <r>
    <n v="1020"/>
    <d v="2025-10-26T00:00:00"/>
    <x v="35"/>
    <s v="Male"/>
    <n v="187.2"/>
    <n v="75.5"/>
    <n v="3947"/>
    <n v="376"/>
    <n v="10"/>
    <n v="65"/>
    <x v="5"/>
    <n v="64"/>
    <n v="1.08"/>
    <n v="6"/>
    <x v="1"/>
  </r>
  <r>
    <n v="1081"/>
    <d v="2025-10-27T00:00:00"/>
    <x v="1"/>
    <s v="Female"/>
    <n v="163.6"/>
    <n v="70.5"/>
    <n v="11507"/>
    <n v="712.8"/>
    <n v="7.2"/>
    <n v="79"/>
    <x v="5"/>
    <n v="25"/>
    <n v="3.61"/>
    <n v="2"/>
    <x v="1"/>
  </r>
  <r>
    <n v="1580"/>
    <d v="2025-10-28T00:00:00"/>
    <x v="7"/>
    <s v="Female"/>
    <n v="179.6"/>
    <n v="46.8"/>
    <n v="13089"/>
    <n v="657.4"/>
    <n v="7.3"/>
    <n v="83"/>
    <x v="1"/>
    <n v="39"/>
    <n v="2.69"/>
    <n v="8"/>
    <x v="0"/>
  </r>
  <r>
    <n v="1130"/>
    <d v="2025-10-29T00:00:00"/>
    <x v="14"/>
    <s v="Female"/>
    <n v="174.5"/>
    <n v="79.099999999999994"/>
    <n v="7238"/>
    <n v="507.1"/>
    <n v="7"/>
    <n v="69"/>
    <x v="2"/>
    <n v="35"/>
    <n v="2.79"/>
    <n v="7"/>
    <x v="0"/>
  </r>
  <r>
    <n v="1598"/>
    <d v="2025-10-30T00:00:00"/>
    <x v="32"/>
    <s v="Male"/>
    <n v="176.1"/>
    <n v="78"/>
    <n v="14156"/>
    <n v="713.9"/>
    <n v="7.5"/>
    <n v="83"/>
    <x v="2"/>
    <n v="31"/>
    <n v="3.13"/>
    <n v="3"/>
    <x v="2"/>
  </r>
  <r>
    <n v="1729"/>
    <d v="2025-10-31T00:00:00"/>
    <x v="26"/>
    <s v="Female"/>
    <n v="163.80000000000001"/>
    <n v="48"/>
    <n v="3411"/>
    <n v="395"/>
    <n v="6.8"/>
    <n v="72"/>
    <x v="0"/>
    <n v="0"/>
    <n v="2.5099999999999998"/>
    <n v="1"/>
    <x v="2"/>
  </r>
  <r>
    <n v="1932"/>
    <d v="2025-11-01T00:00:00"/>
    <x v="24"/>
    <s v="Female"/>
    <n v="152.80000000000001"/>
    <n v="98.3"/>
    <n v="16674"/>
    <n v="787"/>
    <n v="7.9"/>
    <n v="84"/>
    <x v="5"/>
    <n v="39"/>
    <n v="1.75"/>
    <n v="10"/>
    <x v="1"/>
  </r>
  <r>
    <n v="1983"/>
    <d v="2025-11-02T00:00:00"/>
    <x v="32"/>
    <s v="Male"/>
    <n v="169.8"/>
    <n v="81.3"/>
    <n v="9308"/>
    <n v="527.70000000000005"/>
    <n v="5.8"/>
    <n v="74"/>
    <x v="0"/>
    <n v="0"/>
    <n v="3.51"/>
    <n v="4"/>
    <x v="1"/>
  </r>
  <r>
    <n v="1304"/>
    <d v="2025-11-03T00:00:00"/>
    <x v="21"/>
    <s v="Female"/>
    <n v="169.8"/>
    <n v="45"/>
    <n v="11403"/>
    <n v="662.7"/>
    <n v="5.9"/>
    <n v="87"/>
    <x v="0"/>
    <n v="0"/>
    <n v="1.96"/>
    <n v="4"/>
    <x v="1"/>
  </r>
  <r>
    <n v="1914"/>
    <d v="2025-11-04T00:00:00"/>
    <x v="26"/>
    <s v="Male"/>
    <n v="160.4"/>
    <n v="82.3"/>
    <n v="3924"/>
    <n v="392.5"/>
    <n v="5.0999999999999996"/>
    <n v="66"/>
    <x v="4"/>
    <n v="21"/>
    <n v="1.81"/>
    <n v="5"/>
    <x v="1"/>
  </r>
  <r>
    <n v="1370"/>
    <d v="2025-11-05T00:00:00"/>
    <x v="8"/>
    <s v="Female"/>
    <n v="179.2"/>
    <n v="81.8"/>
    <n v="3837"/>
    <n v="358.1"/>
    <n v="7"/>
    <n v="66"/>
    <x v="4"/>
    <n v="53"/>
    <n v="2.34"/>
    <n v="3"/>
    <x v="2"/>
  </r>
  <r>
    <n v="1856"/>
    <d v="2025-11-06T00:00:00"/>
    <x v="4"/>
    <s v="Male"/>
    <n v="169.5"/>
    <n v="91.2"/>
    <n v="1576"/>
    <n v="287.8"/>
    <n v="5.3"/>
    <n v="67"/>
    <x v="1"/>
    <n v="45"/>
    <n v="2.23"/>
    <n v="2"/>
    <x v="2"/>
  </r>
  <r>
    <n v="1852"/>
    <d v="2025-11-07T00:00:00"/>
    <x v="36"/>
    <s v="Male"/>
    <n v="161.9"/>
    <n v="60.6"/>
    <n v="15641"/>
    <n v="798.2"/>
    <n v="9.1999999999999993"/>
    <n v="76"/>
    <x v="2"/>
    <n v="52"/>
    <n v="2.5"/>
    <n v="2"/>
    <x v="1"/>
  </r>
  <r>
    <n v="1383"/>
    <d v="2025-11-08T00:00:00"/>
    <x v="20"/>
    <s v="Female"/>
    <n v="175.9"/>
    <n v="82.5"/>
    <n v="9963"/>
    <n v="544"/>
    <n v="6.4"/>
    <n v="73"/>
    <x v="1"/>
    <n v="61"/>
    <n v="2.4300000000000002"/>
    <n v="8"/>
    <x v="2"/>
  </r>
  <r>
    <n v="1907"/>
    <d v="2025-11-09T00:00:00"/>
    <x v="27"/>
    <s v="Male"/>
    <n v="176.1"/>
    <n v="66.5"/>
    <n v="9391"/>
    <n v="648.9"/>
    <n v="4"/>
    <n v="78"/>
    <x v="3"/>
    <n v="84"/>
    <n v="3.44"/>
    <n v="7"/>
    <x v="2"/>
  </r>
  <r>
    <n v="1444"/>
    <d v="2025-11-10T00:00:00"/>
    <x v="21"/>
    <s v="Female"/>
    <n v="162.80000000000001"/>
    <n v="61.7"/>
    <n v="19139"/>
    <n v="900"/>
    <n v="5.3"/>
    <n v="63"/>
    <x v="5"/>
    <n v="27"/>
    <n v="2.82"/>
    <n v="1"/>
    <x v="0"/>
  </r>
  <r>
    <n v="1424"/>
    <d v="2025-11-11T00:00:00"/>
    <x v="23"/>
    <s v="Female"/>
    <n v="182.3"/>
    <n v="57"/>
    <n v="9371"/>
    <n v="550.5"/>
    <n v="7.2"/>
    <n v="68"/>
    <x v="3"/>
    <n v="84"/>
    <n v="1.9"/>
    <n v="9"/>
    <x v="0"/>
  </r>
  <r>
    <n v="1160"/>
    <d v="2025-11-12T00:00:00"/>
    <x v="4"/>
    <s v="Male"/>
    <n v="192.4"/>
    <n v="45"/>
    <n v="19789"/>
    <n v="900"/>
    <n v="8"/>
    <n v="88"/>
    <x v="3"/>
    <n v="29"/>
    <n v="2"/>
    <n v="3"/>
    <x v="1"/>
  </r>
  <r>
    <n v="1177"/>
    <d v="2025-11-13T00:00:00"/>
    <x v="0"/>
    <s v="Female"/>
    <n v="159.1"/>
    <n v="78.099999999999994"/>
    <n v="7883"/>
    <n v="576.5"/>
    <n v="7.5"/>
    <n v="79"/>
    <x v="0"/>
    <n v="0"/>
    <n v="2.23"/>
    <n v="3"/>
    <x v="1"/>
  </r>
  <r>
    <n v="1628"/>
    <d v="2025-11-14T00:00:00"/>
    <x v="23"/>
    <s v="Male"/>
    <n v="168.2"/>
    <n v="65.900000000000006"/>
    <n v="16658"/>
    <n v="900"/>
    <n v="5.8"/>
    <n v="81"/>
    <x v="4"/>
    <n v="70"/>
    <n v="2.23"/>
    <n v="1"/>
    <x v="1"/>
  </r>
  <r>
    <n v="1707"/>
    <d v="2025-11-15T00:00:00"/>
    <x v="8"/>
    <s v="Male"/>
    <n v="173.4"/>
    <n v="45"/>
    <n v="7139"/>
    <n v="474.7"/>
    <n v="6.1"/>
    <n v="72"/>
    <x v="2"/>
    <n v="76"/>
    <n v="2.14"/>
    <n v="4"/>
    <x v="1"/>
  </r>
  <r>
    <n v="1894"/>
    <d v="2025-11-16T00:00:00"/>
    <x v="30"/>
    <s v="Male"/>
    <n v="192.8"/>
    <n v="71.099999999999994"/>
    <n v="15184"/>
    <n v="774.3"/>
    <n v="6"/>
    <n v="78"/>
    <x v="0"/>
    <n v="0"/>
    <n v="1.73"/>
    <n v="10"/>
    <x v="1"/>
  </r>
  <r>
    <n v="1489"/>
    <d v="2025-11-17T00:00:00"/>
    <x v="23"/>
    <s v="Male"/>
    <n v="162.69999999999999"/>
    <n v="87.4"/>
    <n v="13965"/>
    <n v="745.6"/>
    <n v="7.8"/>
    <n v="70"/>
    <x v="0"/>
    <n v="0"/>
    <n v="2.7"/>
    <n v="2"/>
    <x v="2"/>
  </r>
  <r>
    <n v="1326"/>
    <d v="2025-11-18T00:00:00"/>
    <x v="40"/>
    <s v="Male"/>
    <n v="160.6"/>
    <n v="50.4"/>
    <n v="11493"/>
    <n v="649.20000000000005"/>
    <n v="7.2"/>
    <n v="56"/>
    <x v="5"/>
    <n v="50"/>
    <n v="2.1800000000000002"/>
    <n v="3"/>
    <x v="0"/>
  </r>
  <r>
    <n v="1597"/>
    <d v="2025-11-19T00:00:00"/>
    <x v="10"/>
    <s v="Male"/>
    <n v="160.5"/>
    <n v="59.3"/>
    <n v="2119"/>
    <n v="323.2"/>
    <n v="6.3"/>
    <n v="85"/>
    <x v="1"/>
    <n v="82"/>
    <n v="1.83"/>
    <n v="1"/>
    <x v="0"/>
  </r>
  <r>
    <n v="1288"/>
    <d v="2025-11-20T00:00:00"/>
    <x v="33"/>
    <s v="Male"/>
    <n v="182.2"/>
    <n v="76.599999999999994"/>
    <n v="3214"/>
    <n v="271.7"/>
    <n v="6"/>
    <n v="77"/>
    <x v="5"/>
    <n v="87"/>
    <n v="2.84"/>
    <n v="3"/>
    <x v="0"/>
  </r>
  <r>
    <n v="1592"/>
    <d v="2025-11-21T00:00:00"/>
    <x v="11"/>
    <s v="Male"/>
    <n v="162.9"/>
    <n v="45"/>
    <n v="9000"/>
    <n v="530.79999999999995"/>
    <n v="6.2"/>
    <n v="68"/>
    <x v="1"/>
    <n v="75"/>
    <n v="3.09"/>
    <n v="4"/>
    <x v="2"/>
  </r>
  <r>
    <n v="1663"/>
    <d v="2025-11-22T00:00:00"/>
    <x v="6"/>
    <s v="Female"/>
    <n v="161.5"/>
    <n v="62"/>
    <n v="9065"/>
    <n v="553.4"/>
    <n v="7"/>
    <n v="75"/>
    <x v="1"/>
    <n v="31"/>
    <n v="2.33"/>
    <n v="6"/>
    <x v="2"/>
  </r>
  <r>
    <n v="1572"/>
    <d v="2025-11-23T00:00:00"/>
    <x v="23"/>
    <s v="Female"/>
    <n v="172.3"/>
    <n v="75.2"/>
    <n v="11103"/>
    <n v="657"/>
    <n v="9"/>
    <n v="70"/>
    <x v="2"/>
    <n v="50"/>
    <n v="3.75"/>
    <n v="3"/>
    <x v="2"/>
  </r>
  <r>
    <n v="1572"/>
    <d v="2025-11-24T00:00:00"/>
    <x v="41"/>
    <s v="Male"/>
    <n v="173.1"/>
    <n v="61.6"/>
    <n v="2085"/>
    <n v="326.7"/>
    <n v="7.3"/>
    <n v="90"/>
    <x v="3"/>
    <n v="42"/>
    <n v="4.05"/>
    <n v="6"/>
    <x v="0"/>
  </r>
  <r>
    <n v="1353"/>
    <d v="2025-11-25T00:00:00"/>
    <x v="39"/>
    <s v="Female"/>
    <n v="180.7"/>
    <n v="50.5"/>
    <n v="17557"/>
    <n v="900"/>
    <n v="6.5"/>
    <n v="82"/>
    <x v="1"/>
    <n v="52"/>
    <n v="2.85"/>
    <n v="2"/>
    <x v="0"/>
  </r>
  <r>
    <n v="1027"/>
    <d v="2025-11-26T00:00:00"/>
    <x v="39"/>
    <s v="Female"/>
    <n v="170.9"/>
    <n v="51.2"/>
    <n v="14564"/>
    <n v="870.2"/>
    <n v="6.4"/>
    <n v="64"/>
    <x v="2"/>
    <n v="27"/>
    <n v="2.17"/>
    <n v="8"/>
    <x v="0"/>
  </r>
  <r>
    <n v="1953"/>
    <d v="2025-11-27T00:00:00"/>
    <x v="26"/>
    <s v="Female"/>
    <n v="172.5"/>
    <n v="45.8"/>
    <n v="4532"/>
    <n v="331.7"/>
    <n v="9.6"/>
    <n v="62"/>
    <x v="3"/>
    <n v="81"/>
    <n v="2.69"/>
    <n v="5"/>
    <x v="0"/>
  </r>
  <r>
    <n v="1042"/>
    <d v="2025-11-28T00:00:00"/>
    <x v="40"/>
    <s v="Female"/>
    <n v="168.9"/>
    <n v="60.5"/>
    <n v="18622"/>
    <n v="900"/>
    <n v="8.1999999999999993"/>
    <n v="78"/>
    <x v="0"/>
    <n v="0"/>
    <n v="1.64"/>
    <n v="1"/>
    <x v="0"/>
  </r>
  <r>
    <n v="1680"/>
    <d v="2025-11-29T00:00:00"/>
    <x v="15"/>
    <s v="Female"/>
    <n v="157"/>
    <n v="85.8"/>
    <n v="5834"/>
    <n v="385.7"/>
    <n v="8.5"/>
    <n v="76"/>
    <x v="0"/>
    <n v="0"/>
    <n v="1.89"/>
    <n v="6"/>
    <x v="2"/>
  </r>
  <r>
    <n v="1422"/>
    <d v="2025-11-30T00:00:00"/>
    <x v="38"/>
    <s v="Female"/>
    <n v="168"/>
    <n v="105.4"/>
    <n v="13008"/>
    <n v="700.6"/>
    <n v="8.1"/>
    <n v="80"/>
    <x v="3"/>
    <n v="71"/>
    <n v="1.32"/>
    <n v="3"/>
    <x v="2"/>
  </r>
  <r>
    <n v="1597"/>
    <d v="2025-12-01T00:00:00"/>
    <x v="30"/>
    <s v="Male"/>
    <n v="170.6"/>
    <n v="70.5"/>
    <n v="13962"/>
    <n v="777.8"/>
    <n v="6.9"/>
    <n v="74"/>
    <x v="5"/>
    <n v="45"/>
    <n v="2.06"/>
    <n v="4"/>
    <x v="0"/>
  </r>
  <r>
    <n v="1176"/>
    <d v="2025-12-02T00:00:00"/>
    <x v="20"/>
    <s v="Female"/>
    <n v="165.6"/>
    <n v="81.5"/>
    <n v="15461"/>
    <n v="877.3"/>
    <n v="8.8000000000000007"/>
    <n v="69"/>
    <x v="5"/>
    <n v="31"/>
    <n v="1.64"/>
    <n v="10"/>
    <x v="2"/>
  </r>
  <r>
    <n v="1528"/>
    <d v="2025-12-03T00:00:00"/>
    <x v="19"/>
    <s v="Female"/>
    <n v="154.4"/>
    <n v="55.9"/>
    <n v="15588"/>
    <n v="803.8"/>
    <n v="4.8"/>
    <n v="80"/>
    <x v="5"/>
    <n v="46"/>
    <n v="2.94"/>
    <n v="8"/>
    <x v="0"/>
  </r>
  <r>
    <n v="1609"/>
    <d v="2025-12-04T00:00:00"/>
    <x v="7"/>
    <s v="Female"/>
    <n v="158.69999999999999"/>
    <n v="45"/>
    <n v="9012"/>
    <n v="580.1"/>
    <n v="9.3000000000000007"/>
    <n v="81"/>
    <x v="4"/>
    <n v="87"/>
    <n v="1.98"/>
    <n v="8"/>
    <x v="0"/>
  </r>
  <r>
    <n v="1965"/>
    <d v="2025-12-05T00:00:00"/>
    <x v="13"/>
    <s v="Female"/>
    <n v="169.6"/>
    <n v="97.8"/>
    <n v="19357"/>
    <n v="900"/>
    <n v="8.1"/>
    <n v="88"/>
    <x v="3"/>
    <n v="49"/>
    <n v="2.69"/>
    <n v="8"/>
    <x v="0"/>
  </r>
  <r>
    <n v="1493"/>
    <d v="2025-12-06T00:00:00"/>
    <x v="33"/>
    <s v="Male"/>
    <n v="179.3"/>
    <n v="61.1"/>
    <n v="19628"/>
    <n v="870.3"/>
    <n v="7.7"/>
    <n v="82"/>
    <x v="4"/>
    <n v="23"/>
    <n v="3.02"/>
    <n v="5"/>
    <x v="2"/>
  </r>
  <r>
    <n v="1197"/>
    <d v="2025-12-07T00:00:00"/>
    <x v="11"/>
    <s v="Male"/>
    <n v="186.8"/>
    <n v="80.8"/>
    <n v="10849"/>
    <n v="632"/>
    <n v="5.9"/>
    <n v="67"/>
    <x v="5"/>
    <n v="73"/>
    <n v="3.32"/>
    <n v="1"/>
    <x v="1"/>
  </r>
  <r>
    <n v="1609"/>
    <d v="2025-12-08T00:00:00"/>
    <x v="3"/>
    <s v="Male"/>
    <n v="168.2"/>
    <n v="72.400000000000006"/>
    <n v="9604"/>
    <n v="522.1"/>
    <n v="8.4"/>
    <n v="78"/>
    <x v="2"/>
    <n v="53"/>
    <n v="2.25"/>
    <n v="9"/>
    <x v="1"/>
  </r>
  <r>
    <n v="1576"/>
    <d v="2025-12-09T00:00:00"/>
    <x v="23"/>
    <s v="Male"/>
    <n v="162.80000000000001"/>
    <n v="84.9"/>
    <n v="14767"/>
    <n v="854.3"/>
    <n v="8.6999999999999993"/>
    <n v="72"/>
    <x v="5"/>
    <n v="87"/>
    <n v="2.72"/>
    <n v="9"/>
    <x v="1"/>
  </r>
  <r>
    <n v="1841"/>
    <d v="2025-12-10T00:00:00"/>
    <x v="19"/>
    <s v="Female"/>
    <n v="166.3"/>
    <n v="84.3"/>
    <n v="16111"/>
    <n v="900"/>
    <n v="5.9"/>
    <n v="66"/>
    <x v="1"/>
    <n v="75"/>
    <n v="2.74"/>
    <n v="8"/>
    <x v="1"/>
  </r>
  <r>
    <n v="1852"/>
    <d v="2025-12-11T00:00:00"/>
    <x v="35"/>
    <s v="Male"/>
    <n v="159.5"/>
    <n v="74.2"/>
    <n v="8221"/>
    <n v="487"/>
    <n v="6"/>
    <n v="57"/>
    <x v="2"/>
    <n v="37"/>
    <n v="3.39"/>
    <n v="3"/>
    <x v="1"/>
  </r>
  <r>
    <n v="1516"/>
    <d v="2025-12-12T00:00:00"/>
    <x v="3"/>
    <s v="Male"/>
    <n v="177.9"/>
    <n v="75.8"/>
    <n v="8814"/>
    <n v="503.1"/>
    <n v="5.4"/>
    <n v="97"/>
    <x v="2"/>
    <n v="66"/>
    <n v="3.05"/>
    <n v="6"/>
    <x v="2"/>
  </r>
  <r>
    <n v="1513"/>
    <d v="2025-12-13T00:00:00"/>
    <x v="19"/>
    <s v="Male"/>
    <n v="191.4"/>
    <n v="88.2"/>
    <n v="12602"/>
    <n v="672.6"/>
    <n v="7.8"/>
    <n v="69"/>
    <x v="3"/>
    <n v="79"/>
    <n v="3.41"/>
    <n v="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266AF7-C45A-4A8B-B376-20CD64AAE816}" name="PivotTable5" cacheId="12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Water Intake (liters">
  <location ref="A37:C44" firstHeaderRow="0" firstDataRow="1" firstDataCol="1"/>
  <pivotFields count="6">
    <pivotField showAll="0"/>
    <pivotField dataField="1" showAll="0" sortType="ascending"/>
    <pivotField dataField="1" showAll="0"/>
    <pivotField showAll="0"/>
    <pivotField axis="axisRow" showAll="0">
      <items count="10">
        <item x="0"/>
        <item x="1"/>
        <item x="2"/>
        <item x="3"/>
        <item x="4"/>
        <item x="5"/>
        <item x="6"/>
        <item x="7"/>
        <item x="8"/>
        <item t="default"/>
      </items>
    </pivotField>
    <pivotField showAll="0">
      <items count="3">
        <item x="1"/>
        <item x="0"/>
        <item t="default"/>
      </items>
    </pivotField>
  </pivotFields>
  <rowFields count="1">
    <field x="4"/>
  </rowFields>
  <rowItems count="7">
    <i>
      <x v="1"/>
    </i>
    <i>
      <x v="2"/>
    </i>
    <i>
      <x v="3"/>
    </i>
    <i>
      <x v="4"/>
    </i>
    <i>
      <x v="5"/>
    </i>
    <i>
      <x v="6"/>
    </i>
    <i>
      <x v="7"/>
    </i>
  </rowItems>
  <colFields count="1">
    <field x="-2"/>
  </colFields>
  <colItems count="2">
    <i>
      <x/>
    </i>
    <i i="1">
      <x v="1"/>
    </i>
  </colItems>
  <dataFields count="2">
    <dataField name="Average of Stress Level" fld="1" subtotal="average" baseField="3" baseItem="1" numFmtId="2"/>
    <dataField name="Average of Average Mood" fld="2" subtotal="average" baseField="3" baseItem="3"/>
  </dataFields>
  <formats count="1">
    <format dxfId="14">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7BF96F-0FF2-45BE-9D36-FD87AC1224C0}" name="PivotTable2" cacheId="12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Sleep hours">
  <location ref="A15:C22" firstHeaderRow="0" firstDataRow="1" firstDataCol="1"/>
  <pivotFields count="6">
    <pivotField showAll="0"/>
    <pivotField dataField="1" showAll="0" sortType="ascending"/>
    <pivotField dataField="1" showAll="0"/>
    <pivotField axis="axisRow" showAll="0">
      <items count="10">
        <item x="0"/>
        <item x="1"/>
        <item x="2"/>
        <item x="3"/>
        <item x="4"/>
        <item x="5"/>
        <item x="6"/>
        <item x="7"/>
        <item x="8"/>
        <item t="default"/>
      </items>
    </pivotField>
    <pivotField showAll="0"/>
    <pivotField showAll="0">
      <items count="3">
        <item x="1"/>
        <item x="0"/>
        <item t="default"/>
      </items>
    </pivotField>
  </pivotFields>
  <rowFields count="1">
    <field x="3"/>
  </rowFields>
  <rowItems count="7">
    <i>
      <x v="1"/>
    </i>
    <i>
      <x v="2"/>
    </i>
    <i>
      <x v="3"/>
    </i>
    <i>
      <x v="4"/>
    </i>
    <i>
      <x v="5"/>
    </i>
    <i>
      <x v="6"/>
    </i>
    <i>
      <x v="7"/>
    </i>
  </rowItems>
  <colFields count="1">
    <field x="-2"/>
  </colFields>
  <colItems count="2">
    <i>
      <x/>
    </i>
    <i i="1">
      <x v="1"/>
    </i>
  </colItems>
  <dataFields count="2">
    <dataField name="Average of Stress Level" fld="1" subtotal="average" baseField="3" baseItem="1" numFmtId="2"/>
    <dataField name="Average of Average Mood" fld="2" subtotal="average" baseField="3" baseItem="3"/>
  </dataFields>
  <formats count="1">
    <format dxfId="16">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9A07A9-D7F5-4230-8EDD-45B1530CFADC}" name="PivotTable1" cacheId="12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D10" firstHeaderRow="1" firstDataRow="2" firstDataCol="1"/>
  <pivotFields count="15">
    <pivotField showAll="0"/>
    <pivotField numFmtId="14" showAll="0"/>
    <pivotField showAll="0"/>
    <pivotField showAll="0"/>
    <pivotField showAll="0"/>
    <pivotField showAll="0"/>
    <pivotField showAll="0"/>
    <pivotField showAll="0"/>
    <pivotField showAll="0"/>
    <pivotField showAll="0"/>
    <pivotField axis="axisRow" showAll="0">
      <items count="7">
        <item x="4"/>
        <item x="5"/>
        <item x="0"/>
        <item x="1"/>
        <item x="3"/>
        <item x="2"/>
        <item t="default"/>
      </items>
    </pivotField>
    <pivotField showAll="0"/>
    <pivotField showAll="0"/>
    <pivotField showAll="0"/>
    <pivotField axis="axisCol" dataField="1" showAll="0">
      <items count="4">
        <item x="2"/>
        <item x="1"/>
        <item x="0"/>
        <item t="default"/>
      </items>
    </pivotField>
  </pivotFields>
  <rowFields count="1">
    <field x="10"/>
  </rowFields>
  <rowItems count="6">
    <i>
      <x/>
    </i>
    <i>
      <x v="1"/>
    </i>
    <i>
      <x v="2"/>
    </i>
    <i>
      <x v="3"/>
    </i>
    <i>
      <x v="4"/>
    </i>
    <i>
      <x v="5"/>
    </i>
  </rowItems>
  <colFields count="1">
    <field x="14"/>
  </colFields>
  <colItems count="3">
    <i>
      <x/>
    </i>
    <i>
      <x v="1"/>
    </i>
    <i>
      <x v="2"/>
    </i>
  </colItems>
  <dataFields count="1">
    <dataField name="Count of mood" fld="14" subtotal="count" baseField="0" baseItem="0"/>
  </dataField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B1CB6D0-9DCA-4F5B-8AD6-4B391D2EC6EF}" sourceName="Gender">
  <pivotTables>
    <pivotTable tabId="3" name="PivotTable5"/>
    <pivotTable tabId="3" name="PivotTable2"/>
  </pivotTables>
  <data>
    <tabular pivotCacheId="1556009472">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5F05F5C-5585-44E4-8BB3-1AE64F490D75}" cache="Slicer_Gender" caption="Gend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B58A6B0-5BE6-46F7-B862-9B2650C8DC39}" name="Table2" displayName="Table2" ref="A1:P4001" totalsRowShown="0">
  <autoFilter ref="A1:P4001" xr:uid="{2B58A6B0-5BE6-46F7-B862-9B2650C8DC39}"/>
  <tableColumns count="16">
    <tableColumn id="1" xr3:uid="{7CF9E34F-3A04-43EB-AA83-0EE37B678D8C}" name="user_id"/>
    <tableColumn id="2" xr3:uid="{70598468-E758-441C-B132-8DAF0F9BDDE1}" name="date" dataDxfId="20"/>
    <tableColumn id="3" xr3:uid="{2740A134-0198-405E-B639-70A45596BE09}" name="age"/>
    <tableColumn id="4" xr3:uid="{32B6F1B9-BF6E-43AA-B4C6-51BD31C10CBD}" name="gender"/>
    <tableColumn id="5" xr3:uid="{706ECBC3-E198-4C4B-87D8-1B2C0989843A}" name="height_cm"/>
    <tableColumn id="6" xr3:uid="{58AD8732-8623-482A-91FC-9B14676F72CF}" name="weight_kg"/>
    <tableColumn id="7" xr3:uid="{C511DACF-157C-478D-A3EC-0187A830EF21}" name="steps"/>
    <tableColumn id="8" xr3:uid="{C8F6D509-6055-4E9F-A8F7-601A722CF6C6}" name="calories_burned"/>
    <tableColumn id="9" xr3:uid="{FC716ECF-70BB-483A-B429-B1FB0B00242C}" name="sleep_hours"/>
    <tableColumn id="10" xr3:uid="{F8C2B676-63C5-4EFE-AE71-15267F8FBEE1}" name="heart_rate_avg"/>
    <tableColumn id="11" xr3:uid="{0819EDC2-8D52-4378-8DC5-0550F1619ECC}" name="workout_type"/>
    <tableColumn id="12" xr3:uid="{E96D0840-7A2D-4770-BBE6-832A72EA6A15}" name="workout_duration_minutes"/>
    <tableColumn id="13" xr3:uid="{84E744F3-A6C3-47C8-8060-9AD3C38187EF}" name="water_intake_liters"/>
    <tableColumn id="14" xr3:uid="{58DE163C-0FE5-4083-BA38-D3A8FAF39B05}" name="stress_level"/>
    <tableColumn id="15" xr3:uid="{F6DF4490-2E63-4B4D-8E7C-4AA329DBC15E}" name="mood"/>
    <tableColumn id="16" xr3:uid="{A900187C-2E54-421B-9FD9-EF66FCF60EA3}" name="Mood (numbers)" dataDxfId="15">
      <calculatedColumnFormula array="1">_xlfn.SWITCH(Table2[[#This Row],[mood]], "Tired", 3, "Neutral", 2, "Happy", 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8DA6FBF-6E7C-42DD-B5F6-1ED4D6C5ACC4}" name="Table1" displayName="Table1" ref="A1:F943" totalsRowShown="0">
  <autoFilter ref="A1:F943" xr:uid="{B8DA6FBF-6E7C-42DD-B5F6-1ED4D6C5ACC4}"/>
  <sortState xmlns:xlrd2="http://schemas.microsoft.com/office/spreadsheetml/2017/richdata2" ref="A2:D943">
    <sortCondition ref="D1:D943"/>
  </sortState>
  <tableColumns count="6">
    <tableColumn id="1" xr3:uid="{69B39284-B25B-4F88-A22F-6C00D354919D}" name="user_id"/>
    <tableColumn id="2" xr3:uid="{7CDFE3FB-F43A-4A09-BFB6-C5369EB6DE03}" name="Average Stress Level" dataDxfId="19"/>
    <tableColumn id="3" xr3:uid="{32A2BE70-6DB8-48EF-942D-CF46DDB2529C}" name="Average Mood" dataDxfId="18"/>
    <tableColumn id="5" xr3:uid="{9D28DB4D-BD82-421D-9196-9368515A3681}" name="Average Sleep Hours" dataDxfId="17"/>
    <tableColumn id="6" xr3:uid="{5ADA2BAB-5BFB-4425-A124-B2DBEDDFF338}" name="Average Water Intake" dataDxfId="13"/>
    <tableColumn id="7" xr3:uid="{34D64A7E-1B02-43C1-9623-CEAEFDC0CD89}" name="Gender" dataDxfId="1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E4079-BE92-4F23-B61A-4DB4B405861E}">
  <dimension ref="A3:D44"/>
  <sheetViews>
    <sheetView topLeftCell="A16" zoomScale="85" zoomScaleNormal="85" workbookViewId="0">
      <selection activeCell="C41" sqref="C41"/>
    </sheetView>
  </sheetViews>
  <sheetFormatPr defaultRowHeight="14.4" x14ac:dyDescent="0.3"/>
  <cols>
    <col min="1" max="1" width="14" bestFit="1" customWidth="1"/>
    <col min="2" max="2" width="21.6640625" bestFit="1" customWidth="1"/>
    <col min="3" max="3" width="24.6640625" bestFit="1" customWidth="1"/>
    <col min="4" max="4" width="5.44140625" bestFit="1" customWidth="1"/>
    <col min="5" max="878" width="26.21875" bestFit="1" customWidth="1"/>
    <col min="879" max="879" width="31" bestFit="1" customWidth="1"/>
    <col min="880" max="880" width="26.33203125" bestFit="1" customWidth="1"/>
  </cols>
  <sheetData>
    <row r="3" spans="1:4" x14ac:dyDescent="0.3">
      <c r="A3" s="2" t="s">
        <v>28</v>
      </c>
      <c r="B3" s="2" t="s">
        <v>27</v>
      </c>
    </row>
    <row r="4" spans="1:4" x14ac:dyDescent="0.3">
      <c r="A4" s="2" t="s">
        <v>26</v>
      </c>
      <c r="B4" t="s">
        <v>21</v>
      </c>
      <c r="C4" t="s">
        <v>19</v>
      </c>
      <c r="D4" t="s">
        <v>17</v>
      </c>
    </row>
    <row r="5" spans="1:4" x14ac:dyDescent="0.3">
      <c r="A5" s="3" t="s">
        <v>24</v>
      </c>
      <c r="B5" s="4">
        <v>227</v>
      </c>
      <c r="C5" s="4">
        <v>207</v>
      </c>
      <c r="D5" s="4">
        <v>210</v>
      </c>
    </row>
    <row r="6" spans="1:4" x14ac:dyDescent="0.3">
      <c r="A6" s="3" t="s">
        <v>25</v>
      </c>
      <c r="B6" s="4">
        <v>230</v>
      </c>
      <c r="C6" s="4">
        <v>231</v>
      </c>
      <c r="D6" s="4">
        <v>228</v>
      </c>
    </row>
    <row r="7" spans="1:4" x14ac:dyDescent="0.3">
      <c r="A7" s="3" t="s">
        <v>16</v>
      </c>
      <c r="B7" s="4">
        <v>233</v>
      </c>
      <c r="C7" s="4">
        <v>211</v>
      </c>
      <c r="D7" s="4">
        <v>231</v>
      </c>
    </row>
    <row r="8" spans="1:4" x14ac:dyDescent="0.3">
      <c r="A8" s="3" t="s">
        <v>18</v>
      </c>
      <c r="B8" s="4">
        <v>203</v>
      </c>
      <c r="C8" s="4">
        <v>213</v>
      </c>
      <c r="D8" s="4">
        <v>225</v>
      </c>
    </row>
    <row r="9" spans="1:4" x14ac:dyDescent="0.3">
      <c r="A9" s="3" t="s">
        <v>23</v>
      </c>
      <c r="B9" s="4">
        <v>237</v>
      </c>
      <c r="C9" s="4">
        <v>215</v>
      </c>
      <c r="D9" s="4">
        <v>224</v>
      </c>
    </row>
    <row r="10" spans="1:4" x14ac:dyDescent="0.3">
      <c r="A10" s="3" t="s">
        <v>22</v>
      </c>
      <c r="B10" s="4">
        <v>229</v>
      </c>
      <c r="C10" s="4">
        <v>235</v>
      </c>
      <c r="D10" s="4">
        <v>211</v>
      </c>
    </row>
    <row r="15" spans="1:4" x14ac:dyDescent="0.3">
      <c r="A15" s="2" t="s">
        <v>42</v>
      </c>
      <c r="B15" t="s">
        <v>40</v>
      </c>
      <c r="C15" t="s">
        <v>41</v>
      </c>
    </row>
    <row r="16" spans="1:4" x14ac:dyDescent="0.3">
      <c r="A16" s="3" t="s">
        <v>33</v>
      </c>
      <c r="B16" s="5">
        <v>4.5</v>
      </c>
      <c r="C16" s="5">
        <v>1.8333333333333333</v>
      </c>
    </row>
    <row r="17" spans="1:3" x14ac:dyDescent="0.3">
      <c r="A17" s="3" t="s">
        <v>34</v>
      </c>
      <c r="B17" s="5">
        <v>5.2866666666666662</v>
      </c>
      <c r="C17" s="5">
        <v>1.9766666666666666</v>
      </c>
    </row>
    <row r="18" spans="1:3" x14ac:dyDescent="0.3">
      <c r="A18" s="3" t="s">
        <v>35</v>
      </c>
      <c r="B18" s="5">
        <v>5.5149725274725272</v>
      </c>
      <c r="C18" s="5">
        <v>1.962030677655678</v>
      </c>
    </row>
    <row r="19" spans="1:3" x14ac:dyDescent="0.3">
      <c r="A19" s="3" t="s">
        <v>36</v>
      </c>
      <c r="B19" s="5">
        <v>5.4588862492521049</v>
      </c>
      <c r="C19" s="5">
        <v>2.0058731038609086</v>
      </c>
    </row>
    <row r="20" spans="1:3" x14ac:dyDescent="0.3">
      <c r="A20" s="3" t="s">
        <v>37</v>
      </c>
      <c r="B20" s="5">
        <v>5.4225287444037429</v>
      </c>
      <c r="C20" s="5">
        <v>1.9615181115181117</v>
      </c>
    </row>
    <row r="21" spans="1:3" x14ac:dyDescent="0.3">
      <c r="A21" s="3" t="s">
        <v>38</v>
      </c>
      <c r="B21" s="5">
        <v>5.5946875</v>
      </c>
      <c r="C21" s="5">
        <v>1.8906249999999996</v>
      </c>
    </row>
    <row r="22" spans="1:3" x14ac:dyDescent="0.3">
      <c r="A22" s="3" t="s">
        <v>39</v>
      </c>
      <c r="B22" s="5">
        <v>4.7</v>
      </c>
      <c r="C22" s="5">
        <v>2.3666666666666667</v>
      </c>
    </row>
    <row r="37" spans="1:3" x14ac:dyDescent="0.3">
      <c r="A37" s="2" t="s">
        <v>44</v>
      </c>
      <c r="B37" t="s">
        <v>40</v>
      </c>
      <c r="C37" t="s">
        <v>41</v>
      </c>
    </row>
    <row r="38" spans="1:3" x14ac:dyDescent="0.3">
      <c r="A38" s="3" t="s">
        <v>45</v>
      </c>
      <c r="B38" s="5">
        <v>5.8903508771929829</v>
      </c>
      <c r="C38" s="5">
        <v>2.0482456140350878</v>
      </c>
    </row>
    <row r="39" spans="1:3" x14ac:dyDescent="0.3">
      <c r="A39" s="3" t="s">
        <v>46</v>
      </c>
      <c r="B39" s="5">
        <v>5.1018004722550181</v>
      </c>
      <c r="C39" s="5">
        <v>2.0063262495080676</v>
      </c>
    </row>
    <row r="40" spans="1:3" x14ac:dyDescent="0.3">
      <c r="A40" s="3" t="s">
        <v>47</v>
      </c>
      <c r="B40" s="5">
        <v>5.4702847805788988</v>
      </c>
      <c r="C40" s="5">
        <v>1.965320961718021</v>
      </c>
    </row>
    <row r="41" spans="1:3" x14ac:dyDescent="0.3">
      <c r="A41" s="3" t="s">
        <v>48</v>
      </c>
      <c r="B41" s="5">
        <v>5.4193749439512153</v>
      </c>
      <c r="C41" s="5">
        <v>1.9954678952560319</v>
      </c>
    </row>
    <row r="42" spans="1:3" x14ac:dyDescent="0.3">
      <c r="A42" s="3" t="s">
        <v>49</v>
      </c>
      <c r="B42" s="5">
        <v>5.7952393250688692</v>
      </c>
      <c r="C42" s="5">
        <v>1.9448777548209366</v>
      </c>
    </row>
    <row r="43" spans="1:3" x14ac:dyDescent="0.3">
      <c r="A43" s="3" t="s">
        <v>50</v>
      </c>
      <c r="B43" s="5">
        <v>5.5677083333333339</v>
      </c>
      <c r="C43" s="5">
        <v>1.9166666666666665</v>
      </c>
    </row>
    <row r="44" spans="1:3" x14ac:dyDescent="0.3">
      <c r="A44" s="3" t="s">
        <v>51</v>
      </c>
      <c r="B44" s="5">
        <v>5.3125</v>
      </c>
      <c r="C44" s="5">
        <v>1.9375</v>
      </c>
    </row>
  </sheetData>
  <conditionalFormatting pivot="1" sqref="B5:D10">
    <cfRule type="colorScale" priority="1">
      <colorScale>
        <cfvo type="min"/>
        <cfvo type="max"/>
        <color rgb="FFFFFF00"/>
        <color rgb="FF00B050"/>
      </colorScale>
    </cfRule>
  </conditionalFormatting>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EB338-271C-4559-95EF-7CC1CC7C1D40}">
  <dimension ref="A1:P4001"/>
  <sheetViews>
    <sheetView topLeftCell="J3969" workbookViewId="0">
      <selection activeCell="P3977" sqref="P3977"/>
    </sheetView>
  </sheetViews>
  <sheetFormatPr defaultRowHeight="14.4" x14ac:dyDescent="0.3"/>
  <cols>
    <col min="1" max="1" width="9" customWidth="1"/>
    <col min="2" max="2" width="10.5546875" bestFit="1" customWidth="1"/>
    <col min="5" max="5" width="11.77734375" customWidth="1"/>
    <col min="6" max="6" width="11.5546875" customWidth="1"/>
    <col min="8" max="8" width="16.33203125" customWidth="1"/>
    <col min="9" max="9" width="13" customWidth="1"/>
    <col min="10" max="10" width="15.6640625" customWidth="1"/>
    <col min="11" max="11" width="14.77734375" customWidth="1"/>
    <col min="12" max="12" width="26" customWidth="1"/>
    <col min="13" max="13" width="18.88671875" customWidth="1"/>
    <col min="14" max="14" width="12.44140625" customWidth="1"/>
    <col min="16" max="16" width="17.6640625" bestFit="1"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31</v>
      </c>
    </row>
    <row r="2" spans="1:16" x14ac:dyDescent="0.3">
      <c r="A2">
        <v>1102</v>
      </c>
      <c r="B2" s="1">
        <v>42005</v>
      </c>
      <c r="C2">
        <v>38</v>
      </c>
      <c r="D2" t="s">
        <v>15</v>
      </c>
      <c r="E2">
        <v>165.5</v>
      </c>
      <c r="F2">
        <v>59.6</v>
      </c>
      <c r="G2">
        <v>2713</v>
      </c>
      <c r="H2">
        <v>372.5</v>
      </c>
      <c r="I2">
        <v>7.8</v>
      </c>
      <c r="J2">
        <v>74</v>
      </c>
      <c r="K2" t="s">
        <v>16</v>
      </c>
      <c r="L2">
        <v>0</v>
      </c>
      <c r="M2">
        <v>1.0900000000000001</v>
      </c>
      <c r="N2">
        <v>2</v>
      </c>
      <c r="O2" t="s">
        <v>17</v>
      </c>
      <c r="P2" cm="1">
        <f t="array" ref="P2">_xlfn.SWITCH(Table2[[#This Row],[mood]], "Tired", 3, "Neutral", 2, "Happy", 1)</f>
        <v>3</v>
      </c>
    </row>
    <row r="3" spans="1:16" x14ac:dyDescent="0.3">
      <c r="A3">
        <v>1435</v>
      </c>
      <c r="B3" s="1">
        <v>42006</v>
      </c>
      <c r="C3">
        <v>21</v>
      </c>
      <c r="D3" t="s">
        <v>15</v>
      </c>
      <c r="E3">
        <v>173.4</v>
      </c>
      <c r="F3">
        <v>52.1</v>
      </c>
      <c r="G3">
        <v>1635</v>
      </c>
      <c r="H3">
        <v>245.4</v>
      </c>
      <c r="I3">
        <v>7.8</v>
      </c>
      <c r="J3">
        <v>96</v>
      </c>
      <c r="K3" t="s">
        <v>18</v>
      </c>
      <c r="L3">
        <v>20</v>
      </c>
      <c r="M3">
        <v>2.93</v>
      </c>
      <c r="N3">
        <v>3</v>
      </c>
      <c r="O3" t="s">
        <v>19</v>
      </c>
      <c r="P3" cm="1">
        <f t="array" ref="P3">_xlfn.SWITCH(Table2[[#This Row],[mood]], "Tired", 3, "Neutral", 2, "Happy", 1)</f>
        <v>2</v>
      </c>
    </row>
    <row r="4" spans="1:16" x14ac:dyDescent="0.3">
      <c r="A4">
        <v>1860</v>
      </c>
      <c r="B4" s="1">
        <v>42007</v>
      </c>
      <c r="C4">
        <v>24</v>
      </c>
      <c r="D4" t="s">
        <v>20</v>
      </c>
      <c r="E4">
        <v>165.7</v>
      </c>
      <c r="F4">
        <v>85.1</v>
      </c>
      <c r="G4">
        <v>16193</v>
      </c>
      <c r="H4">
        <v>900</v>
      </c>
      <c r="I4">
        <v>10</v>
      </c>
      <c r="J4">
        <v>60</v>
      </c>
      <c r="K4" t="s">
        <v>18</v>
      </c>
      <c r="L4">
        <v>43</v>
      </c>
      <c r="M4">
        <v>2.2400000000000002</v>
      </c>
      <c r="N4">
        <v>1</v>
      </c>
      <c r="O4" t="s">
        <v>17</v>
      </c>
      <c r="P4" cm="1">
        <f t="array" ref="P4">_xlfn.SWITCH(Table2[[#This Row],[mood]], "Tired", 3, "Neutral", 2, "Happy", 1)</f>
        <v>3</v>
      </c>
    </row>
    <row r="5" spans="1:16" x14ac:dyDescent="0.3">
      <c r="A5">
        <v>1270</v>
      </c>
      <c r="B5" s="1">
        <v>42008</v>
      </c>
      <c r="C5">
        <v>43</v>
      </c>
      <c r="D5" t="s">
        <v>15</v>
      </c>
      <c r="E5">
        <v>170.9</v>
      </c>
      <c r="F5">
        <v>74.8</v>
      </c>
      <c r="G5">
        <v>15633</v>
      </c>
      <c r="H5">
        <v>819.5</v>
      </c>
      <c r="I5">
        <v>6.5</v>
      </c>
      <c r="J5">
        <v>66</v>
      </c>
      <c r="K5" t="s">
        <v>18</v>
      </c>
      <c r="L5">
        <v>62</v>
      </c>
      <c r="M5">
        <v>2.61</v>
      </c>
      <c r="N5">
        <v>1</v>
      </c>
      <c r="O5" t="s">
        <v>21</v>
      </c>
      <c r="P5" cm="1">
        <f t="array" ref="P5">_xlfn.SWITCH(Table2[[#This Row],[mood]], "Tired", 3, "Neutral", 2, "Happy", 1)</f>
        <v>1</v>
      </c>
    </row>
    <row r="6" spans="1:16" x14ac:dyDescent="0.3">
      <c r="A6">
        <v>1106</v>
      </c>
      <c r="B6" s="1">
        <v>42009</v>
      </c>
      <c r="C6">
        <v>29</v>
      </c>
      <c r="D6" t="s">
        <v>15</v>
      </c>
      <c r="E6">
        <v>157.80000000000001</v>
      </c>
      <c r="F6">
        <v>75</v>
      </c>
      <c r="G6">
        <v>10309</v>
      </c>
      <c r="H6">
        <v>629.29999999999995</v>
      </c>
      <c r="I6">
        <v>7.1</v>
      </c>
      <c r="J6">
        <v>75</v>
      </c>
      <c r="K6" t="s">
        <v>16</v>
      </c>
      <c r="L6">
        <v>0</v>
      </c>
      <c r="M6">
        <v>3.59</v>
      </c>
      <c r="N6">
        <v>2</v>
      </c>
      <c r="O6" t="s">
        <v>19</v>
      </c>
      <c r="P6" cm="1">
        <f t="array" ref="P6">_xlfn.SWITCH(Table2[[#This Row],[mood]], "Tired", 3, "Neutral", 2, "Happy", 1)</f>
        <v>2</v>
      </c>
    </row>
    <row r="7" spans="1:16" x14ac:dyDescent="0.3">
      <c r="A7">
        <v>1071</v>
      </c>
      <c r="B7" s="1">
        <v>42010</v>
      </c>
      <c r="C7">
        <v>48</v>
      </c>
      <c r="D7" t="s">
        <v>15</v>
      </c>
      <c r="E7">
        <v>169.9</v>
      </c>
      <c r="F7">
        <v>93.8</v>
      </c>
      <c r="G7">
        <v>16778</v>
      </c>
      <c r="H7">
        <v>865.3</v>
      </c>
      <c r="I7">
        <v>9.9</v>
      </c>
      <c r="J7">
        <v>82</v>
      </c>
      <c r="K7" t="s">
        <v>16</v>
      </c>
      <c r="L7">
        <v>0</v>
      </c>
      <c r="M7">
        <v>2.41</v>
      </c>
      <c r="N7">
        <v>2</v>
      </c>
      <c r="O7" t="s">
        <v>19</v>
      </c>
      <c r="P7" cm="1">
        <f t="array" ref="P7">_xlfn.SWITCH(Table2[[#This Row],[mood]], "Tired", 3, "Neutral", 2, "Happy", 1)</f>
        <v>2</v>
      </c>
    </row>
    <row r="8" spans="1:16" x14ac:dyDescent="0.3">
      <c r="A8">
        <v>1700</v>
      </c>
      <c r="B8" s="1">
        <v>42011</v>
      </c>
      <c r="C8">
        <v>34</v>
      </c>
      <c r="D8" t="s">
        <v>15</v>
      </c>
      <c r="E8">
        <v>165.2</v>
      </c>
      <c r="F8">
        <v>49.5</v>
      </c>
      <c r="G8">
        <v>8445</v>
      </c>
      <c r="H8">
        <v>556</v>
      </c>
      <c r="I8">
        <v>7.4</v>
      </c>
      <c r="J8">
        <v>81</v>
      </c>
      <c r="K8" t="s">
        <v>22</v>
      </c>
      <c r="L8">
        <v>36</v>
      </c>
      <c r="M8">
        <v>2.94</v>
      </c>
      <c r="N8">
        <v>6</v>
      </c>
      <c r="O8" t="s">
        <v>19</v>
      </c>
      <c r="P8" cm="1">
        <f t="array" ref="P8">_xlfn.SWITCH(Table2[[#This Row],[mood]], "Tired", 3, "Neutral", 2, "Happy", 1)</f>
        <v>2</v>
      </c>
    </row>
    <row r="9" spans="1:16" x14ac:dyDescent="0.3">
      <c r="A9">
        <v>1020</v>
      </c>
      <c r="B9" s="1">
        <v>42012</v>
      </c>
      <c r="C9">
        <v>50</v>
      </c>
      <c r="D9" t="s">
        <v>15</v>
      </c>
      <c r="E9">
        <v>158.80000000000001</v>
      </c>
      <c r="F9">
        <v>49.1</v>
      </c>
      <c r="G9">
        <v>13415</v>
      </c>
      <c r="H9">
        <v>763.5</v>
      </c>
      <c r="I9">
        <v>5.4</v>
      </c>
      <c r="J9">
        <v>76</v>
      </c>
      <c r="K9" t="s">
        <v>18</v>
      </c>
      <c r="L9">
        <v>58</v>
      </c>
      <c r="M9">
        <v>2.54</v>
      </c>
      <c r="N9">
        <v>8</v>
      </c>
      <c r="O9" t="s">
        <v>21</v>
      </c>
      <c r="P9" cm="1">
        <f t="array" ref="P9">_xlfn.SWITCH(Table2[[#This Row],[mood]], "Tired", 3, "Neutral", 2, "Happy", 1)</f>
        <v>1</v>
      </c>
    </row>
    <row r="10" spans="1:16" x14ac:dyDescent="0.3">
      <c r="A10">
        <v>1614</v>
      </c>
      <c r="B10" s="1">
        <v>42013</v>
      </c>
      <c r="C10">
        <v>28</v>
      </c>
      <c r="D10" t="s">
        <v>20</v>
      </c>
      <c r="E10">
        <v>189.8</v>
      </c>
      <c r="F10">
        <v>67.599999999999994</v>
      </c>
      <c r="G10">
        <v>15281</v>
      </c>
      <c r="H10">
        <v>843.3</v>
      </c>
      <c r="I10">
        <v>7.5</v>
      </c>
      <c r="J10">
        <v>79</v>
      </c>
      <c r="K10" t="s">
        <v>23</v>
      </c>
      <c r="L10">
        <v>74</v>
      </c>
      <c r="M10">
        <v>2.42</v>
      </c>
      <c r="N10">
        <v>4</v>
      </c>
      <c r="O10" t="s">
        <v>17</v>
      </c>
      <c r="P10" cm="1">
        <f t="array" ref="P10">_xlfn.SWITCH(Table2[[#This Row],[mood]], "Tired", 3, "Neutral", 2, "Happy", 1)</f>
        <v>3</v>
      </c>
    </row>
    <row r="11" spans="1:16" x14ac:dyDescent="0.3">
      <c r="A11">
        <v>1121</v>
      </c>
      <c r="B11" s="1">
        <v>42014</v>
      </c>
      <c r="C11">
        <v>45</v>
      </c>
      <c r="D11" t="s">
        <v>20</v>
      </c>
      <c r="E11">
        <v>159.19999999999999</v>
      </c>
      <c r="F11">
        <v>71</v>
      </c>
      <c r="G11">
        <v>7602</v>
      </c>
      <c r="H11">
        <v>504.2</v>
      </c>
      <c r="I11">
        <v>8.1</v>
      </c>
      <c r="J11">
        <v>76</v>
      </c>
      <c r="K11" t="s">
        <v>18</v>
      </c>
      <c r="L11">
        <v>87</v>
      </c>
      <c r="M11">
        <v>2.34</v>
      </c>
      <c r="N11">
        <v>3</v>
      </c>
      <c r="O11" t="s">
        <v>17</v>
      </c>
      <c r="P11" cm="1">
        <f t="array" ref="P11">_xlfn.SWITCH(Table2[[#This Row],[mood]], "Tired", 3, "Neutral", 2, "Happy", 1)</f>
        <v>3</v>
      </c>
    </row>
    <row r="12" spans="1:16" x14ac:dyDescent="0.3">
      <c r="A12">
        <v>1466</v>
      </c>
      <c r="B12" s="1">
        <v>42015</v>
      </c>
      <c r="C12">
        <v>49</v>
      </c>
      <c r="D12" t="s">
        <v>20</v>
      </c>
      <c r="E12">
        <v>170.1</v>
      </c>
      <c r="F12">
        <v>64.7</v>
      </c>
      <c r="G12">
        <v>1037</v>
      </c>
      <c r="H12">
        <v>120</v>
      </c>
      <c r="I12">
        <v>6.5</v>
      </c>
      <c r="J12">
        <v>85</v>
      </c>
      <c r="K12" t="s">
        <v>23</v>
      </c>
      <c r="L12">
        <v>64</v>
      </c>
      <c r="M12">
        <v>2.99</v>
      </c>
      <c r="N12">
        <v>2</v>
      </c>
      <c r="O12" t="s">
        <v>17</v>
      </c>
      <c r="P12" cm="1">
        <f t="array" ref="P12">_xlfn.SWITCH(Table2[[#This Row],[mood]], "Tired", 3, "Neutral", 2, "Happy", 1)</f>
        <v>3</v>
      </c>
    </row>
    <row r="13" spans="1:16" x14ac:dyDescent="0.3">
      <c r="A13">
        <v>1214</v>
      </c>
      <c r="B13" s="1">
        <v>42016</v>
      </c>
      <c r="C13">
        <v>18</v>
      </c>
      <c r="D13" t="s">
        <v>15</v>
      </c>
      <c r="E13">
        <v>162</v>
      </c>
      <c r="F13">
        <v>106.9</v>
      </c>
      <c r="G13">
        <v>10824</v>
      </c>
      <c r="H13">
        <v>662.7</v>
      </c>
      <c r="I13">
        <v>8.1999999999999993</v>
      </c>
      <c r="J13">
        <v>69</v>
      </c>
      <c r="K13" t="s">
        <v>22</v>
      </c>
      <c r="L13">
        <v>47</v>
      </c>
      <c r="M13">
        <v>1.99</v>
      </c>
      <c r="N13">
        <v>1</v>
      </c>
      <c r="O13" t="s">
        <v>21</v>
      </c>
      <c r="P13" cm="1">
        <f t="array" ref="P13">_xlfn.SWITCH(Table2[[#This Row],[mood]], "Tired", 3, "Neutral", 2, "Happy", 1)</f>
        <v>1</v>
      </c>
    </row>
    <row r="14" spans="1:16" x14ac:dyDescent="0.3">
      <c r="A14">
        <v>1330</v>
      </c>
      <c r="B14" s="1">
        <v>42017</v>
      </c>
      <c r="C14">
        <v>45</v>
      </c>
      <c r="D14" t="s">
        <v>15</v>
      </c>
      <c r="E14">
        <v>173</v>
      </c>
      <c r="F14">
        <v>65.3</v>
      </c>
      <c r="G14">
        <v>4775</v>
      </c>
      <c r="H14">
        <v>292.5</v>
      </c>
      <c r="I14">
        <v>8.1</v>
      </c>
      <c r="J14">
        <v>71</v>
      </c>
      <c r="K14" t="s">
        <v>22</v>
      </c>
      <c r="L14">
        <v>75</v>
      </c>
      <c r="M14">
        <v>1.71</v>
      </c>
      <c r="N14">
        <v>8</v>
      </c>
      <c r="O14" t="s">
        <v>17</v>
      </c>
      <c r="P14" cm="1">
        <f t="array" ref="P14">_xlfn.SWITCH(Table2[[#This Row],[mood]], "Tired", 3, "Neutral", 2, "Happy", 1)</f>
        <v>3</v>
      </c>
    </row>
    <row r="15" spans="1:16" x14ac:dyDescent="0.3">
      <c r="A15">
        <v>1458</v>
      </c>
      <c r="B15" s="1">
        <v>42018</v>
      </c>
      <c r="C15">
        <v>59</v>
      </c>
      <c r="D15" t="s">
        <v>15</v>
      </c>
      <c r="E15">
        <v>157.30000000000001</v>
      </c>
      <c r="F15">
        <v>61.7</v>
      </c>
      <c r="G15">
        <v>11555</v>
      </c>
      <c r="H15">
        <v>631.9</v>
      </c>
      <c r="I15">
        <v>6.3</v>
      </c>
      <c r="J15">
        <v>82</v>
      </c>
      <c r="K15" t="s">
        <v>18</v>
      </c>
      <c r="L15">
        <v>48</v>
      </c>
      <c r="M15">
        <v>2.5499999999999998</v>
      </c>
      <c r="N15">
        <v>7</v>
      </c>
      <c r="O15" t="s">
        <v>17</v>
      </c>
      <c r="P15" cm="1">
        <f t="array" ref="P15">_xlfn.SWITCH(Table2[[#This Row],[mood]], "Tired", 3, "Neutral", 2, "Happy", 1)</f>
        <v>3</v>
      </c>
    </row>
    <row r="16" spans="1:16" x14ac:dyDescent="0.3">
      <c r="A16">
        <v>1087</v>
      </c>
      <c r="B16" s="1">
        <v>42019</v>
      </c>
      <c r="C16">
        <v>24</v>
      </c>
      <c r="D16" t="s">
        <v>20</v>
      </c>
      <c r="E16">
        <v>178.4</v>
      </c>
      <c r="F16">
        <v>71.900000000000006</v>
      </c>
      <c r="G16">
        <v>6120</v>
      </c>
      <c r="H16">
        <v>325.2</v>
      </c>
      <c r="I16">
        <v>9.3000000000000007</v>
      </c>
      <c r="J16">
        <v>91</v>
      </c>
      <c r="K16" t="s">
        <v>16</v>
      </c>
      <c r="L16">
        <v>0</v>
      </c>
      <c r="M16">
        <v>2.63</v>
      </c>
      <c r="N16">
        <v>2</v>
      </c>
      <c r="O16" t="s">
        <v>21</v>
      </c>
      <c r="P16" cm="1">
        <f t="array" ref="P16">_xlfn.SWITCH(Table2[[#This Row],[mood]], "Tired", 3, "Neutral", 2, "Happy", 1)</f>
        <v>1</v>
      </c>
    </row>
    <row r="17" spans="1:16" x14ac:dyDescent="0.3">
      <c r="A17">
        <v>1372</v>
      </c>
      <c r="B17" s="1">
        <v>42020</v>
      </c>
      <c r="C17">
        <v>19</v>
      </c>
      <c r="D17" t="s">
        <v>15</v>
      </c>
      <c r="E17">
        <v>190.4</v>
      </c>
      <c r="F17">
        <v>84.6</v>
      </c>
      <c r="G17">
        <v>15678</v>
      </c>
      <c r="H17">
        <v>900</v>
      </c>
      <c r="I17">
        <v>5.8</v>
      </c>
      <c r="J17">
        <v>69</v>
      </c>
      <c r="K17" t="s">
        <v>23</v>
      </c>
      <c r="L17">
        <v>88</v>
      </c>
      <c r="M17">
        <v>1.22</v>
      </c>
      <c r="N17">
        <v>7</v>
      </c>
      <c r="O17" t="s">
        <v>21</v>
      </c>
      <c r="P17" cm="1">
        <f t="array" ref="P17">_xlfn.SWITCH(Table2[[#This Row],[mood]], "Tired", 3, "Neutral", 2, "Happy", 1)</f>
        <v>1</v>
      </c>
    </row>
    <row r="18" spans="1:16" x14ac:dyDescent="0.3">
      <c r="A18">
        <v>1099</v>
      </c>
      <c r="B18" s="1">
        <v>42021</v>
      </c>
      <c r="C18">
        <v>59</v>
      </c>
      <c r="D18" t="s">
        <v>15</v>
      </c>
      <c r="E18">
        <v>161.6</v>
      </c>
      <c r="F18">
        <v>59.1</v>
      </c>
      <c r="G18">
        <v>18425</v>
      </c>
      <c r="H18">
        <v>900</v>
      </c>
      <c r="I18">
        <v>7.7</v>
      </c>
      <c r="J18">
        <v>77</v>
      </c>
      <c r="K18" t="s">
        <v>23</v>
      </c>
      <c r="L18">
        <v>30</v>
      </c>
      <c r="M18">
        <v>2.4900000000000002</v>
      </c>
      <c r="N18">
        <v>6</v>
      </c>
      <c r="O18" t="s">
        <v>17</v>
      </c>
      <c r="P18" cm="1">
        <f t="array" ref="P18">_xlfn.SWITCH(Table2[[#This Row],[mood]], "Tired", 3, "Neutral", 2, "Happy", 1)</f>
        <v>3</v>
      </c>
    </row>
    <row r="19" spans="1:16" x14ac:dyDescent="0.3">
      <c r="A19">
        <v>1871</v>
      </c>
      <c r="B19" s="1">
        <v>42022</v>
      </c>
      <c r="C19">
        <v>41</v>
      </c>
      <c r="D19" t="s">
        <v>15</v>
      </c>
      <c r="E19">
        <v>182.2</v>
      </c>
      <c r="F19">
        <v>67.8</v>
      </c>
      <c r="G19">
        <v>5715</v>
      </c>
      <c r="H19">
        <v>412.3</v>
      </c>
      <c r="I19">
        <v>6.1</v>
      </c>
      <c r="J19">
        <v>71</v>
      </c>
      <c r="K19" t="s">
        <v>23</v>
      </c>
      <c r="L19">
        <v>21</v>
      </c>
      <c r="M19">
        <v>1.64</v>
      </c>
      <c r="N19">
        <v>8</v>
      </c>
      <c r="O19" t="s">
        <v>21</v>
      </c>
      <c r="P19" cm="1">
        <f t="array" ref="P19">_xlfn.SWITCH(Table2[[#This Row],[mood]], "Tired", 3, "Neutral", 2, "Happy", 1)</f>
        <v>1</v>
      </c>
    </row>
    <row r="20" spans="1:16" x14ac:dyDescent="0.3">
      <c r="A20">
        <v>1663</v>
      </c>
      <c r="B20" s="1">
        <v>42023</v>
      </c>
      <c r="C20">
        <v>21</v>
      </c>
      <c r="D20" t="s">
        <v>20</v>
      </c>
      <c r="E20">
        <v>166.2</v>
      </c>
      <c r="F20">
        <v>85</v>
      </c>
      <c r="G20">
        <v>2394</v>
      </c>
      <c r="H20">
        <v>366.7</v>
      </c>
      <c r="I20">
        <v>4.5</v>
      </c>
      <c r="J20">
        <v>81</v>
      </c>
      <c r="K20" t="s">
        <v>23</v>
      </c>
      <c r="L20">
        <v>87</v>
      </c>
      <c r="M20">
        <v>2.94</v>
      </c>
      <c r="N20">
        <v>6</v>
      </c>
      <c r="O20" t="s">
        <v>21</v>
      </c>
      <c r="P20" cm="1">
        <f t="array" ref="P20">_xlfn.SWITCH(Table2[[#This Row],[mood]], "Tired", 3, "Neutral", 2, "Happy", 1)</f>
        <v>1</v>
      </c>
    </row>
    <row r="21" spans="1:16" x14ac:dyDescent="0.3">
      <c r="A21">
        <v>1130</v>
      </c>
      <c r="B21" s="1">
        <v>42024</v>
      </c>
      <c r="C21">
        <v>36</v>
      </c>
      <c r="D21" t="s">
        <v>15</v>
      </c>
      <c r="E21">
        <v>185.1</v>
      </c>
      <c r="F21">
        <v>85.8</v>
      </c>
      <c r="G21">
        <v>3869</v>
      </c>
      <c r="H21">
        <v>381.4</v>
      </c>
      <c r="I21">
        <v>7.5</v>
      </c>
      <c r="J21">
        <v>59</v>
      </c>
      <c r="K21" t="s">
        <v>24</v>
      </c>
      <c r="L21">
        <v>29</v>
      </c>
      <c r="M21">
        <v>1.24</v>
      </c>
      <c r="N21">
        <v>4</v>
      </c>
      <c r="O21" t="s">
        <v>21</v>
      </c>
      <c r="P21" cm="1">
        <f t="array" ref="P21">_xlfn.SWITCH(Table2[[#This Row],[mood]], "Tired", 3, "Neutral", 2, "Happy", 1)</f>
        <v>1</v>
      </c>
    </row>
    <row r="22" spans="1:16" x14ac:dyDescent="0.3">
      <c r="A22">
        <v>1661</v>
      </c>
      <c r="B22" s="1">
        <v>42025</v>
      </c>
      <c r="C22">
        <v>43</v>
      </c>
      <c r="D22" t="s">
        <v>20</v>
      </c>
      <c r="E22">
        <v>191.9</v>
      </c>
      <c r="F22">
        <v>73.3</v>
      </c>
      <c r="G22">
        <v>4676</v>
      </c>
      <c r="H22">
        <v>393.3</v>
      </c>
      <c r="I22">
        <v>9.9</v>
      </c>
      <c r="J22">
        <v>72</v>
      </c>
      <c r="K22" t="s">
        <v>22</v>
      </c>
      <c r="L22">
        <v>46</v>
      </c>
      <c r="M22">
        <v>3.85</v>
      </c>
      <c r="N22">
        <v>8</v>
      </c>
      <c r="O22" t="s">
        <v>19</v>
      </c>
      <c r="P22" cm="1">
        <f t="array" ref="P22">_xlfn.SWITCH(Table2[[#This Row],[mood]], "Tired", 3, "Neutral", 2, "Happy", 1)</f>
        <v>2</v>
      </c>
    </row>
    <row r="23" spans="1:16" x14ac:dyDescent="0.3">
      <c r="A23">
        <v>1308</v>
      </c>
      <c r="B23" s="1">
        <v>42026</v>
      </c>
      <c r="C23">
        <v>28</v>
      </c>
      <c r="D23" t="s">
        <v>15</v>
      </c>
      <c r="E23">
        <v>167.7</v>
      </c>
      <c r="F23">
        <v>106.3</v>
      </c>
      <c r="G23">
        <v>4721</v>
      </c>
      <c r="H23">
        <v>408.6</v>
      </c>
      <c r="I23">
        <v>6.9</v>
      </c>
      <c r="J23">
        <v>69</v>
      </c>
      <c r="K23" t="s">
        <v>23</v>
      </c>
      <c r="L23">
        <v>54</v>
      </c>
      <c r="M23">
        <v>2.2599999999999998</v>
      </c>
      <c r="N23">
        <v>1</v>
      </c>
      <c r="O23" t="s">
        <v>19</v>
      </c>
      <c r="P23" cm="1">
        <f t="array" ref="P23">_xlfn.SWITCH(Table2[[#This Row],[mood]], "Tired", 3, "Neutral", 2, "Happy", 1)</f>
        <v>2</v>
      </c>
    </row>
    <row r="24" spans="1:16" x14ac:dyDescent="0.3">
      <c r="A24">
        <v>1769</v>
      </c>
      <c r="B24" s="1">
        <v>42027</v>
      </c>
      <c r="C24">
        <v>57</v>
      </c>
      <c r="D24" t="s">
        <v>20</v>
      </c>
      <c r="E24">
        <v>154.80000000000001</v>
      </c>
      <c r="F24">
        <v>99.7</v>
      </c>
      <c r="G24">
        <v>6690</v>
      </c>
      <c r="H24">
        <v>448.5</v>
      </c>
      <c r="I24">
        <v>4.8</v>
      </c>
      <c r="J24">
        <v>72</v>
      </c>
      <c r="K24" t="s">
        <v>24</v>
      </c>
      <c r="L24">
        <v>69</v>
      </c>
      <c r="M24">
        <v>1.89</v>
      </c>
      <c r="N24">
        <v>10</v>
      </c>
      <c r="O24" t="s">
        <v>17</v>
      </c>
      <c r="P24" cm="1">
        <f t="array" ref="P24">_xlfn.SWITCH(Table2[[#This Row],[mood]], "Tired", 3, "Neutral", 2, "Happy", 1)</f>
        <v>3</v>
      </c>
    </row>
    <row r="25" spans="1:16" x14ac:dyDescent="0.3">
      <c r="A25">
        <v>1343</v>
      </c>
      <c r="B25" s="1">
        <v>42028</v>
      </c>
      <c r="C25">
        <v>28</v>
      </c>
      <c r="D25" t="s">
        <v>20</v>
      </c>
      <c r="E25">
        <v>179.5</v>
      </c>
      <c r="F25">
        <v>48.9</v>
      </c>
      <c r="G25">
        <v>6818</v>
      </c>
      <c r="H25">
        <v>410.7</v>
      </c>
      <c r="I25">
        <v>7.3</v>
      </c>
      <c r="J25">
        <v>50</v>
      </c>
      <c r="K25" t="s">
        <v>24</v>
      </c>
      <c r="L25">
        <v>21</v>
      </c>
      <c r="M25">
        <v>2.2999999999999998</v>
      </c>
      <c r="N25">
        <v>1</v>
      </c>
      <c r="O25" t="s">
        <v>17</v>
      </c>
      <c r="P25" cm="1">
        <f t="array" ref="P25">_xlfn.SWITCH(Table2[[#This Row],[mood]], "Tired", 3, "Neutral", 2, "Happy", 1)</f>
        <v>3</v>
      </c>
    </row>
    <row r="26" spans="1:16" x14ac:dyDescent="0.3">
      <c r="A26">
        <v>1491</v>
      </c>
      <c r="B26" s="1">
        <v>42029</v>
      </c>
      <c r="C26">
        <v>20</v>
      </c>
      <c r="D26" t="s">
        <v>20</v>
      </c>
      <c r="E26">
        <v>172.2</v>
      </c>
      <c r="F26">
        <v>45</v>
      </c>
      <c r="G26">
        <v>1234</v>
      </c>
      <c r="H26">
        <v>297.39999999999998</v>
      </c>
      <c r="I26">
        <v>5.8</v>
      </c>
      <c r="J26">
        <v>95</v>
      </c>
      <c r="K26" t="s">
        <v>22</v>
      </c>
      <c r="L26">
        <v>36</v>
      </c>
      <c r="M26">
        <v>2.89</v>
      </c>
      <c r="N26">
        <v>4</v>
      </c>
      <c r="O26" t="s">
        <v>21</v>
      </c>
      <c r="P26" cm="1">
        <f t="array" ref="P26">_xlfn.SWITCH(Table2[[#This Row],[mood]], "Tired", 3, "Neutral", 2, "Happy", 1)</f>
        <v>1</v>
      </c>
    </row>
    <row r="27" spans="1:16" x14ac:dyDescent="0.3">
      <c r="A27">
        <v>1413</v>
      </c>
      <c r="B27" s="1">
        <v>42030</v>
      </c>
      <c r="C27">
        <v>29</v>
      </c>
      <c r="D27" t="s">
        <v>15</v>
      </c>
      <c r="E27">
        <v>175</v>
      </c>
      <c r="F27">
        <v>81.900000000000006</v>
      </c>
      <c r="G27">
        <v>4140</v>
      </c>
      <c r="H27">
        <v>362.1</v>
      </c>
      <c r="I27">
        <v>8.6</v>
      </c>
      <c r="J27">
        <v>50</v>
      </c>
      <c r="K27" t="s">
        <v>25</v>
      </c>
      <c r="L27">
        <v>43</v>
      </c>
      <c r="M27">
        <v>3.12</v>
      </c>
      <c r="N27">
        <v>1</v>
      </c>
      <c r="O27" t="s">
        <v>17</v>
      </c>
      <c r="P27" cm="1">
        <f t="array" ref="P27">_xlfn.SWITCH(Table2[[#This Row],[mood]], "Tired", 3, "Neutral", 2, "Happy", 1)</f>
        <v>3</v>
      </c>
    </row>
    <row r="28" spans="1:16" x14ac:dyDescent="0.3">
      <c r="A28">
        <v>1805</v>
      </c>
      <c r="B28" s="1">
        <v>42031</v>
      </c>
      <c r="C28">
        <v>20</v>
      </c>
      <c r="D28" t="s">
        <v>15</v>
      </c>
      <c r="E28">
        <v>166.6</v>
      </c>
      <c r="F28">
        <v>90.5</v>
      </c>
      <c r="G28">
        <v>9638</v>
      </c>
      <c r="H28">
        <v>497.6</v>
      </c>
      <c r="I28">
        <v>6.7</v>
      </c>
      <c r="J28">
        <v>80</v>
      </c>
      <c r="K28" t="s">
        <v>18</v>
      </c>
      <c r="L28">
        <v>76</v>
      </c>
      <c r="M28">
        <v>2.31</v>
      </c>
      <c r="N28">
        <v>5</v>
      </c>
      <c r="O28" t="s">
        <v>19</v>
      </c>
      <c r="P28" cm="1">
        <f t="array" ref="P28">_xlfn.SWITCH(Table2[[#This Row],[mood]], "Tired", 3, "Neutral", 2, "Happy", 1)</f>
        <v>2</v>
      </c>
    </row>
    <row r="29" spans="1:16" x14ac:dyDescent="0.3">
      <c r="A29">
        <v>1385</v>
      </c>
      <c r="B29" s="1">
        <v>42032</v>
      </c>
      <c r="C29">
        <v>59</v>
      </c>
      <c r="D29" t="s">
        <v>20</v>
      </c>
      <c r="E29">
        <v>161.19999999999999</v>
      </c>
      <c r="F29">
        <v>66.599999999999994</v>
      </c>
      <c r="G29">
        <v>13897</v>
      </c>
      <c r="H29">
        <v>781.2</v>
      </c>
      <c r="I29">
        <v>4.3</v>
      </c>
      <c r="J29">
        <v>62</v>
      </c>
      <c r="K29" t="s">
        <v>22</v>
      </c>
      <c r="L29">
        <v>35</v>
      </c>
      <c r="M29">
        <v>1.49</v>
      </c>
      <c r="N29">
        <v>9</v>
      </c>
      <c r="O29" t="s">
        <v>17</v>
      </c>
      <c r="P29" cm="1">
        <f t="array" ref="P29">_xlfn.SWITCH(Table2[[#This Row],[mood]], "Tired", 3, "Neutral", 2, "Happy", 1)</f>
        <v>3</v>
      </c>
    </row>
    <row r="30" spans="1:16" x14ac:dyDescent="0.3">
      <c r="A30">
        <v>1191</v>
      </c>
      <c r="B30" s="1">
        <v>42033</v>
      </c>
      <c r="C30">
        <v>44</v>
      </c>
      <c r="D30" t="s">
        <v>20</v>
      </c>
      <c r="E30">
        <v>181.6</v>
      </c>
      <c r="F30">
        <v>62.5</v>
      </c>
      <c r="G30">
        <v>18383</v>
      </c>
      <c r="H30">
        <v>900</v>
      </c>
      <c r="I30">
        <v>7.8</v>
      </c>
      <c r="J30">
        <v>63</v>
      </c>
      <c r="K30" t="s">
        <v>25</v>
      </c>
      <c r="L30">
        <v>55</v>
      </c>
      <c r="M30">
        <v>1.65</v>
      </c>
      <c r="N30">
        <v>9</v>
      </c>
      <c r="O30" t="s">
        <v>17</v>
      </c>
      <c r="P30" cm="1">
        <f t="array" ref="P30">_xlfn.SWITCH(Table2[[#This Row],[mood]], "Tired", 3, "Neutral", 2, "Happy", 1)</f>
        <v>3</v>
      </c>
    </row>
    <row r="31" spans="1:16" x14ac:dyDescent="0.3">
      <c r="A31">
        <v>1955</v>
      </c>
      <c r="B31" s="1">
        <v>42034</v>
      </c>
      <c r="C31">
        <v>19</v>
      </c>
      <c r="D31" t="s">
        <v>15</v>
      </c>
      <c r="E31">
        <v>173.2</v>
      </c>
      <c r="F31">
        <v>57.7</v>
      </c>
      <c r="G31">
        <v>18718</v>
      </c>
      <c r="H31">
        <v>900</v>
      </c>
      <c r="I31">
        <v>7.3</v>
      </c>
      <c r="J31">
        <v>76</v>
      </c>
      <c r="K31" t="s">
        <v>16</v>
      </c>
      <c r="L31">
        <v>0</v>
      </c>
      <c r="M31">
        <v>2.7</v>
      </c>
      <c r="N31">
        <v>9</v>
      </c>
      <c r="O31" t="s">
        <v>19</v>
      </c>
      <c r="P31" cm="1">
        <f t="array" ref="P31">_xlfn.SWITCH(Table2[[#This Row],[mood]], "Tired", 3, "Neutral", 2, "Happy", 1)</f>
        <v>2</v>
      </c>
    </row>
    <row r="32" spans="1:16" x14ac:dyDescent="0.3">
      <c r="A32">
        <v>1276</v>
      </c>
      <c r="B32" s="1">
        <v>42035</v>
      </c>
      <c r="C32">
        <v>33</v>
      </c>
      <c r="D32" t="s">
        <v>15</v>
      </c>
      <c r="E32">
        <v>155.6</v>
      </c>
      <c r="F32">
        <v>52.5</v>
      </c>
      <c r="G32">
        <v>9325</v>
      </c>
      <c r="H32">
        <v>586.4</v>
      </c>
      <c r="I32">
        <v>6.6</v>
      </c>
      <c r="J32">
        <v>82</v>
      </c>
      <c r="K32" t="s">
        <v>18</v>
      </c>
      <c r="L32">
        <v>29</v>
      </c>
      <c r="M32">
        <v>3.19</v>
      </c>
      <c r="N32">
        <v>6</v>
      </c>
      <c r="O32" t="s">
        <v>19</v>
      </c>
      <c r="P32" cm="1">
        <f t="array" ref="P32">_xlfn.SWITCH(Table2[[#This Row],[mood]], "Tired", 3, "Neutral", 2, "Happy", 1)</f>
        <v>2</v>
      </c>
    </row>
    <row r="33" spans="1:16" x14ac:dyDescent="0.3">
      <c r="A33">
        <v>1160</v>
      </c>
      <c r="B33" s="1">
        <v>42036</v>
      </c>
      <c r="C33">
        <v>19</v>
      </c>
      <c r="D33" t="s">
        <v>20</v>
      </c>
      <c r="E33">
        <v>176.9</v>
      </c>
      <c r="F33">
        <v>87</v>
      </c>
      <c r="G33">
        <v>11624</v>
      </c>
      <c r="H33">
        <v>605.9</v>
      </c>
      <c r="I33">
        <v>5.4</v>
      </c>
      <c r="J33">
        <v>64</v>
      </c>
      <c r="K33" t="s">
        <v>18</v>
      </c>
      <c r="L33">
        <v>82</v>
      </c>
      <c r="M33">
        <v>3.28</v>
      </c>
      <c r="N33">
        <v>1</v>
      </c>
      <c r="O33" t="s">
        <v>21</v>
      </c>
      <c r="P33" cm="1">
        <f t="array" ref="P33">_xlfn.SWITCH(Table2[[#This Row],[mood]], "Tired", 3, "Neutral", 2, "Happy", 1)</f>
        <v>1</v>
      </c>
    </row>
    <row r="34" spans="1:16" x14ac:dyDescent="0.3">
      <c r="A34">
        <v>1459</v>
      </c>
      <c r="B34" s="1">
        <v>42037</v>
      </c>
      <c r="C34">
        <v>47</v>
      </c>
      <c r="D34" t="s">
        <v>15</v>
      </c>
      <c r="E34">
        <v>174.9</v>
      </c>
      <c r="F34">
        <v>64.3</v>
      </c>
      <c r="G34">
        <v>7090</v>
      </c>
      <c r="H34">
        <v>394.1</v>
      </c>
      <c r="I34">
        <v>9.6999999999999993</v>
      </c>
      <c r="J34">
        <v>64</v>
      </c>
      <c r="K34" t="s">
        <v>18</v>
      </c>
      <c r="L34">
        <v>62</v>
      </c>
      <c r="M34">
        <v>2.62</v>
      </c>
      <c r="N34">
        <v>10</v>
      </c>
      <c r="O34" t="s">
        <v>21</v>
      </c>
      <c r="P34" cm="1">
        <f t="array" ref="P34">_xlfn.SWITCH(Table2[[#This Row],[mood]], "Tired", 3, "Neutral", 2, "Happy", 1)</f>
        <v>1</v>
      </c>
    </row>
    <row r="35" spans="1:16" x14ac:dyDescent="0.3">
      <c r="A35">
        <v>1313</v>
      </c>
      <c r="B35" s="1">
        <v>42038</v>
      </c>
      <c r="C35">
        <v>37</v>
      </c>
      <c r="D35" t="s">
        <v>15</v>
      </c>
      <c r="E35">
        <v>166.7</v>
      </c>
      <c r="F35">
        <v>74.5</v>
      </c>
      <c r="G35">
        <v>12377</v>
      </c>
      <c r="H35">
        <v>758.3</v>
      </c>
      <c r="I35">
        <v>6.3</v>
      </c>
      <c r="J35">
        <v>62</v>
      </c>
      <c r="K35" t="s">
        <v>24</v>
      </c>
      <c r="L35">
        <v>70</v>
      </c>
      <c r="M35">
        <v>3.18</v>
      </c>
      <c r="N35">
        <v>5</v>
      </c>
      <c r="O35" t="s">
        <v>21</v>
      </c>
      <c r="P35" cm="1">
        <f t="array" ref="P35">_xlfn.SWITCH(Table2[[#This Row],[mood]], "Tired", 3, "Neutral", 2, "Happy", 1)</f>
        <v>1</v>
      </c>
    </row>
    <row r="36" spans="1:16" x14ac:dyDescent="0.3">
      <c r="A36">
        <v>1021</v>
      </c>
      <c r="B36" s="1">
        <v>42039</v>
      </c>
      <c r="C36">
        <v>55</v>
      </c>
      <c r="D36" t="s">
        <v>15</v>
      </c>
      <c r="E36">
        <v>186.2</v>
      </c>
      <c r="F36">
        <v>45</v>
      </c>
      <c r="G36">
        <v>18495</v>
      </c>
      <c r="H36">
        <v>900</v>
      </c>
      <c r="I36">
        <v>8.3000000000000007</v>
      </c>
      <c r="J36">
        <v>77</v>
      </c>
      <c r="K36" t="s">
        <v>23</v>
      </c>
      <c r="L36">
        <v>22</v>
      </c>
      <c r="M36">
        <v>3.84</v>
      </c>
      <c r="N36">
        <v>10</v>
      </c>
      <c r="O36" t="s">
        <v>17</v>
      </c>
      <c r="P36" cm="1">
        <f t="array" ref="P36">_xlfn.SWITCH(Table2[[#This Row],[mood]], "Tired", 3, "Neutral", 2, "Happy", 1)</f>
        <v>3</v>
      </c>
    </row>
    <row r="37" spans="1:16" x14ac:dyDescent="0.3">
      <c r="A37">
        <v>1252</v>
      </c>
      <c r="B37" s="1">
        <v>42040</v>
      </c>
      <c r="C37">
        <v>45</v>
      </c>
      <c r="D37" t="s">
        <v>15</v>
      </c>
      <c r="E37">
        <v>163.80000000000001</v>
      </c>
      <c r="F37">
        <v>85</v>
      </c>
      <c r="G37">
        <v>15870</v>
      </c>
      <c r="H37">
        <v>791.5</v>
      </c>
      <c r="I37">
        <v>6.3</v>
      </c>
      <c r="J37">
        <v>65</v>
      </c>
      <c r="K37" t="s">
        <v>18</v>
      </c>
      <c r="L37">
        <v>85</v>
      </c>
      <c r="M37">
        <v>3.33</v>
      </c>
      <c r="N37">
        <v>2</v>
      </c>
      <c r="O37" t="s">
        <v>17</v>
      </c>
      <c r="P37" cm="1">
        <f t="array" ref="P37">_xlfn.SWITCH(Table2[[#This Row],[mood]], "Tired", 3, "Neutral", 2, "Happy", 1)</f>
        <v>3</v>
      </c>
    </row>
    <row r="38" spans="1:16" x14ac:dyDescent="0.3">
      <c r="A38">
        <v>1747</v>
      </c>
      <c r="B38" s="1">
        <v>42041</v>
      </c>
      <c r="C38">
        <v>42</v>
      </c>
      <c r="D38" t="s">
        <v>20</v>
      </c>
      <c r="E38">
        <v>168.3</v>
      </c>
      <c r="F38">
        <v>78.8</v>
      </c>
      <c r="G38">
        <v>3103</v>
      </c>
      <c r="H38">
        <v>288.10000000000002</v>
      </c>
      <c r="I38">
        <v>8</v>
      </c>
      <c r="J38">
        <v>88</v>
      </c>
      <c r="K38" t="s">
        <v>23</v>
      </c>
      <c r="L38">
        <v>54</v>
      </c>
      <c r="M38">
        <v>3.15</v>
      </c>
      <c r="N38">
        <v>1</v>
      </c>
      <c r="O38" t="s">
        <v>17</v>
      </c>
      <c r="P38" cm="1">
        <f t="array" ref="P38">_xlfn.SWITCH(Table2[[#This Row],[mood]], "Tired", 3, "Neutral", 2, "Happy", 1)</f>
        <v>3</v>
      </c>
    </row>
    <row r="39" spans="1:16" x14ac:dyDescent="0.3">
      <c r="A39">
        <v>1856</v>
      </c>
      <c r="B39" s="1">
        <v>42042</v>
      </c>
      <c r="C39">
        <v>49</v>
      </c>
      <c r="D39" t="s">
        <v>15</v>
      </c>
      <c r="E39">
        <v>177.7</v>
      </c>
      <c r="F39">
        <v>49.8</v>
      </c>
      <c r="G39">
        <v>6125</v>
      </c>
      <c r="H39">
        <v>509.9</v>
      </c>
      <c r="I39">
        <v>7.1</v>
      </c>
      <c r="J39">
        <v>63</v>
      </c>
      <c r="K39" t="s">
        <v>18</v>
      </c>
      <c r="L39">
        <v>88</v>
      </c>
      <c r="M39">
        <v>1.94</v>
      </c>
      <c r="N39">
        <v>5</v>
      </c>
      <c r="O39" t="s">
        <v>19</v>
      </c>
      <c r="P39" cm="1">
        <f t="array" ref="P39">_xlfn.SWITCH(Table2[[#This Row],[mood]], "Tired", 3, "Neutral", 2, "Happy", 1)</f>
        <v>2</v>
      </c>
    </row>
    <row r="40" spans="1:16" x14ac:dyDescent="0.3">
      <c r="A40">
        <v>1560</v>
      </c>
      <c r="B40" s="1">
        <v>42043</v>
      </c>
      <c r="C40">
        <v>27</v>
      </c>
      <c r="D40" t="s">
        <v>15</v>
      </c>
      <c r="E40">
        <v>170.8</v>
      </c>
      <c r="F40">
        <v>73.900000000000006</v>
      </c>
      <c r="G40">
        <v>7590</v>
      </c>
      <c r="H40">
        <v>527.20000000000005</v>
      </c>
      <c r="I40">
        <v>7</v>
      </c>
      <c r="J40">
        <v>80</v>
      </c>
      <c r="K40" t="s">
        <v>24</v>
      </c>
      <c r="L40">
        <v>55</v>
      </c>
      <c r="M40">
        <v>3.17</v>
      </c>
      <c r="N40">
        <v>5</v>
      </c>
      <c r="O40" t="s">
        <v>17</v>
      </c>
      <c r="P40" cm="1">
        <f t="array" ref="P40">_xlfn.SWITCH(Table2[[#This Row],[mood]], "Tired", 3, "Neutral", 2, "Happy", 1)</f>
        <v>3</v>
      </c>
    </row>
    <row r="41" spans="1:16" x14ac:dyDescent="0.3">
      <c r="A41">
        <v>1474</v>
      </c>
      <c r="B41" s="1">
        <v>42044</v>
      </c>
      <c r="C41">
        <v>59</v>
      </c>
      <c r="D41" t="s">
        <v>20</v>
      </c>
      <c r="E41">
        <v>156.19999999999999</v>
      </c>
      <c r="F41">
        <v>70.099999999999994</v>
      </c>
      <c r="G41">
        <v>11212</v>
      </c>
      <c r="H41">
        <v>703.3</v>
      </c>
      <c r="I41">
        <v>5.8</v>
      </c>
      <c r="J41">
        <v>90</v>
      </c>
      <c r="K41" t="s">
        <v>16</v>
      </c>
      <c r="L41">
        <v>0</v>
      </c>
      <c r="M41">
        <v>2.82</v>
      </c>
      <c r="N41">
        <v>1</v>
      </c>
      <c r="O41" t="s">
        <v>19</v>
      </c>
      <c r="P41" cm="1">
        <f t="array" ref="P41">_xlfn.SWITCH(Table2[[#This Row],[mood]], "Tired", 3, "Neutral", 2, "Happy", 1)</f>
        <v>2</v>
      </c>
    </row>
    <row r="42" spans="1:16" x14ac:dyDescent="0.3">
      <c r="A42">
        <v>1058</v>
      </c>
      <c r="B42" s="1">
        <v>42045</v>
      </c>
      <c r="C42">
        <v>57</v>
      </c>
      <c r="D42" t="s">
        <v>20</v>
      </c>
      <c r="E42">
        <v>171.8</v>
      </c>
      <c r="F42">
        <v>63.2</v>
      </c>
      <c r="G42">
        <v>10600</v>
      </c>
      <c r="H42">
        <v>636.29999999999995</v>
      </c>
      <c r="I42">
        <v>7.8</v>
      </c>
      <c r="J42">
        <v>76</v>
      </c>
      <c r="K42" t="s">
        <v>18</v>
      </c>
      <c r="L42">
        <v>20</v>
      </c>
      <c r="M42">
        <v>2.96</v>
      </c>
      <c r="N42">
        <v>7</v>
      </c>
      <c r="O42" t="s">
        <v>17</v>
      </c>
      <c r="P42" cm="1">
        <f t="array" ref="P42">_xlfn.SWITCH(Table2[[#This Row],[mood]], "Tired", 3, "Neutral", 2, "Happy", 1)</f>
        <v>3</v>
      </c>
    </row>
    <row r="43" spans="1:16" x14ac:dyDescent="0.3">
      <c r="A43">
        <v>1510</v>
      </c>
      <c r="B43" s="1">
        <v>42046</v>
      </c>
      <c r="C43">
        <v>50</v>
      </c>
      <c r="D43" t="s">
        <v>15</v>
      </c>
      <c r="E43">
        <v>165.9</v>
      </c>
      <c r="F43">
        <v>45</v>
      </c>
      <c r="G43">
        <v>3921</v>
      </c>
      <c r="H43">
        <v>315</v>
      </c>
      <c r="I43">
        <v>9.1</v>
      </c>
      <c r="J43">
        <v>57</v>
      </c>
      <c r="K43" t="s">
        <v>22</v>
      </c>
      <c r="L43">
        <v>61</v>
      </c>
      <c r="M43">
        <v>3.38</v>
      </c>
      <c r="N43">
        <v>3</v>
      </c>
      <c r="O43" t="s">
        <v>17</v>
      </c>
      <c r="P43" cm="1">
        <f t="array" ref="P43">_xlfn.SWITCH(Table2[[#This Row],[mood]], "Tired", 3, "Neutral", 2, "Happy", 1)</f>
        <v>3</v>
      </c>
    </row>
    <row r="44" spans="1:16" x14ac:dyDescent="0.3">
      <c r="A44">
        <v>1681</v>
      </c>
      <c r="B44" s="1">
        <v>42047</v>
      </c>
      <c r="C44">
        <v>30</v>
      </c>
      <c r="D44" t="s">
        <v>15</v>
      </c>
      <c r="E44">
        <v>178.6</v>
      </c>
      <c r="F44">
        <v>60.1</v>
      </c>
      <c r="G44">
        <v>5734</v>
      </c>
      <c r="H44">
        <v>518.70000000000005</v>
      </c>
      <c r="I44">
        <v>5.4</v>
      </c>
      <c r="J44">
        <v>79</v>
      </c>
      <c r="K44" t="s">
        <v>25</v>
      </c>
      <c r="L44">
        <v>60</v>
      </c>
      <c r="M44">
        <v>2.75</v>
      </c>
      <c r="N44">
        <v>6</v>
      </c>
      <c r="O44" t="s">
        <v>19</v>
      </c>
      <c r="P44" cm="1">
        <f t="array" ref="P44">_xlfn.SWITCH(Table2[[#This Row],[mood]], "Tired", 3, "Neutral", 2, "Happy", 1)</f>
        <v>2</v>
      </c>
    </row>
    <row r="45" spans="1:16" x14ac:dyDescent="0.3">
      <c r="A45">
        <v>1475</v>
      </c>
      <c r="B45" s="1">
        <v>42048</v>
      </c>
      <c r="C45">
        <v>58</v>
      </c>
      <c r="D45" t="s">
        <v>15</v>
      </c>
      <c r="E45">
        <v>171.5</v>
      </c>
      <c r="F45">
        <v>74.5</v>
      </c>
      <c r="G45">
        <v>17037</v>
      </c>
      <c r="H45">
        <v>861.9</v>
      </c>
      <c r="I45">
        <v>5.8</v>
      </c>
      <c r="J45">
        <v>73</v>
      </c>
      <c r="K45" t="s">
        <v>18</v>
      </c>
      <c r="L45">
        <v>76</v>
      </c>
      <c r="M45">
        <v>2.4300000000000002</v>
      </c>
      <c r="N45">
        <v>2</v>
      </c>
      <c r="O45" t="s">
        <v>19</v>
      </c>
      <c r="P45" cm="1">
        <f t="array" ref="P45">_xlfn.SWITCH(Table2[[#This Row],[mood]], "Tired", 3, "Neutral", 2, "Happy", 1)</f>
        <v>2</v>
      </c>
    </row>
    <row r="46" spans="1:16" x14ac:dyDescent="0.3">
      <c r="A46">
        <v>1699</v>
      </c>
      <c r="B46" s="1">
        <v>42049</v>
      </c>
      <c r="C46">
        <v>59</v>
      </c>
      <c r="D46" t="s">
        <v>15</v>
      </c>
      <c r="E46">
        <v>170.9</v>
      </c>
      <c r="F46">
        <v>61.8</v>
      </c>
      <c r="G46">
        <v>1836</v>
      </c>
      <c r="H46">
        <v>313.7</v>
      </c>
      <c r="I46">
        <v>10</v>
      </c>
      <c r="J46">
        <v>75</v>
      </c>
      <c r="K46" t="s">
        <v>25</v>
      </c>
      <c r="L46">
        <v>39</v>
      </c>
      <c r="M46">
        <v>1.75</v>
      </c>
      <c r="N46">
        <v>9</v>
      </c>
      <c r="O46" t="s">
        <v>19</v>
      </c>
      <c r="P46" cm="1">
        <f t="array" ref="P46">_xlfn.SWITCH(Table2[[#This Row],[mood]], "Tired", 3, "Neutral", 2, "Happy", 1)</f>
        <v>2</v>
      </c>
    </row>
    <row r="47" spans="1:16" x14ac:dyDescent="0.3">
      <c r="A47">
        <v>1975</v>
      </c>
      <c r="B47" s="1">
        <v>42050</v>
      </c>
      <c r="C47">
        <v>54</v>
      </c>
      <c r="D47" t="s">
        <v>20</v>
      </c>
      <c r="E47">
        <v>159.5</v>
      </c>
      <c r="F47">
        <v>66.7</v>
      </c>
      <c r="G47">
        <v>13094</v>
      </c>
      <c r="H47">
        <v>778</v>
      </c>
      <c r="I47">
        <v>5.5</v>
      </c>
      <c r="J47">
        <v>91</v>
      </c>
      <c r="K47" t="s">
        <v>25</v>
      </c>
      <c r="L47">
        <v>33</v>
      </c>
      <c r="M47">
        <v>2.29</v>
      </c>
      <c r="N47">
        <v>2</v>
      </c>
      <c r="O47" t="s">
        <v>21</v>
      </c>
      <c r="P47" cm="1">
        <f t="array" ref="P47">_xlfn.SWITCH(Table2[[#This Row],[mood]], "Tired", 3, "Neutral", 2, "Happy", 1)</f>
        <v>1</v>
      </c>
    </row>
    <row r="48" spans="1:16" x14ac:dyDescent="0.3">
      <c r="A48">
        <v>1782</v>
      </c>
      <c r="B48" s="1">
        <v>42051</v>
      </c>
      <c r="C48">
        <v>33</v>
      </c>
      <c r="D48" t="s">
        <v>20</v>
      </c>
      <c r="E48">
        <v>167.7</v>
      </c>
      <c r="F48">
        <v>92.5</v>
      </c>
      <c r="G48">
        <v>10028</v>
      </c>
      <c r="H48">
        <v>601.4</v>
      </c>
      <c r="I48">
        <v>6.2</v>
      </c>
      <c r="J48">
        <v>76</v>
      </c>
      <c r="K48" t="s">
        <v>24</v>
      </c>
      <c r="L48">
        <v>71</v>
      </c>
      <c r="M48">
        <v>2.65</v>
      </c>
      <c r="N48">
        <v>2</v>
      </c>
      <c r="O48" t="s">
        <v>21</v>
      </c>
      <c r="P48" cm="1">
        <f t="array" ref="P48">_xlfn.SWITCH(Table2[[#This Row],[mood]], "Tired", 3, "Neutral", 2, "Happy", 1)</f>
        <v>1</v>
      </c>
    </row>
    <row r="49" spans="1:16" x14ac:dyDescent="0.3">
      <c r="A49">
        <v>1189</v>
      </c>
      <c r="B49" s="1">
        <v>42052</v>
      </c>
      <c r="C49">
        <v>39</v>
      </c>
      <c r="D49" t="s">
        <v>20</v>
      </c>
      <c r="E49">
        <v>179.7</v>
      </c>
      <c r="F49">
        <v>68.8</v>
      </c>
      <c r="G49">
        <v>11749</v>
      </c>
      <c r="H49">
        <v>614.29999999999995</v>
      </c>
      <c r="I49">
        <v>9.1</v>
      </c>
      <c r="J49">
        <v>80</v>
      </c>
      <c r="K49" t="s">
        <v>16</v>
      </c>
      <c r="L49">
        <v>0</v>
      </c>
      <c r="M49">
        <v>2.69</v>
      </c>
      <c r="N49">
        <v>1</v>
      </c>
      <c r="O49" t="s">
        <v>17</v>
      </c>
      <c r="P49" cm="1">
        <f t="array" ref="P49">_xlfn.SWITCH(Table2[[#This Row],[mood]], "Tired", 3, "Neutral", 2, "Happy", 1)</f>
        <v>3</v>
      </c>
    </row>
    <row r="50" spans="1:16" x14ac:dyDescent="0.3">
      <c r="A50">
        <v>1957</v>
      </c>
      <c r="B50" s="1">
        <v>42053</v>
      </c>
      <c r="C50">
        <v>37</v>
      </c>
      <c r="D50" t="s">
        <v>15</v>
      </c>
      <c r="E50">
        <v>162.19999999999999</v>
      </c>
      <c r="F50">
        <v>45</v>
      </c>
      <c r="G50">
        <v>16432</v>
      </c>
      <c r="H50">
        <v>823.4</v>
      </c>
      <c r="I50">
        <v>9.1</v>
      </c>
      <c r="J50">
        <v>68</v>
      </c>
      <c r="K50" t="s">
        <v>25</v>
      </c>
      <c r="L50">
        <v>68</v>
      </c>
      <c r="M50">
        <v>2.67</v>
      </c>
      <c r="N50">
        <v>1</v>
      </c>
      <c r="O50" t="s">
        <v>17</v>
      </c>
      <c r="P50" cm="1">
        <f t="array" ref="P50">_xlfn.SWITCH(Table2[[#This Row],[mood]], "Tired", 3, "Neutral", 2, "Happy", 1)</f>
        <v>3</v>
      </c>
    </row>
    <row r="51" spans="1:16" x14ac:dyDescent="0.3">
      <c r="A51">
        <v>1686</v>
      </c>
      <c r="B51" s="1">
        <v>42054</v>
      </c>
      <c r="C51">
        <v>44</v>
      </c>
      <c r="D51" t="s">
        <v>15</v>
      </c>
      <c r="E51">
        <v>169.7</v>
      </c>
      <c r="F51">
        <v>67.2</v>
      </c>
      <c r="G51">
        <v>12051</v>
      </c>
      <c r="H51">
        <v>715.9</v>
      </c>
      <c r="I51">
        <v>3.4</v>
      </c>
      <c r="J51">
        <v>72</v>
      </c>
      <c r="K51" t="s">
        <v>24</v>
      </c>
      <c r="L51">
        <v>49</v>
      </c>
      <c r="M51">
        <v>3.17</v>
      </c>
      <c r="N51">
        <v>4</v>
      </c>
      <c r="O51" t="s">
        <v>17</v>
      </c>
      <c r="P51" cm="1">
        <f t="array" ref="P51">_xlfn.SWITCH(Table2[[#This Row],[mood]], "Tired", 3, "Neutral", 2, "Happy", 1)</f>
        <v>3</v>
      </c>
    </row>
    <row r="52" spans="1:16" x14ac:dyDescent="0.3">
      <c r="A52">
        <v>1957</v>
      </c>
      <c r="B52" s="1">
        <v>42055</v>
      </c>
      <c r="C52">
        <v>58</v>
      </c>
      <c r="D52" t="s">
        <v>15</v>
      </c>
      <c r="E52">
        <v>160.6</v>
      </c>
      <c r="F52">
        <v>71.5</v>
      </c>
      <c r="G52">
        <v>16586</v>
      </c>
      <c r="H52">
        <v>890.1</v>
      </c>
      <c r="I52">
        <v>8.1</v>
      </c>
      <c r="J52">
        <v>86</v>
      </c>
      <c r="K52" t="s">
        <v>16</v>
      </c>
      <c r="L52">
        <v>0</v>
      </c>
      <c r="M52">
        <v>3.11</v>
      </c>
      <c r="N52">
        <v>7</v>
      </c>
      <c r="O52" t="s">
        <v>21</v>
      </c>
      <c r="P52" cm="1">
        <f t="array" ref="P52">_xlfn.SWITCH(Table2[[#This Row],[mood]], "Tired", 3, "Neutral", 2, "Happy", 1)</f>
        <v>1</v>
      </c>
    </row>
    <row r="53" spans="1:16" x14ac:dyDescent="0.3">
      <c r="A53">
        <v>1562</v>
      </c>
      <c r="B53" s="1">
        <v>42056</v>
      </c>
      <c r="C53">
        <v>33</v>
      </c>
      <c r="D53" t="s">
        <v>15</v>
      </c>
      <c r="E53">
        <v>158.19999999999999</v>
      </c>
      <c r="F53">
        <v>57.6</v>
      </c>
      <c r="G53">
        <v>6312</v>
      </c>
      <c r="H53">
        <v>517.5</v>
      </c>
      <c r="I53">
        <v>6.7</v>
      </c>
      <c r="J53">
        <v>76</v>
      </c>
      <c r="K53" t="s">
        <v>18</v>
      </c>
      <c r="L53">
        <v>31</v>
      </c>
      <c r="M53">
        <v>2.46</v>
      </c>
      <c r="N53">
        <v>4</v>
      </c>
      <c r="O53" t="s">
        <v>17</v>
      </c>
      <c r="P53" cm="1">
        <f t="array" ref="P53">_xlfn.SWITCH(Table2[[#This Row],[mood]], "Tired", 3, "Neutral", 2, "Happy", 1)</f>
        <v>3</v>
      </c>
    </row>
    <row r="54" spans="1:16" x14ac:dyDescent="0.3">
      <c r="A54">
        <v>1875</v>
      </c>
      <c r="B54" s="1">
        <v>42057</v>
      </c>
      <c r="C54">
        <v>51</v>
      </c>
      <c r="D54" t="s">
        <v>20</v>
      </c>
      <c r="E54">
        <v>169.2</v>
      </c>
      <c r="F54">
        <v>81</v>
      </c>
      <c r="G54">
        <v>4822</v>
      </c>
      <c r="H54">
        <v>449.8</v>
      </c>
      <c r="I54">
        <v>6.8</v>
      </c>
      <c r="J54">
        <v>78</v>
      </c>
      <c r="K54" t="s">
        <v>23</v>
      </c>
      <c r="L54">
        <v>50</v>
      </c>
      <c r="M54">
        <v>1.91</v>
      </c>
      <c r="N54">
        <v>5</v>
      </c>
      <c r="O54" t="s">
        <v>19</v>
      </c>
      <c r="P54" cm="1">
        <f t="array" ref="P54">_xlfn.SWITCH(Table2[[#This Row],[mood]], "Tired", 3, "Neutral", 2, "Happy", 1)</f>
        <v>2</v>
      </c>
    </row>
    <row r="55" spans="1:16" x14ac:dyDescent="0.3">
      <c r="A55">
        <v>1566</v>
      </c>
      <c r="B55" s="1">
        <v>42058</v>
      </c>
      <c r="C55">
        <v>49</v>
      </c>
      <c r="D55" t="s">
        <v>20</v>
      </c>
      <c r="E55">
        <v>171.7</v>
      </c>
      <c r="F55">
        <v>48.1</v>
      </c>
      <c r="G55">
        <v>12622</v>
      </c>
      <c r="H55">
        <v>657.2</v>
      </c>
      <c r="I55">
        <v>8.6999999999999993</v>
      </c>
      <c r="J55">
        <v>85</v>
      </c>
      <c r="K55" t="s">
        <v>24</v>
      </c>
      <c r="L55">
        <v>56</v>
      </c>
      <c r="M55">
        <v>2.77</v>
      </c>
      <c r="N55">
        <v>6</v>
      </c>
      <c r="O55" t="s">
        <v>19</v>
      </c>
      <c r="P55" cm="1">
        <f t="array" ref="P55">_xlfn.SWITCH(Table2[[#This Row],[mood]], "Tired", 3, "Neutral", 2, "Happy", 1)</f>
        <v>2</v>
      </c>
    </row>
    <row r="56" spans="1:16" x14ac:dyDescent="0.3">
      <c r="A56">
        <v>1243</v>
      </c>
      <c r="B56" s="1">
        <v>42059</v>
      </c>
      <c r="C56">
        <v>43</v>
      </c>
      <c r="D56" t="s">
        <v>15</v>
      </c>
      <c r="E56">
        <v>189.9</v>
      </c>
      <c r="F56">
        <v>67.900000000000006</v>
      </c>
      <c r="G56">
        <v>17099</v>
      </c>
      <c r="H56">
        <v>900</v>
      </c>
      <c r="I56">
        <v>6.5</v>
      </c>
      <c r="J56">
        <v>91</v>
      </c>
      <c r="K56" t="s">
        <v>25</v>
      </c>
      <c r="L56">
        <v>46</v>
      </c>
      <c r="M56">
        <v>4.07</v>
      </c>
      <c r="N56">
        <v>5</v>
      </c>
      <c r="O56" t="s">
        <v>21</v>
      </c>
      <c r="P56" cm="1">
        <f t="array" ref="P56">_xlfn.SWITCH(Table2[[#This Row],[mood]], "Tired", 3, "Neutral", 2, "Happy", 1)</f>
        <v>1</v>
      </c>
    </row>
    <row r="57" spans="1:16" x14ac:dyDescent="0.3">
      <c r="A57">
        <v>1831</v>
      </c>
      <c r="B57" s="1">
        <v>42060</v>
      </c>
      <c r="C57">
        <v>42</v>
      </c>
      <c r="D57" t="s">
        <v>20</v>
      </c>
      <c r="E57">
        <v>165.4</v>
      </c>
      <c r="F57">
        <v>47.9</v>
      </c>
      <c r="G57">
        <v>18188</v>
      </c>
      <c r="H57">
        <v>876.2</v>
      </c>
      <c r="I57">
        <v>6.2</v>
      </c>
      <c r="J57">
        <v>63</v>
      </c>
      <c r="K57" t="s">
        <v>25</v>
      </c>
      <c r="L57">
        <v>43</v>
      </c>
      <c r="M57">
        <v>2.72</v>
      </c>
      <c r="N57">
        <v>5</v>
      </c>
      <c r="O57" t="s">
        <v>19</v>
      </c>
      <c r="P57" cm="1">
        <f t="array" ref="P57">_xlfn.SWITCH(Table2[[#This Row],[mood]], "Tired", 3, "Neutral", 2, "Happy", 1)</f>
        <v>2</v>
      </c>
    </row>
    <row r="58" spans="1:16" x14ac:dyDescent="0.3">
      <c r="A58">
        <v>1504</v>
      </c>
      <c r="B58" s="1">
        <v>42061</v>
      </c>
      <c r="C58">
        <v>19</v>
      </c>
      <c r="D58" t="s">
        <v>15</v>
      </c>
      <c r="E58">
        <v>169.5</v>
      </c>
      <c r="F58">
        <v>65.599999999999994</v>
      </c>
      <c r="G58">
        <v>2075</v>
      </c>
      <c r="H58">
        <v>312.7</v>
      </c>
      <c r="I58">
        <v>6.5</v>
      </c>
      <c r="J58">
        <v>70</v>
      </c>
      <c r="K58" t="s">
        <v>18</v>
      </c>
      <c r="L58">
        <v>60</v>
      </c>
      <c r="M58">
        <v>2.29</v>
      </c>
      <c r="N58">
        <v>4</v>
      </c>
      <c r="O58" t="s">
        <v>19</v>
      </c>
      <c r="P58" cm="1">
        <f t="array" ref="P58">_xlfn.SWITCH(Table2[[#This Row],[mood]], "Tired", 3, "Neutral", 2, "Happy", 1)</f>
        <v>2</v>
      </c>
    </row>
    <row r="59" spans="1:16" x14ac:dyDescent="0.3">
      <c r="A59">
        <v>1130</v>
      </c>
      <c r="B59" s="1">
        <v>42062</v>
      </c>
      <c r="C59">
        <v>29</v>
      </c>
      <c r="D59" t="s">
        <v>15</v>
      </c>
      <c r="E59">
        <v>157.5</v>
      </c>
      <c r="F59">
        <v>80.599999999999994</v>
      </c>
      <c r="G59">
        <v>15063</v>
      </c>
      <c r="H59">
        <v>900</v>
      </c>
      <c r="I59">
        <v>6.5</v>
      </c>
      <c r="J59">
        <v>90</v>
      </c>
      <c r="K59" t="s">
        <v>24</v>
      </c>
      <c r="L59">
        <v>83</v>
      </c>
      <c r="M59">
        <v>2.88</v>
      </c>
      <c r="N59">
        <v>9</v>
      </c>
      <c r="O59" t="s">
        <v>17</v>
      </c>
      <c r="P59" cm="1">
        <f t="array" ref="P59">_xlfn.SWITCH(Table2[[#This Row],[mood]], "Tired", 3, "Neutral", 2, "Happy", 1)</f>
        <v>3</v>
      </c>
    </row>
    <row r="60" spans="1:16" x14ac:dyDescent="0.3">
      <c r="A60">
        <v>1484</v>
      </c>
      <c r="B60" s="1">
        <v>42063</v>
      </c>
      <c r="C60">
        <v>57</v>
      </c>
      <c r="D60" t="s">
        <v>20</v>
      </c>
      <c r="E60">
        <v>176.1</v>
      </c>
      <c r="F60">
        <v>67.599999999999994</v>
      </c>
      <c r="G60">
        <v>17383</v>
      </c>
      <c r="H60">
        <v>900</v>
      </c>
      <c r="I60">
        <v>7.5</v>
      </c>
      <c r="J60">
        <v>95</v>
      </c>
      <c r="K60" t="s">
        <v>18</v>
      </c>
      <c r="L60">
        <v>30</v>
      </c>
      <c r="M60">
        <v>2.92</v>
      </c>
      <c r="N60">
        <v>5</v>
      </c>
      <c r="O60" t="s">
        <v>19</v>
      </c>
      <c r="P60" cm="1">
        <f t="array" ref="P60">_xlfn.SWITCH(Table2[[#This Row],[mood]], "Tired", 3, "Neutral", 2, "Happy", 1)</f>
        <v>2</v>
      </c>
    </row>
    <row r="61" spans="1:16" x14ac:dyDescent="0.3">
      <c r="A61">
        <v>1818</v>
      </c>
      <c r="B61" s="1">
        <v>42064</v>
      </c>
      <c r="C61">
        <v>26</v>
      </c>
      <c r="D61" t="s">
        <v>15</v>
      </c>
      <c r="E61">
        <v>174</v>
      </c>
      <c r="F61">
        <v>66.7</v>
      </c>
      <c r="G61">
        <v>10605</v>
      </c>
      <c r="H61">
        <v>535.29999999999995</v>
      </c>
      <c r="I61">
        <v>9</v>
      </c>
      <c r="J61">
        <v>72</v>
      </c>
      <c r="K61" t="s">
        <v>24</v>
      </c>
      <c r="L61">
        <v>35</v>
      </c>
      <c r="M61">
        <v>2.91</v>
      </c>
      <c r="N61">
        <v>9</v>
      </c>
      <c r="O61" t="s">
        <v>19</v>
      </c>
      <c r="P61" cm="1">
        <f t="array" ref="P61">_xlfn.SWITCH(Table2[[#This Row],[mood]], "Tired", 3, "Neutral", 2, "Happy", 1)</f>
        <v>2</v>
      </c>
    </row>
    <row r="62" spans="1:16" x14ac:dyDescent="0.3">
      <c r="A62">
        <v>1646</v>
      </c>
      <c r="B62" s="1">
        <v>42065</v>
      </c>
      <c r="C62">
        <v>29</v>
      </c>
      <c r="D62" t="s">
        <v>15</v>
      </c>
      <c r="E62">
        <v>184.9</v>
      </c>
      <c r="F62">
        <v>70.400000000000006</v>
      </c>
      <c r="G62">
        <v>5452</v>
      </c>
      <c r="H62">
        <v>401.8</v>
      </c>
      <c r="I62">
        <v>7.6</v>
      </c>
      <c r="J62">
        <v>78</v>
      </c>
      <c r="K62" t="s">
        <v>23</v>
      </c>
      <c r="L62">
        <v>33</v>
      </c>
      <c r="M62">
        <v>3.46</v>
      </c>
      <c r="N62">
        <v>4</v>
      </c>
      <c r="O62" t="s">
        <v>21</v>
      </c>
      <c r="P62" cm="1">
        <f t="array" ref="P62">_xlfn.SWITCH(Table2[[#This Row],[mood]], "Tired", 3, "Neutral", 2, "Happy", 1)</f>
        <v>1</v>
      </c>
    </row>
    <row r="63" spans="1:16" x14ac:dyDescent="0.3">
      <c r="A63">
        <v>1020</v>
      </c>
      <c r="B63" s="1">
        <v>42066</v>
      </c>
      <c r="C63">
        <v>43</v>
      </c>
      <c r="D63" t="s">
        <v>20</v>
      </c>
      <c r="E63">
        <v>181.1</v>
      </c>
      <c r="F63">
        <v>71.2</v>
      </c>
      <c r="G63">
        <v>19047</v>
      </c>
      <c r="H63">
        <v>900</v>
      </c>
      <c r="I63">
        <v>7</v>
      </c>
      <c r="J63">
        <v>79</v>
      </c>
      <c r="K63" t="s">
        <v>22</v>
      </c>
      <c r="L63">
        <v>66</v>
      </c>
      <c r="M63">
        <v>2.77</v>
      </c>
      <c r="N63">
        <v>9</v>
      </c>
      <c r="O63" t="s">
        <v>19</v>
      </c>
      <c r="P63" cm="1">
        <f t="array" ref="P63">_xlfn.SWITCH(Table2[[#This Row],[mood]], "Tired", 3, "Neutral", 2, "Happy", 1)</f>
        <v>2</v>
      </c>
    </row>
    <row r="64" spans="1:16" x14ac:dyDescent="0.3">
      <c r="A64">
        <v>1840</v>
      </c>
      <c r="B64" s="1">
        <v>42067</v>
      </c>
      <c r="C64">
        <v>26</v>
      </c>
      <c r="D64" t="s">
        <v>15</v>
      </c>
      <c r="E64">
        <v>173.5</v>
      </c>
      <c r="F64">
        <v>80.400000000000006</v>
      </c>
      <c r="G64">
        <v>13298</v>
      </c>
      <c r="H64">
        <v>721.6</v>
      </c>
      <c r="I64">
        <v>7.8</v>
      </c>
      <c r="J64">
        <v>77</v>
      </c>
      <c r="K64" t="s">
        <v>18</v>
      </c>
      <c r="L64">
        <v>49</v>
      </c>
      <c r="M64">
        <v>3.43</v>
      </c>
      <c r="N64">
        <v>5</v>
      </c>
      <c r="O64" t="s">
        <v>19</v>
      </c>
      <c r="P64" cm="1">
        <f t="array" ref="P64">_xlfn.SWITCH(Table2[[#This Row],[mood]], "Tired", 3, "Neutral", 2, "Happy", 1)</f>
        <v>2</v>
      </c>
    </row>
    <row r="65" spans="1:16" x14ac:dyDescent="0.3">
      <c r="A65">
        <v>1166</v>
      </c>
      <c r="B65" s="1">
        <v>42068</v>
      </c>
      <c r="C65">
        <v>27</v>
      </c>
      <c r="D65" t="s">
        <v>15</v>
      </c>
      <c r="E65">
        <v>165.3</v>
      </c>
      <c r="F65">
        <v>80.5</v>
      </c>
      <c r="G65">
        <v>13368</v>
      </c>
      <c r="H65">
        <v>801.1</v>
      </c>
      <c r="I65">
        <v>8.1999999999999993</v>
      </c>
      <c r="J65">
        <v>77</v>
      </c>
      <c r="K65" t="s">
        <v>25</v>
      </c>
      <c r="L65">
        <v>43</v>
      </c>
      <c r="M65">
        <v>2.66</v>
      </c>
      <c r="N65">
        <v>8</v>
      </c>
      <c r="O65" t="s">
        <v>17</v>
      </c>
      <c r="P65" cm="1">
        <f t="array" ref="P65">_xlfn.SWITCH(Table2[[#This Row],[mood]], "Tired", 3, "Neutral", 2, "Happy", 1)</f>
        <v>3</v>
      </c>
    </row>
    <row r="66" spans="1:16" x14ac:dyDescent="0.3">
      <c r="A66">
        <v>1273</v>
      </c>
      <c r="B66" s="1">
        <v>42069</v>
      </c>
      <c r="C66">
        <v>49</v>
      </c>
      <c r="D66" t="s">
        <v>20</v>
      </c>
      <c r="E66">
        <v>172</v>
      </c>
      <c r="F66">
        <v>91.3</v>
      </c>
      <c r="G66">
        <v>8428</v>
      </c>
      <c r="H66">
        <v>489.3</v>
      </c>
      <c r="I66">
        <v>7.9</v>
      </c>
      <c r="J66">
        <v>89</v>
      </c>
      <c r="K66" t="s">
        <v>18</v>
      </c>
      <c r="L66">
        <v>32</v>
      </c>
      <c r="M66">
        <v>3.56</v>
      </c>
      <c r="N66">
        <v>1</v>
      </c>
      <c r="O66" t="s">
        <v>17</v>
      </c>
      <c r="P66" cm="1">
        <f t="array" ref="P66">_xlfn.SWITCH(Table2[[#This Row],[mood]], "Tired", 3, "Neutral", 2, "Happy", 1)</f>
        <v>3</v>
      </c>
    </row>
    <row r="67" spans="1:16" x14ac:dyDescent="0.3">
      <c r="A67">
        <v>1387</v>
      </c>
      <c r="B67" s="1">
        <v>42070</v>
      </c>
      <c r="C67">
        <v>51</v>
      </c>
      <c r="D67" t="s">
        <v>15</v>
      </c>
      <c r="E67">
        <v>168.9</v>
      </c>
      <c r="F67">
        <v>72.5</v>
      </c>
      <c r="G67">
        <v>19437</v>
      </c>
      <c r="H67">
        <v>900</v>
      </c>
      <c r="I67">
        <v>6</v>
      </c>
      <c r="J67">
        <v>57</v>
      </c>
      <c r="K67" t="s">
        <v>24</v>
      </c>
      <c r="L67">
        <v>28</v>
      </c>
      <c r="M67">
        <v>3.34</v>
      </c>
      <c r="N67">
        <v>4</v>
      </c>
      <c r="O67" t="s">
        <v>17</v>
      </c>
      <c r="P67" cm="1">
        <f t="array" ref="P67">_xlfn.SWITCH(Table2[[#This Row],[mood]], "Tired", 3, "Neutral", 2, "Happy", 1)</f>
        <v>3</v>
      </c>
    </row>
    <row r="68" spans="1:16" x14ac:dyDescent="0.3">
      <c r="A68">
        <v>1600</v>
      </c>
      <c r="B68" s="1">
        <v>42071</v>
      </c>
      <c r="C68">
        <v>37</v>
      </c>
      <c r="D68" t="s">
        <v>20</v>
      </c>
      <c r="E68">
        <v>179.5</v>
      </c>
      <c r="F68">
        <v>45.1</v>
      </c>
      <c r="G68">
        <v>16817</v>
      </c>
      <c r="H68">
        <v>861.9</v>
      </c>
      <c r="I68">
        <v>7.6</v>
      </c>
      <c r="J68">
        <v>68</v>
      </c>
      <c r="K68" t="s">
        <v>18</v>
      </c>
      <c r="L68">
        <v>68</v>
      </c>
      <c r="M68">
        <v>3.15</v>
      </c>
      <c r="N68">
        <v>4</v>
      </c>
      <c r="O68" t="s">
        <v>21</v>
      </c>
      <c r="P68" cm="1">
        <f t="array" ref="P68">_xlfn.SWITCH(Table2[[#This Row],[mood]], "Tired", 3, "Neutral", 2, "Happy", 1)</f>
        <v>1</v>
      </c>
    </row>
    <row r="69" spans="1:16" x14ac:dyDescent="0.3">
      <c r="A69">
        <v>1315</v>
      </c>
      <c r="B69" s="1">
        <v>42072</v>
      </c>
      <c r="C69">
        <v>56</v>
      </c>
      <c r="D69" t="s">
        <v>15</v>
      </c>
      <c r="E69">
        <v>178.3</v>
      </c>
      <c r="F69">
        <v>82.9</v>
      </c>
      <c r="G69">
        <v>3420</v>
      </c>
      <c r="H69">
        <v>434.3</v>
      </c>
      <c r="I69">
        <v>3.8</v>
      </c>
      <c r="J69">
        <v>81</v>
      </c>
      <c r="K69" t="s">
        <v>23</v>
      </c>
      <c r="L69">
        <v>45</v>
      </c>
      <c r="M69">
        <v>3.05</v>
      </c>
      <c r="N69">
        <v>2</v>
      </c>
      <c r="O69" t="s">
        <v>17</v>
      </c>
      <c r="P69" cm="1">
        <f t="array" ref="P69">_xlfn.SWITCH(Table2[[#This Row],[mood]], "Tired", 3, "Neutral", 2, "Happy", 1)</f>
        <v>3</v>
      </c>
    </row>
    <row r="70" spans="1:16" x14ac:dyDescent="0.3">
      <c r="A70">
        <v>1013</v>
      </c>
      <c r="B70" s="1">
        <v>42073</v>
      </c>
      <c r="C70">
        <v>19</v>
      </c>
      <c r="D70" t="s">
        <v>20</v>
      </c>
      <c r="E70">
        <v>167</v>
      </c>
      <c r="F70">
        <v>90.2</v>
      </c>
      <c r="G70">
        <v>19912</v>
      </c>
      <c r="H70">
        <v>900</v>
      </c>
      <c r="I70">
        <v>9.3000000000000007</v>
      </c>
      <c r="J70">
        <v>70</v>
      </c>
      <c r="K70" t="s">
        <v>24</v>
      </c>
      <c r="L70">
        <v>68</v>
      </c>
      <c r="M70">
        <v>4.1100000000000003</v>
      </c>
      <c r="N70">
        <v>3</v>
      </c>
      <c r="O70" t="s">
        <v>19</v>
      </c>
      <c r="P70" cm="1">
        <f t="array" ref="P70">_xlfn.SWITCH(Table2[[#This Row],[mood]], "Tired", 3, "Neutral", 2, "Happy", 1)</f>
        <v>2</v>
      </c>
    </row>
    <row r="71" spans="1:16" x14ac:dyDescent="0.3">
      <c r="A71">
        <v>1241</v>
      </c>
      <c r="B71" s="1">
        <v>42074</v>
      </c>
      <c r="C71">
        <v>18</v>
      </c>
      <c r="D71" t="s">
        <v>20</v>
      </c>
      <c r="E71">
        <v>155.4</v>
      </c>
      <c r="F71">
        <v>106.9</v>
      </c>
      <c r="G71">
        <v>5317</v>
      </c>
      <c r="H71">
        <v>318.39999999999998</v>
      </c>
      <c r="I71">
        <v>9.3000000000000007</v>
      </c>
      <c r="J71">
        <v>78</v>
      </c>
      <c r="K71" t="s">
        <v>16</v>
      </c>
      <c r="L71">
        <v>0</v>
      </c>
      <c r="M71">
        <v>3.25</v>
      </c>
      <c r="N71">
        <v>8</v>
      </c>
      <c r="O71" t="s">
        <v>21</v>
      </c>
      <c r="P71" cm="1">
        <f t="array" ref="P71">_xlfn.SWITCH(Table2[[#This Row],[mood]], "Tired", 3, "Neutral", 2, "Happy", 1)</f>
        <v>1</v>
      </c>
    </row>
    <row r="72" spans="1:16" x14ac:dyDescent="0.3">
      <c r="A72">
        <v>1776</v>
      </c>
      <c r="B72" s="1">
        <v>42075</v>
      </c>
      <c r="C72">
        <v>53</v>
      </c>
      <c r="D72" t="s">
        <v>20</v>
      </c>
      <c r="E72">
        <v>183.3</v>
      </c>
      <c r="F72">
        <v>91.8</v>
      </c>
      <c r="G72">
        <v>9412</v>
      </c>
      <c r="H72">
        <v>695.6</v>
      </c>
      <c r="I72">
        <v>8.3000000000000007</v>
      </c>
      <c r="J72">
        <v>86</v>
      </c>
      <c r="K72" t="s">
        <v>25</v>
      </c>
      <c r="L72">
        <v>64</v>
      </c>
      <c r="M72">
        <v>1.91</v>
      </c>
      <c r="N72">
        <v>8</v>
      </c>
      <c r="O72" t="s">
        <v>19</v>
      </c>
      <c r="P72" cm="1">
        <f t="array" ref="P72">_xlfn.SWITCH(Table2[[#This Row],[mood]], "Tired", 3, "Neutral", 2, "Happy", 1)</f>
        <v>2</v>
      </c>
    </row>
    <row r="73" spans="1:16" x14ac:dyDescent="0.3">
      <c r="A73">
        <v>1345</v>
      </c>
      <c r="B73" s="1">
        <v>42076</v>
      </c>
      <c r="C73">
        <v>41</v>
      </c>
      <c r="D73" t="s">
        <v>15</v>
      </c>
      <c r="E73">
        <v>175.8</v>
      </c>
      <c r="F73">
        <v>62.6</v>
      </c>
      <c r="G73">
        <v>17321</v>
      </c>
      <c r="H73">
        <v>900</v>
      </c>
      <c r="I73">
        <v>8.9</v>
      </c>
      <c r="J73">
        <v>91</v>
      </c>
      <c r="K73" t="s">
        <v>25</v>
      </c>
      <c r="L73">
        <v>40</v>
      </c>
      <c r="M73">
        <v>2.67</v>
      </c>
      <c r="N73">
        <v>1</v>
      </c>
      <c r="O73" t="s">
        <v>19</v>
      </c>
      <c r="P73" cm="1">
        <f t="array" ref="P73">_xlfn.SWITCH(Table2[[#This Row],[mood]], "Tired", 3, "Neutral", 2, "Happy", 1)</f>
        <v>2</v>
      </c>
    </row>
    <row r="74" spans="1:16" x14ac:dyDescent="0.3">
      <c r="A74">
        <v>1564</v>
      </c>
      <c r="B74" s="1">
        <v>42077</v>
      </c>
      <c r="C74">
        <v>44</v>
      </c>
      <c r="D74" t="s">
        <v>20</v>
      </c>
      <c r="E74">
        <v>166.8</v>
      </c>
      <c r="F74">
        <v>72.8</v>
      </c>
      <c r="G74">
        <v>1227</v>
      </c>
      <c r="H74">
        <v>281.8</v>
      </c>
      <c r="I74">
        <v>6.9</v>
      </c>
      <c r="J74">
        <v>78</v>
      </c>
      <c r="K74" t="s">
        <v>24</v>
      </c>
      <c r="L74">
        <v>48</v>
      </c>
      <c r="M74">
        <v>2.31</v>
      </c>
      <c r="N74">
        <v>2</v>
      </c>
      <c r="O74" t="s">
        <v>17</v>
      </c>
      <c r="P74" cm="1">
        <f t="array" ref="P74">_xlfn.SWITCH(Table2[[#This Row],[mood]], "Tired", 3, "Neutral", 2, "Happy", 1)</f>
        <v>3</v>
      </c>
    </row>
    <row r="75" spans="1:16" x14ac:dyDescent="0.3">
      <c r="A75">
        <v>1897</v>
      </c>
      <c r="B75" s="1">
        <v>42078</v>
      </c>
      <c r="C75">
        <v>19</v>
      </c>
      <c r="D75" t="s">
        <v>20</v>
      </c>
      <c r="E75">
        <v>175.4</v>
      </c>
      <c r="F75">
        <v>65.900000000000006</v>
      </c>
      <c r="G75">
        <v>19721</v>
      </c>
      <c r="H75">
        <v>900</v>
      </c>
      <c r="I75">
        <v>5.9</v>
      </c>
      <c r="J75">
        <v>90</v>
      </c>
      <c r="K75" t="s">
        <v>16</v>
      </c>
      <c r="L75">
        <v>0</v>
      </c>
      <c r="M75">
        <v>3.95</v>
      </c>
      <c r="N75">
        <v>4</v>
      </c>
      <c r="O75" t="s">
        <v>21</v>
      </c>
      <c r="P75" cm="1">
        <f t="array" ref="P75">_xlfn.SWITCH(Table2[[#This Row],[mood]], "Tired", 3, "Neutral", 2, "Happy", 1)</f>
        <v>1</v>
      </c>
    </row>
    <row r="76" spans="1:16" x14ac:dyDescent="0.3">
      <c r="A76">
        <v>1339</v>
      </c>
      <c r="B76" s="1">
        <v>42079</v>
      </c>
      <c r="C76">
        <v>48</v>
      </c>
      <c r="D76" t="s">
        <v>20</v>
      </c>
      <c r="E76">
        <v>170.7</v>
      </c>
      <c r="F76">
        <v>63.9</v>
      </c>
      <c r="G76">
        <v>12456</v>
      </c>
      <c r="H76">
        <v>711.1</v>
      </c>
      <c r="I76">
        <v>5.0999999999999996</v>
      </c>
      <c r="J76">
        <v>76</v>
      </c>
      <c r="K76" t="s">
        <v>23</v>
      </c>
      <c r="L76">
        <v>61</v>
      </c>
      <c r="M76">
        <v>3.38</v>
      </c>
      <c r="N76">
        <v>6</v>
      </c>
      <c r="O76" t="s">
        <v>21</v>
      </c>
      <c r="P76" cm="1">
        <f t="array" ref="P76">_xlfn.SWITCH(Table2[[#This Row],[mood]], "Tired", 3, "Neutral", 2, "Happy", 1)</f>
        <v>1</v>
      </c>
    </row>
    <row r="77" spans="1:16" x14ac:dyDescent="0.3">
      <c r="A77">
        <v>1091</v>
      </c>
      <c r="B77" s="1">
        <v>42080</v>
      </c>
      <c r="C77">
        <v>31</v>
      </c>
      <c r="D77" t="s">
        <v>20</v>
      </c>
      <c r="E77">
        <v>183.2</v>
      </c>
      <c r="F77">
        <v>68.3</v>
      </c>
      <c r="G77">
        <v>1955</v>
      </c>
      <c r="H77">
        <v>279.2</v>
      </c>
      <c r="I77">
        <v>8.5</v>
      </c>
      <c r="J77">
        <v>72</v>
      </c>
      <c r="K77" t="s">
        <v>18</v>
      </c>
      <c r="L77">
        <v>60</v>
      </c>
      <c r="M77">
        <v>3.92</v>
      </c>
      <c r="N77">
        <v>3</v>
      </c>
      <c r="O77" t="s">
        <v>17</v>
      </c>
      <c r="P77" cm="1">
        <f t="array" ref="P77">_xlfn.SWITCH(Table2[[#This Row],[mood]], "Tired", 3, "Neutral", 2, "Happy", 1)</f>
        <v>3</v>
      </c>
    </row>
    <row r="78" spans="1:16" x14ac:dyDescent="0.3">
      <c r="A78">
        <v>1366</v>
      </c>
      <c r="B78" s="1">
        <v>42081</v>
      </c>
      <c r="C78">
        <v>19</v>
      </c>
      <c r="D78" t="s">
        <v>20</v>
      </c>
      <c r="E78">
        <v>150.69999999999999</v>
      </c>
      <c r="F78">
        <v>89.3</v>
      </c>
      <c r="G78">
        <v>18881</v>
      </c>
      <c r="H78">
        <v>900</v>
      </c>
      <c r="I78">
        <v>5.9</v>
      </c>
      <c r="J78">
        <v>60</v>
      </c>
      <c r="K78" t="s">
        <v>22</v>
      </c>
      <c r="L78">
        <v>67</v>
      </c>
      <c r="M78">
        <v>1.97</v>
      </c>
      <c r="N78">
        <v>7</v>
      </c>
      <c r="O78" t="s">
        <v>21</v>
      </c>
      <c r="P78" cm="1">
        <f t="array" ref="P78">_xlfn.SWITCH(Table2[[#This Row],[mood]], "Tired", 3, "Neutral", 2, "Happy", 1)</f>
        <v>1</v>
      </c>
    </row>
    <row r="79" spans="1:16" x14ac:dyDescent="0.3">
      <c r="A79">
        <v>1955</v>
      </c>
      <c r="B79" s="1">
        <v>42082</v>
      </c>
      <c r="C79">
        <v>46</v>
      </c>
      <c r="D79" t="s">
        <v>15</v>
      </c>
      <c r="E79">
        <v>166</v>
      </c>
      <c r="F79">
        <v>46.2</v>
      </c>
      <c r="G79">
        <v>10472</v>
      </c>
      <c r="H79">
        <v>652.29999999999995</v>
      </c>
      <c r="I79">
        <v>6.4</v>
      </c>
      <c r="J79">
        <v>65</v>
      </c>
      <c r="K79" t="s">
        <v>25</v>
      </c>
      <c r="L79">
        <v>62</v>
      </c>
      <c r="M79">
        <v>3.27</v>
      </c>
      <c r="N79">
        <v>3</v>
      </c>
      <c r="O79" t="s">
        <v>19</v>
      </c>
      <c r="P79" cm="1">
        <f t="array" ref="P79">_xlfn.SWITCH(Table2[[#This Row],[mood]], "Tired", 3, "Neutral", 2, "Happy", 1)</f>
        <v>2</v>
      </c>
    </row>
    <row r="80" spans="1:16" x14ac:dyDescent="0.3">
      <c r="A80">
        <v>1454</v>
      </c>
      <c r="B80" s="1">
        <v>42083</v>
      </c>
      <c r="C80">
        <v>32</v>
      </c>
      <c r="D80" t="s">
        <v>15</v>
      </c>
      <c r="E80">
        <v>186</v>
      </c>
      <c r="F80">
        <v>55</v>
      </c>
      <c r="G80">
        <v>2978</v>
      </c>
      <c r="H80">
        <v>233.8</v>
      </c>
      <c r="I80">
        <v>7.3</v>
      </c>
      <c r="J80">
        <v>75</v>
      </c>
      <c r="K80" t="s">
        <v>23</v>
      </c>
      <c r="L80">
        <v>27</v>
      </c>
      <c r="M80">
        <v>1.54</v>
      </c>
      <c r="N80">
        <v>8</v>
      </c>
      <c r="O80" t="s">
        <v>21</v>
      </c>
      <c r="P80" cm="1">
        <f t="array" ref="P80">_xlfn.SWITCH(Table2[[#This Row],[mood]], "Tired", 3, "Neutral", 2, "Happy", 1)</f>
        <v>1</v>
      </c>
    </row>
    <row r="81" spans="1:16" x14ac:dyDescent="0.3">
      <c r="A81">
        <v>1427</v>
      </c>
      <c r="B81" s="1">
        <v>42084</v>
      </c>
      <c r="C81">
        <v>29</v>
      </c>
      <c r="D81" t="s">
        <v>15</v>
      </c>
      <c r="E81">
        <v>175.6</v>
      </c>
      <c r="F81">
        <v>88.3</v>
      </c>
      <c r="G81">
        <v>18913</v>
      </c>
      <c r="H81">
        <v>900</v>
      </c>
      <c r="I81">
        <v>6.9</v>
      </c>
      <c r="J81">
        <v>75</v>
      </c>
      <c r="K81" t="s">
        <v>23</v>
      </c>
      <c r="L81">
        <v>82</v>
      </c>
      <c r="M81">
        <v>1.39</v>
      </c>
      <c r="N81">
        <v>6</v>
      </c>
      <c r="O81" t="s">
        <v>19</v>
      </c>
      <c r="P81" cm="1">
        <f t="array" ref="P81">_xlfn.SWITCH(Table2[[#This Row],[mood]], "Tired", 3, "Neutral", 2, "Happy", 1)</f>
        <v>2</v>
      </c>
    </row>
    <row r="82" spans="1:16" x14ac:dyDescent="0.3">
      <c r="A82">
        <v>1508</v>
      </c>
      <c r="B82" s="1">
        <v>42085</v>
      </c>
      <c r="C82">
        <v>54</v>
      </c>
      <c r="D82" t="s">
        <v>15</v>
      </c>
      <c r="E82">
        <v>187.7</v>
      </c>
      <c r="F82">
        <v>91.8</v>
      </c>
      <c r="G82">
        <v>13675</v>
      </c>
      <c r="H82">
        <v>807.6</v>
      </c>
      <c r="I82">
        <v>7.4</v>
      </c>
      <c r="J82">
        <v>77</v>
      </c>
      <c r="K82" t="s">
        <v>23</v>
      </c>
      <c r="L82">
        <v>82</v>
      </c>
      <c r="M82">
        <v>2.2200000000000002</v>
      </c>
      <c r="N82">
        <v>8</v>
      </c>
      <c r="O82" t="s">
        <v>21</v>
      </c>
      <c r="P82" cm="1">
        <f t="array" ref="P82">_xlfn.SWITCH(Table2[[#This Row],[mood]], "Tired", 3, "Neutral", 2, "Happy", 1)</f>
        <v>1</v>
      </c>
    </row>
    <row r="83" spans="1:16" x14ac:dyDescent="0.3">
      <c r="A83">
        <v>1775</v>
      </c>
      <c r="B83" s="1">
        <v>42086</v>
      </c>
      <c r="C83">
        <v>45</v>
      </c>
      <c r="D83" t="s">
        <v>15</v>
      </c>
      <c r="E83">
        <v>157.80000000000001</v>
      </c>
      <c r="F83">
        <v>60.1</v>
      </c>
      <c r="G83">
        <v>17128</v>
      </c>
      <c r="H83">
        <v>848.8</v>
      </c>
      <c r="I83">
        <v>4.3</v>
      </c>
      <c r="J83">
        <v>93</v>
      </c>
      <c r="K83" t="s">
        <v>18</v>
      </c>
      <c r="L83">
        <v>25</v>
      </c>
      <c r="M83">
        <v>3.56</v>
      </c>
      <c r="N83">
        <v>7</v>
      </c>
      <c r="O83" t="s">
        <v>21</v>
      </c>
      <c r="P83" cm="1">
        <f t="array" ref="P83">_xlfn.SWITCH(Table2[[#This Row],[mood]], "Tired", 3, "Neutral", 2, "Happy", 1)</f>
        <v>1</v>
      </c>
    </row>
    <row r="84" spans="1:16" x14ac:dyDescent="0.3">
      <c r="A84">
        <v>1942</v>
      </c>
      <c r="B84" s="1">
        <v>42087</v>
      </c>
      <c r="C84">
        <v>37</v>
      </c>
      <c r="D84" t="s">
        <v>15</v>
      </c>
      <c r="E84">
        <v>180.7</v>
      </c>
      <c r="F84">
        <v>94.8</v>
      </c>
      <c r="G84">
        <v>16668</v>
      </c>
      <c r="H84">
        <v>842.1</v>
      </c>
      <c r="I84">
        <v>6.6</v>
      </c>
      <c r="J84">
        <v>83</v>
      </c>
      <c r="K84" t="s">
        <v>23</v>
      </c>
      <c r="L84">
        <v>71</v>
      </c>
      <c r="M84">
        <v>1.81</v>
      </c>
      <c r="N84">
        <v>5</v>
      </c>
      <c r="O84" t="s">
        <v>17</v>
      </c>
      <c r="P84" cm="1">
        <f t="array" ref="P84">_xlfn.SWITCH(Table2[[#This Row],[mood]], "Tired", 3, "Neutral", 2, "Happy", 1)</f>
        <v>3</v>
      </c>
    </row>
    <row r="85" spans="1:16" x14ac:dyDescent="0.3">
      <c r="A85">
        <v>1034</v>
      </c>
      <c r="B85" s="1">
        <v>42088</v>
      </c>
      <c r="C85">
        <v>56</v>
      </c>
      <c r="D85" t="s">
        <v>15</v>
      </c>
      <c r="E85">
        <v>180.1</v>
      </c>
      <c r="F85">
        <v>84.6</v>
      </c>
      <c r="G85">
        <v>8445</v>
      </c>
      <c r="H85">
        <v>542.29999999999995</v>
      </c>
      <c r="I85">
        <v>8.1999999999999993</v>
      </c>
      <c r="J85">
        <v>83</v>
      </c>
      <c r="K85" t="s">
        <v>23</v>
      </c>
      <c r="L85">
        <v>40</v>
      </c>
      <c r="M85">
        <v>2.4900000000000002</v>
      </c>
      <c r="N85">
        <v>5</v>
      </c>
      <c r="O85" t="s">
        <v>17</v>
      </c>
      <c r="P85" cm="1">
        <f t="array" ref="P85">_xlfn.SWITCH(Table2[[#This Row],[mood]], "Tired", 3, "Neutral", 2, "Happy", 1)</f>
        <v>3</v>
      </c>
    </row>
    <row r="86" spans="1:16" x14ac:dyDescent="0.3">
      <c r="A86">
        <v>1205</v>
      </c>
      <c r="B86" s="1">
        <v>42089</v>
      </c>
      <c r="C86">
        <v>41</v>
      </c>
      <c r="D86" t="s">
        <v>20</v>
      </c>
      <c r="E86">
        <v>153.19999999999999</v>
      </c>
      <c r="F86">
        <v>66</v>
      </c>
      <c r="G86">
        <v>5284</v>
      </c>
      <c r="H86">
        <v>392.8</v>
      </c>
      <c r="I86">
        <v>6.4</v>
      </c>
      <c r="J86">
        <v>93</v>
      </c>
      <c r="K86" t="s">
        <v>24</v>
      </c>
      <c r="L86">
        <v>33</v>
      </c>
      <c r="M86">
        <v>3.33</v>
      </c>
      <c r="N86">
        <v>3</v>
      </c>
      <c r="O86" t="s">
        <v>21</v>
      </c>
      <c r="P86" cm="1">
        <f t="array" ref="P86">_xlfn.SWITCH(Table2[[#This Row],[mood]], "Tired", 3, "Neutral", 2, "Happy", 1)</f>
        <v>1</v>
      </c>
    </row>
    <row r="87" spans="1:16" x14ac:dyDescent="0.3">
      <c r="A87">
        <v>1080</v>
      </c>
      <c r="B87" s="1">
        <v>42090</v>
      </c>
      <c r="C87">
        <v>38</v>
      </c>
      <c r="D87" t="s">
        <v>15</v>
      </c>
      <c r="E87">
        <v>167</v>
      </c>
      <c r="F87">
        <v>45</v>
      </c>
      <c r="G87">
        <v>18585</v>
      </c>
      <c r="H87">
        <v>900</v>
      </c>
      <c r="I87">
        <v>5.7</v>
      </c>
      <c r="J87">
        <v>71</v>
      </c>
      <c r="K87" t="s">
        <v>24</v>
      </c>
      <c r="L87">
        <v>77</v>
      </c>
      <c r="M87">
        <v>3.09</v>
      </c>
      <c r="N87">
        <v>4</v>
      </c>
      <c r="O87" t="s">
        <v>19</v>
      </c>
      <c r="P87" cm="1">
        <f t="array" ref="P87">_xlfn.SWITCH(Table2[[#This Row],[mood]], "Tired", 3, "Neutral", 2, "Happy", 1)</f>
        <v>2</v>
      </c>
    </row>
    <row r="88" spans="1:16" x14ac:dyDescent="0.3">
      <c r="A88">
        <v>1931</v>
      </c>
      <c r="B88" s="1">
        <v>42091</v>
      </c>
      <c r="C88">
        <v>27</v>
      </c>
      <c r="D88" t="s">
        <v>20</v>
      </c>
      <c r="E88">
        <v>168.9</v>
      </c>
      <c r="F88">
        <v>45</v>
      </c>
      <c r="G88">
        <v>8131</v>
      </c>
      <c r="H88">
        <v>534</v>
      </c>
      <c r="I88">
        <v>8.4</v>
      </c>
      <c r="J88">
        <v>70</v>
      </c>
      <c r="K88" t="s">
        <v>23</v>
      </c>
      <c r="L88">
        <v>44</v>
      </c>
      <c r="M88">
        <v>4.05</v>
      </c>
      <c r="N88">
        <v>8</v>
      </c>
      <c r="O88" t="s">
        <v>17</v>
      </c>
      <c r="P88" cm="1">
        <f t="array" ref="P88">_xlfn.SWITCH(Table2[[#This Row],[mood]], "Tired", 3, "Neutral", 2, "Happy", 1)</f>
        <v>3</v>
      </c>
    </row>
    <row r="89" spans="1:16" x14ac:dyDescent="0.3">
      <c r="A89">
        <v>1561</v>
      </c>
      <c r="B89" s="1">
        <v>42092</v>
      </c>
      <c r="C89">
        <v>31</v>
      </c>
      <c r="D89" t="s">
        <v>20</v>
      </c>
      <c r="E89">
        <v>153.80000000000001</v>
      </c>
      <c r="F89">
        <v>60.1</v>
      </c>
      <c r="G89">
        <v>11614</v>
      </c>
      <c r="H89">
        <v>589.20000000000005</v>
      </c>
      <c r="I89">
        <v>6.4</v>
      </c>
      <c r="J89">
        <v>87</v>
      </c>
      <c r="K89" t="s">
        <v>23</v>
      </c>
      <c r="L89">
        <v>75</v>
      </c>
      <c r="M89">
        <v>2.5</v>
      </c>
      <c r="N89">
        <v>5</v>
      </c>
      <c r="O89" t="s">
        <v>17</v>
      </c>
      <c r="P89" cm="1">
        <f t="array" ref="P89">_xlfn.SWITCH(Table2[[#This Row],[mood]], "Tired", 3, "Neutral", 2, "Happy", 1)</f>
        <v>3</v>
      </c>
    </row>
    <row r="90" spans="1:16" x14ac:dyDescent="0.3">
      <c r="A90">
        <v>1871</v>
      </c>
      <c r="B90" s="1">
        <v>42093</v>
      </c>
      <c r="C90">
        <v>54</v>
      </c>
      <c r="D90" t="s">
        <v>15</v>
      </c>
      <c r="E90">
        <v>167.3</v>
      </c>
      <c r="F90">
        <v>81.400000000000006</v>
      </c>
      <c r="G90">
        <v>1759</v>
      </c>
      <c r="H90">
        <v>233.6</v>
      </c>
      <c r="I90">
        <v>7.3</v>
      </c>
      <c r="J90">
        <v>80</v>
      </c>
      <c r="K90" t="s">
        <v>24</v>
      </c>
      <c r="L90">
        <v>28</v>
      </c>
      <c r="M90">
        <v>2.19</v>
      </c>
      <c r="N90">
        <v>9</v>
      </c>
      <c r="O90" t="s">
        <v>17</v>
      </c>
      <c r="P90" cm="1">
        <f t="array" ref="P90">_xlfn.SWITCH(Table2[[#This Row],[mood]], "Tired", 3, "Neutral", 2, "Happy", 1)</f>
        <v>3</v>
      </c>
    </row>
    <row r="91" spans="1:16" x14ac:dyDescent="0.3">
      <c r="A91">
        <v>1387</v>
      </c>
      <c r="B91" s="1">
        <v>42094</v>
      </c>
      <c r="C91">
        <v>35</v>
      </c>
      <c r="D91" t="s">
        <v>20</v>
      </c>
      <c r="E91">
        <v>178.7</v>
      </c>
      <c r="F91">
        <v>81.400000000000006</v>
      </c>
      <c r="G91">
        <v>14684</v>
      </c>
      <c r="H91">
        <v>745.2</v>
      </c>
      <c r="I91">
        <v>6.7</v>
      </c>
      <c r="J91">
        <v>75</v>
      </c>
      <c r="K91" t="s">
        <v>18</v>
      </c>
      <c r="L91">
        <v>55</v>
      </c>
      <c r="M91">
        <v>1.73</v>
      </c>
      <c r="N91">
        <v>3</v>
      </c>
      <c r="O91" t="s">
        <v>21</v>
      </c>
      <c r="P91" cm="1">
        <f t="array" ref="P91">_xlfn.SWITCH(Table2[[#This Row],[mood]], "Tired", 3, "Neutral", 2, "Happy", 1)</f>
        <v>1</v>
      </c>
    </row>
    <row r="92" spans="1:16" x14ac:dyDescent="0.3">
      <c r="A92">
        <v>1001</v>
      </c>
      <c r="B92" s="1">
        <v>42095</v>
      </c>
      <c r="C92">
        <v>41</v>
      </c>
      <c r="D92" t="s">
        <v>20</v>
      </c>
      <c r="E92">
        <v>166.1</v>
      </c>
      <c r="F92">
        <v>63</v>
      </c>
      <c r="G92">
        <v>10680</v>
      </c>
      <c r="H92">
        <v>604</v>
      </c>
      <c r="I92">
        <v>7</v>
      </c>
      <c r="J92">
        <v>74</v>
      </c>
      <c r="K92" t="s">
        <v>24</v>
      </c>
      <c r="L92">
        <v>76</v>
      </c>
      <c r="M92">
        <v>2.2400000000000002</v>
      </c>
      <c r="N92">
        <v>10</v>
      </c>
      <c r="O92" t="s">
        <v>19</v>
      </c>
      <c r="P92" cm="1">
        <f t="array" ref="P92">_xlfn.SWITCH(Table2[[#This Row],[mood]], "Tired", 3, "Neutral", 2, "Happy", 1)</f>
        <v>2</v>
      </c>
    </row>
    <row r="93" spans="1:16" x14ac:dyDescent="0.3">
      <c r="A93">
        <v>1389</v>
      </c>
      <c r="B93" s="1">
        <v>42096</v>
      </c>
      <c r="C93">
        <v>31</v>
      </c>
      <c r="D93" t="s">
        <v>20</v>
      </c>
      <c r="E93">
        <v>172.4</v>
      </c>
      <c r="F93">
        <v>66.5</v>
      </c>
      <c r="G93">
        <v>5371</v>
      </c>
      <c r="H93">
        <v>420.4</v>
      </c>
      <c r="I93">
        <v>9.3000000000000007</v>
      </c>
      <c r="J93">
        <v>73</v>
      </c>
      <c r="K93" t="s">
        <v>24</v>
      </c>
      <c r="L93">
        <v>24</v>
      </c>
      <c r="M93">
        <v>1.73</v>
      </c>
      <c r="N93">
        <v>3</v>
      </c>
      <c r="O93" t="s">
        <v>19</v>
      </c>
      <c r="P93" cm="1">
        <f t="array" ref="P93">_xlfn.SWITCH(Table2[[#This Row],[mood]], "Tired", 3, "Neutral", 2, "Happy", 1)</f>
        <v>2</v>
      </c>
    </row>
    <row r="94" spans="1:16" x14ac:dyDescent="0.3">
      <c r="A94">
        <v>1565</v>
      </c>
      <c r="B94" s="1">
        <v>42097</v>
      </c>
      <c r="C94">
        <v>51</v>
      </c>
      <c r="D94" t="s">
        <v>20</v>
      </c>
      <c r="E94">
        <v>172.5</v>
      </c>
      <c r="F94">
        <v>69.5</v>
      </c>
      <c r="G94">
        <v>13651</v>
      </c>
      <c r="H94">
        <v>761.4</v>
      </c>
      <c r="I94">
        <v>7.9</v>
      </c>
      <c r="J94">
        <v>74</v>
      </c>
      <c r="K94" t="s">
        <v>24</v>
      </c>
      <c r="L94">
        <v>26</v>
      </c>
      <c r="M94">
        <v>1.24</v>
      </c>
      <c r="N94">
        <v>8</v>
      </c>
      <c r="O94" t="s">
        <v>21</v>
      </c>
      <c r="P94" cm="1">
        <f t="array" ref="P94">_xlfn.SWITCH(Table2[[#This Row],[mood]], "Tired", 3, "Neutral", 2, "Happy", 1)</f>
        <v>1</v>
      </c>
    </row>
    <row r="95" spans="1:16" x14ac:dyDescent="0.3">
      <c r="A95">
        <v>1105</v>
      </c>
      <c r="B95" s="1">
        <v>42098</v>
      </c>
      <c r="C95">
        <v>29</v>
      </c>
      <c r="D95" t="s">
        <v>15</v>
      </c>
      <c r="E95">
        <v>169.9</v>
      </c>
      <c r="F95">
        <v>66.7</v>
      </c>
      <c r="G95">
        <v>2665</v>
      </c>
      <c r="H95">
        <v>188.2</v>
      </c>
      <c r="I95">
        <v>5.2</v>
      </c>
      <c r="J95">
        <v>75</v>
      </c>
      <c r="K95" t="s">
        <v>24</v>
      </c>
      <c r="L95">
        <v>25</v>
      </c>
      <c r="M95">
        <v>3.87</v>
      </c>
      <c r="N95">
        <v>8</v>
      </c>
      <c r="O95" t="s">
        <v>19</v>
      </c>
      <c r="P95" cm="1">
        <f t="array" ref="P95">_xlfn.SWITCH(Table2[[#This Row],[mood]], "Tired", 3, "Neutral", 2, "Happy", 1)</f>
        <v>2</v>
      </c>
    </row>
    <row r="96" spans="1:16" x14ac:dyDescent="0.3">
      <c r="A96">
        <v>1771</v>
      </c>
      <c r="B96" s="1">
        <v>42099</v>
      </c>
      <c r="C96">
        <v>39</v>
      </c>
      <c r="D96" t="s">
        <v>15</v>
      </c>
      <c r="E96">
        <v>162.9</v>
      </c>
      <c r="F96">
        <v>72.5</v>
      </c>
      <c r="G96">
        <v>7918</v>
      </c>
      <c r="H96">
        <v>568</v>
      </c>
      <c r="I96">
        <v>6.4</v>
      </c>
      <c r="J96">
        <v>72</v>
      </c>
      <c r="K96" t="s">
        <v>22</v>
      </c>
      <c r="L96">
        <v>71</v>
      </c>
      <c r="M96">
        <v>2.5299999999999998</v>
      </c>
      <c r="N96">
        <v>7</v>
      </c>
      <c r="O96" t="s">
        <v>17</v>
      </c>
      <c r="P96" cm="1">
        <f t="array" ref="P96">_xlfn.SWITCH(Table2[[#This Row],[mood]], "Tired", 3, "Neutral", 2, "Happy", 1)</f>
        <v>3</v>
      </c>
    </row>
    <row r="97" spans="1:16" x14ac:dyDescent="0.3">
      <c r="A97">
        <v>1821</v>
      </c>
      <c r="B97" s="1">
        <v>42100</v>
      </c>
      <c r="C97">
        <v>23</v>
      </c>
      <c r="D97" t="s">
        <v>15</v>
      </c>
      <c r="E97">
        <v>176.6</v>
      </c>
      <c r="F97">
        <v>69.5</v>
      </c>
      <c r="G97">
        <v>11194</v>
      </c>
      <c r="H97">
        <v>643.20000000000005</v>
      </c>
      <c r="I97">
        <v>6.4</v>
      </c>
      <c r="J97">
        <v>81</v>
      </c>
      <c r="K97" t="s">
        <v>25</v>
      </c>
      <c r="L97">
        <v>89</v>
      </c>
      <c r="M97">
        <v>4.3099999999999996</v>
      </c>
      <c r="N97">
        <v>6</v>
      </c>
      <c r="O97" t="s">
        <v>19</v>
      </c>
      <c r="P97" cm="1">
        <f t="array" ref="P97">_xlfn.SWITCH(Table2[[#This Row],[mood]], "Tired", 3, "Neutral", 2, "Happy", 1)</f>
        <v>2</v>
      </c>
    </row>
    <row r="98" spans="1:16" x14ac:dyDescent="0.3">
      <c r="A98">
        <v>1476</v>
      </c>
      <c r="B98" s="1">
        <v>42101</v>
      </c>
      <c r="C98">
        <v>53</v>
      </c>
      <c r="D98" t="s">
        <v>15</v>
      </c>
      <c r="E98">
        <v>154.1</v>
      </c>
      <c r="F98">
        <v>45</v>
      </c>
      <c r="G98">
        <v>12213</v>
      </c>
      <c r="H98">
        <v>632.5</v>
      </c>
      <c r="I98">
        <v>7.3</v>
      </c>
      <c r="J98">
        <v>82</v>
      </c>
      <c r="K98" t="s">
        <v>18</v>
      </c>
      <c r="L98">
        <v>74</v>
      </c>
      <c r="M98">
        <v>1.91</v>
      </c>
      <c r="N98">
        <v>7</v>
      </c>
      <c r="O98" t="s">
        <v>17</v>
      </c>
      <c r="P98" cm="1">
        <f t="array" ref="P98">_xlfn.SWITCH(Table2[[#This Row],[mood]], "Tired", 3, "Neutral", 2, "Happy", 1)</f>
        <v>3</v>
      </c>
    </row>
    <row r="99" spans="1:16" x14ac:dyDescent="0.3">
      <c r="A99">
        <v>1702</v>
      </c>
      <c r="B99" s="1">
        <v>42102</v>
      </c>
      <c r="C99">
        <v>53</v>
      </c>
      <c r="D99" t="s">
        <v>15</v>
      </c>
      <c r="E99">
        <v>170.1</v>
      </c>
      <c r="F99">
        <v>66.900000000000006</v>
      </c>
      <c r="G99">
        <v>16745</v>
      </c>
      <c r="H99">
        <v>900</v>
      </c>
      <c r="I99">
        <v>8.4</v>
      </c>
      <c r="J99">
        <v>69</v>
      </c>
      <c r="K99" t="s">
        <v>16</v>
      </c>
      <c r="L99">
        <v>0</v>
      </c>
      <c r="M99">
        <v>2.2000000000000002</v>
      </c>
      <c r="N99">
        <v>7</v>
      </c>
      <c r="O99" t="s">
        <v>17</v>
      </c>
      <c r="P99" cm="1">
        <f t="array" ref="P99">_xlfn.SWITCH(Table2[[#This Row],[mood]], "Tired", 3, "Neutral", 2, "Happy", 1)</f>
        <v>3</v>
      </c>
    </row>
    <row r="100" spans="1:16" x14ac:dyDescent="0.3">
      <c r="A100">
        <v>1401</v>
      </c>
      <c r="B100" s="1">
        <v>42103</v>
      </c>
      <c r="C100">
        <v>39</v>
      </c>
      <c r="D100" t="s">
        <v>15</v>
      </c>
      <c r="E100">
        <v>183.9</v>
      </c>
      <c r="F100">
        <v>69.7</v>
      </c>
      <c r="G100">
        <v>8636</v>
      </c>
      <c r="H100">
        <v>440.2</v>
      </c>
      <c r="I100">
        <v>7</v>
      </c>
      <c r="J100">
        <v>84</v>
      </c>
      <c r="K100" t="s">
        <v>18</v>
      </c>
      <c r="L100">
        <v>20</v>
      </c>
      <c r="M100">
        <v>1.96</v>
      </c>
      <c r="N100">
        <v>6</v>
      </c>
      <c r="O100" t="s">
        <v>21</v>
      </c>
      <c r="P100" cm="1">
        <f t="array" ref="P100">_xlfn.SWITCH(Table2[[#This Row],[mood]], "Tired", 3, "Neutral", 2, "Happy", 1)</f>
        <v>1</v>
      </c>
    </row>
    <row r="101" spans="1:16" x14ac:dyDescent="0.3">
      <c r="A101">
        <v>1729</v>
      </c>
      <c r="B101" s="1">
        <v>42104</v>
      </c>
      <c r="C101">
        <v>31</v>
      </c>
      <c r="D101" t="s">
        <v>15</v>
      </c>
      <c r="E101">
        <v>165.5</v>
      </c>
      <c r="F101">
        <v>84.8</v>
      </c>
      <c r="G101">
        <v>18749</v>
      </c>
      <c r="H101">
        <v>871.2</v>
      </c>
      <c r="I101">
        <v>7</v>
      </c>
      <c r="J101">
        <v>62</v>
      </c>
      <c r="K101" t="s">
        <v>23</v>
      </c>
      <c r="L101">
        <v>56</v>
      </c>
      <c r="M101">
        <v>2.0499999999999998</v>
      </c>
      <c r="N101">
        <v>9</v>
      </c>
      <c r="O101" t="s">
        <v>17</v>
      </c>
      <c r="P101" cm="1">
        <f t="array" ref="P101">_xlfn.SWITCH(Table2[[#This Row],[mood]], "Tired", 3, "Neutral", 2, "Happy", 1)</f>
        <v>3</v>
      </c>
    </row>
    <row r="102" spans="1:16" x14ac:dyDescent="0.3">
      <c r="A102">
        <v>1555</v>
      </c>
      <c r="B102" s="1">
        <v>42105</v>
      </c>
      <c r="C102">
        <v>33</v>
      </c>
      <c r="D102" t="s">
        <v>15</v>
      </c>
      <c r="E102">
        <v>162.69999999999999</v>
      </c>
      <c r="F102">
        <v>57.5</v>
      </c>
      <c r="G102">
        <v>8344</v>
      </c>
      <c r="H102">
        <v>640.20000000000005</v>
      </c>
      <c r="I102">
        <v>3.7</v>
      </c>
      <c r="J102">
        <v>80</v>
      </c>
      <c r="K102" t="s">
        <v>22</v>
      </c>
      <c r="L102">
        <v>68</v>
      </c>
      <c r="M102">
        <v>3.11</v>
      </c>
      <c r="N102">
        <v>5</v>
      </c>
      <c r="O102" t="s">
        <v>19</v>
      </c>
      <c r="P102" cm="1">
        <f t="array" ref="P102">_xlfn.SWITCH(Table2[[#This Row],[mood]], "Tired", 3, "Neutral", 2, "Happy", 1)</f>
        <v>2</v>
      </c>
    </row>
    <row r="103" spans="1:16" x14ac:dyDescent="0.3">
      <c r="A103">
        <v>1161</v>
      </c>
      <c r="B103" s="1">
        <v>42106</v>
      </c>
      <c r="C103">
        <v>53</v>
      </c>
      <c r="D103" t="s">
        <v>15</v>
      </c>
      <c r="E103">
        <v>177.3</v>
      </c>
      <c r="F103">
        <v>73.099999999999994</v>
      </c>
      <c r="G103">
        <v>4201</v>
      </c>
      <c r="H103">
        <v>375.4</v>
      </c>
      <c r="I103">
        <v>9</v>
      </c>
      <c r="J103">
        <v>81</v>
      </c>
      <c r="K103" t="s">
        <v>23</v>
      </c>
      <c r="L103">
        <v>31</v>
      </c>
      <c r="M103">
        <v>2.9</v>
      </c>
      <c r="N103">
        <v>5</v>
      </c>
      <c r="O103" t="s">
        <v>19</v>
      </c>
      <c r="P103" cm="1">
        <f t="array" ref="P103">_xlfn.SWITCH(Table2[[#This Row],[mood]], "Tired", 3, "Neutral", 2, "Happy", 1)</f>
        <v>2</v>
      </c>
    </row>
    <row r="104" spans="1:16" x14ac:dyDescent="0.3">
      <c r="A104">
        <v>1201</v>
      </c>
      <c r="B104" s="1">
        <v>42107</v>
      </c>
      <c r="C104">
        <v>42</v>
      </c>
      <c r="D104" t="s">
        <v>15</v>
      </c>
      <c r="E104">
        <v>171.6</v>
      </c>
      <c r="F104">
        <v>78.400000000000006</v>
      </c>
      <c r="G104">
        <v>5752</v>
      </c>
      <c r="H104">
        <v>393.2</v>
      </c>
      <c r="I104">
        <v>6.7</v>
      </c>
      <c r="J104">
        <v>74</v>
      </c>
      <c r="K104" t="s">
        <v>18</v>
      </c>
      <c r="L104">
        <v>24</v>
      </c>
      <c r="M104">
        <v>3.11</v>
      </c>
      <c r="N104">
        <v>6</v>
      </c>
      <c r="O104" t="s">
        <v>19</v>
      </c>
      <c r="P104" cm="1">
        <f t="array" ref="P104">_xlfn.SWITCH(Table2[[#This Row],[mood]], "Tired", 3, "Neutral", 2, "Happy", 1)</f>
        <v>2</v>
      </c>
    </row>
    <row r="105" spans="1:16" x14ac:dyDescent="0.3">
      <c r="A105">
        <v>1957</v>
      </c>
      <c r="B105" s="1">
        <v>42108</v>
      </c>
      <c r="C105">
        <v>49</v>
      </c>
      <c r="D105" t="s">
        <v>20</v>
      </c>
      <c r="E105">
        <v>177.5</v>
      </c>
      <c r="F105">
        <v>67.8</v>
      </c>
      <c r="G105">
        <v>10575</v>
      </c>
      <c r="H105">
        <v>628.4</v>
      </c>
      <c r="I105">
        <v>7.4</v>
      </c>
      <c r="J105">
        <v>76</v>
      </c>
      <c r="K105" t="s">
        <v>18</v>
      </c>
      <c r="L105">
        <v>89</v>
      </c>
      <c r="M105">
        <v>3.44</v>
      </c>
      <c r="N105">
        <v>10</v>
      </c>
      <c r="O105" t="s">
        <v>19</v>
      </c>
      <c r="P105" cm="1">
        <f t="array" ref="P105">_xlfn.SWITCH(Table2[[#This Row],[mood]], "Tired", 3, "Neutral", 2, "Happy", 1)</f>
        <v>2</v>
      </c>
    </row>
    <row r="106" spans="1:16" x14ac:dyDescent="0.3">
      <c r="A106">
        <v>1995</v>
      </c>
      <c r="B106" s="1">
        <v>42109</v>
      </c>
      <c r="C106">
        <v>50</v>
      </c>
      <c r="D106" t="s">
        <v>15</v>
      </c>
      <c r="E106">
        <v>170.4</v>
      </c>
      <c r="F106">
        <v>45</v>
      </c>
      <c r="G106">
        <v>11327</v>
      </c>
      <c r="H106">
        <v>644</v>
      </c>
      <c r="I106">
        <v>7.4</v>
      </c>
      <c r="J106">
        <v>73</v>
      </c>
      <c r="K106" t="s">
        <v>16</v>
      </c>
      <c r="L106">
        <v>0</v>
      </c>
      <c r="M106">
        <v>3.28</v>
      </c>
      <c r="N106">
        <v>4</v>
      </c>
      <c r="O106" t="s">
        <v>19</v>
      </c>
      <c r="P106" cm="1">
        <f t="array" ref="P106">_xlfn.SWITCH(Table2[[#This Row],[mood]], "Tired", 3, "Neutral", 2, "Happy", 1)</f>
        <v>2</v>
      </c>
    </row>
    <row r="107" spans="1:16" x14ac:dyDescent="0.3">
      <c r="A107">
        <v>1269</v>
      </c>
      <c r="B107" s="1">
        <v>42110</v>
      </c>
      <c r="C107">
        <v>53</v>
      </c>
      <c r="D107" t="s">
        <v>20</v>
      </c>
      <c r="E107">
        <v>150</v>
      </c>
      <c r="F107">
        <v>85.2</v>
      </c>
      <c r="G107">
        <v>16891</v>
      </c>
      <c r="H107">
        <v>877.4</v>
      </c>
      <c r="I107">
        <v>5.8</v>
      </c>
      <c r="J107">
        <v>70</v>
      </c>
      <c r="K107" t="s">
        <v>16</v>
      </c>
      <c r="L107">
        <v>0</v>
      </c>
      <c r="M107">
        <v>1.79</v>
      </c>
      <c r="N107">
        <v>10</v>
      </c>
      <c r="O107" t="s">
        <v>17</v>
      </c>
      <c r="P107" cm="1">
        <f t="array" ref="P107">_xlfn.SWITCH(Table2[[#This Row],[mood]], "Tired", 3, "Neutral", 2, "Happy", 1)</f>
        <v>3</v>
      </c>
    </row>
    <row r="108" spans="1:16" x14ac:dyDescent="0.3">
      <c r="A108">
        <v>1862</v>
      </c>
      <c r="B108" s="1">
        <v>42111</v>
      </c>
      <c r="C108">
        <v>37</v>
      </c>
      <c r="D108" t="s">
        <v>20</v>
      </c>
      <c r="E108">
        <v>181.8</v>
      </c>
      <c r="F108">
        <v>81.2</v>
      </c>
      <c r="G108">
        <v>14029</v>
      </c>
      <c r="H108">
        <v>785.6</v>
      </c>
      <c r="I108">
        <v>6.6</v>
      </c>
      <c r="J108">
        <v>75</v>
      </c>
      <c r="K108" t="s">
        <v>23</v>
      </c>
      <c r="L108">
        <v>74</v>
      </c>
      <c r="M108">
        <v>2.13</v>
      </c>
      <c r="N108">
        <v>10</v>
      </c>
      <c r="O108" t="s">
        <v>21</v>
      </c>
      <c r="P108" cm="1">
        <f t="array" ref="P108">_xlfn.SWITCH(Table2[[#This Row],[mood]], "Tired", 3, "Neutral", 2, "Happy", 1)</f>
        <v>1</v>
      </c>
    </row>
    <row r="109" spans="1:16" x14ac:dyDescent="0.3">
      <c r="A109">
        <v>1815</v>
      </c>
      <c r="B109" s="1">
        <v>42112</v>
      </c>
      <c r="C109">
        <v>35</v>
      </c>
      <c r="D109" t="s">
        <v>20</v>
      </c>
      <c r="E109">
        <v>190.7</v>
      </c>
      <c r="F109">
        <v>73.400000000000006</v>
      </c>
      <c r="G109">
        <v>7091</v>
      </c>
      <c r="H109">
        <v>473.7</v>
      </c>
      <c r="I109">
        <v>5.8</v>
      </c>
      <c r="J109">
        <v>70</v>
      </c>
      <c r="K109" t="s">
        <v>25</v>
      </c>
      <c r="L109">
        <v>69</v>
      </c>
      <c r="M109">
        <v>2.59</v>
      </c>
      <c r="N109">
        <v>9</v>
      </c>
      <c r="O109" t="s">
        <v>21</v>
      </c>
      <c r="P109" cm="1">
        <f t="array" ref="P109">_xlfn.SWITCH(Table2[[#This Row],[mood]], "Tired", 3, "Neutral", 2, "Happy", 1)</f>
        <v>1</v>
      </c>
    </row>
    <row r="110" spans="1:16" x14ac:dyDescent="0.3">
      <c r="A110">
        <v>1270</v>
      </c>
      <c r="B110" s="1">
        <v>42113</v>
      </c>
      <c r="C110">
        <v>55</v>
      </c>
      <c r="D110" t="s">
        <v>20</v>
      </c>
      <c r="E110">
        <v>182.8</v>
      </c>
      <c r="F110">
        <v>70.599999999999994</v>
      </c>
      <c r="G110">
        <v>18905</v>
      </c>
      <c r="H110">
        <v>900</v>
      </c>
      <c r="I110">
        <v>9.1</v>
      </c>
      <c r="J110">
        <v>86</v>
      </c>
      <c r="K110" t="s">
        <v>23</v>
      </c>
      <c r="L110">
        <v>72</v>
      </c>
      <c r="M110">
        <v>5</v>
      </c>
      <c r="N110">
        <v>2</v>
      </c>
      <c r="O110" t="s">
        <v>19</v>
      </c>
      <c r="P110" cm="1">
        <f t="array" ref="P110">_xlfn.SWITCH(Table2[[#This Row],[mood]], "Tired", 3, "Neutral", 2, "Happy", 1)</f>
        <v>2</v>
      </c>
    </row>
    <row r="111" spans="1:16" x14ac:dyDescent="0.3">
      <c r="A111">
        <v>1455</v>
      </c>
      <c r="B111" s="1">
        <v>42114</v>
      </c>
      <c r="C111">
        <v>20</v>
      </c>
      <c r="D111" t="s">
        <v>15</v>
      </c>
      <c r="E111">
        <v>150</v>
      </c>
      <c r="F111">
        <v>45</v>
      </c>
      <c r="G111">
        <v>16866</v>
      </c>
      <c r="H111">
        <v>866.7</v>
      </c>
      <c r="I111">
        <v>3.7</v>
      </c>
      <c r="J111">
        <v>54</v>
      </c>
      <c r="K111" t="s">
        <v>25</v>
      </c>
      <c r="L111">
        <v>74</v>
      </c>
      <c r="M111">
        <v>3.04</v>
      </c>
      <c r="N111">
        <v>3</v>
      </c>
      <c r="O111" t="s">
        <v>17</v>
      </c>
      <c r="P111" cm="1">
        <f t="array" ref="P111">_xlfn.SWITCH(Table2[[#This Row],[mood]], "Tired", 3, "Neutral", 2, "Happy", 1)</f>
        <v>3</v>
      </c>
    </row>
    <row r="112" spans="1:16" x14ac:dyDescent="0.3">
      <c r="A112">
        <v>1461</v>
      </c>
      <c r="B112" s="1">
        <v>42115</v>
      </c>
      <c r="C112">
        <v>40</v>
      </c>
      <c r="D112" t="s">
        <v>20</v>
      </c>
      <c r="E112">
        <v>174.5</v>
      </c>
      <c r="F112">
        <v>81.599999999999994</v>
      </c>
      <c r="G112">
        <v>8521</v>
      </c>
      <c r="H112">
        <v>499.8</v>
      </c>
      <c r="I112">
        <v>5.6</v>
      </c>
      <c r="J112">
        <v>74</v>
      </c>
      <c r="K112" t="s">
        <v>25</v>
      </c>
      <c r="L112">
        <v>22</v>
      </c>
      <c r="M112">
        <v>2.57</v>
      </c>
      <c r="N112">
        <v>9</v>
      </c>
      <c r="O112" t="s">
        <v>21</v>
      </c>
      <c r="P112" cm="1">
        <f t="array" ref="P112">_xlfn.SWITCH(Table2[[#This Row],[mood]], "Tired", 3, "Neutral", 2, "Happy", 1)</f>
        <v>1</v>
      </c>
    </row>
    <row r="113" spans="1:16" x14ac:dyDescent="0.3">
      <c r="A113">
        <v>1726</v>
      </c>
      <c r="B113" s="1">
        <v>42116</v>
      </c>
      <c r="C113">
        <v>49</v>
      </c>
      <c r="D113" t="s">
        <v>15</v>
      </c>
      <c r="E113">
        <v>165.3</v>
      </c>
      <c r="F113">
        <v>92.3</v>
      </c>
      <c r="G113">
        <v>16410</v>
      </c>
      <c r="H113">
        <v>801.1</v>
      </c>
      <c r="I113">
        <v>6.5</v>
      </c>
      <c r="J113">
        <v>56</v>
      </c>
      <c r="K113" t="s">
        <v>24</v>
      </c>
      <c r="L113">
        <v>35</v>
      </c>
      <c r="M113">
        <v>2.97</v>
      </c>
      <c r="N113">
        <v>1</v>
      </c>
      <c r="O113" t="s">
        <v>19</v>
      </c>
      <c r="P113" cm="1">
        <f t="array" ref="P113">_xlfn.SWITCH(Table2[[#This Row],[mood]], "Tired", 3, "Neutral", 2, "Happy", 1)</f>
        <v>2</v>
      </c>
    </row>
    <row r="114" spans="1:16" x14ac:dyDescent="0.3">
      <c r="A114">
        <v>1251</v>
      </c>
      <c r="B114" s="1">
        <v>42117</v>
      </c>
      <c r="C114">
        <v>33</v>
      </c>
      <c r="D114" t="s">
        <v>15</v>
      </c>
      <c r="E114">
        <v>159.19999999999999</v>
      </c>
      <c r="F114">
        <v>53.3</v>
      </c>
      <c r="G114">
        <v>19007</v>
      </c>
      <c r="H114">
        <v>900</v>
      </c>
      <c r="I114">
        <v>9.1999999999999993</v>
      </c>
      <c r="J114">
        <v>64</v>
      </c>
      <c r="K114" t="s">
        <v>18</v>
      </c>
      <c r="L114">
        <v>64</v>
      </c>
      <c r="M114">
        <v>2.08</v>
      </c>
      <c r="N114">
        <v>5</v>
      </c>
      <c r="O114" t="s">
        <v>17</v>
      </c>
      <c r="P114" cm="1">
        <f t="array" ref="P114">_xlfn.SWITCH(Table2[[#This Row],[mood]], "Tired", 3, "Neutral", 2, "Happy", 1)</f>
        <v>3</v>
      </c>
    </row>
    <row r="115" spans="1:16" x14ac:dyDescent="0.3">
      <c r="A115">
        <v>1701</v>
      </c>
      <c r="B115" s="1">
        <v>42118</v>
      </c>
      <c r="C115">
        <v>22</v>
      </c>
      <c r="D115" t="s">
        <v>20</v>
      </c>
      <c r="E115">
        <v>171.2</v>
      </c>
      <c r="F115">
        <v>90.2</v>
      </c>
      <c r="G115">
        <v>6820</v>
      </c>
      <c r="H115">
        <v>505.2</v>
      </c>
      <c r="I115">
        <v>8.1</v>
      </c>
      <c r="J115">
        <v>69</v>
      </c>
      <c r="K115" t="s">
        <v>24</v>
      </c>
      <c r="L115">
        <v>55</v>
      </c>
      <c r="M115">
        <v>2.68</v>
      </c>
      <c r="N115">
        <v>3</v>
      </c>
      <c r="O115" t="s">
        <v>21</v>
      </c>
      <c r="P115" cm="1">
        <f t="array" ref="P115">_xlfn.SWITCH(Table2[[#This Row],[mood]], "Tired", 3, "Neutral", 2, "Happy", 1)</f>
        <v>1</v>
      </c>
    </row>
    <row r="116" spans="1:16" x14ac:dyDescent="0.3">
      <c r="A116">
        <v>1295</v>
      </c>
      <c r="B116" s="1">
        <v>42119</v>
      </c>
      <c r="C116">
        <v>21</v>
      </c>
      <c r="D116" t="s">
        <v>15</v>
      </c>
      <c r="E116">
        <v>168.5</v>
      </c>
      <c r="F116">
        <v>87</v>
      </c>
      <c r="G116">
        <v>12453</v>
      </c>
      <c r="H116">
        <v>750</v>
      </c>
      <c r="I116">
        <v>4.5</v>
      </c>
      <c r="J116">
        <v>88</v>
      </c>
      <c r="K116" t="s">
        <v>18</v>
      </c>
      <c r="L116">
        <v>38</v>
      </c>
      <c r="M116">
        <v>3.17</v>
      </c>
      <c r="N116">
        <v>3</v>
      </c>
      <c r="O116" t="s">
        <v>17</v>
      </c>
      <c r="P116" cm="1">
        <f t="array" ref="P116">_xlfn.SWITCH(Table2[[#This Row],[mood]], "Tired", 3, "Neutral", 2, "Happy", 1)</f>
        <v>3</v>
      </c>
    </row>
    <row r="117" spans="1:16" x14ac:dyDescent="0.3">
      <c r="A117">
        <v>1724</v>
      </c>
      <c r="B117" s="1">
        <v>42120</v>
      </c>
      <c r="C117">
        <v>38</v>
      </c>
      <c r="D117" t="s">
        <v>20</v>
      </c>
      <c r="E117">
        <v>175.1</v>
      </c>
      <c r="F117">
        <v>52.9</v>
      </c>
      <c r="G117">
        <v>5696</v>
      </c>
      <c r="H117">
        <v>428</v>
      </c>
      <c r="I117">
        <v>6.8</v>
      </c>
      <c r="J117">
        <v>87</v>
      </c>
      <c r="K117" t="s">
        <v>24</v>
      </c>
      <c r="L117">
        <v>23</v>
      </c>
      <c r="M117">
        <v>2.48</v>
      </c>
      <c r="N117">
        <v>1</v>
      </c>
      <c r="O117" t="s">
        <v>19</v>
      </c>
      <c r="P117" cm="1">
        <f t="array" ref="P117">_xlfn.SWITCH(Table2[[#This Row],[mood]], "Tired", 3, "Neutral", 2, "Happy", 1)</f>
        <v>2</v>
      </c>
    </row>
    <row r="118" spans="1:16" x14ac:dyDescent="0.3">
      <c r="A118">
        <v>1719</v>
      </c>
      <c r="B118" s="1">
        <v>42121</v>
      </c>
      <c r="C118">
        <v>57</v>
      </c>
      <c r="D118" t="s">
        <v>20</v>
      </c>
      <c r="E118">
        <v>170.6</v>
      </c>
      <c r="F118">
        <v>64.099999999999994</v>
      </c>
      <c r="G118">
        <v>2867</v>
      </c>
      <c r="H118">
        <v>326</v>
      </c>
      <c r="I118">
        <v>8.1</v>
      </c>
      <c r="J118">
        <v>76</v>
      </c>
      <c r="K118" t="s">
        <v>25</v>
      </c>
      <c r="L118">
        <v>78</v>
      </c>
      <c r="M118">
        <v>1.97</v>
      </c>
      <c r="N118">
        <v>8</v>
      </c>
      <c r="O118" t="s">
        <v>17</v>
      </c>
      <c r="P118" cm="1">
        <f t="array" ref="P118">_xlfn.SWITCH(Table2[[#This Row],[mood]], "Tired", 3, "Neutral", 2, "Happy", 1)</f>
        <v>3</v>
      </c>
    </row>
    <row r="119" spans="1:16" x14ac:dyDescent="0.3">
      <c r="A119">
        <v>1748</v>
      </c>
      <c r="B119" s="1">
        <v>42122</v>
      </c>
      <c r="C119">
        <v>31</v>
      </c>
      <c r="D119" t="s">
        <v>15</v>
      </c>
      <c r="E119">
        <v>158.80000000000001</v>
      </c>
      <c r="F119">
        <v>49.1</v>
      </c>
      <c r="G119">
        <v>16723</v>
      </c>
      <c r="H119">
        <v>860</v>
      </c>
      <c r="I119">
        <v>10</v>
      </c>
      <c r="J119">
        <v>76</v>
      </c>
      <c r="K119" t="s">
        <v>24</v>
      </c>
      <c r="L119">
        <v>31</v>
      </c>
      <c r="M119">
        <v>2.4500000000000002</v>
      </c>
      <c r="N119">
        <v>3</v>
      </c>
      <c r="O119" t="s">
        <v>21</v>
      </c>
      <c r="P119" cm="1">
        <f t="array" ref="P119">_xlfn.SWITCH(Table2[[#This Row],[mood]], "Tired", 3, "Neutral", 2, "Happy", 1)</f>
        <v>1</v>
      </c>
    </row>
    <row r="120" spans="1:16" x14ac:dyDescent="0.3">
      <c r="A120">
        <v>1337</v>
      </c>
      <c r="B120" s="1">
        <v>42123</v>
      </c>
      <c r="C120">
        <v>56</v>
      </c>
      <c r="D120" t="s">
        <v>15</v>
      </c>
      <c r="E120">
        <v>164.2</v>
      </c>
      <c r="F120">
        <v>69</v>
      </c>
      <c r="G120">
        <v>12817</v>
      </c>
      <c r="H120">
        <v>770.6</v>
      </c>
      <c r="I120">
        <v>6.5</v>
      </c>
      <c r="J120">
        <v>85</v>
      </c>
      <c r="K120" t="s">
        <v>22</v>
      </c>
      <c r="L120">
        <v>82</v>
      </c>
      <c r="M120">
        <v>2.2799999999999998</v>
      </c>
      <c r="N120">
        <v>4</v>
      </c>
      <c r="O120" t="s">
        <v>21</v>
      </c>
      <c r="P120" cm="1">
        <f t="array" ref="P120">_xlfn.SWITCH(Table2[[#This Row],[mood]], "Tired", 3, "Neutral", 2, "Happy", 1)</f>
        <v>1</v>
      </c>
    </row>
    <row r="121" spans="1:16" x14ac:dyDescent="0.3">
      <c r="A121">
        <v>1878</v>
      </c>
      <c r="B121" s="1">
        <v>42124</v>
      </c>
      <c r="C121">
        <v>48</v>
      </c>
      <c r="D121" t="s">
        <v>20</v>
      </c>
      <c r="E121">
        <v>162.6</v>
      </c>
      <c r="F121">
        <v>76.7</v>
      </c>
      <c r="G121">
        <v>1168</v>
      </c>
      <c r="H121">
        <v>229.5</v>
      </c>
      <c r="I121">
        <v>5.2</v>
      </c>
      <c r="J121">
        <v>86</v>
      </c>
      <c r="K121" t="s">
        <v>24</v>
      </c>
      <c r="L121">
        <v>75</v>
      </c>
      <c r="M121">
        <v>1.55</v>
      </c>
      <c r="N121">
        <v>5</v>
      </c>
      <c r="O121" t="s">
        <v>17</v>
      </c>
      <c r="P121" cm="1">
        <f t="array" ref="P121">_xlfn.SWITCH(Table2[[#This Row],[mood]], "Tired", 3, "Neutral", 2, "Happy", 1)</f>
        <v>3</v>
      </c>
    </row>
    <row r="122" spans="1:16" x14ac:dyDescent="0.3">
      <c r="A122">
        <v>1052</v>
      </c>
      <c r="B122" s="1">
        <v>42125</v>
      </c>
      <c r="C122">
        <v>31</v>
      </c>
      <c r="D122" t="s">
        <v>15</v>
      </c>
      <c r="E122">
        <v>152.80000000000001</v>
      </c>
      <c r="F122">
        <v>50.2</v>
      </c>
      <c r="G122">
        <v>11213</v>
      </c>
      <c r="H122">
        <v>599.29999999999995</v>
      </c>
      <c r="I122">
        <v>7.5</v>
      </c>
      <c r="J122">
        <v>69</v>
      </c>
      <c r="K122" t="s">
        <v>16</v>
      </c>
      <c r="L122">
        <v>0</v>
      </c>
      <c r="M122">
        <v>2.1</v>
      </c>
      <c r="N122">
        <v>5</v>
      </c>
      <c r="O122" t="s">
        <v>21</v>
      </c>
      <c r="P122" cm="1">
        <f t="array" ref="P122">_xlfn.SWITCH(Table2[[#This Row],[mood]], "Tired", 3, "Neutral", 2, "Happy", 1)</f>
        <v>1</v>
      </c>
    </row>
    <row r="123" spans="1:16" x14ac:dyDescent="0.3">
      <c r="A123">
        <v>1791</v>
      </c>
      <c r="B123" s="1">
        <v>42126</v>
      </c>
      <c r="C123">
        <v>23</v>
      </c>
      <c r="D123" t="s">
        <v>15</v>
      </c>
      <c r="E123">
        <v>156.30000000000001</v>
      </c>
      <c r="F123">
        <v>75.8</v>
      </c>
      <c r="G123">
        <v>16223</v>
      </c>
      <c r="H123">
        <v>875</v>
      </c>
      <c r="I123">
        <v>6.9</v>
      </c>
      <c r="J123">
        <v>82</v>
      </c>
      <c r="K123" t="s">
        <v>16</v>
      </c>
      <c r="L123">
        <v>0</v>
      </c>
      <c r="M123">
        <v>1.53</v>
      </c>
      <c r="N123">
        <v>2</v>
      </c>
      <c r="O123" t="s">
        <v>17</v>
      </c>
      <c r="P123" cm="1">
        <f t="array" ref="P123">_xlfn.SWITCH(Table2[[#This Row],[mood]], "Tired", 3, "Neutral", 2, "Happy", 1)</f>
        <v>3</v>
      </c>
    </row>
    <row r="124" spans="1:16" x14ac:dyDescent="0.3">
      <c r="A124">
        <v>1921</v>
      </c>
      <c r="B124" s="1">
        <v>42127</v>
      </c>
      <c r="C124">
        <v>29</v>
      </c>
      <c r="D124" t="s">
        <v>15</v>
      </c>
      <c r="E124">
        <v>167.9</v>
      </c>
      <c r="F124">
        <v>79.599999999999994</v>
      </c>
      <c r="G124">
        <v>12452</v>
      </c>
      <c r="H124">
        <v>690.5</v>
      </c>
      <c r="I124">
        <v>7.7</v>
      </c>
      <c r="J124">
        <v>65</v>
      </c>
      <c r="K124" t="s">
        <v>24</v>
      </c>
      <c r="L124">
        <v>43</v>
      </c>
      <c r="M124">
        <v>1.63</v>
      </c>
      <c r="N124">
        <v>7</v>
      </c>
      <c r="O124" t="s">
        <v>17</v>
      </c>
      <c r="P124" cm="1">
        <f t="array" ref="P124">_xlfn.SWITCH(Table2[[#This Row],[mood]], "Tired", 3, "Neutral", 2, "Happy", 1)</f>
        <v>3</v>
      </c>
    </row>
    <row r="125" spans="1:16" x14ac:dyDescent="0.3">
      <c r="A125">
        <v>1216</v>
      </c>
      <c r="B125" s="1">
        <v>42128</v>
      </c>
      <c r="C125">
        <v>33</v>
      </c>
      <c r="D125" t="s">
        <v>20</v>
      </c>
      <c r="E125">
        <v>184.2</v>
      </c>
      <c r="F125">
        <v>79.8</v>
      </c>
      <c r="G125">
        <v>9027</v>
      </c>
      <c r="H125">
        <v>573.6</v>
      </c>
      <c r="I125">
        <v>8</v>
      </c>
      <c r="J125">
        <v>71</v>
      </c>
      <c r="K125" t="s">
        <v>24</v>
      </c>
      <c r="L125">
        <v>45</v>
      </c>
      <c r="M125">
        <v>1.7</v>
      </c>
      <c r="N125">
        <v>6</v>
      </c>
      <c r="O125" t="s">
        <v>19</v>
      </c>
      <c r="P125" cm="1">
        <f t="array" ref="P125">_xlfn.SWITCH(Table2[[#This Row],[mood]], "Tired", 3, "Neutral", 2, "Happy", 1)</f>
        <v>2</v>
      </c>
    </row>
    <row r="126" spans="1:16" x14ac:dyDescent="0.3">
      <c r="A126">
        <v>1763</v>
      </c>
      <c r="B126" s="1">
        <v>42129</v>
      </c>
      <c r="C126">
        <v>34</v>
      </c>
      <c r="D126" t="s">
        <v>20</v>
      </c>
      <c r="E126">
        <v>164.6</v>
      </c>
      <c r="F126">
        <v>76.8</v>
      </c>
      <c r="G126">
        <v>17291</v>
      </c>
      <c r="H126">
        <v>900</v>
      </c>
      <c r="I126">
        <v>7.5</v>
      </c>
      <c r="J126">
        <v>81</v>
      </c>
      <c r="K126" t="s">
        <v>22</v>
      </c>
      <c r="L126">
        <v>41</v>
      </c>
      <c r="M126">
        <v>3.17</v>
      </c>
      <c r="N126">
        <v>7</v>
      </c>
      <c r="O126" t="s">
        <v>19</v>
      </c>
      <c r="P126" cm="1">
        <f t="array" ref="P126">_xlfn.SWITCH(Table2[[#This Row],[mood]], "Tired", 3, "Neutral", 2, "Happy", 1)</f>
        <v>2</v>
      </c>
    </row>
    <row r="127" spans="1:16" x14ac:dyDescent="0.3">
      <c r="A127">
        <v>1187</v>
      </c>
      <c r="B127" s="1">
        <v>42130</v>
      </c>
      <c r="C127">
        <v>40</v>
      </c>
      <c r="D127" t="s">
        <v>15</v>
      </c>
      <c r="E127">
        <v>162.4</v>
      </c>
      <c r="F127">
        <v>51.6</v>
      </c>
      <c r="G127">
        <v>11641</v>
      </c>
      <c r="H127">
        <v>636.70000000000005</v>
      </c>
      <c r="I127">
        <v>7.8</v>
      </c>
      <c r="J127">
        <v>68</v>
      </c>
      <c r="K127" t="s">
        <v>18</v>
      </c>
      <c r="L127">
        <v>89</v>
      </c>
      <c r="M127">
        <v>3.54</v>
      </c>
      <c r="N127">
        <v>10</v>
      </c>
      <c r="O127" t="s">
        <v>17</v>
      </c>
      <c r="P127" cm="1">
        <f t="array" ref="P127">_xlfn.SWITCH(Table2[[#This Row],[mood]], "Tired", 3, "Neutral", 2, "Happy", 1)</f>
        <v>3</v>
      </c>
    </row>
    <row r="128" spans="1:16" x14ac:dyDescent="0.3">
      <c r="A128">
        <v>1379</v>
      </c>
      <c r="B128" s="1">
        <v>42131</v>
      </c>
      <c r="C128">
        <v>31</v>
      </c>
      <c r="D128" t="s">
        <v>15</v>
      </c>
      <c r="E128">
        <v>158.19999999999999</v>
      </c>
      <c r="F128">
        <v>68.2</v>
      </c>
      <c r="G128">
        <v>1224</v>
      </c>
      <c r="H128">
        <v>238</v>
      </c>
      <c r="I128">
        <v>9.5</v>
      </c>
      <c r="J128">
        <v>71</v>
      </c>
      <c r="K128" t="s">
        <v>24</v>
      </c>
      <c r="L128">
        <v>38</v>
      </c>
      <c r="M128">
        <v>1.42</v>
      </c>
      <c r="N128">
        <v>10</v>
      </c>
      <c r="O128" t="s">
        <v>21</v>
      </c>
      <c r="P128" cm="1">
        <f t="array" ref="P128">_xlfn.SWITCH(Table2[[#This Row],[mood]], "Tired", 3, "Neutral", 2, "Happy", 1)</f>
        <v>1</v>
      </c>
    </row>
    <row r="129" spans="1:16" x14ac:dyDescent="0.3">
      <c r="A129">
        <v>1492</v>
      </c>
      <c r="B129" s="1">
        <v>42132</v>
      </c>
      <c r="C129">
        <v>24</v>
      </c>
      <c r="D129" t="s">
        <v>15</v>
      </c>
      <c r="E129">
        <v>170.3</v>
      </c>
      <c r="F129">
        <v>75.3</v>
      </c>
      <c r="G129">
        <v>9749</v>
      </c>
      <c r="H129">
        <v>574.4</v>
      </c>
      <c r="I129">
        <v>6.6</v>
      </c>
      <c r="J129">
        <v>58</v>
      </c>
      <c r="K129" t="s">
        <v>18</v>
      </c>
      <c r="L129">
        <v>53</v>
      </c>
      <c r="M129">
        <v>3.61</v>
      </c>
      <c r="N129">
        <v>3</v>
      </c>
      <c r="O129" t="s">
        <v>19</v>
      </c>
      <c r="P129" cm="1">
        <f t="array" ref="P129">_xlfn.SWITCH(Table2[[#This Row],[mood]], "Tired", 3, "Neutral", 2, "Happy", 1)</f>
        <v>2</v>
      </c>
    </row>
    <row r="130" spans="1:16" x14ac:dyDescent="0.3">
      <c r="A130">
        <v>1040</v>
      </c>
      <c r="B130" s="1">
        <v>42133</v>
      </c>
      <c r="C130">
        <v>49</v>
      </c>
      <c r="D130" t="s">
        <v>15</v>
      </c>
      <c r="E130">
        <v>181.8</v>
      </c>
      <c r="F130">
        <v>91.9</v>
      </c>
      <c r="G130">
        <v>7582</v>
      </c>
      <c r="H130">
        <v>567.6</v>
      </c>
      <c r="I130">
        <v>5.2</v>
      </c>
      <c r="J130">
        <v>80</v>
      </c>
      <c r="K130" t="s">
        <v>16</v>
      </c>
      <c r="L130">
        <v>0</v>
      </c>
      <c r="M130">
        <v>1.71</v>
      </c>
      <c r="N130">
        <v>8</v>
      </c>
      <c r="O130" t="s">
        <v>21</v>
      </c>
      <c r="P130" cm="1">
        <f t="array" ref="P130">_xlfn.SWITCH(Table2[[#This Row],[mood]], "Tired", 3, "Neutral", 2, "Happy", 1)</f>
        <v>1</v>
      </c>
    </row>
    <row r="131" spans="1:16" x14ac:dyDescent="0.3">
      <c r="A131">
        <v>1156</v>
      </c>
      <c r="B131" s="1">
        <v>42134</v>
      </c>
      <c r="C131">
        <v>32</v>
      </c>
      <c r="D131" t="s">
        <v>15</v>
      </c>
      <c r="E131">
        <v>190</v>
      </c>
      <c r="F131">
        <v>70</v>
      </c>
      <c r="G131">
        <v>2573</v>
      </c>
      <c r="H131">
        <v>303.60000000000002</v>
      </c>
      <c r="I131">
        <v>7.5</v>
      </c>
      <c r="J131">
        <v>66</v>
      </c>
      <c r="K131" t="s">
        <v>23</v>
      </c>
      <c r="L131">
        <v>64</v>
      </c>
      <c r="M131">
        <v>3.02</v>
      </c>
      <c r="N131">
        <v>6</v>
      </c>
      <c r="O131" t="s">
        <v>17</v>
      </c>
      <c r="P131" cm="1">
        <f t="array" ref="P131">_xlfn.SWITCH(Table2[[#This Row],[mood]], "Tired", 3, "Neutral", 2, "Happy", 1)</f>
        <v>3</v>
      </c>
    </row>
    <row r="132" spans="1:16" x14ac:dyDescent="0.3">
      <c r="A132">
        <v>1014</v>
      </c>
      <c r="B132" s="1">
        <v>42135</v>
      </c>
      <c r="C132">
        <v>34</v>
      </c>
      <c r="D132" t="s">
        <v>20</v>
      </c>
      <c r="E132">
        <v>172.9</v>
      </c>
      <c r="F132">
        <v>76.400000000000006</v>
      </c>
      <c r="G132">
        <v>9577</v>
      </c>
      <c r="H132">
        <v>590.9</v>
      </c>
      <c r="I132">
        <v>5.0999999999999996</v>
      </c>
      <c r="J132">
        <v>67</v>
      </c>
      <c r="K132" t="s">
        <v>25</v>
      </c>
      <c r="L132">
        <v>56</v>
      </c>
      <c r="M132">
        <v>2.68</v>
      </c>
      <c r="N132">
        <v>7</v>
      </c>
      <c r="O132" t="s">
        <v>21</v>
      </c>
      <c r="P132" cm="1">
        <f t="array" ref="P132">_xlfn.SWITCH(Table2[[#This Row],[mood]], "Tired", 3, "Neutral", 2, "Happy", 1)</f>
        <v>1</v>
      </c>
    </row>
    <row r="133" spans="1:16" x14ac:dyDescent="0.3">
      <c r="A133">
        <v>1812</v>
      </c>
      <c r="B133" s="1">
        <v>42136</v>
      </c>
      <c r="C133">
        <v>58</v>
      </c>
      <c r="D133" t="s">
        <v>15</v>
      </c>
      <c r="E133">
        <v>171.4</v>
      </c>
      <c r="F133">
        <v>56</v>
      </c>
      <c r="G133">
        <v>9712</v>
      </c>
      <c r="H133">
        <v>530.70000000000005</v>
      </c>
      <c r="I133">
        <v>5.3</v>
      </c>
      <c r="J133">
        <v>89</v>
      </c>
      <c r="K133" t="s">
        <v>23</v>
      </c>
      <c r="L133">
        <v>42</v>
      </c>
      <c r="M133">
        <v>2.95</v>
      </c>
      <c r="N133">
        <v>9</v>
      </c>
      <c r="O133" t="s">
        <v>21</v>
      </c>
      <c r="P133" cm="1">
        <f t="array" ref="P133">_xlfn.SWITCH(Table2[[#This Row],[mood]], "Tired", 3, "Neutral", 2, "Happy", 1)</f>
        <v>1</v>
      </c>
    </row>
    <row r="134" spans="1:16" x14ac:dyDescent="0.3">
      <c r="A134">
        <v>1064</v>
      </c>
      <c r="B134" s="1">
        <v>42137</v>
      </c>
      <c r="C134">
        <v>51</v>
      </c>
      <c r="D134" t="s">
        <v>20</v>
      </c>
      <c r="E134">
        <v>164.6</v>
      </c>
      <c r="F134">
        <v>52.7</v>
      </c>
      <c r="G134">
        <v>7763</v>
      </c>
      <c r="H134">
        <v>547.1</v>
      </c>
      <c r="I134">
        <v>5.8</v>
      </c>
      <c r="J134">
        <v>68</v>
      </c>
      <c r="K134" t="s">
        <v>22</v>
      </c>
      <c r="L134">
        <v>59</v>
      </c>
      <c r="M134">
        <v>1.68</v>
      </c>
      <c r="N134">
        <v>8</v>
      </c>
      <c r="O134" t="s">
        <v>17</v>
      </c>
      <c r="P134" cm="1">
        <f t="array" ref="P134">_xlfn.SWITCH(Table2[[#This Row],[mood]], "Tired", 3, "Neutral", 2, "Happy", 1)</f>
        <v>3</v>
      </c>
    </row>
    <row r="135" spans="1:16" x14ac:dyDescent="0.3">
      <c r="A135">
        <v>1856</v>
      </c>
      <c r="B135" s="1">
        <v>42138</v>
      </c>
      <c r="C135">
        <v>22</v>
      </c>
      <c r="D135" t="s">
        <v>15</v>
      </c>
      <c r="E135">
        <v>166.2</v>
      </c>
      <c r="F135">
        <v>50.8</v>
      </c>
      <c r="G135">
        <v>13164</v>
      </c>
      <c r="H135">
        <v>748</v>
      </c>
      <c r="I135">
        <v>5.0999999999999996</v>
      </c>
      <c r="J135">
        <v>83</v>
      </c>
      <c r="K135" t="s">
        <v>22</v>
      </c>
      <c r="L135">
        <v>62</v>
      </c>
      <c r="M135">
        <v>1.23</v>
      </c>
      <c r="N135">
        <v>8</v>
      </c>
      <c r="O135" t="s">
        <v>19</v>
      </c>
      <c r="P135" cm="1">
        <f t="array" ref="P135">_xlfn.SWITCH(Table2[[#This Row],[mood]], "Tired", 3, "Neutral", 2, "Happy", 1)</f>
        <v>2</v>
      </c>
    </row>
    <row r="136" spans="1:16" x14ac:dyDescent="0.3">
      <c r="A136">
        <v>1838</v>
      </c>
      <c r="B136" s="1">
        <v>42139</v>
      </c>
      <c r="C136">
        <v>44</v>
      </c>
      <c r="D136" t="s">
        <v>20</v>
      </c>
      <c r="E136">
        <v>176.3</v>
      </c>
      <c r="F136">
        <v>63.7</v>
      </c>
      <c r="G136">
        <v>6217</v>
      </c>
      <c r="H136">
        <v>406.9</v>
      </c>
      <c r="I136">
        <v>8.8000000000000007</v>
      </c>
      <c r="J136">
        <v>86</v>
      </c>
      <c r="K136" t="s">
        <v>18</v>
      </c>
      <c r="L136">
        <v>23</v>
      </c>
      <c r="M136">
        <v>1.94</v>
      </c>
      <c r="N136">
        <v>3</v>
      </c>
      <c r="O136" t="s">
        <v>19</v>
      </c>
      <c r="P136" cm="1">
        <f t="array" ref="P136">_xlfn.SWITCH(Table2[[#This Row],[mood]], "Tired", 3, "Neutral", 2, "Happy", 1)</f>
        <v>2</v>
      </c>
    </row>
    <row r="137" spans="1:16" x14ac:dyDescent="0.3">
      <c r="A137">
        <v>1520</v>
      </c>
      <c r="B137" s="1">
        <v>42140</v>
      </c>
      <c r="C137">
        <v>40</v>
      </c>
      <c r="D137" t="s">
        <v>15</v>
      </c>
      <c r="E137">
        <v>166.9</v>
      </c>
      <c r="F137">
        <v>100.9</v>
      </c>
      <c r="G137">
        <v>17272</v>
      </c>
      <c r="H137">
        <v>900</v>
      </c>
      <c r="I137">
        <v>7.1</v>
      </c>
      <c r="J137">
        <v>84</v>
      </c>
      <c r="K137" t="s">
        <v>18</v>
      </c>
      <c r="L137">
        <v>34</v>
      </c>
      <c r="M137">
        <v>2.8</v>
      </c>
      <c r="N137">
        <v>1</v>
      </c>
      <c r="O137" t="s">
        <v>21</v>
      </c>
      <c r="P137" cm="1">
        <f t="array" ref="P137">_xlfn.SWITCH(Table2[[#This Row],[mood]], "Tired", 3, "Neutral", 2, "Happy", 1)</f>
        <v>1</v>
      </c>
    </row>
    <row r="138" spans="1:16" x14ac:dyDescent="0.3">
      <c r="A138">
        <v>1343</v>
      </c>
      <c r="B138" s="1">
        <v>42141</v>
      </c>
      <c r="C138">
        <v>57</v>
      </c>
      <c r="D138" t="s">
        <v>20</v>
      </c>
      <c r="E138">
        <v>168.4</v>
      </c>
      <c r="F138">
        <v>64</v>
      </c>
      <c r="G138">
        <v>13734</v>
      </c>
      <c r="H138">
        <v>766.2</v>
      </c>
      <c r="I138">
        <v>8.1</v>
      </c>
      <c r="J138">
        <v>73</v>
      </c>
      <c r="K138" t="s">
        <v>24</v>
      </c>
      <c r="L138">
        <v>42</v>
      </c>
      <c r="M138">
        <v>3.87</v>
      </c>
      <c r="N138">
        <v>1</v>
      </c>
      <c r="O138" t="s">
        <v>17</v>
      </c>
      <c r="P138" cm="1">
        <f t="array" ref="P138">_xlfn.SWITCH(Table2[[#This Row],[mood]], "Tired", 3, "Neutral", 2, "Happy", 1)</f>
        <v>3</v>
      </c>
    </row>
    <row r="139" spans="1:16" x14ac:dyDescent="0.3">
      <c r="A139">
        <v>1128</v>
      </c>
      <c r="B139" s="1">
        <v>42142</v>
      </c>
      <c r="C139">
        <v>31</v>
      </c>
      <c r="D139" t="s">
        <v>15</v>
      </c>
      <c r="E139">
        <v>169.7</v>
      </c>
      <c r="F139">
        <v>75.5</v>
      </c>
      <c r="G139">
        <v>12353</v>
      </c>
      <c r="H139">
        <v>662.9</v>
      </c>
      <c r="I139">
        <v>7.8</v>
      </c>
      <c r="J139">
        <v>71</v>
      </c>
      <c r="K139" t="s">
        <v>23</v>
      </c>
      <c r="L139">
        <v>31</v>
      </c>
      <c r="M139">
        <v>1.78</v>
      </c>
      <c r="N139">
        <v>10</v>
      </c>
      <c r="O139" t="s">
        <v>17</v>
      </c>
      <c r="P139" cm="1">
        <f t="array" ref="P139">_xlfn.SWITCH(Table2[[#This Row],[mood]], "Tired", 3, "Neutral", 2, "Happy", 1)</f>
        <v>3</v>
      </c>
    </row>
    <row r="140" spans="1:16" x14ac:dyDescent="0.3">
      <c r="A140">
        <v>1647</v>
      </c>
      <c r="B140" s="1">
        <v>42143</v>
      </c>
      <c r="C140">
        <v>32</v>
      </c>
      <c r="D140" t="s">
        <v>20</v>
      </c>
      <c r="E140">
        <v>164.1</v>
      </c>
      <c r="F140">
        <v>78.400000000000006</v>
      </c>
      <c r="G140">
        <v>4501</v>
      </c>
      <c r="H140">
        <v>379.9</v>
      </c>
      <c r="I140">
        <v>6.7</v>
      </c>
      <c r="J140">
        <v>66</v>
      </c>
      <c r="K140" t="s">
        <v>18</v>
      </c>
      <c r="L140">
        <v>87</v>
      </c>
      <c r="M140">
        <v>2.4300000000000002</v>
      </c>
      <c r="N140">
        <v>2</v>
      </c>
      <c r="O140" t="s">
        <v>19</v>
      </c>
      <c r="P140" cm="1">
        <f t="array" ref="P140">_xlfn.SWITCH(Table2[[#This Row],[mood]], "Tired", 3, "Neutral", 2, "Happy", 1)</f>
        <v>2</v>
      </c>
    </row>
    <row r="141" spans="1:16" x14ac:dyDescent="0.3">
      <c r="A141">
        <v>1471</v>
      </c>
      <c r="B141" s="1">
        <v>42144</v>
      </c>
      <c r="C141">
        <v>50</v>
      </c>
      <c r="D141" t="s">
        <v>20</v>
      </c>
      <c r="E141">
        <v>169.3</v>
      </c>
      <c r="F141">
        <v>53.6</v>
      </c>
      <c r="G141">
        <v>14530</v>
      </c>
      <c r="H141">
        <v>762.8</v>
      </c>
      <c r="I141">
        <v>8.4</v>
      </c>
      <c r="J141">
        <v>57</v>
      </c>
      <c r="K141" t="s">
        <v>16</v>
      </c>
      <c r="L141">
        <v>0</v>
      </c>
      <c r="M141">
        <v>1.98</v>
      </c>
      <c r="N141">
        <v>8</v>
      </c>
      <c r="O141" t="s">
        <v>17</v>
      </c>
      <c r="P141" cm="1">
        <f t="array" ref="P141">_xlfn.SWITCH(Table2[[#This Row],[mood]], "Tired", 3, "Neutral", 2, "Happy", 1)</f>
        <v>3</v>
      </c>
    </row>
    <row r="142" spans="1:16" x14ac:dyDescent="0.3">
      <c r="A142">
        <v>1062</v>
      </c>
      <c r="B142" s="1">
        <v>42145</v>
      </c>
      <c r="C142">
        <v>48</v>
      </c>
      <c r="D142" t="s">
        <v>20</v>
      </c>
      <c r="E142">
        <v>150</v>
      </c>
      <c r="F142">
        <v>63.5</v>
      </c>
      <c r="G142">
        <v>13394</v>
      </c>
      <c r="H142">
        <v>813</v>
      </c>
      <c r="I142">
        <v>6.3</v>
      </c>
      <c r="J142">
        <v>83</v>
      </c>
      <c r="K142" t="s">
        <v>18</v>
      </c>
      <c r="L142">
        <v>71</v>
      </c>
      <c r="M142">
        <v>2.4900000000000002</v>
      </c>
      <c r="N142">
        <v>10</v>
      </c>
      <c r="O142" t="s">
        <v>17</v>
      </c>
      <c r="P142" cm="1">
        <f t="array" ref="P142">_xlfn.SWITCH(Table2[[#This Row],[mood]], "Tired", 3, "Neutral", 2, "Happy", 1)</f>
        <v>3</v>
      </c>
    </row>
    <row r="143" spans="1:16" x14ac:dyDescent="0.3">
      <c r="A143">
        <v>1138</v>
      </c>
      <c r="B143" s="1">
        <v>42146</v>
      </c>
      <c r="C143">
        <v>52</v>
      </c>
      <c r="D143" t="s">
        <v>20</v>
      </c>
      <c r="E143">
        <v>175.5</v>
      </c>
      <c r="F143">
        <v>79.400000000000006</v>
      </c>
      <c r="G143">
        <v>2499</v>
      </c>
      <c r="H143">
        <v>346.6</v>
      </c>
      <c r="I143">
        <v>6.7</v>
      </c>
      <c r="J143">
        <v>82</v>
      </c>
      <c r="K143" t="s">
        <v>16</v>
      </c>
      <c r="L143">
        <v>0</v>
      </c>
      <c r="M143">
        <v>1.1499999999999999</v>
      </c>
      <c r="N143">
        <v>6</v>
      </c>
      <c r="O143" t="s">
        <v>21</v>
      </c>
      <c r="P143" cm="1">
        <f t="array" ref="P143">_xlfn.SWITCH(Table2[[#This Row],[mood]], "Tired", 3, "Neutral", 2, "Happy", 1)</f>
        <v>1</v>
      </c>
    </row>
    <row r="144" spans="1:16" x14ac:dyDescent="0.3">
      <c r="A144">
        <v>1498</v>
      </c>
      <c r="B144" s="1">
        <v>42147</v>
      </c>
      <c r="C144">
        <v>34</v>
      </c>
      <c r="D144" t="s">
        <v>20</v>
      </c>
      <c r="E144">
        <v>193.5</v>
      </c>
      <c r="F144">
        <v>76.400000000000006</v>
      </c>
      <c r="G144">
        <v>10669</v>
      </c>
      <c r="H144">
        <v>649.5</v>
      </c>
      <c r="I144">
        <v>5.9</v>
      </c>
      <c r="J144">
        <v>80</v>
      </c>
      <c r="K144" t="s">
        <v>18</v>
      </c>
      <c r="L144">
        <v>78</v>
      </c>
      <c r="M144">
        <v>3.55</v>
      </c>
      <c r="N144">
        <v>6</v>
      </c>
      <c r="O144" t="s">
        <v>21</v>
      </c>
      <c r="P144" cm="1">
        <f t="array" ref="P144">_xlfn.SWITCH(Table2[[#This Row],[mood]], "Tired", 3, "Neutral", 2, "Happy", 1)</f>
        <v>1</v>
      </c>
    </row>
    <row r="145" spans="1:16" x14ac:dyDescent="0.3">
      <c r="A145">
        <v>1592</v>
      </c>
      <c r="B145" s="1">
        <v>42148</v>
      </c>
      <c r="C145">
        <v>45</v>
      </c>
      <c r="D145" t="s">
        <v>20</v>
      </c>
      <c r="E145">
        <v>164.5</v>
      </c>
      <c r="F145">
        <v>45</v>
      </c>
      <c r="G145">
        <v>11519</v>
      </c>
      <c r="H145">
        <v>746.6</v>
      </c>
      <c r="I145">
        <v>9.1</v>
      </c>
      <c r="J145">
        <v>50</v>
      </c>
      <c r="K145" t="s">
        <v>25</v>
      </c>
      <c r="L145">
        <v>77</v>
      </c>
      <c r="M145">
        <v>2.52</v>
      </c>
      <c r="N145">
        <v>1</v>
      </c>
      <c r="O145" t="s">
        <v>19</v>
      </c>
      <c r="P145" cm="1">
        <f t="array" ref="P145">_xlfn.SWITCH(Table2[[#This Row],[mood]], "Tired", 3, "Neutral", 2, "Happy", 1)</f>
        <v>2</v>
      </c>
    </row>
    <row r="146" spans="1:16" x14ac:dyDescent="0.3">
      <c r="A146">
        <v>1391</v>
      </c>
      <c r="B146" s="1">
        <v>42149</v>
      </c>
      <c r="C146">
        <v>36</v>
      </c>
      <c r="D146" t="s">
        <v>15</v>
      </c>
      <c r="E146">
        <v>173.7</v>
      </c>
      <c r="F146">
        <v>78.900000000000006</v>
      </c>
      <c r="G146">
        <v>14239</v>
      </c>
      <c r="H146">
        <v>717.6</v>
      </c>
      <c r="I146">
        <v>6.8</v>
      </c>
      <c r="J146">
        <v>73</v>
      </c>
      <c r="K146" t="s">
        <v>18</v>
      </c>
      <c r="L146">
        <v>78</v>
      </c>
      <c r="M146">
        <v>3.14</v>
      </c>
      <c r="N146">
        <v>2</v>
      </c>
      <c r="O146" t="s">
        <v>19</v>
      </c>
      <c r="P146" cm="1">
        <f t="array" ref="P146">_xlfn.SWITCH(Table2[[#This Row],[mood]], "Tired", 3, "Neutral", 2, "Happy", 1)</f>
        <v>2</v>
      </c>
    </row>
    <row r="147" spans="1:16" x14ac:dyDescent="0.3">
      <c r="A147">
        <v>1674</v>
      </c>
      <c r="B147" s="1">
        <v>42150</v>
      </c>
      <c r="C147">
        <v>40</v>
      </c>
      <c r="D147" t="s">
        <v>20</v>
      </c>
      <c r="E147">
        <v>178.5</v>
      </c>
      <c r="F147">
        <v>61.7</v>
      </c>
      <c r="G147">
        <v>19128</v>
      </c>
      <c r="H147">
        <v>900</v>
      </c>
      <c r="I147">
        <v>7.9</v>
      </c>
      <c r="J147">
        <v>81</v>
      </c>
      <c r="K147" t="s">
        <v>25</v>
      </c>
      <c r="L147">
        <v>42</v>
      </c>
      <c r="M147">
        <v>2.34</v>
      </c>
      <c r="N147">
        <v>5</v>
      </c>
      <c r="O147" t="s">
        <v>21</v>
      </c>
      <c r="P147" cm="1">
        <f t="array" ref="P147">_xlfn.SWITCH(Table2[[#This Row],[mood]], "Tired", 3, "Neutral", 2, "Happy", 1)</f>
        <v>1</v>
      </c>
    </row>
    <row r="148" spans="1:16" x14ac:dyDescent="0.3">
      <c r="A148">
        <v>1418</v>
      </c>
      <c r="B148" s="1">
        <v>42151</v>
      </c>
      <c r="C148">
        <v>49</v>
      </c>
      <c r="D148" t="s">
        <v>15</v>
      </c>
      <c r="E148">
        <v>182.8</v>
      </c>
      <c r="F148">
        <v>62.1</v>
      </c>
      <c r="G148">
        <v>3039</v>
      </c>
      <c r="H148">
        <v>348.9</v>
      </c>
      <c r="I148">
        <v>6.1</v>
      </c>
      <c r="J148">
        <v>88</v>
      </c>
      <c r="K148" t="s">
        <v>22</v>
      </c>
      <c r="L148">
        <v>20</v>
      </c>
      <c r="M148">
        <v>2.63</v>
      </c>
      <c r="N148">
        <v>3</v>
      </c>
      <c r="O148" t="s">
        <v>17</v>
      </c>
      <c r="P148" cm="1">
        <f t="array" ref="P148">_xlfn.SWITCH(Table2[[#This Row],[mood]], "Tired", 3, "Neutral", 2, "Happy", 1)</f>
        <v>3</v>
      </c>
    </row>
    <row r="149" spans="1:16" x14ac:dyDescent="0.3">
      <c r="A149">
        <v>1288</v>
      </c>
      <c r="B149" s="1">
        <v>42152</v>
      </c>
      <c r="C149">
        <v>57</v>
      </c>
      <c r="D149" t="s">
        <v>15</v>
      </c>
      <c r="E149">
        <v>167.4</v>
      </c>
      <c r="F149">
        <v>76.099999999999994</v>
      </c>
      <c r="G149">
        <v>9311</v>
      </c>
      <c r="H149">
        <v>560.9</v>
      </c>
      <c r="I149">
        <v>8.3000000000000007</v>
      </c>
      <c r="J149">
        <v>78</v>
      </c>
      <c r="K149" t="s">
        <v>24</v>
      </c>
      <c r="L149">
        <v>75</v>
      </c>
      <c r="M149">
        <v>3.29</v>
      </c>
      <c r="N149">
        <v>2</v>
      </c>
      <c r="O149" t="s">
        <v>17</v>
      </c>
      <c r="P149" cm="1">
        <f t="array" ref="P149">_xlfn.SWITCH(Table2[[#This Row],[mood]], "Tired", 3, "Neutral", 2, "Happy", 1)</f>
        <v>3</v>
      </c>
    </row>
    <row r="150" spans="1:16" x14ac:dyDescent="0.3">
      <c r="A150">
        <v>1378</v>
      </c>
      <c r="B150" s="1">
        <v>42153</v>
      </c>
      <c r="C150">
        <v>30</v>
      </c>
      <c r="D150" t="s">
        <v>15</v>
      </c>
      <c r="E150">
        <v>152</v>
      </c>
      <c r="F150">
        <v>92.8</v>
      </c>
      <c r="G150">
        <v>4857</v>
      </c>
      <c r="H150">
        <v>383</v>
      </c>
      <c r="I150">
        <v>8.1999999999999993</v>
      </c>
      <c r="J150">
        <v>77</v>
      </c>
      <c r="K150" t="s">
        <v>23</v>
      </c>
      <c r="L150">
        <v>23</v>
      </c>
      <c r="M150">
        <v>2.59</v>
      </c>
      <c r="N150">
        <v>9</v>
      </c>
      <c r="O150" t="s">
        <v>21</v>
      </c>
      <c r="P150" cm="1">
        <f t="array" ref="P150">_xlfn.SWITCH(Table2[[#This Row],[mood]], "Tired", 3, "Neutral", 2, "Happy", 1)</f>
        <v>1</v>
      </c>
    </row>
    <row r="151" spans="1:16" x14ac:dyDescent="0.3">
      <c r="A151">
        <v>1772</v>
      </c>
      <c r="B151" s="1">
        <v>42154</v>
      </c>
      <c r="C151">
        <v>37</v>
      </c>
      <c r="D151" t="s">
        <v>15</v>
      </c>
      <c r="E151">
        <v>172.7</v>
      </c>
      <c r="F151">
        <v>67</v>
      </c>
      <c r="G151">
        <v>5950</v>
      </c>
      <c r="H151">
        <v>484.2</v>
      </c>
      <c r="I151">
        <v>4.5999999999999996</v>
      </c>
      <c r="J151">
        <v>68</v>
      </c>
      <c r="K151" t="s">
        <v>18</v>
      </c>
      <c r="L151">
        <v>48</v>
      </c>
      <c r="M151">
        <v>2.62</v>
      </c>
      <c r="N151">
        <v>10</v>
      </c>
      <c r="O151" t="s">
        <v>21</v>
      </c>
      <c r="P151" cm="1">
        <f t="array" ref="P151">_xlfn.SWITCH(Table2[[#This Row],[mood]], "Tired", 3, "Neutral", 2, "Happy", 1)</f>
        <v>1</v>
      </c>
    </row>
    <row r="152" spans="1:16" x14ac:dyDescent="0.3">
      <c r="A152">
        <v>1489</v>
      </c>
      <c r="B152" s="1">
        <v>42155</v>
      </c>
      <c r="C152">
        <v>52</v>
      </c>
      <c r="D152" t="s">
        <v>15</v>
      </c>
      <c r="E152">
        <v>171.3</v>
      </c>
      <c r="F152">
        <v>87.7</v>
      </c>
      <c r="G152">
        <v>16441</v>
      </c>
      <c r="H152">
        <v>900</v>
      </c>
      <c r="I152">
        <v>7</v>
      </c>
      <c r="J152">
        <v>79</v>
      </c>
      <c r="K152" t="s">
        <v>25</v>
      </c>
      <c r="L152">
        <v>36</v>
      </c>
      <c r="M152">
        <v>1.94</v>
      </c>
      <c r="N152">
        <v>7</v>
      </c>
      <c r="O152" t="s">
        <v>21</v>
      </c>
      <c r="P152" cm="1">
        <f t="array" ref="P152">_xlfn.SWITCH(Table2[[#This Row],[mood]], "Tired", 3, "Neutral", 2, "Happy", 1)</f>
        <v>1</v>
      </c>
    </row>
    <row r="153" spans="1:16" x14ac:dyDescent="0.3">
      <c r="A153">
        <v>1230</v>
      </c>
      <c r="B153" s="1">
        <v>42156</v>
      </c>
      <c r="C153">
        <v>22</v>
      </c>
      <c r="D153" t="s">
        <v>20</v>
      </c>
      <c r="E153">
        <v>166.5</v>
      </c>
      <c r="F153">
        <v>48.4</v>
      </c>
      <c r="G153">
        <v>13735</v>
      </c>
      <c r="H153">
        <v>678.3</v>
      </c>
      <c r="I153">
        <v>7.2</v>
      </c>
      <c r="J153">
        <v>73</v>
      </c>
      <c r="K153" t="s">
        <v>18</v>
      </c>
      <c r="L153">
        <v>68</v>
      </c>
      <c r="M153">
        <v>2.13</v>
      </c>
      <c r="N153">
        <v>1</v>
      </c>
      <c r="O153" t="s">
        <v>21</v>
      </c>
      <c r="P153" cm="1">
        <f t="array" ref="P153">_xlfn.SWITCH(Table2[[#This Row],[mood]], "Tired", 3, "Neutral", 2, "Happy", 1)</f>
        <v>1</v>
      </c>
    </row>
    <row r="154" spans="1:16" x14ac:dyDescent="0.3">
      <c r="A154">
        <v>1040</v>
      </c>
      <c r="B154" s="1">
        <v>42157</v>
      </c>
      <c r="C154">
        <v>26</v>
      </c>
      <c r="D154" t="s">
        <v>20</v>
      </c>
      <c r="E154">
        <v>168.7</v>
      </c>
      <c r="F154">
        <v>72</v>
      </c>
      <c r="G154">
        <v>2743</v>
      </c>
      <c r="H154">
        <v>400.5</v>
      </c>
      <c r="I154">
        <v>6.6</v>
      </c>
      <c r="J154">
        <v>68</v>
      </c>
      <c r="K154" t="s">
        <v>18</v>
      </c>
      <c r="L154">
        <v>70</v>
      </c>
      <c r="M154">
        <v>1.79</v>
      </c>
      <c r="N154">
        <v>1</v>
      </c>
      <c r="O154" t="s">
        <v>17</v>
      </c>
      <c r="P154" cm="1">
        <f t="array" ref="P154">_xlfn.SWITCH(Table2[[#This Row],[mood]], "Tired", 3, "Neutral", 2, "Happy", 1)</f>
        <v>3</v>
      </c>
    </row>
    <row r="155" spans="1:16" x14ac:dyDescent="0.3">
      <c r="A155">
        <v>1027</v>
      </c>
      <c r="B155" s="1">
        <v>42158</v>
      </c>
      <c r="C155">
        <v>46</v>
      </c>
      <c r="D155" t="s">
        <v>20</v>
      </c>
      <c r="E155">
        <v>171.4</v>
      </c>
      <c r="F155">
        <v>61.9</v>
      </c>
      <c r="G155">
        <v>14283</v>
      </c>
      <c r="H155">
        <v>828.5</v>
      </c>
      <c r="I155">
        <v>9.1</v>
      </c>
      <c r="J155">
        <v>63</v>
      </c>
      <c r="K155" t="s">
        <v>25</v>
      </c>
      <c r="L155">
        <v>68</v>
      </c>
      <c r="M155">
        <v>1.98</v>
      </c>
      <c r="N155">
        <v>3</v>
      </c>
      <c r="O155" t="s">
        <v>17</v>
      </c>
      <c r="P155" cm="1">
        <f t="array" ref="P155">_xlfn.SWITCH(Table2[[#This Row],[mood]], "Tired", 3, "Neutral", 2, "Happy", 1)</f>
        <v>3</v>
      </c>
    </row>
    <row r="156" spans="1:16" x14ac:dyDescent="0.3">
      <c r="A156">
        <v>1134</v>
      </c>
      <c r="B156" s="1">
        <v>42159</v>
      </c>
      <c r="C156">
        <v>23</v>
      </c>
      <c r="D156" t="s">
        <v>15</v>
      </c>
      <c r="E156">
        <v>173.6</v>
      </c>
      <c r="F156">
        <v>74.2</v>
      </c>
      <c r="G156">
        <v>10638</v>
      </c>
      <c r="H156">
        <v>611.4</v>
      </c>
      <c r="I156">
        <v>5.2</v>
      </c>
      <c r="J156">
        <v>66</v>
      </c>
      <c r="K156" t="s">
        <v>18</v>
      </c>
      <c r="L156">
        <v>43</v>
      </c>
      <c r="M156">
        <v>3.38</v>
      </c>
      <c r="N156">
        <v>10</v>
      </c>
      <c r="O156" t="s">
        <v>19</v>
      </c>
      <c r="P156" cm="1">
        <f t="array" ref="P156">_xlfn.SWITCH(Table2[[#This Row],[mood]], "Tired", 3, "Neutral", 2, "Happy", 1)</f>
        <v>2</v>
      </c>
    </row>
    <row r="157" spans="1:16" x14ac:dyDescent="0.3">
      <c r="A157">
        <v>1200</v>
      </c>
      <c r="B157" s="1">
        <v>42160</v>
      </c>
      <c r="C157">
        <v>42</v>
      </c>
      <c r="D157" t="s">
        <v>20</v>
      </c>
      <c r="E157">
        <v>173.2</v>
      </c>
      <c r="F157">
        <v>65.599999999999994</v>
      </c>
      <c r="G157">
        <v>4616</v>
      </c>
      <c r="H157">
        <v>345.1</v>
      </c>
      <c r="I157">
        <v>6.3</v>
      </c>
      <c r="J157">
        <v>78</v>
      </c>
      <c r="K157" t="s">
        <v>23</v>
      </c>
      <c r="L157">
        <v>63</v>
      </c>
      <c r="M157">
        <v>3.77</v>
      </c>
      <c r="N157">
        <v>6</v>
      </c>
      <c r="O157" t="s">
        <v>21</v>
      </c>
      <c r="P157" cm="1">
        <f t="array" ref="P157">_xlfn.SWITCH(Table2[[#This Row],[mood]], "Tired", 3, "Neutral", 2, "Happy", 1)</f>
        <v>1</v>
      </c>
    </row>
    <row r="158" spans="1:16" x14ac:dyDescent="0.3">
      <c r="A158">
        <v>1839</v>
      </c>
      <c r="B158" s="1">
        <v>42161</v>
      </c>
      <c r="C158">
        <v>48</v>
      </c>
      <c r="D158" t="s">
        <v>20</v>
      </c>
      <c r="E158">
        <v>167.8</v>
      </c>
      <c r="F158">
        <v>49.9</v>
      </c>
      <c r="G158">
        <v>16383</v>
      </c>
      <c r="H158">
        <v>900</v>
      </c>
      <c r="I158">
        <v>5.7</v>
      </c>
      <c r="J158">
        <v>61</v>
      </c>
      <c r="K158" t="s">
        <v>16</v>
      </c>
      <c r="L158">
        <v>0</v>
      </c>
      <c r="M158">
        <v>1.63</v>
      </c>
      <c r="N158">
        <v>2</v>
      </c>
      <c r="O158" t="s">
        <v>19</v>
      </c>
      <c r="P158" cm="1">
        <f t="array" ref="P158">_xlfn.SWITCH(Table2[[#This Row],[mood]], "Tired", 3, "Neutral", 2, "Happy", 1)</f>
        <v>2</v>
      </c>
    </row>
    <row r="159" spans="1:16" x14ac:dyDescent="0.3">
      <c r="A159">
        <v>1779</v>
      </c>
      <c r="B159" s="1">
        <v>42162</v>
      </c>
      <c r="C159">
        <v>39</v>
      </c>
      <c r="D159" t="s">
        <v>20</v>
      </c>
      <c r="E159">
        <v>173.8</v>
      </c>
      <c r="F159">
        <v>56.7</v>
      </c>
      <c r="G159">
        <v>4894</v>
      </c>
      <c r="H159">
        <v>420.6</v>
      </c>
      <c r="I159">
        <v>8.5</v>
      </c>
      <c r="J159">
        <v>72</v>
      </c>
      <c r="K159" t="s">
        <v>16</v>
      </c>
      <c r="L159">
        <v>0</v>
      </c>
      <c r="M159">
        <v>2.78</v>
      </c>
      <c r="N159">
        <v>8</v>
      </c>
      <c r="O159" t="s">
        <v>17</v>
      </c>
      <c r="P159" cm="1">
        <f t="array" ref="P159">_xlfn.SWITCH(Table2[[#This Row],[mood]], "Tired", 3, "Neutral", 2, "Happy", 1)</f>
        <v>3</v>
      </c>
    </row>
    <row r="160" spans="1:16" x14ac:dyDescent="0.3">
      <c r="A160">
        <v>1929</v>
      </c>
      <c r="B160" s="1">
        <v>42163</v>
      </c>
      <c r="C160">
        <v>19</v>
      </c>
      <c r="D160" t="s">
        <v>20</v>
      </c>
      <c r="E160">
        <v>167.1</v>
      </c>
      <c r="F160">
        <v>45.4</v>
      </c>
      <c r="G160">
        <v>19108</v>
      </c>
      <c r="H160">
        <v>900</v>
      </c>
      <c r="I160">
        <v>5.5</v>
      </c>
      <c r="J160">
        <v>88</v>
      </c>
      <c r="K160" t="s">
        <v>16</v>
      </c>
      <c r="L160">
        <v>0</v>
      </c>
      <c r="M160">
        <v>2.2799999999999998</v>
      </c>
      <c r="N160">
        <v>4</v>
      </c>
      <c r="O160" t="s">
        <v>19</v>
      </c>
      <c r="P160" cm="1">
        <f t="array" ref="P160">_xlfn.SWITCH(Table2[[#This Row],[mood]], "Tired", 3, "Neutral", 2, "Happy", 1)</f>
        <v>2</v>
      </c>
    </row>
    <row r="161" spans="1:16" x14ac:dyDescent="0.3">
      <c r="A161">
        <v>1032</v>
      </c>
      <c r="B161" s="1">
        <v>42164</v>
      </c>
      <c r="C161">
        <v>22</v>
      </c>
      <c r="D161" t="s">
        <v>20</v>
      </c>
      <c r="E161">
        <v>176.4</v>
      </c>
      <c r="F161">
        <v>50.4</v>
      </c>
      <c r="G161">
        <v>7227</v>
      </c>
      <c r="H161">
        <v>517.6</v>
      </c>
      <c r="I161">
        <v>4.3</v>
      </c>
      <c r="J161">
        <v>61</v>
      </c>
      <c r="K161" t="s">
        <v>16</v>
      </c>
      <c r="L161">
        <v>0</v>
      </c>
      <c r="M161">
        <v>3.48</v>
      </c>
      <c r="N161">
        <v>8</v>
      </c>
      <c r="O161" t="s">
        <v>17</v>
      </c>
      <c r="P161" cm="1">
        <f t="array" ref="P161">_xlfn.SWITCH(Table2[[#This Row],[mood]], "Tired", 3, "Neutral", 2, "Happy", 1)</f>
        <v>3</v>
      </c>
    </row>
    <row r="162" spans="1:16" x14ac:dyDescent="0.3">
      <c r="A162">
        <v>1047</v>
      </c>
      <c r="B162" s="1">
        <v>42165</v>
      </c>
      <c r="C162">
        <v>44</v>
      </c>
      <c r="D162" t="s">
        <v>15</v>
      </c>
      <c r="E162">
        <v>163.69999999999999</v>
      </c>
      <c r="F162">
        <v>77.2</v>
      </c>
      <c r="G162">
        <v>11464</v>
      </c>
      <c r="H162">
        <v>719.3</v>
      </c>
      <c r="I162">
        <v>7.6</v>
      </c>
      <c r="J162">
        <v>79</v>
      </c>
      <c r="K162" t="s">
        <v>22</v>
      </c>
      <c r="L162">
        <v>50</v>
      </c>
      <c r="M162">
        <v>2.59</v>
      </c>
      <c r="N162">
        <v>7</v>
      </c>
      <c r="O162" t="s">
        <v>17</v>
      </c>
      <c r="P162" cm="1">
        <f t="array" ref="P162">_xlfn.SWITCH(Table2[[#This Row],[mood]], "Tired", 3, "Neutral", 2, "Happy", 1)</f>
        <v>3</v>
      </c>
    </row>
    <row r="163" spans="1:16" x14ac:dyDescent="0.3">
      <c r="A163">
        <v>1502</v>
      </c>
      <c r="B163" s="1">
        <v>42166</v>
      </c>
      <c r="C163">
        <v>42</v>
      </c>
      <c r="D163" t="s">
        <v>20</v>
      </c>
      <c r="E163">
        <v>170.7</v>
      </c>
      <c r="F163">
        <v>66.2</v>
      </c>
      <c r="G163">
        <v>8847</v>
      </c>
      <c r="H163">
        <v>596.70000000000005</v>
      </c>
      <c r="I163">
        <v>6.8</v>
      </c>
      <c r="J163">
        <v>80</v>
      </c>
      <c r="K163" t="s">
        <v>24</v>
      </c>
      <c r="L163">
        <v>35</v>
      </c>
      <c r="M163">
        <v>2.4900000000000002</v>
      </c>
      <c r="N163">
        <v>2</v>
      </c>
      <c r="O163" t="s">
        <v>19</v>
      </c>
      <c r="P163" cm="1">
        <f t="array" ref="P163">_xlfn.SWITCH(Table2[[#This Row],[mood]], "Tired", 3, "Neutral", 2, "Happy", 1)</f>
        <v>2</v>
      </c>
    </row>
    <row r="164" spans="1:16" x14ac:dyDescent="0.3">
      <c r="A164">
        <v>1406</v>
      </c>
      <c r="B164" s="1">
        <v>42167</v>
      </c>
      <c r="C164">
        <v>25</v>
      </c>
      <c r="D164" t="s">
        <v>15</v>
      </c>
      <c r="E164">
        <v>153.80000000000001</v>
      </c>
      <c r="F164">
        <v>73.5</v>
      </c>
      <c r="G164">
        <v>5281</v>
      </c>
      <c r="H164">
        <v>384.5</v>
      </c>
      <c r="I164">
        <v>8.6</v>
      </c>
      <c r="J164">
        <v>72</v>
      </c>
      <c r="K164" t="s">
        <v>18</v>
      </c>
      <c r="L164">
        <v>51</v>
      </c>
      <c r="M164">
        <v>1.98</v>
      </c>
      <c r="N164">
        <v>9</v>
      </c>
      <c r="O164" t="s">
        <v>19</v>
      </c>
      <c r="P164" cm="1">
        <f t="array" ref="P164">_xlfn.SWITCH(Table2[[#This Row],[mood]], "Tired", 3, "Neutral", 2, "Happy", 1)</f>
        <v>2</v>
      </c>
    </row>
    <row r="165" spans="1:16" x14ac:dyDescent="0.3">
      <c r="A165">
        <v>1573</v>
      </c>
      <c r="B165" s="1">
        <v>42168</v>
      </c>
      <c r="C165">
        <v>18</v>
      </c>
      <c r="D165" t="s">
        <v>15</v>
      </c>
      <c r="E165">
        <v>166.3</v>
      </c>
      <c r="F165">
        <v>97.2</v>
      </c>
      <c r="G165">
        <v>19584</v>
      </c>
      <c r="H165">
        <v>900</v>
      </c>
      <c r="I165">
        <v>8.1999999999999993</v>
      </c>
      <c r="J165">
        <v>81</v>
      </c>
      <c r="K165" t="s">
        <v>25</v>
      </c>
      <c r="L165">
        <v>61</v>
      </c>
      <c r="M165">
        <v>1.43</v>
      </c>
      <c r="N165">
        <v>5</v>
      </c>
      <c r="O165" t="s">
        <v>21</v>
      </c>
      <c r="P165" cm="1">
        <f t="array" ref="P165">_xlfn.SWITCH(Table2[[#This Row],[mood]], "Tired", 3, "Neutral", 2, "Happy", 1)</f>
        <v>1</v>
      </c>
    </row>
    <row r="166" spans="1:16" x14ac:dyDescent="0.3">
      <c r="A166">
        <v>1727</v>
      </c>
      <c r="B166" s="1">
        <v>42169</v>
      </c>
      <c r="C166">
        <v>37</v>
      </c>
      <c r="D166" t="s">
        <v>15</v>
      </c>
      <c r="E166">
        <v>175.7</v>
      </c>
      <c r="F166">
        <v>65.599999999999994</v>
      </c>
      <c r="G166">
        <v>3143</v>
      </c>
      <c r="H166">
        <v>343.5</v>
      </c>
      <c r="I166">
        <v>6.9</v>
      </c>
      <c r="J166">
        <v>73</v>
      </c>
      <c r="K166" t="s">
        <v>23</v>
      </c>
      <c r="L166">
        <v>53</v>
      </c>
      <c r="M166">
        <v>3.03</v>
      </c>
      <c r="N166">
        <v>6</v>
      </c>
      <c r="O166" t="s">
        <v>17</v>
      </c>
      <c r="P166" cm="1">
        <f t="array" ref="P166">_xlfn.SWITCH(Table2[[#This Row],[mood]], "Tired", 3, "Neutral", 2, "Happy", 1)</f>
        <v>3</v>
      </c>
    </row>
    <row r="167" spans="1:16" x14ac:dyDescent="0.3">
      <c r="A167">
        <v>1804</v>
      </c>
      <c r="B167" s="1">
        <v>42170</v>
      </c>
      <c r="C167">
        <v>40</v>
      </c>
      <c r="D167" t="s">
        <v>15</v>
      </c>
      <c r="E167">
        <v>159.69999999999999</v>
      </c>
      <c r="F167">
        <v>79.5</v>
      </c>
      <c r="G167">
        <v>15780</v>
      </c>
      <c r="H167">
        <v>900</v>
      </c>
      <c r="I167">
        <v>4.8</v>
      </c>
      <c r="J167">
        <v>83</v>
      </c>
      <c r="K167" t="s">
        <v>18</v>
      </c>
      <c r="L167">
        <v>56</v>
      </c>
      <c r="M167">
        <v>2.75</v>
      </c>
      <c r="N167">
        <v>2</v>
      </c>
      <c r="O167" t="s">
        <v>21</v>
      </c>
      <c r="P167" cm="1">
        <f t="array" ref="P167">_xlfn.SWITCH(Table2[[#This Row],[mood]], "Tired", 3, "Neutral", 2, "Happy", 1)</f>
        <v>1</v>
      </c>
    </row>
    <row r="168" spans="1:16" x14ac:dyDescent="0.3">
      <c r="A168">
        <v>1098</v>
      </c>
      <c r="B168" s="1">
        <v>42171</v>
      </c>
      <c r="C168">
        <v>49</v>
      </c>
      <c r="D168" t="s">
        <v>15</v>
      </c>
      <c r="E168">
        <v>166.8</v>
      </c>
      <c r="F168">
        <v>70.400000000000006</v>
      </c>
      <c r="G168">
        <v>4181</v>
      </c>
      <c r="H168">
        <v>359.8</v>
      </c>
      <c r="I168">
        <v>5.2</v>
      </c>
      <c r="J168">
        <v>64</v>
      </c>
      <c r="K168" t="s">
        <v>22</v>
      </c>
      <c r="L168">
        <v>35</v>
      </c>
      <c r="M168">
        <v>2.76</v>
      </c>
      <c r="N168">
        <v>3</v>
      </c>
      <c r="O168" t="s">
        <v>21</v>
      </c>
      <c r="P168" cm="1">
        <f t="array" ref="P168">_xlfn.SWITCH(Table2[[#This Row],[mood]], "Tired", 3, "Neutral", 2, "Happy", 1)</f>
        <v>1</v>
      </c>
    </row>
    <row r="169" spans="1:16" x14ac:dyDescent="0.3">
      <c r="A169">
        <v>1683</v>
      </c>
      <c r="B169" s="1">
        <v>42172</v>
      </c>
      <c r="C169">
        <v>28</v>
      </c>
      <c r="D169" t="s">
        <v>20</v>
      </c>
      <c r="E169">
        <v>150</v>
      </c>
      <c r="F169">
        <v>111.4</v>
      </c>
      <c r="G169">
        <v>7520</v>
      </c>
      <c r="H169">
        <v>519</v>
      </c>
      <c r="I169">
        <v>4.3</v>
      </c>
      <c r="J169">
        <v>94</v>
      </c>
      <c r="K169" t="s">
        <v>22</v>
      </c>
      <c r="L169">
        <v>32</v>
      </c>
      <c r="M169">
        <v>2.08</v>
      </c>
      <c r="N169">
        <v>10</v>
      </c>
      <c r="O169" t="s">
        <v>17</v>
      </c>
      <c r="P169" cm="1">
        <f t="array" ref="P169">_xlfn.SWITCH(Table2[[#This Row],[mood]], "Tired", 3, "Neutral", 2, "Happy", 1)</f>
        <v>3</v>
      </c>
    </row>
    <row r="170" spans="1:16" x14ac:dyDescent="0.3">
      <c r="A170">
        <v>1871</v>
      </c>
      <c r="B170" s="1">
        <v>42173</v>
      </c>
      <c r="C170">
        <v>56</v>
      </c>
      <c r="D170" t="s">
        <v>20</v>
      </c>
      <c r="E170">
        <v>156.30000000000001</v>
      </c>
      <c r="F170">
        <v>45</v>
      </c>
      <c r="G170">
        <v>14052</v>
      </c>
      <c r="H170">
        <v>806.8</v>
      </c>
      <c r="I170">
        <v>6.8</v>
      </c>
      <c r="J170">
        <v>89</v>
      </c>
      <c r="K170" t="s">
        <v>25</v>
      </c>
      <c r="L170">
        <v>85</v>
      </c>
      <c r="M170">
        <v>2.4</v>
      </c>
      <c r="N170">
        <v>8</v>
      </c>
      <c r="O170" t="s">
        <v>19</v>
      </c>
      <c r="P170" cm="1">
        <f t="array" ref="P170">_xlfn.SWITCH(Table2[[#This Row],[mood]], "Tired", 3, "Neutral", 2, "Happy", 1)</f>
        <v>2</v>
      </c>
    </row>
    <row r="171" spans="1:16" x14ac:dyDescent="0.3">
      <c r="A171">
        <v>1725</v>
      </c>
      <c r="B171" s="1">
        <v>42174</v>
      </c>
      <c r="C171">
        <v>41</v>
      </c>
      <c r="D171" t="s">
        <v>20</v>
      </c>
      <c r="E171">
        <v>158.9</v>
      </c>
      <c r="F171">
        <v>59.2</v>
      </c>
      <c r="G171">
        <v>13271</v>
      </c>
      <c r="H171">
        <v>709.9</v>
      </c>
      <c r="I171">
        <v>6</v>
      </c>
      <c r="J171">
        <v>53</v>
      </c>
      <c r="K171" t="s">
        <v>18</v>
      </c>
      <c r="L171">
        <v>52</v>
      </c>
      <c r="M171">
        <v>3.05</v>
      </c>
      <c r="N171">
        <v>5</v>
      </c>
      <c r="O171" t="s">
        <v>21</v>
      </c>
      <c r="P171" cm="1">
        <f t="array" ref="P171">_xlfn.SWITCH(Table2[[#This Row],[mood]], "Tired", 3, "Neutral", 2, "Happy", 1)</f>
        <v>1</v>
      </c>
    </row>
    <row r="172" spans="1:16" x14ac:dyDescent="0.3">
      <c r="A172">
        <v>1986</v>
      </c>
      <c r="B172" s="1">
        <v>42175</v>
      </c>
      <c r="C172">
        <v>28</v>
      </c>
      <c r="D172" t="s">
        <v>15</v>
      </c>
      <c r="E172">
        <v>171</v>
      </c>
      <c r="F172">
        <v>79.8</v>
      </c>
      <c r="G172">
        <v>18480</v>
      </c>
      <c r="H172">
        <v>900</v>
      </c>
      <c r="I172">
        <v>6.7</v>
      </c>
      <c r="J172">
        <v>87</v>
      </c>
      <c r="K172" t="s">
        <v>16</v>
      </c>
      <c r="L172">
        <v>0</v>
      </c>
      <c r="M172">
        <v>3.19</v>
      </c>
      <c r="N172">
        <v>10</v>
      </c>
      <c r="O172" t="s">
        <v>21</v>
      </c>
      <c r="P172" cm="1">
        <f t="array" ref="P172">_xlfn.SWITCH(Table2[[#This Row],[mood]], "Tired", 3, "Neutral", 2, "Happy", 1)</f>
        <v>1</v>
      </c>
    </row>
    <row r="173" spans="1:16" x14ac:dyDescent="0.3">
      <c r="A173">
        <v>1546</v>
      </c>
      <c r="B173" s="1">
        <v>42176</v>
      </c>
      <c r="C173">
        <v>46</v>
      </c>
      <c r="D173" t="s">
        <v>20</v>
      </c>
      <c r="E173">
        <v>173.3</v>
      </c>
      <c r="F173">
        <v>58.7</v>
      </c>
      <c r="G173">
        <v>13499</v>
      </c>
      <c r="H173">
        <v>740.7</v>
      </c>
      <c r="I173">
        <v>7.3</v>
      </c>
      <c r="J173">
        <v>69</v>
      </c>
      <c r="K173" t="s">
        <v>18</v>
      </c>
      <c r="L173">
        <v>56</v>
      </c>
      <c r="M173">
        <v>1.68</v>
      </c>
      <c r="N173">
        <v>1</v>
      </c>
      <c r="O173" t="s">
        <v>17</v>
      </c>
      <c r="P173" cm="1">
        <f t="array" ref="P173">_xlfn.SWITCH(Table2[[#This Row],[mood]], "Tired", 3, "Neutral", 2, "Happy", 1)</f>
        <v>3</v>
      </c>
    </row>
    <row r="174" spans="1:16" x14ac:dyDescent="0.3">
      <c r="A174">
        <v>1960</v>
      </c>
      <c r="B174" s="1">
        <v>42177</v>
      </c>
      <c r="C174">
        <v>43</v>
      </c>
      <c r="D174" t="s">
        <v>20</v>
      </c>
      <c r="E174">
        <v>169.4</v>
      </c>
      <c r="F174">
        <v>78.5</v>
      </c>
      <c r="G174">
        <v>9915</v>
      </c>
      <c r="H174">
        <v>659.1</v>
      </c>
      <c r="I174">
        <v>9.8000000000000007</v>
      </c>
      <c r="J174">
        <v>89</v>
      </c>
      <c r="K174" t="s">
        <v>18</v>
      </c>
      <c r="L174">
        <v>59</v>
      </c>
      <c r="M174">
        <v>2.06</v>
      </c>
      <c r="N174">
        <v>9</v>
      </c>
      <c r="O174" t="s">
        <v>19</v>
      </c>
      <c r="P174" cm="1">
        <f t="array" ref="P174">_xlfn.SWITCH(Table2[[#This Row],[mood]], "Tired", 3, "Neutral", 2, "Happy", 1)</f>
        <v>2</v>
      </c>
    </row>
    <row r="175" spans="1:16" x14ac:dyDescent="0.3">
      <c r="A175">
        <v>1738</v>
      </c>
      <c r="B175" s="1">
        <v>42178</v>
      </c>
      <c r="C175">
        <v>33</v>
      </c>
      <c r="D175" t="s">
        <v>15</v>
      </c>
      <c r="E175">
        <v>166.2</v>
      </c>
      <c r="F175">
        <v>69.099999999999994</v>
      </c>
      <c r="G175">
        <v>17122</v>
      </c>
      <c r="H175">
        <v>837.7</v>
      </c>
      <c r="I175">
        <v>7.9</v>
      </c>
      <c r="J175">
        <v>85</v>
      </c>
      <c r="K175" t="s">
        <v>22</v>
      </c>
      <c r="L175">
        <v>27</v>
      </c>
      <c r="M175">
        <v>1.53</v>
      </c>
      <c r="N175">
        <v>1</v>
      </c>
      <c r="O175" t="s">
        <v>19</v>
      </c>
      <c r="P175" cm="1">
        <f t="array" ref="P175">_xlfn.SWITCH(Table2[[#This Row],[mood]], "Tired", 3, "Neutral", 2, "Happy", 1)</f>
        <v>2</v>
      </c>
    </row>
    <row r="176" spans="1:16" x14ac:dyDescent="0.3">
      <c r="A176">
        <v>1612</v>
      </c>
      <c r="B176" s="1">
        <v>42179</v>
      </c>
      <c r="C176">
        <v>52</v>
      </c>
      <c r="D176" t="s">
        <v>15</v>
      </c>
      <c r="E176">
        <v>166.2</v>
      </c>
      <c r="F176">
        <v>83</v>
      </c>
      <c r="G176">
        <v>12431</v>
      </c>
      <c r="H176">
        <v>812.9</v>
      </c>
      <c r="I176">
        <v>7.1</v>
      </c>
      <c r="J176">
        <v>64</v>
      </c>
      <c r="K176" t="s">
        <v>18</v>
      </c>
      <c r="L176">
        <v>73</v>
      </c>
      <c r="M176">
        <v>2.64</v>
      </c>
      <c r="N176">
        <v>9</v>
      </c>
      <c r="O176" t="s">
        <v>21</v>
      </c>
      <c r="P176" cm="1">
        <f t="array" ref="P176">_xlfn.SWITCH(Table2[[#This Row],[mood]], "Tired", 3, "Neutral", 2, "Happy", 1)</f>
        <v>1</v>
      </c>
    </row>
    <row r="177" spans="1:16" x14ac:dyDescent="0.3">
      <c r="A177">
        <v>1942</v>
      </c>
      <c r="B177" s="1">
        <v>42180</v>
      </c>
      <c r="C177">
        <v>37</v>
      </c>
      <c r="D177" t="s">
        <v>15</v>
      </c>
      <c r="E177">
        <v>177.2</v>
      </c>
      <c r="F177">
        <v>53</v>
      </c>
      <c r="G177">
        <v>7918</v>
      </c>
      <c r="H177">
        <v>501.1</v>
      </c>
      <c r="I177">
        <v>4.7</v>
      </c>
      <c r="J177">
        <v>81</v>
      </c>
      <c r="K177" t="s">
        <v>16</v>
      </c>
      <c r="L177">
        <v>0</v>
      </c>
      <c r="M177">
        <v>3.12</v>
      </c>
      <c r="N177">
        <v>10</v>
      </c>
      <c r="O177" t="s">
        <v>17</v>
      </c>
      <c r="P177" cm="1">
        <f t="array" ref="P177">_xlfn.SWITCH(Table2[[#This Row],[mood]], "Tired", 3, "Neutral", 2, "Happy", 1)</f>
        <v>3</v>
      </c>
    </row>
    <row r="178" spans="1:16" x14ac:dyDescent="0.3">
      <c r="A178">
        <v>1461</v>
      </c>
      <c r="B178" s="1">
        <v>42181</v>
      </c>
      <c r="C178">
        <v>20</v>
      </c>
      <c r="D178" t="s">
        <v>15</v>
      </c>
      <c r="E178">
        <v>172.1</v>
      </c>
      <c r="F178">
        <v>72.599999999999994</v>
      </c>
      <c r="G178">
        <v>9148</v>
      </c>
      <c r="H178">
        <v>592</v>
      </c>
      <c r="I178">
        <v>7</v>
      </c>
      <c r="J178">
        <v>68</v>
      </c>
      <c r="K178" t="s">
        <v>18</v>
      </c>
      <c r="L178">
        <v>21</v>
      </c>
      <c r="M178">
        <v>2.2999999999999998</v>
      </c>
      <c r="N178">
        <v>6</v>
      </c>
      <c r="O178" t="s">
        <v>21</v>
      </c>
      <c r="P178" cm="1">
        <f t="array" ref="P178">_xlfn.SWITCH(Table2[[#This Row],[mood]], "Tired", 3, "Neutral", 2, "Happy", 1)</f>
        <v>1</v>
      </c>
    </row>
    <row r="179" spans="1:16" x14ac:dyDescent="0.3">
      <c r="A179">
        <v>1642</v>
      </c>
      <c r="B179" s="1">
        <v>42182</v>
      </c>
      <c r="C179">
        <v>18</v>
      </c>
      <c r="D179" t="s">
        <v>20</v>
      </c>
      <c r="E179">
        <v>166.7</v>
      </c>
      <c r="F179">
        <v>77</v>
      </c>
      <c r="G179">
        <v>14038</v>
      </c>
      <c r="H179">
        <v>761.8</v>
      </c>
      <c r="I179">
        <v>8.3000000000000007</v>
      </c>
      <c r="J179">
        <v>80</v>
      </c>
      <c r="K179" t="s">
        <v>18</v>
      </c>
      <c r="L179">
        <v>75</v>
      </c>
      <c r="M179">
        <v>2.04</v>
      </c>
      <c r="N179">
        <v>7</v>
      </c>
      <c r="O179" t="s">
        <v>19</v>
      </c>
      <c r="P179" cm="1">
        <f t="array" ref="P179">_xlfn.SWITCH(Table2[[#This Row],[mood]], "Tired", 3, "Neutral", 2, "Happy", 1)</f>
        <v>2</v>
      </c>
    </row>
    <row r="180" spans="1:16" x14ac:dyDescent="0.3">
      <c r="A180">
        <v>1768</v>
      </c>
      <c r="B180" s="1">
        <v>42183</v>
      </c>
      <c r="C180">
        <v>18</v>
      </c>
      <c r="D180" t="s">
        <v>15</v>
      </c>
      <c r="E180">
        <v>182.9</v>
      </c>
      <c r="F180">
        <v>72</v>
      </c>
      <c r="G180">
        <v>14805</v>
      </c>
      <c r="H180">
        <v>738.3</v>
      </c>
      <c r="I180">
        <v>7.6</v>
      </c>
      <c r="J180">
        <v>75</v>
      </c>
      <c r="K180" t="s">
        <v>18</v>
      </c>
      <c r="L180">
        <v>76</v>
      </c>
      <c r="M180">
        <v>2.27</v>
      </c>
      <c r="N180">
        <v>1</v>
      </c>
      <c r="O180" t="s">
        <v>21</v>
      </c>
      <c r="P180" cm="1">
        <f t="array" ref="P180">_xlfn.SWITCH(Table2[[#This Row],[mood]], "Tired", 3, "Neutral", 2, "Happy", 1)</f>
        <v>1</v>
      </c>
    </row>
    <row r="181" spans="1:16" x14ac:dyDescent="0.3">
      <c r="A181">
        <v>1004</v>
      </c>
      <c r="B181" s="1">
        <v>42184</v>
      </c>
      <c r="C181">
        <v>34</v>
      </c>
      <c r="D181" t="s">
        <v>15</v>
      </c>
      <c r="E181">
        <v>189.5</v>
      </c>
      <c r="F181">
        <v>72.2</v>
      </c>
      <c r="G181">
        <v>8749</v>
      </c>
      <c r="H181">
        <v>591.6</v>
      </c>
      <c r="I181">
        <v>5.4</v>
      </c>
      <c r="J181">
        <v>68</v>
      </c>
      <c r="K181" t="s">
        <v>16</v>
      </c>
      <c r="L181">
        <v>0</v>
      </c>
      <c r="M181">
        <v>4.1100000000000003</v>
      </c>
      <c r="N181">
        <v>10</v>
      </c>
      <c r="O181" t="s">
        <v>17</v>
      </c>
      <c r="P181" cm="1">
        <f t="array" ref="P181">_xlfn.SWITCH(Table2[[#This Row],[mood]], "Tired", 3, "Neutral", 2, "Happy", 1)</f>
        <v>3</v>
      </c>
    </row>
    <row r="182" spans="1:16" x14ac:dyDescent="0.3">
      <c r="A182">
        <v>1217</v>
      </c>
      <c r="B182" s="1">
        <v>42185</v>
      </c>
      <c r="C182">
        <v>19</v>
      </c>
      <c r="D182" t="s">
        <v>20</v>
      </c>
      <c r="E182">
        <v>157.5</v>
      </c>
      <c r="F182">
        <v>88</v>
      </c>
      <c r="G182">
        <v>3871</v>
      </c>
      <c r="H182">
        <v>341.6</v>
      </c>
      <c r="I182">
        <v>6.4</v>
      </c>
      <c r="J182">
        <v>62</v>
      </c>
      <c r="K182" t="s">
        <v>16</v>
      </c>
      <c r="L182">
        <v>0</v>
      </c>
      <c r="M182">
        <v>3.33</v>
      </c>
      <c r="N182">
        <v>1</v>
      </c>
      <c r="O182" t="s">
        <v>21</v>
      </c>
      <c r="P182" cm="1">
        <f t="array" ref="P182">_xlfn.SWITCH(Table2[[#This Row],[mood]], "Tired", 3, "Neutral", 2, "Happy", 1)</f>
        <v>1</v>
      </c>
    </row>
    <row r="183" spans="1:16" x14ac:dyDescent="0.3">
      <c r="A183">
        <v>1502</v>
      </c>
      <c r="B183" s="1">
        <v>42186</v>
      </c>
      <c r="C183">
        <v>46</v>
      </c>
      <c r="D183" t="s">
        <v>20</v>
      </c>
      <c r="E183">
        <v>175.2</v>
      </c>
      <c r="F183">
        <v>45</v>
      </c>
      <c r="G183">
        <v>5489</v>
      </c>
      <c r="H183">
        <v>445.8</v>
      </c>
      <c r="I183">
        <v>7.1</v>
      </c>
      <c r="J183">
        <v>77</v>
      </c>
      <c r="K183" t="s">
        <v>25</v>
      </c>
      <c r="L183">
        <v>27</v>
      </c>
      <c r="M183">
        <v>3.01</v>
      </c>
      <c r="N183">
        <v>5</v>
      </c>
      <c r="O183" t="s">
        <v>19</v>
      </c>
      <c r="P183" cm="1">
        <f t="array" ref="P183">_xlfn.SWITCH(Table2[[#This Row],[mood]], "Tired", 3, "Neutral", 2, "Happy", 1)</f>
        <v>2</v>
      </c>
    </row>
    <row r="184" spans="1:16" x14ac:dyDescent="0.3">
      <c r="A184">
        <v>1766</v>
      </c>
      <c r="B184" s="1">
        <v>42187</v>
      </c>
      <c r="C184">
        <v>37</v>
      </c>
      <c r="D184" t="s">
        <v>15</v>
      </c>
      <c r="E184">
        <v>200</v>
      </c>
      <c r="F184">
        <v>71.900000000000006</v>
      </c>
      <c r="G184">
        <v>5607</v>
      </c>
      <c r="H184">
        <v>384</v>
      </c>
      <c r="I184">
        <v>6.4</v>
      </c>
      <c r="J184">
        <v>80</v>
      </c>
      <c r="K184" t="s">
        <v>22</v>
      </c>
      <c r="L184">
        <v>82</v>
      </c>
      <c r="M184">
        <v>2.72</v>
      </c>
      <c r="N184">
        <v>2</v>
      </c>
      <c r="O184" t="s">
        <v>17</v>
      </c>
      <c r="P184" cm="1">
        <f t="array" ref="P184">_xlfn.SWITCH(Table2[[#This Row],[mood]], "Tired", 3, "Neutral", 2, "Happy", 1)</f>
        <v>3</v>
      </c>
    </row>
    <row r="185" spans="1:16" x14ac:dyDescent="0.3">
      <c r="A185">
        <v>1397</v>
      </c>
      <c r="B185" s="1">
        <v>42188</v>
      </c>
      <c r="C185">
        <v>23</v>
      </c>
      <c r="D185" t="s">
        <v>20</v>
      </c>
      <c r="E185">
        <v>172.8</v>
      </c>
      <c r="F185">
        <v>51.9</v>
      </c>
      <c r="G185">
        <v>13973</v>
      </c>
      <c r="H185">
        <v>745.9</v>
      </c>
      <c r="I185">
        <v>6.1</v>
      </c>
      <c r="J185">
        <v>73</v>
      </c>
      <c r="K185" t="s">
        <v>24</v>
      </c>
      <c r="L185">
        <v>65</v>
      </c>
      <c r="M185">
        <v>2.4900000000000002</v>
      </c>
      <c r="N185">
        <v>10</v>
      </c>
      <c r="O185" t="s">
        <v>17</v>
      </c>
      <c r="P185" cm="1">
        <f t="array" ref="P185">_xlfn.SWITCH(Table2[[#This Row],[mood]], "Tired", 3, "Neutral", 2, "Happy", 1)</f>
        <v>3</v>
      </c>
    </row>
    <row r="186" spans="1:16" x14ac:dyDescent="0.3">
      <c r="A186">
        <v>1870</v>
      </c>
      <c r="B186" s="1">
        <v>42189</v>
      </c>
      <c r="C186">
        <v>25</v>
      </c>
      <c r="D186" t="s">
        <v>15</v>
      </c>
      <c r="E186">
        <v>171.2</v>
      </c>
      <c r="F186">
        <v>81.400000000000006</v>
      </c>
      <c r="G186">
        <v>13111</v>
      </c>
      <c r="H186">
        <v>709.7</v>
      </c>
      <c r="I186">
        <v>3.8</v>
      </c>
      <c r="J186">
        <v>67</v>
      </c>
      <c r="K186" t="s">
        <v>25</v>
      </c>
      <c r="L186">
        <v>86</v>
      </c>
      <c r="M186">
        <v>1.87</v>
      </c>
      <c r="N186">
        <v>5</v>
      </c>
      <c r="O186" t="s">
        <v>17</v>
      </c>
      <c r="P186" cm="1">
        <f t="array" ref="P186">_xlfn.SWITCH(Table2[[#This Row],[mood]], "Tired", 3, "Neutral", 2, "Happy", 1)</f>
        <v>3</v>
      </c>
    </row>
    <row r="187" spans="1:16" x14ac:dyDescent="0.3">
      <c r="A187">
        <v>1794</v>
      </c>
      <c r="B187" s="1">
        <v>42190</v>
      </c>
      <c r="C187">
        <v>46</v>
      </c>
      <c r="D187" t="s">
        <v>15</v>
      </c>
      <c r="E187">
        <v>169.4</v>
      </c>
      <c r="F187">
        <v>57.4</v>
      </c>
      <c r="G187">
        <v>6834</v>
      </c>
      <c r="H187">
        <v>500.9</v>
      </c>
      <c r="I187">
        <v>5.8</v>
      </c>
      <c r="J187">
        <v>70</v>
      </c>
      <c r="K187" t="s">
        <v>16</v>
      </c>
      <c r="L187">
        <v>0</v>
      </c>
      <c r="M187">
        <v>1.76</v>
      </c>
      <c r="N187">
        <v>5</v>
      </c>
      <c r="O187" t="s">
        <v>17</v>
      </c>
      <c r="P187" cm="1">
        <f t="array" ref="P187">_xlfn.SWITCH(Table2[[#This Row],[mood]], "Tired", 3, "Neutral", 2, "Happy", 1)</f>
        <v>3</v>
      </c>
    </row>
    <row r="188" spans="1:16" x14ac:dyDescent="0.3">
      <c r="A188">
        <v>1392</v>
      </c>
      <c r="B188" s="1">
        <v>42191</v>
      </c>
      <c r="C188">
        <v>50</v>
      </c>
      <c r="D188" t="s">
        <v>20</v>
      </c>
      <c r="E188">
        <v>174.9</v>
      </c>
      <c r="F188">
        <v>45</v>
      </c>
      <c r="G188">
        <v>10912</v>
      </c>
      <c r="H188">
        <v>651.9</v>
      </c>
      <c r="I188">
        <v>7.4</v>
      </c>
      <c r="J188">
        <v>64</v>
      </c>
      <c r="K188" t="s">
        <v>18</v>
      </c>
      <c r="L188">
        <v>86</v>
      </c>
      <c r="M188">
        <v>2.1</v>
      </c>
      <c r="N188">
        <v>6</v>
      </c>
      <c r="O188" t="s">
        <v>17</v>
      </c>
      <c r="P188" cm="1">
        <f t="array" ref="P188">_xlfn.SWITCH(Table2[[#This Row],[mood]], "Tired", 3, "Neutral", 2, "Happy", 1)</f>
        <v>3</v>
      </c>
    </row>
    <row r="189" spans="1:16" x14ac:dyDescent="0.3">
      <c r="A189">
        <v>1206</v>
      </c>
      <c r="B189" s="1">
        <v>42192</v>
      </c>
      <c r="C189">
        <v>20</v>
      </c>
      <c r="D189" t="s">
        <v>20</v>
      </c>
      <c r="E189">
        <v>177.5</v>
      </c>
      <c r="F189">
        <v>81.7</v>
      </c>
      <c r="G189">
        <v>4399</v>
      </c>
      <c r="H189">
        <v>367.1</v>
      </c>
      <c r="I189">
        <v>8.3000000000000007</v>
      </c>
      <c r="J189">
        <v>82</v>
      </c>
      <c r="K189" t="s">
        <v>24</v>
      </c>
      <c r="L189">
        <v>61</v>
      </c>
      <c r="M189">
        <v>1.83</v>
      </c>
      <c r="N189">
        <v>9</v>
      </c>
      <c r="O189" t="s">
        <v>21</v>
      </c>
      <c r="P189" cm="1">
        <f t="array" ref="P189">_xlfn.SWITCH(Table2[[#This Row],[mood]], "Tired", 3, "Neutral", 2, "Happy", 1)</f>
        <v>1</v>
      </c>
    </row>
    <row r="190" spans="1:16" x14ac:dyDescent="0.3">
      <c r="A190">
        <v>1014</v>
      </c>
      <c r="B190" s="1">
        <v>42193</v>
      </c>
      <c r="C190">
        <v>52</v>
      </c>
      <c r="D190" t="s">
        <v>15</v>
      </c>
      <c r="E190">
        <v>157.6</v>
      </c>
      <c r="F190">
        <v>66</v>
      </c>
      <c r="G190">
        <v>19241</v>
      </c>
      <c r="H190">
        <v>900</v>
      </c>
      <c r="I190">
        <v>7.1</v>
      </c>
      <c r="J190">
        <v>53</v>
      </c>
      <c r="K190" t="s">
        <v>23</v>
      </c>
      <c r="L190">
        <v>83</v>
      </c>
      <c r="M190">
        <v>2.0699999999999998</v>
      </c>
      <c r="N190">
        <v>6</v>
      </c>
      <c r="O190" t="s">
        <v>17</v>
      </c>
      <c r="P190" cm="1">
        <f t="array" ref="P190">_xlfn.SWITCH(Table2[[#This Row],[mood]], "Tired", 3, "Neutral", 2, "Happy", 1)</f>
        <v>3</v>
      </c>
    </row>
    <row r="191" spans="1:16" x14ac:dyDescent="0.3">
      <c r="A191">
        <v>1857</v>
      </c>
      <c r="B191" s="1">
        <v>42194</v>
      </c>
      <c r="C191">
        <v>22</v>
      </c>
      <c r="D191" t="s">
        <v>15</v>
      </c>
      <c r="E191">
        <v>169.7</v>
      </c>
      <c r="F191">
        <v>75.3</v>
      </c>
      <c r="G191">
        <v>8604</v>
      </c>
      <c r="H191">
        <v>559.9</v>
      </c>
      <c r="I191">
        <v>8.6</v>
      </c>
      <c r="J191">
        <v>85</v>
      </c>
      <c r="K191" t="s">
        <v>24</v>
      </c>
      <c r="L191">
        <v>72</v>
      </c>
      <c r="M191">
        <v>2.4300000000000002</v>
      </c>
      <c r="N191">
        <v>10</v>
      </c>
      <c r="O191" t="s">
        <v>19</v>
      </c>
      <c r="P191" cm="1">
        <f t="array" ref="P191">_xlfn.SWITCH(Table2[[#This Row],[mood]], "Tired", 3, "Neutral", 2, "Happy", 1)</f>
        <v>2</v>
      </c>
    </row>
    <row r="192" spans="1:16" x14ac:dyDescent="0.3">
      <c r="A192">
        <v>1553</v>
      </c>
      <c r="B192" s="1">
        <v>42195</v>
      </c>
      <c r="C192">
        <v>44</v>
      </c>
      <c r="D192" t="s">
        <v>15</v>
      </c>
      <c r="E192">
        <v>150</v>
      </c>
      <c r="F192">
        <v>91.4</v>
      </c>
      <c r="G192">
        <v>11957</v>
      </c>
      <c r="H192">
        <v>688.2</v>
      </c>
      <c r="I192">
        <v>6.9</v>
      </c>
      <c r="J192">
        <v>74</v>
      </c>
      <c r="K192" t="s">
        <v>25</v>
      </c>
      <c r="L192">
        <v>26</v>
      </c>
      <c r="M192">
        <v>2.48</v>
      </c>
      <c r="N192">
        <v>1</v>
      </c>
      <c r="O192" t="s">
        <v>17</v>
      </c>
      <c r="P192" cm="1">
        <f t="array" ref="P192">_xlfn.SWITCH(Table2[[#This Row],[mood]], "Tired", 3, "Neutral", 2, "Happy", 1)</f>
        <v>3</v>
      </c>
    </row>
    <row r="193" spans="1:16" x14ac:dyDescent="0.3">
      <c r="A193">
        <v>1891</v>
      </c>
      <c r="B193" s="1">
        <v>42196</v>
      </c>
      <c r="C193">
        <v>29</v>
      </c>
      <c r="D193" t="s">
        <v>20</v>
      </c>
      <c r="E193">
        <v>167.9</v>
      </c>
      <c r="F193">
        <v>75.599999999999994</v>
      </c>
      <c r="G193">
        <v>8731</v>
      </c>
      <c r="H193">
        <v>555.70000000000005</v>
      </c>
      <c r="I193">
        <v>5.7</v>
      </c>
      <c r="J193">
        <v>80</v>
      </c>
      <c r="K193" t="s">
        <v>22</v>
      </c>
      <c r="L193">
        <v>26</v>
      </c>
      <c r="M193">
        <v>2.0699999999999998</v>
      </c>
      <c r="N193">
        <v>5</v>
      </c>
      <c r="O193" t="s">
        <v>19</v>
      </c>
      <c r="P193" cm="1">
        <f t="array" ref="P193">_xlfn.SWITCH(Table2[[#This Row],[mood]], "Tired", 3, "Neutral", 2, "Happy", 1)</f>
        <v>2</v>
      </c>
    </row>
    <row r="194" spans="1:16" x14ac:dyDescent="0.3">
      <c r="A194">
        <v>1460</v>
      </c>
      <c r="B194" s="1">
        <v>42197</v>
      </c>
      <c r="C194">
        <v>37</v>
      </c>
      <c r="D194" t="s">
        <v>15</v>
      </c>
      <c r="E194">
        <v>161</v>
      </c>
      <c r="F194">
        <v>72.5</v>
      </c>
      <c r="G194">
        <v>19780</v>
      </c>
      <c r="H194">
        <v>900</v>
      </c>
      <c r="I194">
        <v>6.3</v>
      </c>
      <c r="J194">
        <v>81</v>
      </c>
      <c r="K194" t="s">
        <v>25</v>
      </c>
      <c r="L194">
        <v>55</v>
      </c>
      <c r="M194">
        <v>2.85</v>
      </c>
      <c r="N194">
        <v>2</v>
      </c>
      <c r="O194" t="s">
        <v>19</v>
      </c>
      <c r="P194" cm="1">
        <f t="array" ref="P194">_xlfn.SWITCH(Table2[[#This Row],[mood]], "Tired", 3, "Neutral", 2, "Happy", 1)</f>
        <v>2</v>
      </c>
    </row>
    <row r="195" spans="1:16" x14ac:dyDescent="0.3">
      <c r="A195">
        <v>1690</v>
      </c>
      <c r="B195" s="1">
        <v>42198</v>
      </c>
      <c r="C195">
        <v>37</v>
      </c>
      <c r="D195" t="s">
        <v>15</v>
      </c>
      <c r="E195">
        <v>173.4</v>
      </c>
      <c r="F195">
        <v>69.3</v>
      </c>
      <c r="G195">
        <v>16808</v>
      </c>
      <c r="H195">
        <v>899.9</v>
      </c>
      <c r="I195">
        <v>7.7</v>
      </c>
      <c r="J195">
        <v>76</v>
      </c>
      <c r="K195" t="s">
        <v>22</v>
      </c>
      <c r="L195">
        <v>32</v>
      </c>
      <c r="M195">
        <v>2.37</v>
      </c>
      <c r="N195">
        <v>8</v>
      </c>
      <c r="O195" t="s">
        <v>19</v>
      </c>
      <c r="P195" cm="1">
        <f t="array" ref="P195">_xlfn.SWITCH(Table2[[#This Row],[mood]], "Tired", 3, "Neutral", 2, "Happy", 1)</f>
        <v>2</v>
      </c>
    </row>
    <row r="196" spans="1:16" x14ac:dyDescent="0.3">
      <c r="A196">
        <v>1574</v>
      </c>
      <c r="B196" s="1">
        <v>42199</v>
      </c>
      <c r="C196">
        <v>26</v>
      </c>
      <c r="D196" t="s">
        <v>15</v>
      </c>
      <c r="E196">
        <v>153.4</v>
      </c>
      <c r="F196">
        <v>52.8</v>
      </c>
      <c r="G196">
        <v>3261</v>
      </c>
      <c r="H196">
        <v>426.6</v>
      </c>
      <c r="I196">
        <v>6.6</v>
      </c>
      <c r="J196">
        <v>71</v>
      </c>
      <c r="K196" t="s">
        <v>22</v>
      </c>
      <c r="L196">
        <v>86</v>
      </c>
      <c r="M196">
        <v>2.65</v>
      </c>
      <c r="N196">
        <v>7</v>
      </c>
      <c r="O196" t="s">
        <v>19</v>
      </c>
      <c r="P196" cm="1">
        <f t="array" ref="P196">_xlfn.SWITCH(Table2[[#This Row],[mood]], "Tired", 3, "Neutral", 2, "Happy", 1)</f>
        <v>2</v>
      </c>
    </row>
    <row r="197" spans="1:16" x14ac:dyDescent="0.3">
      <c r="A197">
        <v>1863</v>
      </c>
      <c r="B197" s="1">
        <v>42200</v>
      </c>
      <c r="C197">
        <v>56</v>
      </c>
      <c r="D197" t="s">
        <v>15</v>
      </c>
      <c r="E197">
        <v>164.9</v>
      </c>
      <c r="F197">
        <v>66.8</v>
      </c>
      <c r="G197">
        <v>12809</v>
      </c>
      <c r="H197">
        <v>708.9</v>
      </c>
      <c r="I197">
        <v>6</v>
      </c>
      <c r="J197">
        <v>86</v>
      </c>
      <c r="K197" t="s">
        <v>16</v>
      </c>
      <c r="L197">
        <v>0</v>
      </c>
      <c r="M197">
        <v>1.98</v>
      </c>
      <c r="N197">
        <v>6</v>
      </c>
      <c r="O197" t="s">
        <v>19</v>
      </c>
      <c r="P197" cm="1">
        <f t="array" ref="P197">_xlfn.SWITCH(Table2[[#This Row],[mood]], "Tired", 3, "Neutral", 2, "Happy", 1)</f>
        <v>2</v>
      </c>
    </row>
    <row r="198" spans="1:16" x14ac:dyDescent="0.3">
      <c r="A198">
        <v>1742</v>
      </c>
      <c r="B198" s="1">
        <v>42201</v>
      </c>
      <c r="C198">
        <v>21</v>
      </c>
      <c r="D198" t="s">
        <v>15</v>
      </c>
      <c r="E198">
        <v>179.7</v>
      </c>
      <c r="F198">
        <v>99.6</v>
      </c>
      <c r="G198">
        <v>18696</v>
      </c>
      <c r="H198">
        <v>900</v>
      </c>
      <c r="I198">
        <v>4.7</v>
      </c>
      <c r="J198">
        <v>58</v>
      </c>
      <c r="K198" t="s">
        <v>22</v>
      </c>
      <c r="L198">
        <v>72</v>
      </c>
      <c r="M198">
        <v>2.99</v>
      </c>
      <c r="N198">
        <v>2</v>
      </c>
      <c r="O198" t="s">
        <v>21</v>
      </c>
      <c r="P198" cm="1">
        <f t="array" ref="P198">_xlfn.SWITCH(Table2[[#This Row],[mood]], "Tired", 3, "Neutral", 2, "Happy", 1)</f>
        <v>1</v>
      </c>
    </row>
    <row r="199" spans="1:16" x14ac:dyDescent="0.3">
      <c r="A199">
        <v>1240</v>
      </c>
      <c r="B199" s="1">
        <v>42202</v>
      </c>
      <c r="C199">
        <v>36</v>
      </c>
      <c r="D199" t="s">
        <v>20</v>
      </c>
      <c r="E199">
        <v>163.19999999999999</v>
      </c>
      <c r="F199">
        <v>64.400000000000006</v>
      </c>
      <c r="G199">
        <v>11056</v>
      </c>
      <c r="H199">
        <v>617</v>
      </c>
      <c r="I199">
        <v>5.7</v>
      </c>
      <c r="J199">
        <v>88</v>
      </c>
      <c r="K199" t="s">
        <v>23</v>
      </c>
      <c r="L199">
        <v>71</v>
      </c>
      <c r="M199">
        <v>2.13</v>
      </c>
      <c r="N199">
        <v>3</v>
      </c>
      <c r="O199" t="s">
        <v>19</v>
      </c>
      <c r="P199" cm="1">
        <f t="array" ref="P199">_xlfn.SWITCH(Table2[[#This Row],[mood]], "Tired", 3, "Neutral", 2, "Happy", 1)</f>
        <v>2</v>
      </c>
    </row>
    <row r="200" spans="1:16" x14ac:dyDescent="0.3">
      <c r="A200">
        <v>1563</v>
      </c>
      <c r="B200" s="1">
        <v>42203</v>
      </c>
      <c r="C200">
        <v>55</v>
      </c>
      <c r="D200" t="s">
        <v>15</v>
      </c>
      <c r="E200">
        <v>151</v>
      </c>
      <c r="F200">
        <v>67.7</v>
      </c>
      <c r="G200">
        <v>19689</v>
      </c>
      <c r="H200">
        <v>900</v>
      </c>
      <c r="I200">
        <v>6.4</v>
      </c>
      <c r="J200">
        <v>64</v>
      </c>
      <c r="K200" t="s">
        <v>24</v>
      </c>
      <c r="L200">
        <v>80</v>
      </c>
      <c r="M200">
        <v>3.63</v>
      </c>
      <c r="N200">
        <v>9</v>
      </c>
      <c r="O200" t="s">
        <v>19</v>
      </c>
      <c r="P200" cm="1">
        <f t="array" ref="P200">_xlfn.SWITCH(Table2[[#This Row],[mood]], "Tired", 3, "Neutral", 2, "Happy", 1)</f>
        <v>2</v>
      </c>
    </row>
    <row r="201" spans="1:16" x14ac:dyDescent="0.3">
      <c r="A201">
        <v>1095</v>
      </c>
      <c r="B201" s="1">
        <v>42204</v>
      </c>
      <c r="C201">
        <v>44</v>
      </c>
      <c r="D201" t="s">
        <v>15</v>
      </c>
      <c r="E201">
        <v>172.6</v>
      </c>
      <c r="F201">
        <v>88.9</v>
      </c>
      <c r="G201">
        <v>1997</v>
      </c>
      <c r="H201">
        <v>263.60000000000002</v>
      </c>
      <c r="I201">
        <v>6.1</v>
      </c>
      <c r="J201">
        <v>72</v>
      </c>
      <c r="K201" t="s">
        <v>25</v>
      </c>
      <c r="L201">
        <v>80</v>
      </c>
      <c r="M201">
        <v>2.34</v>
      </c>
      <c r="N201">
        <v>9</v>
      </c>
      <c r="O201" t="s">
        <v>19</v>
      </c>
      <c r="P201" cm="1">
        <f t="array" ref="P201">_xlfn.SWITCH(Table2[[#This Row],[mood]], "Tired", 3, "Neutral", 2, "Happy", 1)</f>
        <v>2</v>
      </c>
    </row>
    <row r="202" spans="1:16" x14ac:dyDescent="0.3">
      <c r="A202">
        <v>1899</v>
      </c>
      <c r="B202" s="1">
        <v>42205</v>
      </c>
      <c r="C202">
        <v>30</v>
      </c>
      <c r="D202" t="s">
        <v>15</v>
      </c>
      <c r="E202">
        <v>164.1</v>
      </c>
      <c r="F202">
        <v>46.9</v>
      </c>
      <c r="G202">
        <v>16155</v>
      </c>
      <c r="H202">
        <v>822.8</v>
      </c>
      <c r="I202">
        <v>5.5</v>
      </c>
      <c r="J202">
        <v>89</v>
      </c>
      <c r="K202" t="s">
        <v>25</v>
      </c>
      <c r="L202">
        <v>75</v>
      </c>
      <c r="M202">
        <v>2.4300000000000002</v>
      </c>
      <c r="N202">
        <v>7</v>
      </c>
      <c r="O202" t="s">
        <v>21</v>
      </c>
      <c r="P202" cm="1">
        <f t="array" ref="P202">_xlfn.SWITCH(Table2[[#This Row],[mood]], "Tired", 3, "Neutral", 2, "Happy", 1)</f>
        <v>1</v>
      </c>
    </row>
    <row r="203" spans="1:16" x14ac:dyDescent="0.3">
      <c r="A203">
        <v>1733</v>
      </c>
      <c r="B203" s="1">
        <v>42206</v>
      </c>
      <c r="C203">
        <v>30</v>
      </c>
      <c r="D203" t="s">
        <v>15</v>
      </c>
      <c r="E203">
        <v>168.1</v>
      </c>
      <c r="F203">
        <v>79.3</v>
      </c>
      <c r="G203">
        <v>7353</v>
      </c>
      <c r="H203">
        <v>399.1</v>
      </c>
      <c r="I203">
        <v>9.3000000000000007</v>
      </c>
      <c r="J203">
        <v>97</v>
      </c>
      <c r="K203" t="s">
        <v>22</v>
      </c>
      <c r="L203">
        <v>59</v>
      </c>
      <c r="M203">
        <v>2.92</v>
      </c>
      <c r="N203">
        <v>2</v>
      </c>
      <c r="O203" t="s">
        <v>17</v>
      </c>
      <c r="P203" cm="1">
        <f t="array" ref="P203">_xlfn.SWITCH(Table2[[#This Row],[mood]], "Tired", 3, "Neutral", 2, "Happy", 1)</f>
        <v>3</v>
      </c>
    </row>
    <row r="204" spans="1:16" x14ac:dyDescent="0.3">
      <c r="A204">
        <v>1484</v>
      </c>
      <c r="B204" s="1">
        <v>42207</v>
      </c>
      <c r="C204">
        <v>39</v>
      </c>
      <c r="D204" t="s">
        <v>20</v>
      </c>
      <c r="E204">
        <v>162.69999999999999</v>
      </c>
      <c r="F204">
        <v>46.2</v>
      </c>
      <c r="G204">
        <v>19703</v>
      </c>
      <c r="H204">
        <v>900</v>
      </c>
      <c r="I204">
        <v>7.9</v>
      </c>
      <c r="J204">
        <v>77</v>
      </c>
      <c r="K204" t="s">
        <v>16</v>
      </c>
      <c r="L204">
        <v>0</v>
      </c>
      <c r="M204">
        <v>3.07</v>
      </c>
      <c r="N204">
        <v>7</v>
      </c>
      <c r="O204" t="s">
        <v>19</v>
      </c>
      <c r="P204" cm="1">
        <f t="array" ref="P204">_xlfn.SWITCH(Table2[[#This Row],[mood]], "Tired", 3, "Neutral", 2, "Happy", 1)</f>
        <v>2</v>
      </c>
    </row>
    <row r="205" spans="1:16" x14ac:dyDescent="0.3">
      <c r="A205">
        <v>1406</v>
      </c>
      <c r="B205" s="1">
        <v>42208</v>
      </c>
      <c r="C205">
        <v>45</v>
      </c>
      <c r="D205" t="s">
        <v>20</v>
      </c>
      <c r="E205">
        <v>189.7</v>
      </c>
      <c r="F205">
        <v>76</v>
      </c>
      <c r="G205">
        <v>4207</v>
      </c>
      <c r="H205">
        <v>349.1</v>
      </c>
      <c r="I205">
        <v>10</v>
      </c>
      <c r="J205">
        <v>61</v>
      </c>
      <c r="K205" t="s">
        <v>23</v>
      </c>
      <c r="L205">
        <v>76</v>
      </c>
      <c r="M205">
        <v>3.14</v>
      </c>
      <c r="N205">
        <v>1</v>
      </c>
      <c r="O205" t="s">
        <v>21</v>
      </c>
      <c r="P205" cm="1">
        <f t="array" ref="P205">_xlfn.SWITCH(Table2[[#This Row],[mood]], "Tired", 3, "Neutral", 2, "Happy", 1)</f>
        <v>1</v>
      </c>
    </row>
    <row r="206" spans="1:16" x14ac:dyDescent="0.3">
      <c r="A206">
        <v>1230</v>
      </c>
      <c r="B206" s="1">
        <v>42209</v>
      </c>
      <c r="C206">
        <v>39</v>
      </c>
      <c r="D206" t="s">
        <v>20</v>
      </c>
      <c r="E206">
        <v>154.4</v>
      </c>
      <c r="F206">
        <v>69.7</v>
      </c>
      <c r="G206">
        <v>10275</v>
      </c>
      <c r="H206">
        <v>684.7</v>
      </c>
      <c r="I206">
        <v>4.5999999999999996</v>
      </c>
      <c r="J206">
        <v>84</v>
      </c>
      <c r="K206" t="s">
        <v>23</v>
      </c>
      <c r="L206">
        <v>23</v>
      </c>
      <c r="M206">
        <v>3.74</v>
      </c>
      <c r="N206">
        <v>9</v>
      </c>
      <c r="O206" t="s">
        <v>21</v>
      </c>
      <c r="P206" cm="1">
        <f t="array" ref="P206">_xlfn.SWITCH(Table2[[#This Row],[mood]], "Tired", 3, "Neutral", 2, "Happy", 1)</f>
        <v>1</v>
      </c>
    </row>
    <row r="207" spans="1:16" x14ac:dyDescent="0.3">
      <c r="A207">
        <v>1748</v>
      </c>
      <c r="B207" s="1">
        <v>42210</v>
      </c>
      <c r="C207">
        <v>36</v>
      </c>
      <c r="D207" t="s">
        <v>15</v>
      </c>
      <c r="E207">
        <v>198.3</v>
      </c>
      <c r="F207">
        <v>79.2</v>
      </c>
      <c r="G207">
        <v>16874</v>
      </c>
      <c r="H207">
        <v>870.1</v>
      </c>
      <c r="I207">
        <v>7.5</v>
      </c>
      <c r="J207">
        <v>75</v>
      </c>
      <c r="K207" t="s">
        <v>18</v>
      </c>
      <c r="L207">
        <v>45</v>
      </c>
      <c r="M207">
        <v>2.96</v>
      </c>
      <c r="N207">
        <v>9</v>
      </c>
      <c r="O207" t="s">
        <v>21</v>
      </c>
      <c r="P207" cm="1">
        <f t="array" ref="P207">_xlfn.SWITCH(Table2[[#This Row],[mood]], "Tired", 3, "Neutral", 2, "Happy", 1)</f>
        <v>1</v>
      </c>
    </row>
    <row r="208" spans="1:16" x14ac:dyDescent="0.3">
      <c r="A208">
        <v>1654</v>
      </c>
      <c r="B208" s="1">
        <v>42211</v>
      </c>
      <c r="C208">
        <v>25</v>
      </c>
      <c r="D208" t="s">
        <v>15</v>
      </c>
      <c r="E208">
        <v>166.1</v>
      </c>
      <c r="F208">
        <v>54.8</v>
      </c>
      <c r="G208">
        <v>4086</v>
      </c>
      <c r="H208">
        <v>395.7</v>
      </c>
      <c r="I208">
        <v>6.3</v>
      </c>
      <c r="J208">
        <v>64</v>
      </c>
      <c r="K208" t="s">
        <v>23</v>
      </c>
      <c r="L208">
        <v>81</v>
      </c>
      <c r="M208">
        <v>2.4500000000000002</v>
      </c>
      <c r="N208">
        <v>6</v>
      </c>
      <c r="O208" t="s">
        <v>17</v>
      </c>
      <c r="P208" cm="1">
        <f t="array" ref="P208">_xlfn.SWITCH(Table2[[#This Row],[mood]], "Tired", 3, "Neutral", 2, "Happy", 1)</f>
        <v>3</v>
      </c>
    </row>
    <row r="209" spans="1:16" x14ac:dyDescent="0.3">
      <c r="A209">
        <v>1170</v>
      </c>
      <c r="B209" s="1">
        <v>42212</v>
      </c>
      <c r="C209">
        <v>25</v>
      </c>
      <c r="D209" t="s">
        <v>20</v>
      </c>
      <c r="E209">
        <v>171.8</v>
      </c>
      <c r="F209">
        <v>62</v>
      </c>
      <c r="G209">
        <v>16973</v>
      </c>
      <c r="H209">
        <v>882.6</v>
      </c>
      <c r="I209">
        <v>7</v>
      </c>
      <c r="J209">
        <v>77</v>
      </c>
      <c r="K209" t="s">
        <v>22</v>
      </c>
      <c r="L209">
        <v>73</v>
      </c>
      <c r="M209">
        <v>2.13</v>
      </c>
      <c r="N209">
        <v>10</v>
      </c>
      <c r="O209" t="s">
        <v>21</v>
      </c>
      <c r="P209" cm="1">
        <f t="array" ref="P209">_xlfn.SWITCH(Table2[[#This Row],[mood]], "Tired", 3, "Neutral", 2, "Happy", 1)</f>
        <v>1</v>
      </c>
    </row>
    <row r="210" spans="1:16" x14ac:dyDescent="0.3">
      <c r="A210">
        <v>1540</v>
      </c>
      <c r="B210" s="1">
        <v>42213</v>
      </c>
      <c r="C210">
        <v>59</v>
      </c>
      <c r="D210" t="s">
        <v>20</v>
      </c>
      <c r="E210">
        <v>164.3</v>
      </c>
      <c r="F210">
        <v>80</v>
      </c>
      <c r="G210">
        <v>18105</v>
      </c>
      <c r="H210">
        <v>900</v>
      </c>
      <c r="I210">
        <v>9.8000000000000007</v>
      </c>
      <c r="J210">
        <v>62</v>
      </c>
      <c r="K210" t="s">
        <v>22</v>
      </c>
      <c r="L210">
        <v>81</v>
      </c>
      <c r="M210">
        <v>2.41</v>
      </c>
      <c r="N210">
        <v>1</v>
      </c>
      <c r="O210" t="s">
        <v>19</v>
      </c>
      <c r="P210" cm="1">
        <f t="array" ref="P210">_xlfn.SWITCH(Table2[[#This Row],[mood]], "Tired", 3, "Neutral", 2, "Happy", 1)</f>
        <v>2</v>
      </c>
    </row>
    <row r="211" spans="1:16" x14ac:dyDescent="0.3">
      <c r="A211">
        <v>1035</v>
      </c>
      <c r="B211" s="1">
        <v>42214</v>
      </c>
      <c r="C211">
        <v>43</v>
      </c>
      <c r="D211" t="s">
        <v>20</v>
      </c>
      <c r="E211">
        <v>163.80000000000001</v>
      </c>
      <c r="F211">
        <v>62.4</v>
      </c>
      <c r="G211">
        <v>15870</v>
      </c>
      <c r="H211">
        <v>784.3</v>
      </c>
      <c r="I211">
        <v>4.4000000000000004</v>
      </c>
      <c r="J211">
        <v>77</v>
      </c>
      <c r="K211" t="s">
        <v>24</v>
      </c>
      <c r="L211">
        <v>37</v>
      </c>
      <c r="M211">
        <v>3.54</v>
      </c>
      <c r="N211">
        <v>8</v>
      </c>
      <c r="O211" t="s">
        <v>19</v>
      </c>
      <c r="P211" cm="1">
        <f t="array" ref="P211">_xlfn.SWITCH(Table2[[#This Row],[mood]], "Tired", 3, "Neutral", 2, "Happy", 1)</f>
        <v>2</v>
      </c>
    </row>
    <row r="212" spans="1:16" x14ac:dyDescent="0.3">
      <c r="A212">
        <v>1524</v>
      </c>
      <c r="B212" s="1">
        <v>42215</v>
      </c>
      <c r="C212">
        <v>43</v>
      </c>
      <c r="D212" t="s">
        <v>15</v>
      </c>
      <c r="E212">
        <v>162.19999999999999</v>
      </c>
      <c r="F212">
        <v>81.3</v>
      </c>
      <c r="G212">
        <v>2154</v>
      </c>
      <c r="H212">
        <v>345.3</v>
      </c>
      <c r="I212">
        <v>6.1</v>
      </c>
      <c r="J212">
        <v>66</v>
      </c>
      <c r="K212" t="s">
        <v>22</v>
      </c>
      <c r="L212">
        <v>29</v>
      </c>
      <c r="M212">
        <v>1.53</v>
      </c>
      <c r="N212">
        <v>6</v>
      </c>
      <c r="O212" t="s">
        <v>19</v>
      </c>
      <c r="P212" cm="1">
        <f t="array" ref="P212">_xlfn.SWITCH(Table2[[#This Row],[mood]], "Tired", 3, "Neutral", 2, "Happy", 1)</f>
        <v>2</v>
      </c>
    </row>
    <row r="213" spans="1:16" x14ac:dyDescent="0.3">
      <c r="A213">
        <v>1159</v>
      </c>
      <c r="B213" s="1">
        <v>42216</v>
      </c>
      <c r="C213">
        <v>40</v>
      </c>
      <c r="D213" t="s">
        <v>15</v>
      </c>
      <c r="E213">
        <v>176</v>
      </c>
      <c r="F213">
        <v>73.099999999999994</v>
      </c>
      <c r="G213">
        <v>17029</v>
      </c>
      <c r="H213">
        <v>862.8</v>
      </c>
      <c r="I213">
        <v>5.9</v>
      </c>
      <c r="J213">
        <v>55</v>
      </c>
      <c r="K213" t="s">
        <v>24</v>
      </c>
      <c r="L213">
        <v>55</v>
      </c>
      <c r="M213">
        <v>1.93</v>
      </c>
      <c r="N213">
        <v>9</v>
      </c>
      <c r="O213" t="s">
        <v>17</v>
      </c>
      <c r="P213" cm="1">
        <f t="array" ref="P213">_xlfn.SWITCH(Table2[[#This Row],[mood]], "Tired", 3, "Neutral", 2, "Happy", 1)</f>
        <v>3</v>
      </c>
    </row>
    <row r="214" spans="1:16" x14ac:dyDescent="0.3">
      <c r="A214">
        <v>1838</v>
      </c>
      <c r="B214" s="1">
        <v>42217</v>
      </c>
      <c r="C214">
        <v>30</v>
      </c>
      <c r="D214" t="s">
        <v>20</v>
      </c>
      <c r="E214">
        <v>155.9</v>
      </c>
      <c r="F214">
        <v>63.3</v>
      </c>
      <c r="G214">
        <v>8167</v>
      </c>
      <c r="H214">
        <v>573</v>
      </c>
      <c r="I214">
        <v>6.1</v>
      </c>
      <c r="J214">
        <v>58</v>
      </c>
      <c r="K214" t="s">
        <v>23</v>
      </c>
      <c r="L214">
        <v>21</v>
      </c>
      <c r="M214">
        <v>2.35</v>
      </c>
      <c r="N214">
        <v>9</v>
      </c>
      <c r="O214" t="s">
        <v>21</v>
      </c>
      <c r="P214" cm="1">
        <f t="array" ref="P214">_xlfn.SWITCH(Table2[[#This Row],[mood]], "Tired", 3, "Neutral", 2, "Happy", 1)</f>
        <v>1</v>
      </c>
    </row>
    <row r="215" spans="1:16" x14ac:dyDescent="0.3">
      <c r="A215">
        <v>1698</v>
      </c>
      <c r="B215" s="1">
        <v>42218</v>
      </c>
      <c r="C215">
        <v>45</v>
      </c>
      <c r="D215" t="s">
        <v>20</v>
      </c>
      <c r="E215">
        <v>173.6</v>
      </c>
      <c r="F215">
        <v>65.3</v>
      </c>
      <c r="G215">
        <v>1016</v>
      </c>
      <c r="H215">
        <v>167.6</v>
      </c>
      <c r="I215">
        <v>3.8</v>
      </c>
      <c r="J215">
        <v>69</v>
      </c>
      <c r="K215" t="s">
        <v>18</v>
      </c>
      <c r="L215">
        <v>79</v>
      </c>
      <c r="M215">
        <v>1.92</v>
      </c>
      <c r="N215">
        <v>7</v>
      </c>
      <c r="O215" t="s">
        <v>19</v>
      </c>
      <c r="P215" cm="1">
        <f t="array" ref="P215">_xlfn.SWITCH(Table2[[#This Row],[mood]], "Tired", 3, "Neutral", 2, "Happy", 1)</f>
        <v>2</v>
      </c>
    </row>
    <row r="216" spans="1:16" x14ac:dyDescent="0.3">
      <c r="A216">
        <v>1242</v>
      </c>
      <c r="B216" s="1">
        <v>42219</v>
      </c>
      <c r="C216">
        <v>26</v>
      </c>
      <c r="D216" t="s">
        <v>20</v>
      </c>
      <c r="E216">
        <v>150</v>
      </c>
      <c r="F216">
        <v>70.099999999999994</v>
      </c>
      <c r="G216">
        <v>8097</v>
      </c>
      <c r="H216">
        <v>486.2</v>
      </c>
      <c r="I216">
        <v>8.9</v>
      </c>
      <c r="J216">
        <v>80</v>
      </c>
      <c r="K216" t="s">
        <v>16</v>
      </c>
      <c r="L216">
        <v>0</v>
      </c>
      <c r="M216">
        <v>2.21</v>
      </c>
      <c r="N216">
        <v>4</v>
      </c>
      <c r="O216" t="s">
        <v>19</v>
      </c>
      <c r="P216" cm="1">
        <f t="array" ref="P216">_xlfn.SWITCH(Table2[[#This Row],[mood]], "Tired", 3, "Neutral", 2, "Happy", 1)</f>
        <v>2</v>
      </c>
    </row>
    <row r="217" spans="1:16" x14ac:dyDescent="0.3">
      <c r="A217">
        <v>1085</v>
      </c>
      <c r="B217" s="1">
        <v>42220</v>
      </c>
      <c r="C217">
        <v>37</v>
      </c>
      <c r="D217" t="s">
        <v>15</v>
      </c>
      <c r="E217">
        <v>172.7</v>
      </c>
      <c r="F217">
        <v>66.7</v>
      </c>
      <c r="G217">
        <v>14165</v>
      </c>
      <c r="H217">
        <v>785.2</v>
      </c>
      <c r="I217">
        <v>9</v>
      </c>
      <c r="J217">
        <v>88</v>
      </c>
      <c r="K217" t="s">
        <v>25</v>
      </c>
      <c r="L217">
        <v>51</v>
      </c>
      <c r="M217">
        <v>3.76</v>
      </c>
      <c r="N217">
        <v>1</v>
      </c>
      <c r="O217" t="s">
        <v>19</v>
      </c>
      <c r="P217" cm="1">
        <f t="array" ref="P217">_xlfn.SWITCH(Table2[[#This Row],[mood]], "Tired", 3, "Neutral", 2, "Happy", 1)</f>
        <v>2</v>
      </c>
    </row>
    <row r="218" spans="1:16" x14ac:dyDescent="0.3">
      <c r="A218">
        <v>1795</v>
      </c>
      <c r="B218" s="1">
        <v>42221</v>
      </c>
      <c r="C218">
        <v>36</v>
      </c>
      <c r="D218" t="s">
        <v>15</v>
      </c>
      <c r="E218">
        <v>178.5</v>
      </c>
      <c r="F218">
        <v>81</v>
      </c>
      <c r="G218">
        <v>19616</v>
      </c>
      <c r="H218">
        <v>900</v>
      </c>
      <c r="I218">
        <v>7.9</v>
      </c>
      <c r="J218">
        <v>89</v>
      </c>
      <c r="K218" t="s">
        <v>22</v>
      </c>
      <c r="L218">
        <v>88</v>
      </c>
      <c r="M218">
        <v>2.29</v>
      </c>
      <c r="N218">
        <v>3</v>
      </c>
      <c r="O218" t="s">
        <v>17</v>
      </c>
      <c r="P218" cm="1">
        <f t="array" ref="P218">_xlfn.SWITCH(Table2[[#This Row],[mood]], "Tired", 3, "Neutral", 2, "Happy", 1)</f>
        <v>3</v>
      </c>
    </row>
    <row r="219" spans="1:16" x14ac:dyDescent="0.3">
      <c r="A219">
        <v>1577</v>
      </c>
      <c r="B219" s="1">
        <v>42222</v>
      </c>
      <c r="C219">
        <v>56</v>
      </c>
      <c r="D219" t="s">
        <v>15</v>
      </c>
      <c r="E219">
        <v>157.30000000000001</v>
      </c>
      <c r="F219">
        <v>64.400000000000006</v>
      </c>
      <c r="G219">
        <v>12654</v>
      </c>
      <c r="H219">
        <v>729</v>
      </c>
      <c r="I219">
        <v>5</v>
      </c>
      <c r="J219">
        <v>60</v>
      </c>
      <c r="K219" t="s">
        <v>23</v>
      </c>
      <c r="L219">
        <v>70</v>
      </c>
      <c r="M219">
        <v>2.79</v>
      </c>
      <c r="N219">
        <v>6</v>
      </c>
      <c r="O219" t="s">
        <v>19</v>
      </c>
      <c r="P219" cm="1">
        <f t="array" ref="P219">_xlfn.SWITCH(Table2[[#This Row],[mood]], "Tired", 3, "Neutral", 2, "Happy", 1)</f>
        <v>2</v>
      </c>
    </row>
    <row r="220" spans="1:16" x14ac:dyDescent="0.3">
      <c r="A220">
        <v>1681</v>
      </c>
      <c r="B220" s="1">
        <v>42223</v>
      </c>
      <c r="C220">
        <v>29</v>
      </c>
      <c r="D220" t="s">
        <v>20</v>
      </c>
      <c r="E220">
        <v>176.8</v>
      </c>
      <c r="F220">
        <v>61.4</v>
      </c>
      <c r="G220">
        <v>18830</v>
      </c>
      <c r="H220">
        <v>900</v>
      </c>
      <c r="I220">
        <v>7.4</v>
      </c>
      <c r="J220">
        <v>73</v>
      </c>
      <c r="K220" t="s">
        <v>22</v>
      </c>
      <c r="L220">
        <v>86</v>
      </c>
      <c r="M220">
        <v>1.34</v>
      </c>
      <c r="N220">
        <v>1</v>
      </c>
      <c r="O220" t="s">
        <v>21</v>
      </c>
      <c r="P220" cm="1">
        <f t="array" ref="P220">_xlfn.SWITCH(Table2[[#This Row],[mood]], "Tired", 3, "Neutral", 2, "Happy", 1)</f>
        <v>1</v>
      </c>
    </row>
    <row r="221" spans="1:16" x14ac:dyDescent="0.3">
      <c r="A221">
        <v>1556</v>
      </c>
      <c r="B221" s="1">
        <v>42224</v>
      </c>
      <c r="C221">
        <v>32</v>
      </c>
      <c r="D221" t="s">
        <v>20</v>
      </c>
      <c r="E221">
        <v>170.5</v>
      </c>
      <c r="F221">
        <v>83.7</v>
      </c>
      <c r="G221">
        <v>17205</v>
      </c>
      <c r="H221">
        <v>900</v>
      </c>
      <c r="I221">
        <v>8.3000000000000007</v>
      </c>
      <c r="J221">
        <v>69</v>
      </c>
      <c r="K221" t="s">
        <v>24</v>
      </c>
      <c r="L221">
        <v>86</v>
      </c>
      <c r="M221">
        <v>1.73</v>
      </c>
      <c r="N221">
        <v>4</v>
      </c>
      <c r="O221" t="s">
        <v>21</v>
      </c>
      <c r="P221" cm="1">
        <f t="array" ref="P221">_xlfn.SWITCH(Table2[[#This Row],[mood]], "Tired", 3, "Neutral", 2, "Happy", 1)</f>
        <v>1</v>
      </c>
    </row>
    <row r="222" spans="1:16" x14ac:dyDescent="0.3">
      <c r="A222">
        <v>1573</v>
      </c>
      <c r="B222" s="1">
        <v>42225</v>
      </c>
      <c r="C222">
        <v>48</v>
      </c>
      <c r="D222" t="s">
        <v>15</v>
      </c>
      <c r="E222">
        <v>186</v>
      </c>
      <c r="F222">
        <v>63.7</v>
      </c>
      <c r="G222">
        <v>10657</v>
      </c>
      <c r="H222">
        <v>653.29999999999995</v>
      </c>
      <c r="I222">
        <v>7.6</v>
      </c>
      <c r="J222">
        <v>74</v>
      </c>
      <c r="K222" t="s">
        <v>23</v>
      </c>
      <c r="L222">
        <v>87</v>
      </c>
      <c r="M222">
        <v>3.15</v>
      </c>
      <c r="N222">
        <v>8</v>
      </c>
      <c r="O222" t="s">
        <v>17</v>
      </c>
      <c r="P222" cm="1">
        <f t="array" ref="P222">_xlfn.SWITCH(Table2[[#This Row],[mood]], "Tired", 3, "Neutral", 2, "Happy", 1)</f>
        <v>3</v>
      </c>
    </row>
    <row r="223" spans="1:16" x14ac:dyDescent="0.3">
      <c r="A223">
        <v>1952</v>
      </c>
      <c r="B223" s="1">
        <v>42226</v>
      </c>
      <c r="C223">
        <v>31</v>
      </c>
      <c r="D223" t="s">
        <v>20</v>
      </c>
      <c r="E223">
        <v>161.4</v>
      </c>
      <c r="F223">
        <v>61.9</v>
      </c>
      <c r="G223">
        <v>12959</v>
      </c>
      <c r="H223">
        <v>696.7</v>
      </c>
      <c r="I223">
        <v>6.9</v>
      </c>
      <c r="J223">
        <v>89</v>
      </c>
      <c r="K223" t="s">
        <v>25</v>
      </c>
      <c r="L223">
        <v>75</v>
      </c>
      <c r="M223">
        <v>3.67</v>
      </c>
      <c r="N223">
        <v>8</v>
      </c>
      <c r="O223" t="s">
        <v>17</v>
      </c>
      <c r="P223" cm="1">
        <f t="array" ref="P223">_xlfn.SWITCH(Table2[[#This Row],[mood]], "Tired", 3, "Neutral", 2, "Happy", 1)</f>
        <v>3</v>
      </c>
    </row>
    <row r="224" spans="1:16" x14ac:dyDescent="0.3">
      <c r="A224">
        <v>1645</v>
      </c>
      <c r="B224" s="1">
        <v>42227</v>
      </c>
      <c r="C224">
        <v>28</v>
      </c>
      <c r="D224" t="s">
        <v>15</v>
      </c>
      <c r="E224">
        <v>198.2</v>
      </c>
      <c r="F224">
        <v>45</v>
      </c>
      <c r="G224">
        <v>12819</v>
      </c>
      <c r="H224">
        <v>693.1</v>
      </c>
      <c r="I224">
        <v>9.1</v>
      </c>
      <c r="J224">
        <v>77</v>
      </c>
      <c r="K224" t="s">
        <v>24</v>
      </c>
      <c r="L224">
        <v>33</v>
      </c>
      <c r="M224">
        <v>2.65</v>
      </c>
      <c r="N224">
        <v>6</v>
      </c>
      <c r="O224" t="s">
        <v>17</v>
      </c>
      <c r="P224" cm="1">
        <f t="array" ref="P224">_xlfn.SWITCH(Table2[[#This Row],[mood]], "Tired", 3, "Neutral", 2, "Happy", 1)</f>
        <v>3</v>
      </c>
    </row>
    <row r="225" spans="1:16" x14ac:dyDescent="0.3">
      <c r="A225">
        <v>1795</v>
      </c>
      <c r="B225" s="1">
        <v>42228</v>
      </c>
      <c r="C225">
        <v>43</v>
      </c>
      <c r="D225" t="s">
        <v>20</v>
      </c>
      <c r="E225">
        <v>150</v>
      </c>
      <c r="F225">
        <v>54.4</v>
      </c>
      <c r="G225">
        <v>4083</v>
      </c>
      <c r="H225">
        <v>423.5</v>
      </c>
      <c r="I225">
        <v>5.9</v>
      </c>
      <c r="J225">
        <v>84</v>
      </c>
      <c r="K225" t="s">
        <v>23</v>
      </c>
      <c r="L225">
        <v>35</v>
      </c>
      <c r="M225">
        <v>2.29</v>
      </c>
      <c r="N225">
        <v>6</v>
      </c>
      <c r="O225" t="s">
        <v>21</v>
      </c>
      <c r="P225" cm="1">
        <f t="array" ref="P225">_xlfn.SWITCH(Table2[[#This Row],[mood]], "Tired", 3, "Neutral", 2, "Happy", 1)</f>
        <v>1</v>
      </c>
    </row>
    <row r="226" spans="1:16" x14ac:dyDescent="0.3">
      <c r="A226">
        <v>1027</v>
      </c>
      <c r="B226" s="1">
        <v>42229</v>
      </c>
      <c r="C226">
        <v>59</v>
      </c>
      <c r="D226" t="s">
        <v>20</v>
      </c>
      <c r="E226">
        <v>166.7</v>
      </c>
      <c r="F226">
        <v>57.4</v>
      </c>
      <c r="G226">
        <v>10735</v>
      </c>
      <c r="H226">
        <v>553</v>
      </c>
      <c r="I226">
        <v>6.7</v>
      </c>
      <c r="J226">
        <v>97</v>
      </c>
      <c r="K226" t="s">
        <v>16</v>
      </c>
      <c r="L226">
        <v>0</v>
      </c>
      <c r="M226">
        <v>2.85</v>
      </c>
      <c r="N226">
        <v>3</v>
      </c>
      <c r="O226" t="s">
        <v>17</v>
      </c>
      <c r="P226" cm="1">
        <f t="array" ref="P226">_xlfn.SWITCH(Table2[[#This Row],[mood]], "Tired", 3, "Neutral", 2, "Happy", 1)</f>
        <v>3</v>
      </c>
    </row>
    <row r="227" spans="1:16" x14ac:dyDescent="0.3">
      <c r="A227">
        <v>1619</v>
      </c>
      <c r="B227" s="1">
        <v>42230</v>
      </c>
      <c r="C227">
        <v>44</v>
      </c>
      <c r="D227" t="s">
        <v>20</v>
      </c>
      <c r="E227">
        <v>153</v>
      </c>
      <c r="F227">
        <v>61.9</v>
      </c>
      <c r="G227">
        <v>7952</v>
      </c>
      <c r="H227">
        <v>546</v>
      </c>
      <c r="I227">
        <v>7.9</v>
      </c>
      <c r="J227">
        <v>59</v>
      </c>
      <c r="K227" t="s">
        <v>16</v>
      </c>
      <c r="L227">
        <v>0</v>
      </c>
      <c r="M227">
        <v>0.68</v>
      </c>
      <c r="N227">
        <v>7</v>
      </c>
      <c r="O227" t="s">
        <v>17</v>
      </c>
      <c r="P227" cm="1">
        <f t="array" ref="P227">_xlfn.SWITCH(Table2[[#This Row],[mood]], "Tired", 3, "Neutral", 2, "Happy", 1)</f>
        <v>3</v>
      </c>
    </row>
    <row r="228" spans="1:16" x14ac:dyDescent="0.3">
      <c r="A228">
        <v>1555</v>
      </c>
      <c r="B228" s="1">
        <v>42231</v>
      </c>
      <c r="C228">
        <v>28</v>
      </c>
      <c r="D228" t="s">
        <v>20</v>
      </c>
      <c r="E228">
        <v>188.5</v>
      </c>
      <c r="F228">
        <v>59.2</v>
      </c>
      <c r="G228">
        <v>15637</v>
      </c>
      <c r="H228">
        <v>769.7</v>
      </c>
      <c r="I228">
        <v>7.5</v>
      </c>
      <c r="J228">
        <v>70</v>
      </c>
      <c r="K228" t="s">
        <v>25</v>
      </c>
      <c r="L228">
        <v>32</v>
      </c>
      <c r="M228">
        <v>2.66</v>
      </c>
      <c r="N228">
        <v>8</v>
      </c>
      <c r="O228" t="s">
        <v>21</v>
      </c>
      <c r="P228" cm="1">
        <f t="array" ref="P228">_xlfn.SWITCH(Table2[[#This Row],[mood]], "Tired", 3, "Neutral", 2, "Happy", 1)</f>
        <v>1</v>
      </c>
    </row>
    <row r="229" spans="1:16" x14ac:dyDescent="0.3">
      <c r="A229">
        <v>1339</v>
      </c>
      <c r="B229" s="1">
        <v>42232</v>
      </c>
      <c r="C229">
        <v>55</v>
      </c>
      <c r="D229" t="s">
        <v>15</v>
      </c>
      <c r="E229">
        <v>167.4</v>
      </c>
      <c r="F229">
        <v>84.7</v>
      </c>
      <c r="G229">
        <v>10463</v>
      </c>
      <c r="H229">
        <v>674</v>
      </c>
      <c r="I229">
        <v>7.8</v>
      </c>
      <c r="J229">
        <v>81</v>
      </c>
      <c r="K229" t="s">
        <v>16</v>
      </c>
      <c r="L229">
        <v>0</v>
      </c>
      <c r="M229">
        <v>1.77</v>
      </c>
      <c r="N229">
        <v>2</v>
      </c>
      <c r="O229" t="s">
        <v>19</v>
      </c>
      <c r="P229" cm="1">
        <f t="array" ref="P229">_xlfn.SWITCH(Table2[[#This Row],[mood]], "Tired", 3, "Neutral", 2, "Happy", 1)</f>
        <v>2</v>
      </c>
    </row>
    <row r="230" spans="1:16" x14ac:dyDescent="0.3">
      <c r="A230">
        <v>1797</v>
      </c>
      <c r="B230" s="1">
        <v>42233</v>
      </c>
      <c r="C230">
        <v>51</v>
      </c>
      <c r="D230" t="s">
        <v>20</v>
      </c>
      <c r="E230">
        <v>168.3</v>
      </c>
      <c r="F230">
        <v>58.4</v>
      </c>
      <c r="G230">
        <v>6391</v>
      </c>
      <c r="H230">
        <v>434</v>
      </c>
      <c r="I230">
        <v>7.8</v>
      </c>
      <c r="J230">
        <v>78</v>
      </c>
      <c r="K230" t="s">
        <v>24</v>
      </c>
      <c r="L230">
        <v>45</v>
      </c>
      <c r="M230">
        <v>3.06</v>
      </c>
      <c r="N230">
        <v>5</v>
      </c>
      <c r="O230" t="s">
        <v>17</v>
      </c>
      <c r="P230" cm="1">
        <f t="array" ref="P230">_xlfn.SWITCH(Table2[[#This Row],[mood]], "Tired", 3, "Neutral", 2, "Happy", 1)</f>
        <v>3</v>
      </c>
    </row>
    <row r="231" spans="1:16" x14ac:dyDescent="0.3">
      <c r="A231">
        <v>1957</v>
      </c>
      <c r="B231" s="1">
        <v>42234</v>
      </c>
      <c r="C231">
        <v>36</v>
      </c>
      <c r="D231" t="s">
        <v>15</v>
      </c>
      <c r="E231">
        <v>174.4</v>
      </c>
      <c r="F231">
        <v>59.5</v>
      </c>
      <c r="G231">
        <v>15468</v>
      </c>
      <c r="H231">
        <v>845</v>
      </c>
      <c r="I231">
        <v>7.8</v>
      </c>
      <c r="J231">
        <v>85</v>
      </c>
      <c r="K231" t="s">
        <v>25</v>
      </c>
      <c r="L231">
        <v>32</v>
      </c>
      <c r="M231">
        <v>0.97</v>
      </c>
      <c r="N231">
        <v>6</v>
      </c>
      <c r="O231" t="s">
        <v>19</v>
      </c>
      <c r="P231" cm="1">
        <f t="array" ref="P231">_xlfn.SWITCH(Table2[[#This Row],[mood]], "Tired", 3, "Neutral", 2, "Happy", 1)</f>
        <v>2</v>
      </c>
    </row>
    <row r="232" spans="1:16" x14ac:dyDescent="0.3">
      <c r="A232">
        <v>1330</v>
      </c>
      <c r="B232" s="1">
        <v>42235</v>
      </c>
      <c r="C232">
        <v>23</v>
      </c>
      <c r="D232" t="s">
        <v>15</v>
      </c>
      <c r="E232">
        <v>170</v>
      </c>
      <c r="F232">
        <v>72.3</v>
      </c>
      <c r="G232">
        <v>16091</v>
      </c>
      <c r="H232">
        <v>845.5</v>
      </c>
      <c r="I232">
        <v>6.5</v>
      </c>
      <c r="J232">
        <v>71</v>
      </c>
      <c r="K232" t="s">
        <v>23</v>
      </c>
      <c r="L232">
        <v>87</v>
      </c>
      <c r="M232">
        <v>2.06</v>
      </c>
      <c r="N232">
        <v>1</v>
      </c>
      <c r="O232" t="s">
        <v>19</v>
      </c>
      <c r="P232" cm="1">
        <f t="array" ref="P232">_xlfn.SWITCH(Table2[[#This Row],[mood]], "Tired", 3, "Neutral", 2, "Happy", 1)</f>
        <v>2</v>
      </c>
    </row>
    <row r="233" spans="1:16" x14ac:dyDescent="0.3">
      <c r="A233">
        <v>1639</v>
      </c>
      <c r="B233" s="1">
        <v>42236</v>
      </c>
      <c r="C233">
        <v>55</v>
      </c>
      <c r="D233" t="s">
        <v>15</v>
      </c>
      <c r="E233">
        <v>164.1</v>
      </c>
      <c r="F233">
        <v>53.5</v>
      </c>
      <c r="G233">
        <v>15964</v>
      </c>
      <c r="H233">
        <v>769.2</v>
      </c>
      <c r="I233">
        <v>6</v>
      </c>
      <c r="J233">
        <v>77</v>
      </c>
      <c r="K233" t="s">
        <v>24</v>
      </c>
      <c r="L233">
        <v>52</v>
      </c>
      <c r="M233">
        <v>2.4700000000000002</v>
      </c>
      <c r="N233">
        <v>5</v>
      </c>
      <c r="O233" t="s">
        <v>19</v>
      </c>
      <c r="P233" cm="1">
        <f t="array" ref="P233">_xlfn.SWITCH(Table2[[#This Row],[mood]], "Tired", 3, "Neutral", 2, "Happy", 1)</f>
        <v>2</v>
      </c>
    </row>
    <row r="234" spans="1:16" x14ac:dyDescent="0.3">
      <c r="A234">
        <v>1505</v>
      </c>
      <c r="B234" s="1">
        <v>42237</v>
      </c>
      <c r="C234">
        <v>59</v>
      </c>
      <c r="D234" t="s">
        <v>20</v>
      </c>
      <c r="E234">
        <v>157.4</v>
      </c>
      <c r="F234">
        <v>93.5</v>
      </c>
      <c r="G234">
        <v>9964</v>
      </c>
      <c r="H234">
        <v>630.6</v>
      </c>
      <c r="I234">
        <v>7.2</v>
      </c>
      <c r="J234">
        <v>67</v>
      </c>
      <c r="K234" t="s">
        <v>16</v>
      </c>
      <c r="L234">
        <v>0</v>
      </c>
      <c r="M234">
        <v>1.97</v>
      </c>
      <c r="N234">
        <v>3</v>
      </c>
      <c r="O234" t="s">
        <v>19</v>
      </c>
      <c r="P234" cm="1">
        <f t="array" ref="P234">_xlfn.SWITCH(Table2[[#This Row],[mood]], "Tired", 3, "Neutral", 2, "Happy", 1)</f>
        <v>2</v>
      </c>
    </row>
    <row r="235" spans="1:16" x14ac:dyDescent="0.3">
      <c r="A235">
        <v>1347</v>
      </c>
      <c r="B235" s="1">
        <v>42238</v>
      </c>
      <c r="C235">
        <v>45</v>
      </c>
      <c r="D235" t="s">
        <v>15</v>
      </c>
      <c r="E235">
        <v>171.7</v>
      </c>
      <c r="F235">
        <v>82</v>
      </c>
      <c r="G235">
        <v>8914</v>
      </c>
      <c r="H235">
        <v>520.5</v>
      </c>
      <c r="I235">
        <v>9.3000000000000007</v>
      </c>
      <c r="J235">
        <v>86</v>
      </c>
      <c r="K235" t="s">
        <v>18</v>
      </c>
      <c r="L235">
        <v>36</v>
      </c>
      <c r="M235">
        <v>2.2400000000000002</v>
      </c>
      <c r="N235">
        <v>3</v>
      </c>
      <c r="O235" t="s">
        <v>17</v>
      </c>
      <c r="P235" cm="1">
        <f t="array" ref="P235">_xlfn.SWITCH(Table2[[#This Row],[mood]], "Tired", 3, "Neutral", 2, "Happy", 1)</f>
        <v>3</v>
      </c>
    </row>
    <row r="236" spans="1:16" x14ac:dyDescent="0.3">
      <c r="A236">
        <v>1472</v>
      </c>
      <c r="B236" s="1">
        <v>42239</v>
      </c>
      <c r="C236">
        <v>18</v>
      </c>
      <c r="D236" t="s">
        <v>15</v>
      </c>
      <c r="E236">
        <v>173.8</v>
      </c>
      <c r="F236">
        <v>52.5</v>
      </c>
      <c r="G236">
        <v>15476</v>
      </c>
      <c r="H236">
        <v>859.1</v>
      </c>
      <c r="I236">
        <v>7</v>
      </c>
      <c r="J236">
        <v>75</v>
      </c>
      <c r="K236" t="s">
        <v>22</v>
      </c>
      <c r="L236">
        <v>25</v>
      </c>
      <c r="M236">
        <v>3.13</v>
      </c>
      <c r="N236">
        <v>6</v>
      </c>
      <c r="O236" t="s">
        <v>17</v>
      </c>
      <c r="P236" cm="1">
        <f t="array" ref="P236">_xlfn.SWITCH(Table2[[#This Row],[mood]], "Tired", 3, "Neutral", 2, "Happy", 1)</f>
        <v>3</v>
      </c>
    </row>
    <row r="237" spans="1:16" x14ac:dyDescent="0.3">
      <c r="A237">
        <v>1230</v>
      </c>
      <c r="B237" s="1">
        <v>42240</v>
      </c>
      <c r="C237">
        <v>52</v>
      </c>
      <c r="D237" t="s">
        <v>15</v>
      </c>
      <c r="E237">
        <v>177</v>
      </c>
      <c r="F237">
        <v>85.2</v>
      </c>
      <c r="G237">
        <v>17866</v>
      </c>
      <c r="H237">
        <v>864.5</v>
      </c>
      <c r="I237">
        <v>7.9</v>
      </c>
      <c r="J237">
        <v>89</v>
      </c>
      <c r="K237" t="s">
        <v>16</v>
      </c>
      <c r="L237">
        <v>0</v>
      </c>
      <c r="M237">
        <v>2.48</v>
      </c>
      <c r="N237">
        <v>1</v>
      </c>
      <c r="O237" t="s">
        <v>17</v>
      </c>
      <c r="P237" cm="1">
        <f t="array" ref="P237">_xlfn.SWITCH(Table2[[#This Row],[mood]], "Tired", 3, "Neutral", 2, "Happy", 1)</f>
        <v>3</v>
      </c>
    </row>
    <row r="238" spans="1:16" x14ac:dyDescent="0.3">
      <c r="A238">
        <v>1189</v>
      </c>
      <c r="B238" s="1">
        <v>42241</v>
      </c>
      <c r="C238">
        <v>57</v>
      </c>
      <c r="D238" t="s">
        <v>20</v>
      </c>
      <c r="E238">
        <v>189.1</v>
      </c>
      <c r="F238">
        <v>88.3</v>
      </c>
      <c r="G238">
        <v>8437</v>
      </c>
      <c r="H238">
        <v>549.6</v>
      </c>
      <c r="I238">
        <v>7.2</v>
      </c>
      <c r="J238">
        <v>89</v>
      </c>
      <c r="K238" t="s">
        <v>18</v>
      </c>
      <c r="L238">
        <v>52</v>
      </c>
      <c r="M238">
        <v>1.85</v>
      </c>
      <c r="N238">
        <v>5</v>
      </c>
      <c r="O238" t="s">
        <v>21</v>
      </c>
      <c r="P238" cm="1">
        <f t="array" ref="P238">_xlfn.SWITCH(Table2[[#This Row],[mood]], "Tired", 3, "Neutral", 2, "Happy", 1)</f>
        <v>1</v>
      </c>
    </row>
    <row r="239" spans="1:16" x14ac:dyDescent="0.3">
      <c r="A239">
        <v>1224</v>
      </c>
      <c r="B239" s="1">
        <v>42242</v>
      </c>
      <c r="C239">
        <v>25</v>
      </c>
      <c r="D239" t="s">
        <v>20</v>
      </c>
      <c r="E239">
        <v>150</v>
      </c>
      <c r="F239">
        <v>52.9</v>
      </c>
      <c r="G239">
        <v>12371</v>
      </c>
      <c r="H239">
        <v>696.8</v>
      </c>
      <c r="I239">
        <v>10</v>
      </c>
      <c r="J239">
        <v>62</v>
      </c>
      <c r="K239" t="s">
        <v>25</v>
      </c>
      <c r="L239">
        <v>73</v>
      </c>
      <c r="M239">
        <v>3.16</v>
      </c>
      <c r="N239">
        <v>5</v>
      </c>
      <c r="O239" t="s">
        <v>21</v>
      </c>
      <c r="P239" cm="1">
        <f t="array" ref="P239">_xlfn.SWITCH(Table2[[#This Row],[mood]], "Tired", 3, "Neutral", 2, "Happy", 1)</f>
        <v>1</v>
      </c>
    </row>
    <row r="240" spans="1:16" x14ac:dyDescent="0.3">
      <c r="A240">
        <v>1384</v>
      </c>
      <c r="B240" s="1">
        <v>42243</v>
      </c>
      <c r="C240">
        <v>24</v>
      </c>
      <c r="D240" t="s">
        <v>15</v>
      </c>
      <c r="E240">
        <v>169.3</v>
      </c>
      <c r="F240">
        <v>52.5</v>
      </c>
      <c r="G240">
        <v>10773</v>
      </c>
      <c r="H240">
        <v>600.79999999999995</v>
      </c>
      <c r="I240">
        <v>6.8</v>
      </c>
      <c r="J240">
        <v>91</v>
      </c>
      <c r="K240" t="s">
        <v>23</v>
      </c>
      <c r="L240">
        <v>35</v>
      </c>
      <c r="M240">
        <v>2.68</v>
      </c>
      <c r="N240">
        <v>5</v>
      </c>
      <c r="O240" t="s">
        <v>19</v>
      </c>
      <c r="P240" cm="1">
        <f t="array" ref="P240">_xlfn.SWITCH(Table2[[#This Row],[mood]], "Tired", 3, "Neutral", 2, "Happy", 1)</f>
        <v>2</v>
      </c>
    </row>
    <row r="241" spans="1:16" x14ac:dyDescent="0.3">
      <c r="A241">
        <v>1376</v>
      </c>
      <c r="B241" s="1">
        <v>42244</v>
      </c>
      <c r="C241">
        <v>28</v>
      </c>
      <c r="D241" t="s">
        <v>20</v>
      </c>
      <c r="E241">
        <v>181.9</v>
      </c>
      <c r="F241">
        <v>60.8</v>
      </c>
      <c r="G241">
        <v>6203</v>
      </c>
      <c r="H241">
        <v>517.1</v>
      </c>
      <c r="I241">
        <v>7.9</v>
      </c>
      <c r="J241">
        <v>84</v>
      </c>
      <c r="K241" t="s">
        <v>22</v>
      </c>
      <c r="L241">
        <v>65</v>
      </c>
      <c r="M241">
        <v>2.7</v>
      </c>
      <c r="N241">
        <v>3</v>
      </c>
      <c r="O241" t="s">
        <v>21</v>
      </c>
      <c r="P241" cm="1">
        <f t="array" ref="P241">_xlfn.SWITCH(Table2[[#This Row],[mood]], "Tired", 3, "Neutral", 2, "Happy", 1)</f>
        <v>1</v>
      </c>
    </row>
    <row r="242" spans="1:16" x14ac:dyDescent="0.3">
      <c r="A242">
        <v>1282</v>
      </c>
      <c r="B242" s="1">
        <v>42245</v>
      </c>
      <c r="C242">
        <v>56</v>
      </c>
      <c r="D242" t="s">
        <v>15</v>
      </c>
      <c r="E242">
        <v>168.8</v>
      </c>
      <c r="F242">
        <v>48.8</v>
      </c>
      <c r="G242">
        <v>16430</v>
      </c>
      <c r="H242">
        <v>858.9</v>
      </c>
      <c r="I242">
        <v>5.9</v>
      </c>
      <c r="J242">
        <v>73</v>
      </c>
      <c r="K242" t="s">
        <v>23</v>
      </c>
      <c r="L242">
        <v>43</v>
      </c>
      <c r="M242">
        <v>1.88</v>
      </c>
      <c r="N242">
        <v>6</v>
      </c>
      <c r="O242" t="s">
        <v>19</v>
      </c>
      <c r="P242" cm="1">
        <f t="array" ref="P242">_xlfn.SWITCH(Table2[[#This Row],[mood]], "Tired", 3, "Neutral", 2, "Happy", 1)</f>
        <v>2</v>
      </c>
    </row>
    <row r="243" spans="1:16" x14ac:dyDescent="0.3">
      <c r="A243">
        <v>1957</v>
      </c>
      <c r="B243" s="1">
        <v>42246</v>
      </c>
      <c r="C243">
        <v>21</v>
      </c>
      <c r="D243" t="s">
        <v>15</v>
      </c>
      <c r="E243">
        <v>150</v>
      </c>
      <c r="F243">
        <v>58.3</v>
      </c>
      <c r="G243">
        <v>13462</v>
      </c>
      <c r="H243">
        <v>717.4</v>
      </c>
      <c r="I243">
        <v>5.3</v>
      </c>
      <c r="J243">
        <v>83</v>
      </c>
      <c r="K243" t="s">
        <v>25</v>
      </c>
      <c r="L243">
        <v>24</v>
      </c>
      <c r="M243">
        <v>0.72</v>
      </c>
      <c r="N243">
        <v>1</v>
      </c>
      <c r="O243" t="s">
        <v>19</v>
      </c>
      <c r="P243" cm="1">
        <f t="array" ref="P243">_xlfn.SWITCH(Table2[[#This Row],[mood]], "Tired", 3, "Neutral", 2, "Happy", 1)</f>
        <v>2</v>
      </c>
    </row>
    <row r="244" spans="1:16" x14ac:dyDescent="0.3">
      <c r="A244">
        <v>1632</v>
      </c>
      <c r="B244" s="1">
        <v>42247</v>
      </c>
      <c r="C244">
        <v>42</v>
      </c>
      <c r="D244" t="s">
        <v>20</v>
      </c>
      <c r="E244">
        <v>157.1</v>
      </c>
      <c r="F244">
        <v>64</v>
      </c>
      <c r="G244">
        <v>10033</v>
      </c>
      <c r="H244">
        <v>616.29999999999995</v>
      </c>
      <c r="I244">
        <v>7</v>
      </c>
      <c r="J244">
        <v>70</v>
      </c>
      <c r="K244" t="s">
        <v>23</v>
      </c>
      <c r="L244">
        <v>86</v>
      </c>
      <c r="M244">
        <v>1.87</v>
      </c>
      <c r="N244">
        <v>10</v>
      </c>
      <c r="O244" t="s">
        <v>17</v>
      </c>
      <c r="P244" cm="1">
        <f t="array" ref="P244">_xlfn.SWITCH(Table2[[#This Row],[mood]], "Tired", 3, "Neutral", 2, "Happy", 1)</f>
        <v>3</v>
      </c>
    </row>
    <row r="245" spans="1:16" x14ac:dyDescent="0.3">
      <c r="A245">
        <v>1627</v>
      </c>
      <c r="B245" s="1">
        <v>42248</v>
      </c>
      <c r="C245">
        <v>29</v>
      </c>
      <c r="D245" t="s">
        <v>15</v>
      </c>
      <c r="E245">
        <v>173.3</v>
      </c>
      <c r="F245">
        <v>77.599999999999994</v>
      </c>
      <c r="G245">
        <v>19256</v>
      </c>
      <c r="H245">
        <v>897.5</v>
      </c>
      <c r="I245">
        <v>8.8000000000000007</v>
      </c>
      <c r="J245">
        <v>89</v>
      </c>
      <c r="K245" t="s">
        <v>24</v>
      </c>
      <c r="L245">
        <v>69</v>
      </c>
      <c r="M245">
        <v>1.79</v>
      </c>
      <c r="N245">
        <v>1</v>
      </c>
      <c r="O245" t="s">
        <v>17</v>
      </c>
      <c r="P245" cm="1">
        <f t="array" ref="P245">_xlfn.SWITCH(Table2[[#This Row],[mood]], "Tired", 3, "Neutral", 2, "Happy", 1)</f>
        <v>3</v>
      </c>
    </row>
    <row r="246" spans="1:16" x14ac:dyDescent="0.3">
      <c r="A246">
        <v>1972</v>
      </c>
      <c r="B246" s="1">
        <v>42249</v>
      </c>
      <c r="C246">
        <v>43</v>
      </c>
      <c r="D246" t="s">
        <v>20</v>
      </c>
      <c r="E246">
        <v>172.9</v>
      </c>
      <c r="F246">
        <v>71.2</v>
      </c>
      <c r="G246">
        <v>16754</v>
      </c>
      <c r="H246">
        <v>900</v>
      </c>
      <c r="I246">
        <v>8</v>
      </c>
      <c r="J246">
        <v>76</v>
      </c>
      <c r="K246" t="s">
        <v>24</v>
      </c>
      <c r="L246">
        <v>60</v>
      </c>
      <c r="M246">
        <v>2.0699999999999998</v>
      </c>
      <c r="N246">
        <v>2</v>
      </c>
      <c r="O246" t="s">
        <v>21</v>
      </c>
      <c r="P246" cm="1">
        <f t="array" ref="P246">_xlfn.SWITCH(Table2[[#This Row],[mood]], "Tired", 3, "Neutral", 2, "Happy", 1)</f>
        <v>1</v>
      </c>
    </row>
    <row r="247" spans="1:16" x14ac:dyDescent="0.3">
      <c r="A247">
        <v>1744</v>
      </c>
      <c r="B247" s="1">
        <v>42250</v>
      </c>
      <c r="C247">
        <v>55</v>
      </c>
      <c r="D247" t="s">
        <v>20</v>
      </c>
      <c r="E247">
        <v>176.7</v>
      </c>
      <c r="F247">
        <v>67.8</v>
      </c>
      <c r="G247">
        <v>4320</v>
      </c>
      <c r="H247">
        <v>318.5</v>
      </c>
      <c r="I247">
        <v>3.9</v>
      </c>
      <c r="J247">
        <v>84</v>
      </c>
      <c r="K247" t="s">
        <v>16</v>
      </c>
      <c r="L247">
        <v>0</v>
      </c>
      <c r="M247">
        <v>1.91</v>
      </c>
      <c r="N247">
        <v>4</v>
      </c>
      <c r="O247" t="s">
        <v>17</v>
      </c>
      <c r="P247" cm="1">
        <f t="array" ref="P247">_xlfn.SWITCH(Table2[[#This Row],[mood]], "Tired", 3, "Neutral", 2, "Happy", 1)</f>
        <v>3</v>
      </c>
    </row>
    <row r="248" spans="1:16" x14ac:dyDescent="0.3">
      <c r="A248">
        <v>1258</v>
      </c>
      <c r="B248" s="1">
        <v>42251</v>
      </c>
      <c r="C248">
        <v>29</v>
      </c>
      <c r="D248" t="s">
        <v>15</v>
      </c>
      <c r="E248">
        <v>162.19999999999999</v>
      </c>
      <c r="F248">
        <v>62.8</v>
      </c>
      <c r="G248">
        <v>15979</v>
      </c>
      <c r="H248">
        <v>866.7</v>
      </c>
      <c r="I248">
        <v>8.1</v>
      </c>
      <c r="J248">
        <v>69</v>
      </c>
      <c r="K248" t="s">
        <v>16</v>
      </c>
      <c r="L248">
        <v>0</v>
      </c>
      <c r="M248">
        <v>2.58</v>
      </c>
      <c r="N248">
        <v>10</v>
      </c>
      <c r="O248" t="s">
        <v>21</v>
      </c>
      <c r="P248" cm="1">
        <f t="array" ref="P248">_xlfn.SWITCH(Table2[[#This Row],[mood]], "Tired", 3, "Neutral", 2, "Happy", 1)</f>
        <v>1</v>
      </c>
    </row>
    <row r="249" spans="1:16" x14ac:dyDescent="0.3">
      <c r="A249">
        <v>1358</v>
      </c>
      <c r="B249" s="1">
        <v>42252</v>
      </c>
      <c r="C249">
        <v>54</v>
      </c>
      <c r="D249" t="s">
        <v>20</v>
      </c>
      <c r="E249">
        <v>172.6</v>
      </c>
      <c r="F249">
        <v>50.4</v>
      </c>
      <c r="G249">
        <v>3728</v>
      </c>
      <c r="H249">
        <v>352.2</v>
      </c>
      <c r="I249">
        <v>4.7</v>
      </c>
      <c r="J249">
        <v>78</v>
      </c>
      <c r="K249" t="s">
        <v>16</v>
      </c>
      <c r="L249">
        <v>0</v>
      </c>
      <c r="M249">
        <v>3.12</v>
      </c>
      <c r="N249">
        <v>9</v>
      </c>
      <c r="O249" t="s">
        <v>17</v>
      </c>
      <c r="P249" cm="1">
        <f t="array" ref="P249">_xlfn.SWITCH(Table2[[#This Row],[mood]], "Tired", 3, "Neutral", 2, "Happy", 1)</f>
        <v>3</v>
      </c>
    </row>
    <row r="250" spans="1:16" x14ac:dyDescent="0.3">
      <c r="A250">
        <v>1709</v>
      </c>
      <c r="B250" s="1">
        <v>42253</v>
      </c>
      <c r="C250">
        <v>41</v>
      </c>
      <c r="D250" t="s">
        <v>20</v>
      </c>
      <c r="E250">
        <v>160.5</v>
      </c>
      <c r="F250">
        <v>78.900000000000006</v>
      </c>
      <c r="G250">
        <v>18338</v>
      </c>
      <c r="H250">
        <v>900</v>
      </c>
      <c r="I250">
        <v>8.3000000000000007</v>
      </c>
      <c r="J250">
        <v>84</v>
      </c>
      <c r="K250" t="s">
        <v>16</v>
      </c>
      <c r="L250">
        <v>0</v>
      </c>
      <c r="M250">
        <v>3.25</v>
      </c>
      <c r="N250">
        <v>10</v>
      </c>
      <c r="O250" t="s">
        <v>17</v>
      </c>
      <c r="P250" cm="1">
        <f t="array" ref="P250">_xlfn.SWITCH(Table2[[#This Row],[mood]], "Tired", 3, "Neutral", 2, "Happy", 1)</f>
        <v>3</v>
      </c>
    </row>
    <row r="251" spans="1:16" x14ac:dyDescent="0.3">
      <c r="A251">
        <v>1455</v>
      </c>
      <c r="B251" s="1">
        <v>42254</v>
      </c>
      <c r="C251">
        <v>33</v>
      </c>
      <c r="D251" t="s">
        <v>15</v>
      </c>
      <c r="E251">
        <v>172.6</v>
      </c>
      <c r="F251">
        <v>78.5</v>
      </c>
      <c r="G251">
        <v>2595</v>
      </c>
      <c r="H251">
        <v>312.7</v>
      </c>
      <c r="I251">
        <v>7.8</v>
      </c>
      <c r="J251">
        <v>78</v>
      </c>
      <c r="K251" t="s">
        <v>25</v>
      </c>
      <c r="L251">
        <v>69</v>
      </c>
      <c r="M251">
        <v>3.09</v>
      </c>
      <c r="N251">
        <v>8</v>
      </c>
      <c r="O251" t="s">
        <v>21</v>
      </c>
      <c r="P251" cm="1">
        <f t="array" ref="P251">_xlfn.SWITCH(Table2[[#This Row],[mood]], "Tired", 3, "Neutral", 2, "Happy", 1)</f>
        <v>1</v>
      </c>
    </row>
    <row r="252" spans="1:16" x14ac:dyDescent="0.3">
      <c r="A252">
        <v>1410</v>
      </c>
      <c r="B252" s="1">
        <v>42255</v>
      </c>
      <c r="C252">
        <v>30</v>
      </c>
      <c r="D252" t="s">
        <v>15</v>
      </c>
      <c r="E252">
        <v>170.5</v>
      </c>
      <c r="F252">
        <v>60.7</v>
      </c>
      <c r="G252">
        <v>3288</v>
      </c>
      <c r="H252">
        <v>299.60000000000002</v>
      </c>
      <c r="I252">
        <v>6.8</v>
      </c>
      <c r="J252">
        <v>81</v>
      </c>
      <c r="K252" t="s">
        <v>23</v>
      </c>
      <c r="L252">
        <v>52</v>
      </c>
      <c r="M252">
        <v>1.87</v>
      </c>
      <c r="N252">
        <v>10</v>
      </c>
      <c r="O252" t="s">
        <v>19</v>
      </c>
      <c r="P252" cm="1">
        <f t="array" ref="P252">_xlfn.SWITCH(Table2[[#This Row],[mood]], "Tired", 3, "Neutral", 2, "Happy", 1)</f>
        <v>2</v>
      </c>
    </row>
    <row r="253" spans="1:16" x14ac:dyDescent="0.3">
      <c r="A253">
        <v>1648</v>
      </c>
      <c r="B253" s="1">
        <v>42256</v>
      </c>
      <c r="C253">
        <v>42</v>
      </c>
      <c r="D253" t="s">
        <v>20</v>
      </c>
      <c r="E253">
        <v>161.80000000000001</v>
      </c>
      <c r="F253">
        <v>53.5</v>
      </c>
      <c r="G253">
        <v>7845</v>
      </c>
      <c r="H253">
        <v>420.9</v>
      </c>
      <c r="I253">
        <v>8.1</v>
      </c>
      <c r="J253">
        <v>67</v>
      </c>
      <c r="K253" t="s">
        <v>16</v>
      </c>
      <c r="L253">
        <v>0</v>
      </c>
      <c r="M253">
        <v>2.54</v>
      </c>
      <c r="N253">
        <v>2</v>
      </c>
      <c r="O253" t="s">
        <v>21</v>
      </c>
      <c r="P253" cm="1">
        <f t="array" ref="P253">_xlfn.SWITCH(Table2[[#This Row],[mood]], "Tired", 3, "Neutral", 2, "Happy", 1)</f>
        <v>1</v>
      </c>
    </row>
    <row r="254" spans="1:16" x14ac:dyDescent="0.3">
      <c r="A254">
        <v>1317</v>
      </c>
      <c r="B254" s="1">
        <v>42257</v>
      </c>
      <c r="C254">
        <v>21</v>
      </c>
      <c r="D254" t="s">
        <v>20</v>
      </c>
      <c r="E254">
        <v>185.6</v>
      </c>
      <c r="F254">
        <v>93.3</v>
      </c>
      <c r="G254">
        <v>8663</v>
      </c>
      <c r="H254">
        <v>457.5</v>
      </c>
      <c r="I254">
        <v>6.6</v>
      </c>
      <c r="J254">
        <v>78</v>
      </c>
      <c r="K254" t="s">
        <v>25</v>
      </c>
      <c r="L254">
        <v>29</v>
      </c>
      <c r="M254">
        <v>3.6</v>
      </c>
      <c r="N254">
        <v>1</v>
      </c>
      <c r="O254" t="s">
        <v>17</v>
      </c>
      <c r="P254" cm="1">
        <f t="array" ref="P254">_xlfn.SWITCH(Table2[[#This Row],[mood]], "Tired", 3, "Neutral", 2, "Happy", 1)</f>
        <v>3</v>
      </c>
    </row>
    <row r="255" spans="1:16" x14ac:dyDescent="0.3">
      <c r="A255">
        <v>1676</v>
      </c>
      <c r="B255" s="1">
        <v>42258</v>
      </c>
      <c r="C255">
        <v>28</v>
      </c>
      <c r="D255" t="s">
        <v>15</v>
      </c>
      <c r="E255">
        <v>152.9</v>
      </c>
      <c r="F255">
        <v>73.7</v>
      </c>
      <c r="G255">
        <v>18127</v>
      </c>
      <c r="H255">
        <v>900</v>
      </c>
      <c r="I255">
        <v>7.2</v>
      </c>
      <c r="J255">
        <v>67</v>
      </c>
      <c r="K255" t="s">
        <v>22</v>
      </c>
      <c r="L255">
        <v>60</v>
      </c>
      <c r="M255">
        <v>1.39</v>
      </c>
      <c r="N255">
        <v>4</v>
      </c>
      <c r="O255" t="s">
        <v>19</v>
      </c>
      <c r="P255" cm="1">
        <f t="array" ref="P255">_xlfn.SWITCH(Table2[[#This Row],[mood]], "Tired", 3, "Neutral", 2, "Happy", 1)</f>
        <v>2</v>
      </c>
    </row>
    <row r="256" spans="1:16" x14ac:dyDescent="0.3">
      <c r="A256">
        <v>1224</v>
      </c>
      <c r="B256" s="1">
        <v>42259</v>
      </c>
      <c r="C256">
        <v>49</v>
      </c>
      <c r="D256" t="s">
        <v>20</v>
      </c>
      <c r="E256">
        <v>168.6</v>
      </c>
      <c r="F256">
        <v>76</v>
      </c>
      <c r="G256">
        <v>18878</v>
      </c>
      <c r="H256">
        <v>900</v>
      </c>
      <c r="I256">
        <v>4.8</v>
      </c>
      <c r="J256">
        <v>75</v>
      </c>
      <c r="K256" t="s">
        <v>16</v>
      </c>
      <c r="L256">
        <v>0</v>
      </c>
      <c r="M256">
        <v>3.44</v>
      </c>
      <c r="N256">
        <v>5</v>
      </c>
      <c r="O256" t="s">
        <v>17</v>
      </c>
      <c r="P256" cm="1">
        <f t="array" ref="P256">_xlfn.SWITCH(Table2[[#This Row],[mood]], "Tired", 3, "Neutral", 2, "Happy", 1)</f>
        <v>3</v>
      </c>
    </row>
    <row r="257" spans="1:16" x14ac:dyDescent="0.3">
      <c r="A257">
        <v>1818</v>
      </c>
      <c r="B257" s="1">
        <v>42260</v>
      </c>
      <c r="C257">
        <v>24</v>
      </c>
      <c r="D257" t="s">
        <v>20</v>
      </c>
      <c r="E257">
        <v>161.6</v>
      </c>
      <c r="F257">
        <v>76.599999999999994</v>
      </c>
      <c r="G257">
        <v>7944</v>
      </c>
      <c r="H257">
        <v>434.2</v>
      </c>
      <c r="I257">
        <v>6.6</v>
      </c>
      <c r="J257">
        <v>70</v>
      </c>
      <c r="K257" t="s">
        <v>23</v>
      </c>
      <c r="L257">
        <v>25</v>
      </c>
      <c r="M257">
        <v>1.8</v>
      </c>
      <c r="N257">
        <v>2</v>
      </c>
      <c r="O257" t="s">
        <v>17</v>
      </c>
      <c r="P257" cm="1">
        <f t="array" ref="P257">_xlfn.SWITCH(Table2[[#This Row],[mood]], "Tired", 3, "Neutral", 2, "Happy", 1)</f>
        <v>3</v>
      </c>
    </row>
    <row r="258" spans="1:16" x14ac:dyDescent="0.3">
      <c r="A258">
        <v>1233</v>
      </c>
      <c r="B258" s="1">
        <v>42261</v>
      </c>
      <c r="C258">
        <v>28</v>
      </c>
      <c r="D258" t="s">
        <v>20</v>
      </c>
      <c r="E258">
        <v>188.3</v>
      </c>
      <c r="F258">
        <v>52</v>
      </c>
      <c r="G258">
        <v>13302</v>
      </c>
      <c r="H258">
        <v>824.5</v>
      </c>
      <c r="I258">
        <v>8.4</v>
      </c>
      <c r="J258">
        <v>73</v>
      </c>
      <c r="K258" t="s">
        <v>24</v>
      </c>
      <c r="L258">
        <v>52</v>
      </c>
      <c r="M258">
        <v>2.71</v>
      </c>
      <c r="N258">
        <v>10</v>
      </c>
      <c r="O258" t="s">
        <v>17</v>
      </c>
      <c r="P258" cm="1">
        <f t="array" ref="P258">_xlfn.SWITCH(Table2[[#This Row],[mood]], "Tired", 3, "Neutral", 2, "Happy", 1)</f>
        <v>3</v>
      </c>
    </row>
    <row r="259" spans="1:16" x14ac:dyDescent="0.3">
      <c r="A259">
        <v>1683</v>
      </c>
      <c r="B259" s="1">
        <v>42262</v>
      </c>
      <c r="C259">
        <v>45</v>
      </c>
      <c r="D259" t="s">
        <v>20</v>
      </c>
      <c r="E259">
        <v>176</v>
      </c>
      <c r="F259">
        <v>92.5</v>
      </c>
      <c r="G259">
        <v>11180</v>
      </c>
      <c r="H259">
        <v>701.5</v>
      </c>
      <c r="I259">
        <v>5</v>
      </c>
      <c r="J259">
        <v>57</v>
      </c>
      <c r="K259" t="s">
        <v>18</v>
      </c>
      <c r="L259">
        <v>35</v>
      </c>
      <c r="M259">
        <v>2.79</v>
      </c>
      <c r="N259">
        <v>6</v>
      </c>
      <c r="O259" t="s">
        <v>19</v>
      </c>
      <c r="P259" cm="1">
        <f t="array" ref="P259">_xlfn.SWITCH(Table2[[#This Row],[mood]], "Tired", 3, "Neutral", 2, "Happy", 1)</f>
        <v>2</v>
      </c>
    </row>
    <row r="260" spans="1:16" x14ac:dyDescent="0.3">
      <c r="A260">
        <v>1663</v>
      </c>
      <c r="B260" s="1">
        <v>42263</v>
      </c>
      <c r="C260">
        <v>58</v>
      </c>
      <c r="D260" t="s">
        <v>20</v>
      </c>
      <c r="E260">
        <v>163.5</v>
      </c>
      <c r="F260">
        <v>63.9</v>
      </c>
      <c r="G260">
        <v>1207</v>
      </c>
      <c r="H260">
        <v>180.8</v>
      </c>
      <c r="I260">
        <v>8.1999999999999993</v>
      </c>
      <c r="J260">
        <v>75</v>
      </c>
      <c r="K260" t="s">
        <v>24</v>
      </c>
      <c r="L260">
        <v>43</v>
      </c>
      <c r="M260">
        <v>2.63</v>
      </c>
      <c r="N260">
        <v>8</v>
      </c>
      <c r="O260" t="s">
        <v>17</v>
      </c>
      <c r="P260" cm="1">
        <f t="array" ref="P260">_xlfn.SWITCH(Table2[[#This Row],[mood]], "Tired", 3, "Neutral", 2, "Happy", 1)</f>
        <v>3</v>
      </c>
    </row>
    <row r="261" spans="1:16" x14ac:dyDescent="0.3">
      <c r="A261">
        <v>1974</v>
      </c>
      <c r="B261" s="1">
        <v>42264</v>
      </c>
      <c r="C261">
        <v>40</v>
      </c>
      <c r="D261" t="s">
        <v>20</v>
      </c>
      <c r="E261">
        <v>167.2</v>
      </c>
      <c r="F261">
        <v>82.3</v>
      </c>
      <c r="G261">
        <v>2083</v>
      </c>
      <c r="H261">
        <v>229.1</v>
      </c>
      <c r="I261">
        <v>4</v>
      </c>
      <c r="J261">
        <v>74</v>
      </c>
      <c r="K261" t="s">
        <v>23</v>
      </c>
      <c r="L261">
        <v>79</v>
      </c>
      <c r="M261">
        <v>4.0599999999999996</v>
      </c>
      <c r="N261">
        <v>5</v>
      </c>
      <c r="O261" t="s">
        <v>21</v>
      </c>
      <c r="P261" cm="1">
        <f t="array" ref="P261">_xlfn.SWITCH(Table2[[#This Row],[mood]], "Tired", 3, "Neutral", 2, "Happy", 1)</f>
        <v>1</v>
      </c>
    </row>
    <row r="262" spans="1:16" x14ac:dyDescent="0.3">
      <c r="A262">
        <v>1826</v>
      </c>
      <c r="B262" s="1">
        <v>42265</v>
      </c>
      <c r="C262">
        <v>40</v>
      </c>
      <c r="D262" t="s">
        <v>20</v>
      </c>
      <c r="E262">
        <v>188.6</v>
      </c>
      <c r="F262">
        <v>91.9</v>
      </c>
      <c r="G262">
        <v>19796</v>
      </c>
      <c r="H262">
        <v>900</v>
      </c>
      <c r="I262">
        <v>5.2</v>
      </c>
      <c r="J262">
        <v>60</v>
      </c>
      <c r="K262" t="s">
        <v>23</v>
      </c>
      <c r="L262">
        <v>30</v>
      </c>
      <c r="M262">
        <v>2.29</v>
      </c>
      <c r="N262">
        <v>4</v>
      </c>
      <c r="O262" t="s">
        <v>21</v>
      </c>
      <c r="P262" cm="1">
        <f t="array" ref="P262">_xlfn.SWITCH(Table2[[#This Row],[mood]], "Tired", 3, "Neutral", 2, "Happy", 1)</f>
        <v>1</v>
      </c>
    </row>
    <row r="263" spans="1:16" x14ac:dyDescent="0.3">
      <c r="A263">
        <v>1373</v>
      </c>
      <c r="B263" s="1">
        <v>42266</v>
      </c>
      <c r="C263">
        <v>45</v>
      </c>
      <c r="D263" t="s">
        <v>15</v>
      </c>
      <c r="E263">
        <v>160.5</v>
      </c>
      <c r="F263">
        <v>71.2</v>
      </c>
      <c r="G263">
        <v>4311</v>
      </c>
      <c r="H263">
        <v>387.4</v>
      </c>
      <c r="I263">
        <v>6.5</v>
      </c>
      <c r="J263">
        <v>78</v>
      </c>
      <c r="K263" t="s">
        <v>23</v>
      </c>
      <c r="L263">
        <v>63</v>
      </c>
      <c r="M263">
        <v>1.35</v>
      </c>
      <c r="N263">
        <v>7</v>
      </c>
      <c r="O263" t="s">
        <v>21</v>
      </c>
      <c r="P263" cm="1">
        <f t="array" ref="P263">_xlfn.SWITCH(Table2[[#This Row],[mood]], "Tired", 3, "Neutral", 2, "Happy", 1)</f>
        <v>1</v>
      </c>
    </row>
    <row r="264" spans="1:16" x14ac:dyDescent="0.3">
      <c r="A264">
        <v>1671</v>
      </c>
      <c r="B264" s="1">
        <v>42267</v>
      </c>
      <c r="C264">
        <v>43</v>
      </c>
      <c r="D264" t="s">
        <v>15</v>
      </c>
      <c r="E264">
        <v>152.4</v>
      </c>
      <c r="F264">
        <v>52.3</v>
      </c>
      <c r="G264">
        <v>9588</v>
      </c>
      <c r="H264">
        <v>580.70000000000005</v>
      </c>
      <c r="I264">
        <v>7.2</v>
      </c>
      <c r="J264">
        <v>83</v>
      </c>
      <c r="K264" t="s">
        <v>23</v>
      </c>
      <c r="L264">
        <v>22</v>
      </c>
      <c r="M264">
        <v>2.75</v>
      </c>
      <c r="N264">
        <v>5</v>
      </c>
      <c r="O264" t="s">
        <v>19</v>
      </c>
      <c r="P264" cm="1">
        <f t="array" ref="P264">_xlfn.SWITCH(Table2[[#This Row],[mood]], "Tired", 3, "Neutral", 2, "Happy", 1)</f>
        <v>2</v>
      </c>
    </row>
    <row r="265" spans="1:16" x14ac:dyDescent="0.3">
      <c r="A265">
        <v>1607</v>
      </c>
      <c r="B265" s="1">
        <v>42268</v>
      </c>
      <c r="C265">
        <v>42</v>
      </c>
      <c r="D265" t="s">
        <v>15</v>
      </c>
      <c r="E265">
        <v>172.9</v>
      </c>
      <c r="F265">
        <v>45</v>
      </c>
      <c r="G265">
        <v>17592</v>
      </c>
      <c r="H265">
        <v>899</v>
      </c>
      <c r="I265">
        <v>6.1</v>
      </c>
      <c r="J265">
        <v>78</v>
      </c>
      <c r="K265" t="s">
        <v>16</v>
      </c>
      <c r="L265">
        <v>0</v>
      </c>
      <c r="M265">
        <v>2.38</v>
      </c>
      <c r="N265">
        <v>8</v>
      </c>
      <c r="O265" t="s">
        <v>21</v>
      </c>
      <c r="P265" cm="1">
        <f t="array" ref="P265">_xlfn.SWITCH(Table2[[#This Row],[mood]], "Tired", 3, "Neutral", 2, "Happy", 1)</f>
        <v>1</v>
      </c>
    </row>
    <row r="266" spans="1:16" x14ac:dyDescent="0.3">
      <c r="A266">
        <v>1471</v>
      </c>
      <c r="B266" s="1">
        <v>42269</v>
      </c>
      <c r="C266">
        <v>46</v>
      </c>
      <c r="D266" t="s">
        <v>15</v>
      </c>
      <c r="E266">
        <v>173.1</v>
      </c>
      <c r="F266">
        <v>69.400000000000006</v>
      </c>
      <c r="G266">
        <v>14444</v>
      </c>
      <c r="H266">
        <v>752.5</v>
      </c>
      <c r="I266">
        <v>6.1</v>
      </c>
      <c r="J266">
        <v>83</v>
      </c>
      <c r="K266" t="s">
        <v>22</v>
      </c>
      <c r="L266">
        <v>59</v>
      </c>
      <c r="M266">
        <v>2.89</v>
      </c>
      <c r="N266">
        <v>7</v>
      </c>
      <c r="O266" t="s">
        <v>17</v>
      </c>
      <c r="P266" cm="1">
        <f t="array" ref="P266">_xlfn.SWITCH(Table2[[#This Row],[mood]], "Tired", 3, "Neutral", 2, "Happy", 1)</f>
        <v>3</v>
      </c>
    </row>
    <row r="267" spans="1:16" x14ac:dyDescent="0.3">
      <c r="A267">
        <v>1232</v>
      </c>
      <c r="B267" s="1">
        <v>42270</v>
      </c>
      <c r="C267">
        <v>36</v>
      </c>
      <c r="D267" t="s">
        <v>15</v>
      </c>
      <c r="E267">
        <v>176.7</v>
      </c>
      <c r="F267">
        <v>73.8</v>
      </c>
      <c r="G267">
        <v>6850</v>
      </c>
      <c r="H267">
        <v>482.9</v>
      </c>
      <c r="I267">
        <v>8.6999999999999993</v>
      </c>
      <c r="J267">
        <v>70</v>
      </c>
      <c r="K267" t="s">
        <v>18</v>
      </c>
      <c r="L267">
        <v>38</v>
      </c>
      <c r="M267">
        <v>3.12</v>
      </c>
      <c r="N267">
        <v>5</v>
      </c>
      <c r="O267" t="s">
        <v>19</v>
      </c>
      <c r="P267" cm="1">
        <f t="array" ref="P267">_xlfn.SWITCH(Table2[[#This Row],[mood]], "Tired", 3, "Neutral", 2, "Happy", 1)</f>
        <v>2</v>
      </c>
    </row>
    <row r="268" spans="1:16" x14ac:dyDescent="0.3">
      <c r="A268">
        <v>1691</v>
      </c>
      <c r="B268" s="1">
        <v>42271</v>
      </c>
      <c r="C268">
        <v>50</v>
      </c>
      <c r="D268" t="s">
        <v>20</v>
      </c>
      <c r="E268">
        <v>176.7</v>
      </c>
      <c r="F268">
        <v>61.3</v>
      </c>
      <c r="G268">
        <v>19820</v>
      </c>
      <c r="H268">
        <v>900</v>
      </c>
      <c r="I268">
        <v>8.8000000000000007</v>
      </c>
      <c r="J268">
        <v>73</v>
      </c>
      <c r="K268" t="s">
        <v>16</v>
      </c>
      <c r="L268">
        <v>0</v>
      </c>
      <c r="M268">
        <v>2.48</v>
      </c>
      <c r="N268">
        <v>8</v>
      </c>
      <c r="O268" t="s">
        <v>17</v>
      </c>
      <c r="P268" cm="1">
        <f t="array" ref="P268">_xlfn.SWITCH(Table2[[#This Row],[mood]], "Tired", 3, "Neutral", 2, "Happy", 1)</f>
        <v>3</v>
      </c>
    </row>
    <row r="269" spans="1:16" x14ac:dyDescent="0.3">
      <c r="A269">
        <v>1112</v>
      </c>
      <c r="B269" s="1">
        <v>42272</v>
      </c>
      <c r="C269">
        <v>53</v>
      </c>
      <c r="D269" t="s">
        <v>20</v>
      </c>
      <c r="E269">
        <v>187.7</v>
      </c>
      <c r="F269">
        <v>72</v>
      </c>
      <c r="G269">
        <v>13719</v>
      </c>
      <c r="H269">
        <v>742.4</v>
      </c>
      <c r="I269">
        <v>6.4</v>
      </c>
      <c r="J269">
        <v>76</v>
      </c>
      <c r="K269" t="s">
        <v>24</v>
      </c>
      <c r="L269">
        <v>72</v>
      </c>
      <c r="M269">
        <v>2.81</v>
      </c>
      <c r="N269">
        <v>1</v>
      </c>
      <c r="O269" t="s">
        <v>17</v>
      </c>
      <c r="P269" cm="1">
        <f t="array" ref="P269">_xlfn.SWITCH(Table2[[#This Row],[mood]], "Tired", 3, "Neutral", 2, "Happy", 1)</f>
        <v>3</v>
      </c>
    </row>
    <row r="270" spans="1:16" x14ac:dyDescent="0.3">
      <c r="A270">
        <v>1829</v>
      </c>
      <c r="B270" s="1">
        <v>42273</v>
      </c>
      <c r="C270">
        <v>31</v>
      </c>
      <c r="D270" t="s">
        <v>20</v>
      </c>
      <c r="E270">
        <v>152.80000000000001</v>
      </c>
      <c r="F270">
        <v>76.5</v>
      </c>
      <c r="G270">
        <v>17517</v>
      </c>
      <c r="H270">
        <v>867.5</v>
      </c>
      <c r="I270">
        <v>6.4</v>
      </c>
      <c r="J270">
        <v>76</v>
      </c>
      <c r="K270" t="s">
        <v>22</v>
      </c>
      <c r="L270">
        <v>55</v>
      </c>
      <c r="M270">
        <v>2.6</v>
      </c>
      <c r="N270">
        <v>8</v>
      </c>
      <c r="O270" t="s">
        <v>17</v>
      </c>
      <c r="P270" cm="1">
        <f t="array" ref="P270">_xlfn.SWITCH(Table2[[#This Row],[mood]], "Tired", 3, "Neutral", 2, "Happy", 1)</f>
        <v>3</v>
      </c>
    </row>
    <row r="271" spans="1:16" x14ac:dyDescent="0.3">
      <c r="A271">
        <v>1496</v>
      </c>
      <c r="B271" s="1">
        <v>42274</v>
      </c>
      <c r="C271">
        <v>31</v>
      </c>
      <c r="D271" t="s">
        <v>20</v>
      </c>
      <c r="E271">
        <v>158</v>
      </c>
      <c r="F271">
        <v>84.9</v>
      </c>
      <c r="G271">
        <v>18022</v>
      </c>
      <c r="H271">
        <v>900</v>
      </c>
      <c r="I271">
        <v>6.6</v>
      </c>
      <c r="J271">
        <v>52</v>
      </c>
      <c r="K271" t="s">
        <v>25</v>
      </c>
      <c r="L271">
        <v>86</v>
      </c>
      <c r="M271">
        <v>3.75</v>
      </c>
      <c r="N271">
        <v>3</v>
      </c>
      <c r="O271" t="s">
        <v>21</v>
      </c>
      <c r="P271" cm="1">
        <f t="array" ref="P271">_xlfn.SWITCH(Table2[[#This Row],[mood]], "Tired", 3, "Neutral", 2, "Happy", 1)</f>
        <v>1</v>
      </c>
    </row>
    <row r="272" spans="1:16" x14ac:dyDescent="0.3">
      <c r="A272">
        <v>1441</v>
      </c>
      <c r="B272" s="1">
        <v>42275</v>
      </c>
      <c r="C272">
        <v>52</v>
      </c>
      <c r="D272" t="s">
        <v>15</v>
      </c>
      <c r="E272">
        <v>176.6</v>
      </c>
      <c r="F272">
        <v>66.599999999999994</v>
      </c>
      <c r="G272">
        <v>2228</v>
      </c>
      <c r="H272">
        <v>278.10000000000002</v>
      </c>
      <c r="I272">
        <v>10</v>
      </c>
      <c r="J272">
        <v>66</v>
      </c>
      <c r="K272" t="s">
        <v>23</v>
      </c>
      <c r="L272">
        <v>39</v>
      </c>
      <c r="M272">
        <v>2.2400000000000002</v>
      </c>
      <c r="N272">
        <v>1</v>
      </c>
      <c r="O272" t="s">
        <v>21</v>
      </c>
      <c r="P272" cm="1">
        <f t="array" ref="P272">_xlfn.SWITCH(Table2[[#This Row],[mood]], "Tired", 3, "Neutral", 2, "Happy", 1)</f>
        <v>1</v>
      </c>
    </row>
    <row r="273" spans="1:16" x14ac:dyDescent="0.3">
      <c r="A273">
        <v>1563</v>
      </c>
      <c r="B273" s="1">
        <v>42276</v>
      </c>
      <c r="C273">
        <v>47</v>
      </c>
      <c r="D273" t="s">
        <v>20</v>
      </c>
      <c r="E273">
        <v>158.9</v>
      </c>
      <c r="F273">
        <v>69.3</v>
      </c>
      <c r="G273">
        <v>5019</v>
      </c>
      <c r="H273">
        <v>428.4</v>
      </c>
      <c r="I273">
        <v>7</v>
      </c>
      <c r="J273">
        <v>85</v>
      </c>
      <c r="K273" t="s">
        <v>24</v>
      </c>
      <c r="L273">
        <v>47</v>
      </c>
      <c r="M273">
        <v>2.02</v>
      </c>
      <c r="N273">
        <v>9</v>
      </c>
      <c r="O273" t="s">
        <v>19</v>
      </c>
      <c r="P273" cm="1">
        <f t="array" ref="P273">_xlfn.SWITCH(Table2[[#This Row],[mood]], "Tired", 3, "Neutral", 2, "Happy", 1)</f>
        <v>2</v>
      </c>
    </row>
    <row r="274" spans="1:16" x14ac:dyDescent="0.3">
      <c r="A274">
        <v>1267</v>
      </c>
      <c r="B274" s="1">
        <v>42277</v>
      </c>
      <c r="C274">
        <v>45</v>
      </c>
      <c r="D274" t="s">
        <v>20</v>
      </c>
      <c r="E274">
        <v>155.4</v>
      </c>
      <c r="F274">
        <v>67.3</v>
      </c>
      <c r="G274">
        <v>10482</v>
      </c>
      <c r="H274">
        <v>614.29999999999995</v>
      </c>
      <c r="I274">
        <v>9.4</v>
      </c>
      <c r="J274">
        <v>67</v>
      </c>
      <c r="K274" t="s">
        <v>25</v>
      </c>
      <c r="L274">
        <v>76</v>
      </c>
      <c r="M274">
        <v>3.12</v>
      </c>
      <c r="N274">
        <v>6</v>
      </c>
      <c r="O274" t="s">
        <v>19</v>
      </c>
      <c r="P274" cm="1">
        <f t="array" ref="P274">_xlfn.SWITCH(Table2[[#This Row],[mood]], "Tired", 3, "Neutral", 2, "Happy", 1)</f>
        <v>2</v>
      </c>
    </row>
    <row r="275" spans="1:16" x14ac:dyDescent="0.3">
      <c r="A275">
        <v>1509</v>
      </c>
      <c r="B275" s="1">
        <v>42278</v>
      </c>
      <c r="C275">
        <v>34</v>
      </c>
      <c r="D275" t="s">
        <v>15</v>
      </c>
      <c r="E275">
        <v>188.7</v>
      </c>
      <c r="F275">
        <v>70.5</v>
      </c>
      <c r="G275">
        <v>15105</v>
      </c>
      <c r="H275">
        <v>858.5</v>
      </c>
      <c r="I275">
        <v>8.1</v>
      </c>
      <c r="J275">
        <v>73</v>
      </c>
      <c r="K275" t="s">
        <v>18</v>
      </c>
      <c r="L275">
        <v>22</v>
      </c>
      <c r="M275">
        <v>1.85</v>
      </c>
      <c r="N275">
        <v>8</v>
      </c>
      <c r="O275" t="s">
        <v>21</v>
      </c>
      <c r="P275" cm="1">
        <f t="array" ref="P275">_xlfn.SWITCH(Table2[[#This Row],[mood]], "Tired", 3, "Neutral", 2, "Happy", 1)</f>
        <v>1</v>
      </c>
    </row>
    <row r="276" spans="1:16" x14ac:dyDescent="0.3">
      <c r="A276">
        <v>1806</v>
      </c>
      <c r="B276" s="1">
        <v>42279</v>
      </c>
      <c r="C276">
        <v>20</v>
      </c>
      <c r="D276" t="s">
        <v>20</v>
      </c>
      <c r="E276">
        <v>153.80000000000001</v>
      </c>
      <c r="F276">
        <v>62.3</v>
      </c>
      <c r="G276">
        <v>19580</v>
      </c>
      <c r="H276">
        <v>900</v>
      </c>
      <c r="I276">
        <v>6.8</v>
      </c>
      <c r="J276">
        <v>74</v>
      </c>
      <c r="K276" t="s">
        <v>24</v>
      </c>
      <c r="L276">
        <v>56</v>
      </c>
      <c r="M276">
        <v>2.77</v>
      </c>
      <c r="N276">
        <v>10</v>
      </c>
      <c r="O276" t="s">
        <v>21</v>
      </c>
      <c r="P276" cm="1">
        <f t="array" ref="P276">_xlfn.SWITCH(Table2[[#This Row],[mood]], "Tired", 3, "Neutral", 2, "Happy", 1)</f>
        <v>1</v>
      </c>
    </row>
    <row r="277" spans="1:16" x14ac:dyDescent="0.3">
      <c r="A277">
        <v>1385</v>
      </c>
      <c r="B277" s="1">
        <v>42280</v>
      </c>
      <c r="C277">
        <v>33</v>
      </c>
      <c r="D277" t="s">
        <v>20</v>
      </c>
      <c r="E277">
        <v>166.5</v>
      </c>
      <c r="F277">
        <v>62.2</v>
      </c>
      <c r="G277">
        <v>10895</v>
      </c>
      <c r="H277">
        <v>695.7</v>
      </c>
      <c r="I277">
        <v>6</v>
      </c>
      <c r="J277">
        <v>62</v>
      </c>
      <c r="K277" t="s">
        <v>22</v>
      </c>
      <c r="L277">
        <v>37</v>
      </c>
      <c r="M277">
        <v>2.38</v>
      </c>
      <c r="N277">
        <v>4</v>
      </c>
      <c r="O277" t="s">
        <v>17</v>
      </c>
      <c r="P277" cm="1">
        <f t="array" ref="P277">_xlfn.SWITCH(Table2[[#This Row],[mood]], "Tired", 3, "Neutral", 2, "Happy", 1)</f>
        <v>3</v>
      </c>
    </row>
    <row r="278" spans="1:16" x14ac:dyDescent="0.3">
      <c r="A278">
        <v>1386</v>
      </c>
      <c r="B278" s="1">
        <v>42281</v>
      </c>
      <c r="C278">
        <v>47</v>
      </c>
      <c r="D278" t="s">
        <v>15</v>
      </c>
      <c r="E278">
        <v>169.4</v>
      </c>
      <c r="F278">
        <v>63.2</v>
      </c>
      <c r="G278">
        <v>15135</v>
      </c>
      <c r="H278">
        <v>777.8</v>
      </c>
      <c r="I278">
        <v>8.1999999999999993</v>
      </c>
      <c r="J278">
        <v>91</v>
      </c>
      <c r="K278" t="s">
        <v>16</v>
      </c>
      <c r="L278">
        <v>0</v>
      </c>
      <c r="M278">
        <v>2.4300000000000002</v>
      </c>
      <c r="N278">
        <v>2</v>
      </c>
      <c r="O278" t="s">
        <v>21</v>
      </c>
      <c r="P278" cm="1">
        <f t="array" ref="P278">_xlfn.SWITCH(Table2[[#This Row],[mood]], "Tired", 3, "Neutral", 2, "Happy", 1)</f>
        <v>1</v>
      </c>
    </row>
    <row r="279" spans="1:16" x14ac:dyDescent="0.3">
      <c r="A279">
        <v>1112</v>
      </c>
      <c r="B279" s="1">
        <v>42282</v>
      </c>
      <c r="C279">
        <v>46</v>
      </c>
      <c r="D279" t="s">
        <v>20</v>
      </c>
      <c r="E279">
        <v>183.1</v>
      </c>
      <c r="F279">
        <v>72.3</v>
      </c>
      <c r="G279">
        <v>17245</v>
      </c>
      <c r="H279">
        <v>861.7</v>
      </c>
      <c r="I279">
        <v>5.8</v>
      </c>
      <c r="J279">
        <v>75</v>
      </c>
      <c r="K279" t="s">
        <v>25</v>
      </c>
      <c r="L279">
        <v>24</v>
      </c>
      <c r="M279">
        <v>4.21</v>
      </c>
      <c r="N279">
        <v>6</v>
      </c>
      <c r="O279" t="s">
        <v>17</v>
      </c>
      <c r="P279" cm="1">
        <f t="array" ref="P279">_xlfn.SWITCH(Table2[[#This Row],[mood]], "Tired", 3, "Neutral", 2, "Happy", 1)</f>
        <v>3</v>
      </c>
    </row>
    <row r="280" spans="1:16" x14ac:dyDescent="0.3">
      <c r="A280">
        <v>1612</v>
      </c>
      <c r="B280" s="1">
        <v>42283</v>
      </c>
      <c r="C280">
        <v>32</v>
      </c>
      <c r="D280" t="s">
        <v>20</v>
      </c>
      <c r="E280">
        <v>151.30000000000001</v>
      </c>
      <c r="F280">
        <v>57.3</v>
      </c>
      <c r="G280">
        <v>11387</v>
      </c>
      <c r="H280">
        <v>699.2</v>
      </c>
      <c r="I280">
        <v>6.4</v>
      </c>
      <c r="J280">
        <v>66</v>
      </c>
      <c r="K280" t="s">
        <v>24</v>
      </c>
      <c r="L280">
        <v>76</v>
      </c>
      <c r="M280">
        <v>3.36</v>
      </c>
      <c r="N280">
        <v>2</v>
      </c>
      <c r="O280" t="s">
        <v>21</v>
      </c>
      <c r="P280" cm="1">
        <f t="array" ref="P280">_xlfn.SWITCH(Table2[[#This Row],[mood]], "Tired", 3, "Neutral", 2, "Happy", 1)</f>
        <v>1</v>
      </c>
    </row>
    <row r="281" spans="1:16" x14ac:dyDescent="0.3">
      <c r="A281">
        <v>1624</v>
      </c>
      <c r="B281" s="1">
        <v>42284</v>
      </c>
      <c r="C281">
        <v>42</v>
      </c>
      <c r="D281" t="s">
        <v>20</v>
      </c>
      <c r="E281">
        <v>174.2</v>
      </c>
      <c r="F281">
        <v>63.2</v>
      </c>
      <c r="G281">
        <v>18359</v>
      </c>
      <c r="H281">
        <v>900</v>
      </c>
      <c r="I281">
        <v>8</v>
      </c>
      <c r="J281">
        <v>81</v>
      </c>
      <c r="K281" t="s">
        <v>16</v>
      </c>
      <c r="L281">
        <v>0</v>
      </c>
      <c r="M281">
        <v>3.22</v>
      </c>
      <c r="N281">
        <v>1</v>
      </c>
      <c r="O281" t="s">
        <v>17</v>
      </c>
      <c r="P281" cm="1">
        <f t="array" ref="P281">_xlfn.SWITCH(Table2[[#This Row],[mood]], "Tired", 3, "Neutral", 2, "Happy", 1)</f>
        <v>3</v>
      </c>
    </row>
    <row r="282" spans="1:16" x14ac:dyDescent="0.3">
      <c r="A282">
        <v>1951</v>
      </c>
      <c r="B282" s="1">
        <v>42285</v>
      </c>
      <c r="C282">
        <v>55</v>
      </c>
      <c r="D282" t="s">
        <v>20</v>
      </c>
      <c r="E282">
        <v>161.1</v>
      </c>
      <c r="F282">
        <v>97.1</v>
      </c>
      <c r="G282">
        <v>15904</v>
      </c>
      <c r="H282">
        <v>834.4</v>
      </c>
      <c r="I282">
        <v>6.6</v>
      </c>
      <c r="J282">
        <v>72</v>
      </c>
      <c r="K282" t="s">
        <v>16</v>
      </c>
      <c r="L282">
        <v>0</v>
      </c>
      <c r="M282">
        <v>2.87</v>
      </c>
      <c r="N282">
        <v>7</v>
      </c>
      <c r="O282" t="s">
        <v>21</v>
      </c>
      <c r="P282" cm="1">
        <f t="array" ref="P282">_xlfn.SWITCH(Table2[[#This Row],[mood]], "Tired", 3, "Neutral", 2, "Happy", 1)</f>
        <v>1</v>
      </c>
    </row>
    <row r="283" spans="1:16" x14ac:dyDescent="0.3">
      <c r="A283">
        <v>1080</v>
      </c>
      <c r="B283" s="1">
        <v>42286</v>
      </c>
      <c r="C283">
        <v>59</v>
      </c>
      <c r="D283" t="s">
        <v>20</v>
      </c>
      <c r="E283">
        <v>176.3</v>
      </c>
      <c r="F283">
        <v>83.4</v>
      </c>
      <c r="G283">
        <v>7121</v>
      </c>
      <c r="H283">
        <v>450.1</v>
      </c>
      <c r="I283">
        <v>6.4</v>
      </c>
      <c r="J283">
        <v>76</v>
      </c>
      <c r="K283" t="s">
        <v>16</v>
      </c>
      <c r="L283">
        <v>0</v>
      </c>
      <c r="M283">
        <v>2.02</v>
      </c>
      <c r="N283">
        <v>7</v>
      </c>
      <c r="O283" t="s">
        <v>21</v>
      </c>
      <c r="P283" cm="1">
        <f t="array" ref="P283">_xlfn.SWITCH(Table2[[#This Row],[mood]], "Tired", 3, "Neutral", 2, "Happy", 1)</f>
        <v>1</v>
      </c>
    </row>
    <row r="284" spans="1:16" x14ac:dyDescent="0.3">
      <c r="A284">
        <v>1698</v>
      </c>
      <c r="B284" s="1">
        <v>42287</v>
      </c>
      <c r="C284">
        <v>55</v>
      </c>
      <c r="D284" t="s">
        <v>15</v>
      </c>
      <c r="E284">
        <v>160.9</v>
      </c>
      <c r="F284">
        <v>55.6</v>
      </c>
      <c r="G284">
        <v>2028</v>
      </c>
      <c r="H284">
        <v>351.6</v>
      </c>
      <c r="I284">
        <v>6.5</v>
      </c>
      <c r="J284">
        <v>89</v>
      </c>
      <c r="K284" t="s">
        <v>22</v>
      </c>
      <c r="L284">
        <v>41</v>
      </c>
      <c r="M284">
        <v>2.68</v>
      </c>
      <c r="N284">
        <v>6</v>
      </c>
      <c r="O284" t="s">
        <v>19</v>
      </c>
      <c r="P284" cm="1">
        <f t="array" ref="P284">_xlfn.SWITCH(Table2[[#This Row],[mood]], "Tired", 3, "Neutral", 2, "Happy", 1)</f>
        <v>2</v>
      </c>
    </row>
    <row r="285" spans="1:16" x14ac:dyDescent="0.3">
      <c r="A285">
        <v>1112</v>
      </c>
      <c r="B285" s="1">
        <v>42288</v>
      </c>
      <c r="C285">
        <v>40</v>
      </c>
      <c r="D285" t="s">
        <v>15</v>
      </c>
      <c r="E285">
        <v>185.7</v>
      </c>
      <c r="F285">
        <v>83</v>
      </c>
      <c r="G285">
        <v>17909</v>
      </c>
      <c r="H285">
        <v>900</v>
      </c>
      <c r="I285">
        <v>6</v>
      </c>
      <c r="J285">
        <v>70</v>
      </c>
      <c r="K285" t="s">
        <v>23</v>
      </c>
      <c r="L285">
        <v>36</v>
      </c>
      <c r="M285">
        <v>2.91</v>
      </c>
      <c r="N285">
        <v>2</v>
      </c>
      <c r="O285" t="s">
        <v>19</v>
      </c>
      <c r="P285" cm="1">
        <f t="array" ref="P285">_xlfn.SWITCH(Table2[[#This Row],[mood]], "Tired", 3, "Neutral", 2, "Happy", 1)</f>
        <v>2</v>
      </c>
    </row>
    <row r="286" spans="1:16" x14ac:dyDescent="0.3">
      <c r="A286">
        <v>1001</v>
      </c>
      <c r="B286" s="1">
        <v>42289</v>
      </c>
      <c r="C286">
        <v>42</v>
      </c>
      <c r="D286" t="s">
        <v>15</v>
      </c>
      <c r="E286">
        <v>161</v>
      </c>
      <c r="F286">
        <v>79.400000000000006</v>
      </c>
      <c r="G286">
        <v>3327</v>
      </c>
      <c r="H286">
        <v>327.10000000000002</v>
      </c>
      <c r="I286">
        <v>7.7</v>
      </c>
      <c r="J286">
        <v>86</v>
      </c>
      <c r="K286" t="s">
        <v>24</v>
      </c>
      <c r="L286">
        <v>63</v>
      </c>
      <c r="M286">
        <v>2.64</v>
      </c>
      <c r="N286">
        <v>5</v>
      </c>
      <c r="O286" t="s">
        <v>17</v>
      </c>
      <c r="P286" cm="1">
        <f t="array" ref="P286">_xlfn.SWITCH(Table2[[#This Row],[mood]], "Tired", 3, "Neutral", 2, "Happy", 1)</f>
        <v>3</v>
      </c>
    </row>
    <row r="287" spans="1:16" x14ac:dyDescent="0.3">
      <c r="A287">
        <v>1641</v>
      </c>
      <c r="B287" s="1">
        <v>42290</v>
      </c>
      <c r="C287">
        <v>59</v>
      </c>
      <c r="D287" t="s">
        <v>15</v>
      </c>
      <c r="E287">
        <v>150</v>
      </c>
      <c r="F287">
        <v>68.400000000000006</v>
      </c>
      <c r="G287">
        <v>19930</v>
      </c>
      <c r="H287">
        <v>900</v>
      </c>
      <c r="I287">
        <v>7.1</v>
      </c>
      <c r="J287">
        <v>72</v>
      </c>
      <c r="K287" t="s">
        <v>16</v>
      </c>
      <c r="L287">
        <v>0</v>
      </c>
      <c r="M287">
        <v>2.57</v>
      </c>
      <c r="N287">
        <v>1</v>
      </c>
      <c r="O287" t="s">
        <v>19</v>
      </c>
      <c r="P287" cm="1">
        <f t="array" ref="P287">_xlfn.SWITCH(Table2[[#This Row],[mood]], "Tired", 3, "Neutral", 2, "Happy", 1)</f>
        <v>2</v>
      </c>
    </row>
    <row r="288" spans="1:16" x14ac:dyDescent="0.3">
      <c r="A288">
        <v>1219</v>
      </c>
      <c r="B288" s="1">
        <v>42291</v>
      </c>
      <c r="C288">
        <v>24</v>
      </c>
      <c r="D288" t="s">
        <v>15</v>
      </c>
      <c r="E288">
        <v>162.1</v>
      </c>
      <c r="F288">
        <v>59.4</v>
      </c>
      <c r="G288">
        <v>18219</v>
      </c>
      <c r="H288">
        <v>894.3</v>
      </c>
      <c r="I288">
        <v>5</v>
      </c>
      <c r="J288">
        <v>76</v>
      </c>
      <c r="K288" t="s">
        <v>23</v>
      </c>
      <c r="L288">
        <v>41</v>
      </c>
      <c r="M288">
        <v>2.2200000000000002</v>
      </c>
      <c r="N288">
        <v>2</v>
      </c>
      <c r="O288" t="s">
        <v>19</v>
      </c>
      <c r="P288" cm="1">
        <f t="array" ref="P288">_xlfn.SWITCH(Table2[[#This Row],[mood]], "Tired", 3, "Neutral", 2, "Happy", 1)</f>
        <v>2</v>
      </c>
    </row>
    <row r="289" spans="1:16" x14ac:dyDescent="0.3">
      <c r="A289">
        <v>1565</v>
      </c>
      <c r="B289" s="1">
        <v>42292</v>
      </c>
      <c r="C289">
        <v>39</v>
      </c>
      <c r="D289" t="s">
        <v>15</v>
      </c>
      <c r="E289">
        <v>167.4</v>
      </c>
      <c r="F289">
        <v>57.7</v>
      </c>
      <c r="G289">
        <v>3483</v>
      </c>
      <c r="H289">
        <v>346</v>
      </c>
      <c r="I289">
        <v>6.3</v>
      </c>
      <c r="J289">
        <v>78</v>
      </c>
      <c r="K289" t="s">
        <v>16</v>
      </c>
      <c r="L289">
        <v>0</v>
      </c>
      <c r="M289">
        <v>2.69</v>
      </c>
      <c r="N289">
        <v>5</v>
      </c>
      <c r="O289" t="s">
        <v>21</v>
      </c>
      <c r="P289" cm="1">
        <f t="array" ref="P289">_xlfn.SWITCH(Table2[[#This Row],[mood]], "Tired", 3, "Neutral", 2, "Happy", 1)</f>
        <v>1</v>
      </c>
    </row>
    <row r="290" spans="1:16" x14ac:dyDescent="0.3">
      <c r="A290">
        <v>1854</v>
      </c>
      <c r="B290" s="1">
        <v>42293</v>
      </c>
      <c r="C290">
        <v>34</v>
      </c>
      <c r="D290" t="s">
        <v>20</v>
      </c>
      <c r="E290">
        <v>180.8</v>
      </c>
      <c r="F290">
        <v>73.400000000000006</v>
      </c>
      <c r="G290">
        <v>3734</v>
      </c>
      <c r="H290">
        <v>368.7</v>
      </c>
      <c r="I290">
        <v>6.4</v>
      </c>
      <c r="J290">
        <v>72</v>
      </c>
      <c r="K290" t="s">
        <v>25</v>
      </c>
      <c r="L290">
        <v>20</v>
      </c>
      <c r="M290">
        <v>2.13</v>
      </c>
      <c r="N290">
        <v>5</v>
      </c>
      <c r="O290" t="s">
        <v>17</v>
      </c>
      <c r="P290" cm="1">
        <f t="array" ref="P290">_xlfn.SWITCH(Table2[[#This Row],[mood]], "Tired", 3, "Neutral", 2, "Happy", 1)</f>
        <v>3</v>
      </c>
    </row>
    <row r="291" spans="1:16" x14ac:dyDescent="0.3">
      <c r="A291">
        <v>1996</v>
      </c>
      <c r="B291" s="1">
        <v>42294</v>
      </c>
      <c r="C291">
        <v>35</v>
      </c>
      <c r="D291" t="s">
        <v>15</v>
      </c>
      <c r="E291">
        <v>157.4</v>
      </c>
      <c r="F291">
        <v>57.3</v>
      </c>
      <c r="G291">
        <v>10730</v>
      </c>
      <c r="H291">
        <v>586.1</v>
      </c>
      <c r="I291">
        <v>6.4</v>
      </c>
      <c r="J291">
        <v>65</v>
      </c>
      <c r="K291" t="s">
        <v>25</v>
      </c>
      <c r="L291">
        <v>49</v>
      </c>
      <c r="M291">
        <v>2.99</v>
      </c>
      <c r="N291">
        <v>7</v>
      </c>
      <c r="O291" t="s">
        <v>19</v>
      </c>
      <c r="P291" cm="1">
        <f t="array" ref="P291">_xlfn.SWITCH(Table2[[#This Row],[mood]], "Tired", 3, "Neutral", 2, "Happy", 1)</f>
        <v>2</v>
      </c>
    </row>
    <row r="292" spans="1:16" x14ac:dyDescent="0.3">
      <c r="A292">
        <v>1735</v>
      </c>
      <c r="B292" s="1">
        <v>42295</v>
      </c>
      <c r="C292">
        <v>58</v>
      </c>
      <c r="D292" t="s">
        <v>15</v>
      </c>
      <c r="E292">
        <v>157.6</v>
      </c>
      <c r="F292">
        <v>86.5</v>
      </c>
      <c r="G292">
        <v>11102</v>
      </c>
      <c r="H292">
        <v>581.79999999999995</v>
      </c>
      <c r="I292">
        <v>7.9</v>
      </c>
      <c r="J292">
        <v>80</v>
      </c>
      <c r="K292" t="s">
        <v>25</v>
      </c>
      <c r="L292">
        <v>58</v>
      </c>
      <c r="M292">
        <v>1.0900000000000001</v>
      </c>
      <c r="N292">
        <v>5</v>
      </c>
      <c r="O292" t="s">
        <v>19</v>
      </c>
      <c r="P292" cm="1">
        <f t="array" ref="P292">_xlfn.SWITCH(Table2[[#This Row],[mood]], "Tired", 3, "Neutral", 2, "Happy", 1)</f>
        <v>2</v>
      </c>
    </row>
    <row r="293" spans="1:16" x14ac:dyDescent="0.3">
      <c r="A293">
        <v>1224</v>
      </c>
      <c r="B293" s="1">
        <v>42296</v>
      </c>
      <c r="C293">
        <v>27</v>
      </c>
      <c r="D293" t="s">
        <v>20</v>
      </c>
      <c r="E293">
        <v>179.6</v>
      </c>
      <c r="F293">
        <v>90.7</v>
      </c>
      <c r="G293">
        <v>8304</v>
      </c>
      <c r="H293">
        <v>536.1</v>
      </c>
      <c r="I293">
        <v>5.9</v>
      </c>
      <c r="J293">
        <v>86</v>
      </c>
      <c r="K293" t="s">
        <v>23</v>
      </c>
      <c r="L293">
        <v>54</v>
      </c>
      <c r="M293">
        <v>3.45</v>
      </c>
      <c r="N293">
        <v>6</v>
      </c>
      <c r="O293" t="s">
        <v>21</v>
      </c>
      <c r="P293" cm="1">
        <f t="array" ref="P293">_xlfn.SWITCH(Table2[[#This Row],[mood]], "Tired", 3, "Neutral", 2, "Happy", 1)</f>
        <v>1</v>
      </c>
    </row>
    <row r="294" spans="1:16" x14ac:dyDescent="0.3">
      <c r="A294">
        <v>1384</v>
      </c>
      <c r="B294" s="1">
        <v>42297</v>
      </c>
      <c r="C294">
        <v>27</v>
      </c>
      <c r="D294" t="s">
        <v>20</v>
      </c>
      <c r="E294">
        <v>156.19999999999999</v>
      </c>
      <c r="F294">
        <v>69.400000000000006</v>
      </c>
      <c r="G294">
        <v>5049</v>
      </c>
      <c r="H294">
        <v>445.2</v>
      </c>
      <c r="I294">
        <v>10</v>
      </c>
      <c r="J294">
        <v>81</v>
      </c>
      <c r="K294" t="s">
        <v>23</v>
      </c>
      <c r="L294">
        <v>88</v>
      </c>
      <c r="M294">
        <v>1.58</v>
      </c>
      <c r="N294">
        <v>2</v>
      </c>
      <c r="O294" t="s">
        <v>21</v>
      </c>
      <c r="P294" cm="1">
        <f t="array" ref="P294">_xlfn.SWITCH(Table2[[#This Row],[mood]], "Tired", 3, "Neutral", 2, "Happy", 1)</f>
        <v>1</v>
      </c>
    </row>
    <row r="295" spans="1:16" x14ac:dyDescent="0.3">
      <c r="A295">
        <v>1402</v>
      </c>
      <c r="B295" s="1">
        <v>42298</v>
      </c>
      <c r="C295">
        <v>24</v>
      </c>
      <c r="D295" t="s">
        <v>15</v>
      </c>
      <c r="E295">
        <v>168.2</v>
      </c>
      <c r="F295">
        <v>87.1</v>
      </c>
      <c r="G295">
        <v>15947</v>
      </c>
      <c r="H295">
        <v>841.6</v>
      </c>
      <c r="I295">
        <v>9.1</v>
      </c>
      <c r="J295">
        <v>81</v>
      </c>
      <c r="K295" t="s">
        <v>16</v>
      </c>
      <c r="L295">
        <v>0</v>
      </c>
      <c r="M295">
        <v>1.75</v>
      </c>
      <c r="N295">
        <v>5</v>
      </c>
      <c r="O295" t="s">
        <v>21</v>
      </c>
      <c r="P295" cm="1">
        <f t="array" ref="P295">_xlfn.SWITCH(Table2[[#This Row],[mood]], "Tired", 3, "Neutral", 2, "Happy", 1)</f>
        <v>1</v>
      </c>
    </row>
    <row r="296" spans="1:16" x14ac:dyDescent="0.3">
      <c r="A296">
        <v>1637</v>
      </c>
      <c r="B296" s="1">
        <v>42299</v>
      </c>
      <c r="C296">
        <v>55</v>
      </c>
      <c r="D296" t="s">
        <v>20</v>
      </c>
      <c r="E296">
        <v>168.4</v>
      </c>
      <c r="F296">
        <v>63.8</v>
      </c>
      <c r="G296">
        <v>10495</v>
      </c>
      <c r="H296">
        <v>607.29999999999995</v>
      </c>
      <c r="I296">
        <v>9.1</v>
      </c>
      <c r="J296">
        <v>70</v>
      </c>
      <c r="K296" t="s">
        <v>22</v>
      </c>
      <c r="L296">
        <v>30</v>
      </c>
      <c r="M296">
        <v>2.79</v>
      </c>
      <c r="N296">
        <v>8</v>
      </c>
      <c r="O296" t="s">
        <v>17</v>
      </c>
      <c r="P296" cm="1">
        <f t="array" ref="P296">_xlfn.SWITCH(Table2[[#This Row],[mood]], "Tired", 3, "Neutral", 2, "Happy", 1)</f>
        <v>3</v>
      </c>
    </row>
    <row r="297" spans="1:16" x14ac:dyDescent="0.3">
      <c r="A297">
        <v>1129</v>
      </c>
      <c r="B297" s="1">
        <v>42300</v>
      </c>
      <c r="C297">
        <v>44</v>
      </c>
      <c r="D297" t="s">
        <v>15</v>
      </c>
      <c r="E297">
        <v>172.2</v>
      </c>
      <c r="F297">
        <v>59.3</v>
      </c>
      <c r="G297">
        <v>1392</v>
      </c>
      <c r="H297">
        <v>199.2</v>
      </c>
      <c r="I297">
        <v>5.4</v>
      </c>
      <c r="J297">
        <v>82</v>
      </c>
      <c r="K297" t="s">
        <v>24</v>
      </c>
      <c r="L297">
        <v>70</v>
      </c>
      <c r="M297">
        <v>2.88</v>
      </c>
      <c r="N297">
        <v>1</v>
      </c>
      <c r="O297" t="s">
        <v>21</v>
      </c>
      <c r="P297" cm="1">
        <f t="array" ref="P297">_xlfn.SWITCH(Table2[[#This Row],[mood]], "Tired", 3, "Neutral", 2, "Happy", 1)</f>
        <v>1</v>
      </c>
    </row>
    <row r="298" spans="1:16" x14ac:dyDescent="0.3">
      <c r="A298">
        <v>1052</v>
      </c>
      <c r="B298" s="1">
        <v>42301</v>
      </c>
      <c r="C298">
        <v>50</v>
      </c>
      <c r="D298" t="s">
        <v>20</v>
      </c>
      <c r="E298">
        <v>162.5</v>
      </c>
      <c r="F298">
        <v>86.5</v>
      </c>
      <c r="G298">
        <v>12776</v>
      </c>
      <c r="H298">
        <v>679.3</v>
      </c>
      <c r="I298">
        <v>4</v>
      </c>
      <c r="J298">
        <v>79</v>
      </c>
      <c r="K298" t="s">
        <v>22</v>
      </c>
      <c r="L298">
        <v>82</v>
      </c>
      <c r="M298">
        <v>3.95</v>
      </c>
      <c r="N298">
        <v>10</v>
      </c>
      <c r="O298" t="s">
        <v>17</v>
      </c>
      <c r="P298" cm="1">
        <f t="array" ref="P298">_xlfn.SWITCH(Table2[[#This Row],[mood]], "Tired", 3, "Neutral", 2, "Happy", 1)</f>
        <v>3</v>
      </c>
    </row>
    <row r="299" spans="1:16" x14ac:dyDescent="0.3">
      <c r="A299">
        <v>1683</v>
      </c>
      <c r="B299" s="1">
        <v>42302</v>
      </c>
      <c r="C299">
        <v>18</v>
      </c>
      <c r="D299" t="s">
        <v>15</v>
      </c>
      <c r="E299">
        <v>160.69999999999999</v>
      </c>
      <c r="F299">
        <v>93.7</v>
      </c>
      <c r="G299">
        <v>11867</v>
      </c>
      <c r="H299">
        <v>718.6</v>
      </c>
      <c r="I299">
        <v>6.5</v>
      </c>
      <c r="J299">
        <v>84</v>
      </c>
      <c r="K299" t="s">
        <v>23</v>
      </c>
      <c r="L299">
        <v>53</v>
      </c>
      <c r="M299">
        <v>2.71</v>
      </c>
      <c r="N299">
        <v>7</v>
      </c>
      <c r="O299" t="s">
        <v>21</v>
      </c>
      <c r="P299" cm="1">
        <f t="array" ref="P299">_xlfn.SWITCH(Table2[[#This Row],[mood]], "Tired", 3, "Neutral", 2, "Happy", 1)</f>
        <v>1</v>
      </c>
    </row>
    <row r="300" spans="1:16" x14ac:dyDescent="0.3">
      <c r="A300">
        <v>1729</v>
      </c>
      <c r="B300" s="1">
        <v>42303</v>
      </c>
      <c r="C300">
        <v>51</v>
      </c>
      <c r="D300" t="s">
        <v>20</v>
      </c>
      <c r="E300">
        <v>173.3</v>
      </c>
      <c r="F300">
        <v>99.4</v>
      </c>
      <c r="G300">
        <v>3466</v>
      </c>
      <c r="H300">
        <v>276</v>
      </c>
      <c r="I300">
        <v>7.4</v>
      </c>
      <c r="J300">
        <v>76</v>
      </c>
      <c r="K300" t="s">
        <v>24</v>
      </c>
      <c r="L300">
        <v>74</v>
      </c>
      <c r="M300">
        <v>2.4700000000000002</v>
      </c>
      <c r="N300">
        <v>8</v>
      </c>
      <c r="O300" t="s">
        <v>19</v>
      </c>
      <c r="P300" cm="1">
        <f t="array" ref="P300">_xlfn.SWITCH(Table2[[#This Row],[mood]], "Tired", 3, "Neutral", 2, "Happy", 1)</f>
        <v>2</v>
      </c>
    </row>
    <row r="301" spans="1:16" x14ac:dyDescent="0.3">
      <c r="A301">
        <v>1671</v>
      </c>
      <c r="B301" s="1">
        <v>42304</v>
      </c>
      <c r="C301">
        <v>21</v>
      </c>
      <c r="D301" t="s">
        <v>20</v>
      </c>
      <c r="E301">
        <v>161</v>
      </c>
      <c r="F301">
        <v>75</v>
      </c>
      <c r="G301">
        <v>2225</v>
      </c>
      <c r="H301">
        <v>377.6</v>
      </c>
      <c r="I301">
        <v>6.8</v>
      </c>
      <c r="J301">
        <v>81</v>
      </c>
      <c r="K301" t="s">
        <v>25</v>
      </c>
      <c r="L301">
        <v>39</v>
      </c>
      <c r="M301">
        <v>2.63</v>
      </c>
      <c r="N301">
        <v>5</v>
      </c>
      <c r="O301" t="s">
        <v>17</v>
      </c>
      <c r="P301" cm="1">
        <f t="array" ref="P301">_xlfn.SWITCH(Table2[[#This Row],[mood]], "Tired", 3, "Neutral", 2, "Happy", 1)</f>
        <v>3</v>
      </c>
    </row>
    <row r="302" spans="1:16" x14ac:dyDescent="0.3">
      <c r="A302">
        <v>1709</v>
      </c>
      <c r="B302" s="1">
        <v>42305</v>
      </c>
      <c r="C302">
        <v>34</v>
      </c>
      <c r="D302" t="s">
        <v>15</v>
      </c>
      <c r="E302">
        <v>156.4</v>
      </c>
      <c r="F302">
        <v>82.9</v>
      </c>
      <c r="G302">
        <v>15987</v>
      </c>
      <c r="H302">
        <v>843.7</v>
      </c>
      <c r="I302">
        <v>6.2</v>
      </c>
      <c r="J302">
        <v>70</v>
      </c>
      <c r="K302" t="s">
        <v>22</v>
      </c>
      <c r="L302">
        <v>77</v>
      </c>
      <c r="M302">
        <v>3.61</v>
      </c>
      <c r="N302">
        <v>4</v>
      </c>
      <c r="O302" t="s">
        <v>21</v>
      </c>
      <c r="P302" cm="1">
        <f t="array" ref="P302">_xlfn.SWITCH(Table2[[#This Row],[mood]], "Tired", 3, "Neutral", 2, "Happy", 1)</f>
        <v>1</v>
      </c>
    </row>
    <row r="303" spans="1:16" x14ac:dyDescent="0.3">
      <c r="A303">
        <v>1415</v>
      </c>
      <c r="B303" s="1">
        <v>42306</v>
      </c>
      <c r="C303">
        <v>21</v>
      </c>
      <c r="D303" t="s">
        <v>15</v>
      </c>
      <c r="E303">
        <v>182.3</v>
      </c>
      <c r="F303">
        <v>74.7</v>
      </c>
      <c r="G303">
        <v>1461</v>
      </c>
      <c r="H303">
        <v>179.1</v>
      </c>
      <c r="I303">
        <v>4.4000000000000004</v>
      </c>
      <c r="J303">
        <v>82</v>
      </c>
      <c r="K303" t="s">
        <v>22</v>
      </c>
      <c r="L303">
        <v>36</v>
      </c>
      <c r="M303">
        <v>4.2</v>
      </c>
      <c r="N303">
        <v>1</v>
      </c>
      <c r="O303" t="s">
        <v>21</v>
      </c>
      <c r="P303" cm="1">
        <f t="array" ref="P303">_xlfn.SWITCH(Table2[[#This Row],[mood]], "Tired", 3, "Neutral", 2, "Happy", 1)</f>
        <v>1</v>
      </c>
    </row>
    <row r="304" spans="1:16" x14ac:dyDescent="0.3">
      <c r="A304">
        <v>1246</v>
      </c>
      <c r="B304" s="1">
        <v>42307</v>
      </c>
      <c r="C304">
        <v>43</v>
      </c>
      <c r="D304" t="s">
        <v>15</v>
      </c>
      <c r="E304">
        <v>174.9</v>
      </c>
      <c r="F304">
        <v>91.1</v>
      </c>
      <c r="G304">
        <v>10993</v>
      </c>
      <c r="H304">
        <v>664.9</v>
      </c>
      <c r="I304">
        <v>6</v>
      </c>
      <c r="J304">
        <v>62</v>
      </c>
      <c r="K304" t="s">
        <v>22</v>
      </c>
      <c r="L304">
        <v>53</v>
      </c>
      <c r="M304">
        <v>2.37</v>
      </c>
      <c r="N304">
        <v>9</v>
      </c>
      <c r="O304" t="s">
        <v>19</v>
      </c>
      <c r="P304" cm="1">
        <f t="array" ref="P304">_xlfn.SWITCH(Table2[[#This Row],[mood]], "Tired", 3, "Neutral", 2, "Happy", 1)</f>
        <v>2</v>
      </c>
    </row>
    <row r="305" spans="1:16" x14ac:dyDescent="0.3">
      <c r="A305">
        <v>1835</v>
      </c>
      <c r="B305" s="1">
        <v>42308</v>
      </c>
      <c r="C305">
        <v>21</v>
      </c>
      <c r="D305" t="s">
        <v>15</v>
      </c>
      <c r="E305">
        <v>187.7</v>
      </c>
      <c r="F305">
        <v>76.5</v>
      </c>
      <c r="G305">
        <v>12465</v>
      </c>
      <c r="H305">
        <v>721.1</v>
      </c>
      <c r="I305">
        <v>6.6</v>
      </c>
      <c r="J305">
        <v>72</v>
      </c>
      <c r="K305" t="s">
        <v>23</v>
      </c>
      <c r="L305">
        <v>81</v>
      </c>
      <c r="M305">
        <v>2.88</v>
      </c>
      <c r="N305">
        <v>2</v>
      </c>
      <c r="O305" t="s">
        <v>19</v>
      </c>
      <c r="P305" cm="1">
        <f t="array" ref="P305">_xlfn.SWITCH(Table2[[#This Row],[mood]], "Tired", 3, "Neutral", 2, "Happy", 1)</f>
        <v>2</v>
      </c>
    </row>
    <row r="306" spans="1:16" x14ac:dyDescent="0.3">
      <c r="A306">
        <v>1438</v>
      </c>
      <c r="B306" s="1">
        <v>42309</v>
      </c>
      <c r="C306">
        <v>18</v>
      </c>
      <c r="D306" t="s">
        <v>15</v>
      </c>
      <c r="E306">
        <v>177.8</v>
      </c>
      <c r="F306">
        <v>82.1</v>
      </c>
      <c r="G306">
        <v>17535</v>
      </c>
      <c r="H306">
        <v>879.5</v>
      </c>
      <c r="I306">
        <v>6.3</v>
      </c>
      <c r="J306">
        <v>68</v>
      </c>
      <c r="K306" t="s">
        <v>24</v>
      </c>
      <c r="L306">
        <v>53</v>
      </c>
      <c r="M306">
        <v>2.4500000000000002</v>
      </c>
      <c r="N306">
        <v>5</v>
      </c>
      <c r="O306" t="s">
        <v>19</v>
      </c>
      <c r="P306" cm="1">
        <f t="array" ref="P306">_xlfn.SWITCH(Table2[[#This Row],[mood]], "Tired", 3, "Neutral", 2, "Happy", 1)</f>
        <v>2</v>
      </c>
    </row>
    <row r="307" spans="1:16" x14ac:dyDescent="0.3">
      <c r="A307">
        <v>1202</v>
      </c>
      <c r="B307" s="1">
        <v>42310</v>
      </c>
      <c r="C307">
        <v>24</v>
      </c>
      <c r="D307" t="s">
        <v>20</v>
      </c>
      <c r="E307">
        <v>157.30000000000001</v>
      </c>
      <c r="F307">
        <v>53</v>
      </c>
      <c r="G307">
        <v>11461</v>
      </c>
      <c r="H307">
        <v>705.4</v>
      </c>
      <c r="I307">
        <v>6.2</v>
      </c>
      <c r="J307">
        <v>110</v>
      </c>
      <c r="K307" t="s">
        <v>25</v>
      </c>
      <c r="L307">
        <v>38</v>
      </c>
      <c r="M307">
        <v>2.4300000000000002</v>
      </c>
      <c r="N307">
        <v>7</v>
      </c>
      <c r="O307" t="s">
        <v>21</v>
      </c>
      <c r="P307" cm="1">
        <f t="array" ref="P307">_xlfn.SWITCH(Table2[[#This Row],[mood]], "Tired", 3, "Neutral", 2, "Happy", 1)</f>
        <v>1</v>
      </c>
    </row>
    <row r="308" spans="1:16" x14ac:dyDescent="0.3">
      <c r="A308">
        <v>1183</v>
      </c>
      <c r="B308" s="1">
        <v>42311</v>
      </c>
      <c r="C308">
        <v>47</v>
      </c>
      <c r="D308" t="s">
        <v>15</v>
      </c>
      <c r="E308">
        <v>171</v>
      </c>
      <c r="F308">
        <v>66.5</v>
      </c>
      <c r="G308">
        <v>13366</v>
      </c>
      <c r="H308">
        <v>703.6</v>
      </c>
      <c r="I308">
        <v>5.8</v>
      </c>
      <c r="J308">
        <v>82</v>
      </c>
      <c r="K308" t="s">
        <v>23</v>
      </c>
      <c r="L308">
        <v>85</v>
      </c>
      <c r="M308">
        <v>3.82</v>
      </c>
      <c r="N308">
        <v>8</v>
      </c>
      <c r="O308" t="s">
        <v>19</v>
      </c>
      <c r="P308" cm="1">
        <f t="array" ref="P308">_xlfn.SWITCH(Table2[[#This Row],[mood]], "Tired", 3, "Neutral", 2, "Happy", 1)</f>
        <v>2</v>
      </c>
    </row>
    <row r="309" spans="1:16" x14ac:dyDescent="0.3">
      <c r="A309">
        <v>1122</v>
      </c>
      <c r="B309" s="1">
        <v>42312</v>
      </c>
      <c r="C309">
        <v>26</v>
      </c>
      <c r="D309" t="s">
        <v>15</v>
      </c>
      <c r="E309">
        <v>159.80000000000001</v>
      </c>
      <c r="F309">
        <v>82.2</v>
      </c>
      <c r="G309">
        <v>2785</v>
      </c>
      <c r="H309">
        <v>343</v>
      </c>
      <c r="I309">
        <v>9.5</v>
      </c>
      <c r="J309">
        <v>64</v>
      </c>
      <c r="K309" t="s">
        <v>25</v>
      </c>
      <c r="L309">
        <v>61</v>
      </c>
      <c r="M309">
        <v>1.85</v>
      </c>
      <c r="N309">
        <v>10</v>
      </c>
      <c r="O309" t="s">
        <v>19</v>
      </c>
      <c r="P309" cm="1">
        <f t="array" ref="P309">_xlfn.SWITCH(Table2[[#This Row],[mood]], "Tired", 3, "Neutral", 2, "Happy", 1)</f>
        <v>2</v>
      </c>
    </row>
    <row r="310" spans="1:16" x14ac:dyDescent="0.3">
      <c r="A310">
        <v>1400</v>
      </c>
      <c r="B310" s="1">
        <v>42313</v>
      </c>
      <c r="C310">
        <v>52</v>
      </c>
      <c r="D310" t="s">
        <v>20</v>
      </c>
      <c r="E310">
        <v>153.5</v>
      </c>
      <c r="F310">
        <v>80.900000000000006</v>
      </c>
      <c r="G310">
        <v>7242</v>
      </c>
      <c r="H310">
        <v>487.9</v>
      </c>
      <c r="I310">
        <v>8.1</v>
      </c>
      <c r="J310">
        <v>61</v>
      </c>
      <c r="K310" t="s">
        <v>18</v>
      </c>
      <c r="L310">
        <v>70</v>
      </c>
      <c r="M310">
        <v>0.87</v>
      </c>
      <c r="N310">
        <v>4</v>
      </c>
      <c r="O310" t="s">
        <v>17</v>
      </c>
      <c r="P310" cm="1">
        <f t="array" ref="P310">_xlfn.SWITCH(Table2[[#This Row],[mood]], "Tired", 3, "Neutral", 2, "Happy", 1)</f>
        <v>3</v>
      </c>
    </row>
    <row r="311" spans="1:16" x14ac:dyDescent="0.3">
      <c r="A311">
        <v>1766</v>
      </c>
      <c r="B311" s="1">
        <v>42314</v>
      </c>
      <c r="C311">
        <v>25</v>
      </c>
      <c r="D311" t="s">
        <v>20</v>
      </c>
      <c r="E311">
        <v>165.5</v>
      </c>
      <c r="F311">
        <v>83.5</v>
      </c>
      <c r="G311">
        <v>15312</v>
      </c>
      <c r="H311">
        <v>798.3</v>
      </c>
      <c r="I311">
        <v>8.4</v>
      </c>
      <c r="J311">
        <v>58</v>
      </c>
      <c r="K311" t="s">
        <v>18</v>
      </c>
      <c r="L311">
        <v>68</v>
      </c>
      <c r="M311">
        <v>2.72</v>
      </c>
      <c r="N311">
        <v>10</v>
      </c>
      <c r="O311" t="s">
        <v>17</v>
      </c>
      <c r="P311" cm="1">
        <f t="array" ref="P311">_xlfn.SWITCH(Table2[[#This Row],[mood]], "Tired", 3, "Neutral", 2, "Happy", 1)</f>
        <v>3</v>
      </c>
    </row>
    <row r="312" spans="1:16" x14ac:dyDescent="0.3">
      <c r="A312">
        <v>1293</v>
      </c>
      <c r="B312" s="1">
        <v>42315</v>
      </c>
      <c r="C312">
        <v>41</v>
      </c>
      <c r="D312" t="s">
        <v>15</v>
      </c>
      <c r="E312">
        <v>179.8</v>
      </c>
      <c r="F312">
        <v>71.8</v>
      </c>
      <c r="G312">
        <v>7356</v>
      </c>
      <c r="H312">
        <v>561.4</v>
      </c>
      <c r="I312">
        <v>7.4</v>
      </c>
      <c r="J312">
        <v>64</v>
      </c>
      <c r="K312" t="s">
        <v>25</v>
      </c>
      <c r="L312">
        <v>48</v>
      </c>
      <c r="M312">
        <v>3.34</v>
      </c>
      <c r="N312">
        <v>1</v>
      </c>
      <c r="O312" t="s">
        <v>17</v>
      </c>
      <c r="P312" cm="1">
        <f t="array" ref="P312">_xlfn.SWITCH(Table2[[#This Row],[mood]], "Tired", 3, "Neutral", 2, "Happy", 1)</f>
        <v>3</v>
      </c>
    </row>
    <row r="313" spans="1:16" x14ac:dyDescent="0.3">
      <c r="A313">
        <v>1279</v>
      </c>
      <c r="B313" s="1">
        <v>42316</v>
      </c>
      <c r="C313">
        <v>36</v>
      </c>
      <c r="D313" t="s">
        <v>20</v>
      </c>
      <c r="E313">
        <v>172.7</v>
      </c>
      <c r="F313">
        <v>60.2</v>
      </c>
      <c r="G313">
        <v>19220</v>
      </c>
      <c r="H313">
        <v>900</v>
      </c>
      <c r="I313">
        <v>5</v>
      </c>
      <c r="J313">
        <v>67</v>
      </c>
      <c r="K313" t="s">
        <v>18</v>
      </c>
      <c r="L313">
        <v>49</v>
      </c>
      <c r="M313">
        <v>2.65</v>
      </c>
      <c r="N313">
        <v>7</v>
      </c>
      <c r="O313" t="s">
        <v>21</v>
      </c>
      <c r="P313" cm="1">
        <f t="array" ref="P313">_xlfn.SWITCH(Table2[[#This Row],[mood]], "Tired", 3, "Neutral", 2, "Happy", 1)</f>
        <v>1</v>
      </c>
    </row>
    <row r="314" spans="1:16" x14ac:dyDescent="0.3">
      <c r="A314">
        <v>1836</v>
      </c>
      <c r="B314" s="1">
        <v>42317</v>
      </c>
      <c r="C314">
        <v>53</v>
      </c>
      <c r="D314" t="s">
        <v>20</v>
      </c>
      <c r="E314">
        <v>156.1</v>
      </c>
      <c r="F314">
        <v>69.099999999999994</v>
      </c>
      <c r="G314">
        <v>10589</v>
      </c>
      <c r="H314">
        <v>568.20000000000005</v>
      </c>
      <c r="I314">
        <v>8.1</v>
      </c>
      <c r="J314">
        <v>65</v>
      </c>
      <c r="K314" t="s">
        <v>24</v>
      </c>
      <c r="L314">
        <v>44</v>
      </c>
      <c r="M314">
        <v>2.85</v>
      </c>
      <c r="N314">
        <v>10</v>
      </c>
      <c r="O314" t="s">
        <v>17</v>
      </c>
      <c r="P314" cm="1">
        <f t="array" ref="P314">_xlfn.SWITCH(Table2[[#This Row],[mood]], "Tired", 3, "Neutral", 2, "Happy", 1)</f>
        <v>3</v>
      </c>
    </row>
    <row r="315" spans="1:16" x14ac:dyDescent="0.3">
      <c r="A315">
        <v>1883</v>
      </c>
      <c r="B315" s="1">
        <v>42318</v>
      </c>
      <c r="C315">
        <v>44</v>
      </c>
      <c r="D315" t="s">
        <v>15</v>
      </c>
      <c r="E315">
        <v>165.2</v>
      </c>
      <c r="F315">
        <v>70.7</v>
      </c>
      <c r="G315">
        <v>2493</v>
      </c>
      <c r="H315">
        <v>318.7</v>
      </c>
      <c r="I315">
        <v>9</v>
      </c>
      <c r="J315">
        <v>70</v>
      </c>
      <c r="K315" t="s">
        <v>24</v>
      </c>
      <c r="L315">
        <v>87</v>
      </c>
      <c r="M315">
        <v>3.03</v>
      </c>
      <c r="N315">
        <v>9</v>
      </c>
      <c r="O315" t="s">
        <v>21</v>
      </c>
      <c r="P315" cm="1">
        <f t="array" ref="P315">_xlfn.SWITCH(Table2[[#This Row],[mood]], "Tired", 3, "Neutral", 2, "Happy", 1)</f>
        <v>1</v>
      </c>
    </row>
    <row r="316" spans="1:16" x14ac:dyDescent="0.3">
      <c r="A316">
        <v>1609</v>
      </c>
      <c r="B316" s="1">
        <v>42319</v>
      </c>
      <c r="C316">
        <v>49</v>
      </c>
      <c r="D316" t="s">
        <v>20</v>
      </c>
      <c r="E316">
        <v>168.6</v>
      </c>
      <c r="F316">
        <v>73.599999999999994</v>
      </c>
      <c r="G316">
        <v>18932</v>
      </c>
      <c r="H316">
        <v>900</v>
      </c>
      <c r="I316">
        <v>9.1999999999999993</v>
      </c>
      <c r="J316">
        <v>83</v>
      </c>
      <c r="K316" t="s">
        <v>23</v>
      </c>
      <c r="L316">
        <v>81</v>
      </c>
      <c r="M316">
        <v>2.58</v>
      </c>
      <c r="N316">
        <v>1</v>
      </c>
      <c r="O316" t="s">
        <v>19</v>
      </c>
      <c r="P316" cm="1">
        <f t="array" ref="P316">_xlfn.SWITCH(Table2[[#This Row],[mood]], "Tired", 3, "Neutral", 2, "Happy", 1)</f>
        <v>2</v>
      </c>
    </row>
    <row r="317" spans="1:16" x14ac:dyDescent="0.3">
      <c r="A317">
        <v>1197</v>
      </c>
      <c r="B317" s="1">
        <v>42320</v>
      </c>
      <c r="C317">
        <v>31</v>
      </c>
      <c r="D317" t="s">
        <v>20</v>
      </c>
      <c r="E317">
        <v>153.1</v>
      </c>
      <c r="F317">
        <v>55.5</v>
      </c>
      <c r="G317">
        <v>6163</v>
      </c>
      <c r="H317">
        <v>515</v>
      </c>
      <c r="I317">
        <v>7.9</v>
      </c>
      <c r="J317">
        <v>73</v>
      </c>
      <c r="K317" t="s">
        <v>25</v>
      </c>
      <c r="L317">
        <v>57</v>
      </c>
      <c r="M317">
        <v>2.89</v>
      </c>
      <c r="N317">
        <v>1</v>
      </c>
      <c r="O317" t="s">
        <v>21</v>
      </c>
      <c r="P317" cm="1">
        <f t="array" ref="P317">_xlfn.SWITCH(Table2[[#This Row],[mood]], "Tired", 3, "Neutral", 2, "Happy", 1)</f>
        <v>1</v>
      </c>
    </row>
    <row r="318" spans="1:16" x14ac:dyDescent="0.3">
      <c r="A318">
        <v>1981</v>
      </c>
      <c r="B318" s="1">
        <v>42321</v>
      </c>
      <c r="C318">
        <v>35</v>
      </c>
      <c r="D318" t="s">
        <v>15</v>
      </c>
      <c r="E318">
        <v>177.1</v>
      </c>
      <c r="F318">
        <v>66</v>
      </c>
      <c r="G318">
        <v>10612</v>
      </c>
      <c r="H318">
        <v>579</v>
      </c>
      <c r="I318">
        <v>7</v>
      </c>
      <c r="J318">
        <v>82</v>
      </c>
      <c r="K318" t="s">
        <v>23</v>
      </c>
      <c r="L318">
        <v>36</v>
      </c>
      <c r="M318">
        <v>2.88</v>
      </c>
      <c r="N318">
        <v>7</v>
      </c>
      <c r="O318" t="s">
        <v>21</v>
      </c>
      <c r="P318" cm="1">
        <f t="array" ref="P318">_xlfn.SWITCH(Table2[[#This Row],[mood]], "Tired", 3, "Neutral", 2, "Happy", 1)</f>
        <v>1</v>
      </c>
    </row>
    <row r="319" spans="1:16" x14ac:dyDescent="0.3">
      <c r="A319">
        <v>1906</v>
      </c>
      <c r="B319" s="1">
        <v>42322</v>
      </c>
      <c r="C319">
        <v>45</v>
      </c>
      <c r="D319" t="s">
        <v>15</v>
      </c>
      <c r="E319">
        <v>167.7</v>
      </c>
      <c r="F319">
        <v>68.7</v>
      </c>
      <c r="G319">
        <v>15297</v>
      </c>
      <c r="H319">
        <v>891.7</v>
      </c>
      <c r="I319">
        <v>7</v>
      </c>
      <c r="J319">
        <v>64</v>
      </c>
      <c r="K319" t="s">
        <v>24</v>
      </c>
      <c r="L319">
        <v>20</v>
      </c>
      <c r="M319">
        <v>1.1299999999999999</v>
      </c>
      <c r="N319">
        <v>9</v>
      </c>
      <c r="O319" t="s">
        <v>19</v>
      </c>
      <c r="P319" cm="1">
        <f t="array" ref="P319">_xlfn.SWITCH(Table2[[#This Row],[mood]], "Tired", 3, "Neutral", 2, "Happy", 1)</f>
        <v>2</v>
      </c>
    </row>
    <row r="320" spans="1:16" x14ac:dyDescent="0.3">
      <c r="A320">
        <v>1510</v>
      </c>
      <c r="B320" s="1">
        <v>42323</v>
      </c>
      <c r="C320">
        <v>46</v>
      </c>
      <c r="D320" t="s">
        <v>20</v>
      </c>
      <c r="E320">
        <v>156.1</v>
      </c>
      <c r="F320">
        <v>45</v>
      </c>
      <c r="G320">
        <v>6704</v>
      </c>
      <c r="H320">
        <v>514.70000000000005</v>
      </c>
      <c r="I320">
        <v>7.8</v>
      </c>
      <c r="J320">
        <v>71</v>
      </c>
      <c r="K320" t="s">
        <v>24</v>
      </c>
      <c r="L320">
        <v>37</v>
      </c>
      <c r="M320">
        <v>2.58</v>
      </c>
      <c r="N320">
        <v>5</v>
      </c>
      <c r="O320" t="s">
        <v>17</v>
      </c>
      <c r="P320" cm="1">
        <f t="array" ref="P320">_xlfn.SWITCH(Table2[[#This Row],[mood]], "Tired", 3, "Neutral", 2, "Happy", 1)</f>
        <v>3</v>
      </c>
    </row>
    <row r="321" spans="1:16" x14ac:dyDescent="0.3">
      <c r="A321">
        <v>1751</v>
      </c>
      <c r="B321" s="1">
        <v>42324</v>
      </c>
      <c r="C321">
        <v>33</v>
      </c>
      <c r="D321" t="s">
        <v>20</v>
      </c>
      <c r="E321">
        <v>155.5</v>
      </c>
      <c r="F321">
        <v>82.5</v>
      </c>
      <c r="G321">
        <v>7688</v>
      </c>
      <c r="H321">
        <v>455.1</v>
      </c>
      <c r="I321">
        <v>4.5</v>
      </c>
      <c r="J321">
        <v>66</v>
      </c>
      <c r="K321" t="s">
        <v>24</v>
      </c>
      <c r="L321">
        <v>82</v>
      </c>
      <c r="M321">
        <v>1.4</v>
      </c>
      <c r="N321">
        <v>4</v>
      </c>
      <c r="O321" t="s">
        <v>17</v>
      </c>
      <c r="P321" cm="1">
        <f t="array" ref="P321">_xlfn.SWITCH(Table2[[#This Row],[mood]], "Tired", 3, "Neutral", 2, "Happy", 1)</f>
        <v>3</v>
      </c>
    </row>
    <row r="322" spans="1:16" x14ac:dyDescent="0.3">
      <c r="A322">
        <v>1143</v>
      </c>
      <c r="B322" s="1">
        <v>42325</v>
      </c>
      <c r="C322">
        <v>52</v>
      </c>
      <c r="D322" t="s">
        <v>15</v>
      </c>
      <c r="E322">
        <v>181</v>
      </c>
      <c r="F322">
        <v>72.5</v>
      </c>
      <c r="G322">
        <v>16835</v>
      </c>
      <c r="H322">
        <v>883.8</v>
      </c>
      <c r="I322">
        <v>8</v>
      </c>
      <c r="J322">
        <v>79</v>
      </c>
      <c r="K322" t="s">
        <v>22</v>
      </c>
      <c r="L322">
        <v>65</v>
      </c>
      <c r="M322">
        <v>2.4700000000000002</v>
      </c>
      <c r="N322">
        <v>6</v>
      </c>
      <c r="O322" t="s">
        <v>17</v>
      </c>
      <c r="P322" cm="1">
        <f t="array" ref="P322">_xlfn.SWITCH(Table2[[#This Row],[mood]], "Tired", 3, "Neutral", 2, "Happy", 1)</f>
        <v>3</v>
      </c>
    </row>
    <row r="323" spans="1:16" x14ac:dyDescent="0.3">
      <c r="A323">
        <v>1608</v>
      </c>
      <c r="B323" s="1">
        <v>42326</v>
      </c>
      <c r="C323">
        <v>48</v>
      </c>
      <c r="D323" t="s">
        <v>20</v>
      </c>
      <c r="E323">
        <v>166.2</v>
      </c>
      <c r="F323">
        <v>74</v>
      </c>
      <c r="G323">
        <v>19447</v>
      </c>
      <c r="H323">
        <v>900</v>
      </c>
      <c r="I323">
        <v>6.3</v>
      </c>
      <c r="J323">
        <v>73</v>
      </c>
      <c r="K323" t="s">
        <v>18</v>
      </c>
      <c r="L323">
        <v>38</v>
      </c>
      <c r="M323">
        <v>2.15</v>
      </c>
      <c r="N323">
        <v>9</v>
      </c>
      <c r="O323" t="s">
        <v>19</v>
      </c>
      <c r="P323" cm="1">
        <f t="array" ref="P323">_xlfn.SWITCH(Table2[[#This Row],[mood]], "Tired", 3, "Neutral", 2, "Happy", 1)</f>
        <v>2</v>
      </c>
    </row>
    <row r="324" spans="1:16" x14ac:dyDescent="0.3">
      <c r="A324">
        <v>1200</v>
      </c>
      <c r="B324" s="1">
        <v>42327</v>
      </c>
      <c r="C324">
        <v>21</v>
      </c>
      <c r="D324" t="s">
        <v>20</v>
      </c>
      <c r="E324">
        <v>181.9</v>
      </c>
      <c r="F324">
        <v>62.3</v>
      </c>
      <c r="G324">
        <v>19404</v>
      </c>
      <c r="H324">
        <v>900</v>
      </c>
      <c r="I324">
        <v>10</v>
      </c>
      <c r="J324">
        <v>93</v>
      </c>
      <c r="K324" t="s">
        <v>23</v>
      </c>
      <c r="L324">
        <v>69</v>
      </c>
      <c r="M324">
        <v>3.22</v>
      </c>
      <c r="N324">
        <v>2</v>
      </c>
      <c r="O324" t="s">
        <v>21</v>
      </c>
      <c r="P324" cm="1">
        <f t="array" ref="P324">_xlfn.SWITCH(Table2[[#This Row],[mood]], "Tired", 3, "Neutral", 2, "Happy", 1)</f>
        <v>1</v>
      </c>
    </row>
    <row r="325" spans="1:16" x14ac:dyDescent="0.3">
      <c r="A325">
        <v>1123</v>
      </c>
      <c r="B325" s="1">
        <v>42328</v>
      </c>
      <c r="C325">
        <v>54</v>
      </c>
      <c r="D325" t="s">
        <v>20</v>
      </c>
      <c r="E325">
        <v>185.7</v>
      </c>
      <c r="F325">
        <v>78.8</v>
      </c>
      <c r="G325">
        <v>11341</v>
      </c>
      <c r="H325">
        <v>688.9</v>
      </c>
      <c r="I325">
        <v>6.5</v>
      </c>
      <c r="J325">
        <v>68</v>
      </c>
      <c r="K325" t="s">
        <v>23</v>
      </c>
      <c r="L325">
        <v>73</v>
      </c>
      <c r="M325">
        <v>2.67</v>
      </c>
      <c r="N325">
        <v>5</v>
      </c>
      <c r="O325" t="s">
        <v>19</v>
      </c>
      <c r="P325" cm="1">
        <f t="array" ref="P325">_xlfn.SWITCH(Table2[[#This Row],[mood]], "Tired", 3, "Neutral", 2, "Happy", 1)</f>
        <v>2</v>
      </c>
    </row>
    <row r="326" spans="1:16" x14ac:dyDescent="0.3">
      <c r="A326">
        <v>1186</v>
      </c>
      <c r="B326" s="1">
        <v>42329</v>
      </c>
      <c r="C326">
        <v>34</v>
      </c>
      <c r="D326" t="s">
        <v>15</v>
      </c>
      <c r="E326">
        <v>180.2</v>
      </c>
      <c r="F326">
        <v>57.5</v>
      </c>
      <c r="G326">
        <v>8353</v>
      </c>
      <c r="H326">
        <v>655.6</v>
      </c>
      <c r="I326">
        <v>7.3</v>
      </c>
      <c r="J326">
        <v>65</v>
      </c>
      <c r="K326" t="s">
        <v>24</v>
      </c>
      <c r="L326">
        <v>50</v>
      </c>
      <c r="M326">
        <v>2.83</v>
      </c>
      <c r="N326">
        <v>4</v>
      </c>
      <c r="O326" t="s">
        <v>19</v>
      </c>
      <c r="P326" cm="1">
        <f t="array" ref="P326">_xlfn.SWITCH(Table2[[#This Row],[mood]], "Tired", 3, "Neutral", 2, "Happy", 1)</f>
        <v>2</v>
      </c>
    </row>
    <row r="327" spans="1:16" x14ac:dyDescent="0.3">
      <c r="A327">
        <v>1325</v>
      </c>
      <c r="B327" s="1">
        <v>42330</v>
      </c>
      <c r="C327">
        <v>56</v>
      </c>
      <c r="D327" t="s">
        <v>20</v>
      </c>
      <c r="E327">
        <v>164.7</v>
      </c>
      <c r="F327">
        <v>59.9</v>
      </c>
      <c r="G327">
        <v>10142</v>
      </c>
      <c r="H327">
        <v>673.9</v>
      </c>
      <c r="I327">
        <v>7.2</v>
      </c>
      <c r="J327">
        <v>78</v>
      </c>
      <c r="K327" t="s">
        <v>22</v>
      </c>
      <c r="L327">
        <v>84</v>
      </c>
      <c r="M327">
        <v>2.37</v>
      </c>
      <c r="N327">
        <v>3</v>
      </c>
      <c r="O327" t="s">
        <v>19</v>
      </c>
      <c r="P327" cm="1">
        <f t="array" ref="P327">_xlfn.SWITCH(Table2[[#This Row],[mood]], "Tired", 3, "Neutral", 2, "Happy", 1)</f>
        <v>2</v>
      </c>
    </row>
    <row r="328" spans="1:16" x14ac:dyDescent="0.3">
      <c r="A328">
        <v>1463</v>
      </c>
      <c r="B328" s="1">
        <v>42331</v>
      </c>
      <c r="C328">
        <v>43</v>
      </c>
      <c r="D328" t="s">
        <v>20</v>
      </c>
      <c r="E328">
        <v>150</v>
      </c>
      <c r="F328">
        <v>79.400000000000006</v>
      </c>
      <c r="G328">
        <v>16266</v>
      </c>
      <c r="H328">
        <v>858.7</v>
      </c>
      <c r="I328">
        <v>6</v>
      </c>
      <c r="J328">
        <v>73</v>
      </c>
      <c r="K328" t="s">
        <v>23</v>
      </c>
      <c r="L328">
        <v>65</v>
      </c>
      <c r="M328">
        <v>3.24</v>
      </c>
      <c r="N328">
        <v>5</v>
      </c>
      <c r="O328" t="s">
        <v>19</v>
      </c>
      <c r="P328" cm="1">
        <f t="array" ref="P328">_xlfn.SWITCH(Table2[[#This Row],[mood]], "Tired", 3, "Neutral", 2, "Happy", 1)</f>
        <v>2</v>
      </c>
    </row>
    <row r="329" spans="1:16" x14ac:dyDescent="0.3">
      <c r="A329">
        <v>1348</v>
      </c>
      <c r="B329" s="1">
        <v>42332</v>
      </c>
      <c r="C329">
        <v>56</v>
      </c>
      <c r="D329" t="s">
        <v>15</v>
      </c>
      <c r="E329">
        <v>173.1</v>
      </c>
      <c r="F329">
        <v>75.400000000000006</v>
      </c>
      <c r="G329">
        <v>9216</v>
      </c>
      <c r="H329">
        <v>554.6</v>
      </c>
      <c r="I329">
        <v>7.7</v>
      </c>
      <c r="J329">
        <v>80</v>
      </c>
      <c r="K329" t="s">
        <v>16</v>
      </c>
      <c r="L329">
        <v>0</v>
      </c>
      <c r="M329">
        <v>1.38</v>
      </c>
      <c r="N329">
        <v>7</v>
      </c>
      <c r="O329" t="s">
        <v>21</v>
      </c>
      <c r="P329" cm="1">
        <f t="array" ref="P329">_xlfn.SWITCH(Table2[[#This Row],[mood]], "Tired", 3, "Neutral", 2, "Happy", 1)</f>
        <v>1</v>
      </c>
    </row>
    <row r="330" spans="1:16" x14ac:dyDescent="0.3">
      <c r="A330">
        <v>1770</v>
      </c>
      <c r="B330" s="1">
        <v>42333</v>
      </c>
      <c r="C330">
        <v>58</v>
      </c>
      <c r="D330" t="s">
        <v>20</v>
      </c>
      <c r="E330">
        <v>190.9</v>
      </c>
      <c r="F330">
        <v>50.8</v>
      </c>
      <c r="G330">
        <v>16932</v>
      </c>
      <c r="H330">
        <v>893.7</v>
      </c>
      <c r="I330">
        <v>7.5</v>
      </c>
      <c r="J330">
        <v>74</v>
      </c>
      <c r="K330" t="s">
        <v>23</v>
      </c>
      <c r="L330">
        <v>68</v>
      </c>
      <c r="M330">
        <v>1.87</v>
      </c>
      <c r="N330">
        <v>3</v>
      </c>
      <c r="O330" t="s">
        <v>17</v>
      </c>
      <c r="P330" cm="1">
        <f t="array" ref="P330">_xlfn.SWITCH(Table2[[#This Row],[mood]], "Tired", 3, "Neutral", 2, "Happy", 1)</f>
        <v>3</v>
      </c>
    </row>
    <row r="331" spans="1:16" x14ac:dyDescent="0.3">
      <c r="A331">
        <v>1659</v>
      </c>
      <c r="B331" s="1">
        <v>42334</v>
      </c>
      <c r="C331">
        <v>21</v>
      </c>
      <c r="D331" t="s">
        <v>20</v>
      </c>
      <c r="E331">
        <v>169.6</v>
      </c>
      <c r="F331">
        <v>93.7</v>
      </c>
      <c r="G331">
        <v>13017</v>
      </c>
      <c r="H331">
        <v>671.9</v>
      </c>
      <c r="I331">
        <v>8.5</v>
      </c>
      <c r="J331">
        <v>74</v>
      </c>
      <c r="K331" t="s">
        <v>22</v>
      </c>
      <c r="L331">
        <v>53</v>
      </c>
      <c r="M331">
        <v>3.4</v>
      </c>
      <c r="N331">
        <v>3</v>
      </c>
      <c r="O331" t="s">
        <v>17</v>
      </c>
      <c r="P331" cm="1">
        <f t="array" ref="P331">_xlfn.SWITCH(Table2[[#This Row],[mood]], "Tired", 3, "Neutral", 2, "Happy", 1)</f>
        <v>3</v>
      </c>
    </row>
    <row r="332" spans="1:16" x14ac:dyDescent="0.3">
      <c r="A332">
        <v>1763</v>
      </c>
      <c r="B332" s="1">
        <v>42335</v>
      </c>
      <c r="C332">
        <v>47</v>
      </c>
      <c r="D332" t="s">
        <v>15</v>
      </c>
      <c r="E332">
        <v>150.1</v>
      </c>
      <c r="F332">
        <v>58.6</v>
      </c>
      <c r="G332">
        <v>1569</v>
      </c>
      <c r="H332">
        <v>238.9</v>
      </c>
      <c r="I332">
        <v>8.1</v>
      </c>
      <c r="J332">
        <v>68</v>
      </c>
      <c r="K332" t="s">
        <v>24</v>
      </c>
      <c r="L332">
        <v>48</v>
      </c>
      <c r="M332">
        <v>2.2000000000000002</v>
      </c>
      <c r="N332">
        <v>6</v>
      </c>
      <c r="O332" t="s">
        <v>19</v>
      </c>
      <c r="P332" cm="1">
        <f t="array" ref="P332">_xlfn.SWITCH(Table2[[#This Row],[mood]], "Tired", 3, "Neutral", 2, "Happy", 1)</f>
        <v>2</v>
      </c>
    </row>
    <row r="333" spans="1:16" x14ac:dyDescent="0.3">
      <c r="A333">
        <v>1954</v>
      </c>
      <c r="B333" s="1">
        <v>42336</v>
      </c>
      <c r="C333">
        <v>47</v>
      </c>
      <c r="D333" t="s">
        <v>15</v>
      </c>
      <c r="E333">
        <v>163.30000000000001</v>
      </c>
      <c r="F333">
        <v>68</v>
      </c>
      <c r="G333">
        <v>6112</v>
      </c>
      <c r="H333">
        <v>346.4</v>
      </c>
      <c r="I333">
        <v>7.3</v>
      </c>
      <c r="J333">
        <v>72</v>
      </c>
      <c r="K333" t="s">
        <v>22</v>
      </c>
      <c r="L333">
        <v>25</v>
      </c>
      <c r="M333">
        <v>1</v>
      </c>
      <c r="N333">
        <v>5</v>
      </c>
      <c r="O333" t="s">
        <v>21</v>
      </c>
      <c r="P333" cm="1">
        <f t="array" ref="P333">_xlfn.SWITCH(Table2[[#This Row],[mood]], "Tired", 3, "Neutral", 2, "Happy", 1)</f>
        <v>1</v>
      </c>
    </row>
    <row r="334" spans="1:16" x14ac:dyDescent="0.3">
      <c r="A334">
        <v>1931</v>
      </c>
      <c r="B334" s="1">
        <v>42337</v>
      </c>
      <c r="C334">
        <v>39</v>
      </c>
      <c r="D334" t="s">
        <v>15</v>
      </c>
      <c r="E334">
        <v>168.2</v>
      </c>
      <c r="F334">
        <v>96.2</v>
      </c>
      <c r="G334">
        <v>2355</v>
      </c>
      <c r="H334">
        <v>315.89999999999998</v>
      </c>
      <c r="I334">
        <v>5.8</v>
      </c>
      <c r="J334">
        <v>60</v>
      </c>
      <c r="K334" t="s">
        <v>18</v>
      </c>
      <c r="L334">
        <v>20</v>
      </c>
      <c r="M334">
        <v>3.52</v>
      </c>
      <c r="N334">
        <v>3</v>
      </c>
      <c r="O334" t="s">
        <v>19</v>
      </c>
      <c r="P334" cm="1">
        <f t="array" ref="P334">_xlfn.SWITCH(Table2[[#This Row],[mood]], "Tired", 3, "Neutral", 2, "Happy", 1)</f>
        <v>2</v>
      </c>
    </row>
    <row r="335" spans="1:16" x14ac:dyDescent="0.3">
      <c r="A335">
        <v>1402</v>
      </c>
      <c r="B335" s="1">
        <v>42338</v>
      </c>
      <c r="C335">
        <v>28</v>
      </c>
      <c r="D335" t="s">
        <v>15</v>
      </c>
      <c r="E335">
        <v>159</v>
      </c>
      <c r="F335">
        <v>45</v>
      </c>
      <c r="G335">
        <v>9056</v>
      </c>
      <c r="H335">
        <v>545.4</v>
      </c>
      <c r="I335">
        <v>5.8</v>
      </c>
      <c r="J335">
        <v>87</v>
      </c>
      <c r="K335" t="s">
        <v>23</v>
      </c>
      <c r="L335">
        <v>74</v>
      </c>
      <c r="M335">
        <v>3.25</v>
      </c>
      <c r="N335">
        <v>1</v>
      </c>
      <c r="O335" t="s">
        <v>21</v>
      </c>
      <c r="P335" cm="1">
        <f t="array" ref="P335">_xlfn.SWITCH(Table2[[#This Row],[mood]], "Tired", 3, "Neutral", 2, "Happy", 1)</f>
        <v>1</v>
      </c>
    </row>
    <row r="336" spans="1:16" x14ac:dyDescent="0.3">
      <c r="A336">
        <v>1345</v>
      </c>
      <c r="B336" s="1">
        <v>42339</v>
      </c>
      <c r="C336">
        <v>19</v>
      </c>
      <c r="D336" t="s">
        <v>20</v>
      </c>
      <c r="E336">
        <v>150</v>
      </c>
      <c r="F336">
        <v>45</v>
      </c>
      <c r="G336">
        <v>17086</v>
      </c>
      <c r="H336">
        <v>900</v>
      </c>
      <c r="I336">
        <v>9.5</v>
      </c>
      <c r="J336">
        <v>88</v>
      </c>
      <c r="K336" t="s">
        <v>18</v>
      </c>
      <c r="L336">
        <v>46</v>
      </c>
      <c r="M336">
        <v>3</v>
      </c>
      <c r="N336">
        <v>10</v>
      </c>
      <c r="O336" t="s">
        <v>19</v>
      </c>
      <c r="P336" cm="1">
        <f t="array" ref="P336">_xlfn.SWITCH(Table2[[#This Row],[mood]], "Tired", 3, "Neutral", 2, "Happy", 1)</f>
        <v>2</v>
      </c>
    </row>
    <row r="337" spans="1:16" x14ac:dyDescent="0.3">
      <c r="A337">
        <v>1962</v>
      </c>
      <c r="B337" s="1">
        <v>42340</v>
      </c>
      <c r="C337">
        <v>29</v>
      </c>
      <c r="D337" t="s">
        <v>20</v>
      </c>
      <c r="E337">
        <v>169</v>
      </c>
      <c r="F337">
        <v>76.599999999999994</v>
      </c>
      <c r="G337">
        <v>18214</v>
      </c>
      <c r="H337">
        <v>900</v>
      </c>
      <c r="I337">
        <v>7.1</v>
      </c>
      <c r="J337">
        <v>84</v>
      </c>
      <c r="K337" t="s">
        <v>23</v>
      </c>
      <c r="L337">
        <v>31</v>
      </c>
      <c r="M337">
        <v>2.57</v>
      </c>
      <c r="N337">
        <v>2</v>
      </c>
      <c r="O337" t="s">
        <v>17</v>
      </c>
      <c r="P337" cm="1">
        <f t="array" ref="P337">_xlfn.SWITCH(Table2[[#This Row],[mood]], "Tired", 3, "Neutral", 2, "Happy", 1)</f>
        <v>3</v>
      </c>
    </row>
    <row r="338" spans="1:16" x14ac:dyDescent="0.3">
      <c r="A338">
        <v>1510</v>
      </c>
      <c r="B338" s="1">
        <v>42341</v>
      </c>
      <c r="C338">
        <v>47</v>
      </c>
      <c r="D338" t="s">
        <v>15</v>
      </c>
      <c r="E338">
        <v>162.19999999999999</v>
      </c>
      <c r="F338">
        <v>45</v>
      </c>
      <c r="G338">
        <v>15220</v>
      </c>
      <c r="H338">
        <v>758.3</v>
      </c>
      <c r="I338">
        <v>10</v>
      </c>
      <c r="J338">
        <v>70</v>
      </c>
      <c r="K338" t="s">
        <v>18</v>
      </c>
      <c r="L338">
        <v>23</v>
      </c>
      <c r="M338">
        <v>3.66</v>
      </c>
      <c r="N338">
        <v>3</v>
      </c>
      <c r="O338" t="s">
        <v>17</v>
      </c>
      <c r="P338" cm="1">
        <f t="array" ref="P338">_xlfn.SWITCH(Table2[[#This Row],[mood]], "Tired", 3, "Neutral", 2, "Happy", 1)</f>
        <v>3</v>
      </c>
    </row>
    <row r="339" spans="1:16" x14ac:dyDescent="0.3">
      <c r="A339">
        <v>1146</v>
      </c>
      <c r="B339" s="1">
        <v>42342</v>
      </c>
      <c r="C339">
        <v>53</v>
      </c>
      <c r="D339" t="s">
        <v>15</v>
      </c>
      <c r="E339">
        <v>187.7</v>
      </c>
      <c r="F339">
        <v>45</v>
      </c>
      <c r="G339">
        <v>15498</v>
      </c>
      <c r="H339">
        <v>829.9</v>
      </c>
      <c r="I339">
        <v>5.8</v>
      </c>
      <c r="J339">
        <v>69</v>
      </c>
      <c r="K339" t="s">
        <v>23</v>
      </c>
      <c r="L339">
        <v>71</v>
      </c>
      <c r="M339">
        <v>3.38</v>
      </c>
      <c r="N339">
        <v>4</v>
      </c>
      <c r="O339" t="s">
        <v>19</v>
      </c>
      <c r="P339" cm="1">
        <f t="array" ref="P339">_xlfn.SWITCH(Table2[[#This Row],[mood]], "Tired", 3, "Neutral", 2, "Happy", 1)</f>
        <v>2</v>
      </c>
    </row>
    <row r="340" spans="1:16" x14ac:dyDescent="0.3">
      <c r="A340">
        <v>1147</v>
      </c>
      <c r="B340" s="1">
        <v>42343</v>
      </c>
      <c r="C340">
        <v>35</v>
      </c>
      <c r="D340" t="s">
        <v>20</v>
      </c>
      <c r="E340">
        <v>171</v>
      </c>
      <c r="F340">
        <v>87.6</v>
      </c>
      <c r="G340">
        <v>1834</v>
      </c>
      <c r="H340">
        <v>237.7</v>
      </c>
      <c r="I340">
        <v>10</v>
      </c>
      <c r="J340">
        <v>80</v>
      </c>
      <c r="K340" t="s">
        <v>16</v>
      </c>
      <c r="L340">
        <v>0</v>
      </c>
      <c r="M340">
        <v>3.58</v>
      </c>
      <c r="N340">
        <v>5</v>
      </c>
      <c r="O340" t="s">
        <v>17</v>
      </c>
      <c r="P340" cm="1">
        <f t="array" ref="P340">_xlfn.SWITCH(Table2[[#This Row],[mood]], "Tired", 3, "Neutral", 2, "Happy", 1)</f>
        <v>3</v>
      </c>
    </row>
    <row r="341" spans="1:16" x14ac:dyDescent="0.3">
      <c r="A341">
        <v>1863</v>
      </c>
      <c r="B341" s="1">
        <v>42344</v>
      </c>
      <c r="C341">
        <v>43</v>
      </c>
      <c r="D341" t="s">
        <v>15</v>
      </c>
      <c r="E341">
        <v>174.7</v>
      </c>
      <c r="F341">
        <v>63.9</v>
      </c>
      <c r="G341">
        <v>12308</v>
      </c>
      <c r="H341">
        <v>775.1</v>
      </c>
      <c r="I341">
        <v>5.6</v>
      </c>
      <c r="J341">
        <v>65</v>
      </c>
      <c r="K341" t="s">
        <v>24</v>
      </c>
      <c r="L341">
        <v>71</v>
      </c>
      <c r="M341">
        <v>2.99</v>
      </c>
      <c r="N341">
        <v>10</v>
      </c>
      <c r="O341" t="s">
        <v>19</v>
      </c>
      <c r="P341" cm="1">
        <f t="array" ref="P341">_xlfn.SWITCH(Table2[[#This Row],[mood]], "Tired", 3, "Neutral", 2, "Happy", 1)</f>
        <v>2</v>
      </c>
    </row>
    <row r="342" spans="1:16" x14ac:dyDescent="0.3">
      <c r="A342">
        <v>1710</v>
      </c>
      <c r="B342" s="1">
        <v>42345</v>
      </c>
      <c r="C342">
        <v>24</v>
      </c>
      <c r="D342" t="s">
        <v>20</v>
      </c>
      <c r="E342">
        <v>168.8</v>
      </c>
      <c r="F342">
        <v>102.9</v>
      </c>
      <c r="G342">
        <v>1969</v>
      </c>
      <c r="H342">
        <v>236.6</v>
      </c>
      <c r="I342">
        <v>6.3</v>
      </c>
      <c r="J342">
        <v>86</v>
      </c>
      <c r="K342" t="s">
        <v>16</v>
      </c>
      <c r="L342">
        <v>0</v>
      </c>
      <c r="M342">
        <v>2.59</v>
      </c>
      <c r="N342">
        <v>9</v>
      </c>
      <c r="O342" t="s">
        <v>21</v>
      </c>
      <c r="P342" cm="1">
        <f t="array" ref="P342">_xlfn.SWITCH(Table2[[#This Row],[mood]], "Tired", 3, "Neutral", 2, "Happy", 1)</f>
        <v>1</v>
      </c>
    </row>
    <row r="343" spans="1:16" x14ac:dyDescent="0.3">
      <c r="A343">
        <v>1819</v>
      </c>
      <c r="B343" s="1">
        <v>42346</v>
      </c>
      <c r="C343">
        <v>18</v>
      </c>
      <c r="D343" t="s">
        <v>15</v>
      </c>
      <c r="E343">
        <v>170.9</v>
      </c>
      <c r="F343">
        <v>54.5</v>
      </c>
      <c r="G343">
        <v>1592</v>
      </c>
      <c r="H343">
        <v>240.2</v>
      </c>
      <c r="I343">
        <v>7.7</v>
      </c>
      <c r="J343">
        <v>51</v>
      </c>
      <c r="K343" t="s">
        <v>25</v>
      </c>
      <c r="L343">
        <v>47</v>
      </c>
      <c r="M343">
        <v>2.2200000000000002</v>
      </c>
      <c r="N343">
        <v>4</v>
      </c>
      <c r="O343" t="s">
        <v>21</v>
      </c>
      <c r="P343" cm="1">
        <f t="array" ref="P343">_xlfn.SWITCH(Table2[[#This Row],[mood]], "Tired", 3, "Neutral", 2, "Happy", 1)</f>
        <v>1</v>
      </c>
    </row>
    <row r="344" spans="1:16" x14ac:dyDescent="0.3">
      <c r="A344">
        <v>1488</v>
      </c>
      <c r="B344" s="1">
        <v>42347</v>
      </c>
      <c r="C344">
        <v>43</v>
      </c>
      <c r="D344" t="s">
        <v>20</v>
      </c>
      <c r="E344">
        <v>153.5</v>
      </c>
      <c r="F344">
        <v>65.2</v>
      </c>
      <c r="G344">
        <v>1254</v>
      </c>
      <c r="H344">
        <v>199.5</v>
      </c>
      <c r="I344">
        <v>8.5</v>
      </c>
      <c r="J344">
        <v>70</v>
      </c>
      <c r="K344" t="s">
        <v>22</v>
      </c>
      <c r="L344">
        <v>85</v>
      </c>
      <c r="M344">
        <v>1.61</v>
      </c>
      <c r="N344">
        <v>9</v>
      </c>
      <c r="O344" t="s">
        <v>21</v>
      </c>
      <c r="P344" cm="1">
        <f t="array" ref="P344">_xlfn.SWITCH(Table2[[#This Row],[mood]], "Tired", 3, "Neutral", 2, "Happy", 1)</f>
        <v>1</v>
      </c>
    </row>
    <row r="345" spans="1:16" x14ac:dyDescent="0.3">
      <c r="A345">
        <v>1928</v>
      </c>
      <c r="B345" s="1">
        <v>42348</v>
      </c>
      <c r="C345">
        <v>40</v>
      </c>
      <c r="D345" t="s">
        <v>15</v>
      </c>
      <c r="E345">
        <v>159.6</v>
      </c>
      <c r="F345">
        <v>78.099999999999994</v>
      </c>
      <c r="G345">
        <v>11306</v>
      </c>
      <c r="H345">
        <v>597.20000000000005</v>
      </c>
      <c r="I345">
        <v>8</v>
      </c>
      <c r="J345">
        <v>64</v>
      </c>
      <c r="K345" t="s">
        <v>23</v>
      </c>
      <c r="L345">
        <v>46</v>
      </c>
      <c r="M345">
        <v>2.85</v>
      </c>
      <c r="N345">
        <v>5</v>
      </c>
      <c r="O345" t="s">
        <v>21</v>
      </c>
      <c r="P345" cm="1">
        <f t="array" ref="P345">_xlfn.SWITCH(Table2[[#This Row],[mood]], "Tired", 3, "Neutral", 2, "Happy", 1)</f>
        <v>1</v>
      </c>
    </row>
    <row r="346" spans="1:16" x14ac:dyDescent="0.3">
      <c r="A346">
        <v>1935</v>
      </c>
      <c r="B346" s="1">
        <v>42349</v>
      </c>
      <c r="C346">
        <v>43</v>
      </c>
      <c r="D346" t="s">
        <v>15</v>
      </c>
      <c r="E346">
        <v>180.9</v>
      </c>
      <c r="F346">
        <v>77.099999999999994</v>
      </c>
      <c r="G346">
        <v>3661</v>
      </c>
      <c r="H346">
        <v>347.9</v>
      </c>
      <c r="I346">
        <v>4.0999999999999996</v>
      </c>
      <c r="J346">
        <v>87</v>
      </c>
      <c r="K346" t="s">
        <v>22</v>
      </c>
      <c r="L346">
        <v>74</v>
      </c>
      <c r="M346">
        <v>2.91</v>
      </c>
      <c r="N346">
        <v>3</v>
      </c>
      <c r="O346" t="s">
        <v>19</v>
      </c>
      <c r="P346" cm="1">
        <f t="array" ref="P346">_xlfn.SWITCH(Table2[[#This Row],[mood]], "Tired", 3, "Neutral", 2, "Happy", 1)</f>
        <v>2</v>
      </c>
    </row>
    <row r="347" spans="1:16" x14ac:dyDescent="0.3">
      <c r="A347">
        <v>1639</v>
      </c>
      <c r="B347" s="1">
        <v>42350</v>
      </c>
      <c r="C347">
        <v>23</v>
      </c>
      <c r="D347" t="s">
        <v>20</v>
      </c>
      <c r="E347">
        <v>172.1</v>
      </c>
      <c r="F347">
        <v>66.2</v>
      </c>
      <c r="G347">
        <v>16309</v>
      </c>
      <c r="H347">
        <v>790.1</v>
      </c>
      <c r="I347">
        <v>6.1</v>
      </c>
      <c r="J347">
        <v>86</v>
      </c>
      <c r="K347" t="s">
        <v>23</v>
      </c>
      <c r="L347">
        <v>73</v>
      </c>
      <c r="M347">
        <v>2.2599999999999998</v>
      </c>
      <c r="N347">
        <v>7</v>
      </c>
      <c r="O347" t="s">
        <v>17</v>
      </c>
      <c r="P347" cm="1">
        <f t="array" ref="P347">_xlfn.SWITCH(Table2[[#This Row],[mood]], "Tired", 3, "Neutral", 2, "Happy", 1)</f>
        <v>3</v>
      </c>
    </row>
    <row r="348" spans="1:16" x14ac:dyDescent="0.3">
      <c r="A348">
        <v>1550</v>
      </c>
      <c r="B348" s="1">
        <v>42351</v>
      </c>
      <c r="C348">
        <v>23</v>
      </c>
      <c r="D348" t="s">
        <v>15</v>
      </c>
      <c r="E348">
        <v>166</v>
      </c>
      <c r="F348">
        <v>60.3</v>
      </c>
      <c r="G348">
        <v>9794</v>
      </c>
      <c r="H348">
        <v>582.4</v>
      </c>
      <c r="I348">
        <v>5.3</v>
      </c>
      <c r="J348">
        <v>81</v>
      </c>
      <c r="K348" t="s">
        <v>25</v>
      </c>
      <c r="L348">
        <v>65</v>
      </c>
      <c r="M348">
        <v>2.93</v>
      </c>
      <c r="N348">
        <v>8</v>
      </c>
      <c r="O348" t="s">
        <v>21</v>
      </c>
      <c r="P348" cm="1">
        <f t="array" ref="P348">_xlfn.SWITCH(Table2[[#This Row],[mood]], "Tired", 3, "Neutral", 2, "Happy", 1)</f>
        <v>1</v>
      </c>
    </row>
    <row r="349" spans="1:16" x14ac:dyDescent="0.3">
      <c r="A349">
        <v>1337</v>
      </c>
      <c r="B349" s="1">
        <v>42352</v>
      </c>
      <c r="C349">
        <v>25</v>
      </c>
      <c r="D349" t="s">
        <v>20</v>
      </c>
      <c r="E349">
        <v>174.9</v>
      </c>
      <c r="F349">
        <v>73.5</v>
      </c>
      <c r="G349">
        <v>19223</v>
      </c>
      <c r="H349">
        <v>900</v>
      </c>
      <c r="I349">
        <v>4.9000000000000004</v>
      </c>
      <c r="J349">
        <v>94</v>
      </c>
      <c r="K349" t="s">
        <v>24</v>
      </c>
      <c r="L349">
        <v>55</v>
      </c>
      <c r="M349">
        <v>2.27</v>
      </c>
      <c r="N349">
        <v>9</v>
      </c>
      <c r="O349" t="s">
        <v>17</v>
      </c>
      <c r="P349" cm="1">
        <f t="array" ref="P349">_xlfn.SWITCH(Table2[[#This Row],[mood]], "Tired", 3, "Neutral", 2, "Happy", 1)</f>
        <v>3</v>
      </c>
    </row>
    <row r="350" spans="1:16" x14ac:dyDescent="0.3">
      <c r="A350">
        <v>1871</v>
      </c>
      <c r="B350" s="1">
        <v>42353</v>
      </c>
      <c r="C350">
        <v>41</v>
      </c>
      <c r="D350" t="s">
        <v>20</v>
      </c>
      <c r="E350">
        <v>175.1</v>
      </c>
      <c r="F350">
        <v>90.7</v>
      </c>
      <c r="G350">
        <v>6905</v>
      </c>
      <c r="H350">
        <v>455</v>
      </c>
      <c r="I350">
        <v>7</v>
      </c>
      <c r="J350">
        <v>75</v>
      </c>
      <c r="K350" t="s">
        <v>24</v>
      </c>
      <c r="L350">
        <v>40</v>
      </c>
      <c r="M350">
        <v>3.11</v>
      </c>
      <c r="N350">
        <v>9</v>
      </c>
      <c r="O350" t="s">
        <v>19</v>
      </c>
      <c r="P350" cm="1">
        <f t="array" ref="P350">_xlfn.SWITCH(Table2[[#This Row],[mood]], "Tired", 3, "Neutral", 2, "Happy", 1)</f>
        <v>2</v>
      </c>
    </row>
    <row r="351" spans="1:16" x14ac:dyDescent="0.3">
      <c r="A351">
        <v>1640</v>
      </c>
      <c r="B351" s="1">
        <v>42354</v>
      </c>
      <c r="C351">
        <v>39</v>
      </c>
      <c r="D351" t="s">
        <v>20</v>
      </c>
      <c r="E351">
        <v>189.9</v>
      </c>
      <c r="F351">
        <v>81.400000000000006</v>
      </c>
      <c r="G351">
        <v>3431</v>
      </c>
      <c r="H351">
        <v>227.1</v>
      </c>
      <c r="I351">
        <v>3.8</v>
      </c>
      <c r="J351">
        <v>81</v>
      </c>
      <c r="K351" t="s">
        <v>22</v>
      </c>
      <c r="L351">
        <v>68</v>
      </c>
      <c r="M351">
        <v>1.88</v>
      </c>
      <c r="N351">
        <v>6</v>
      </c>
      <c r="O351" t="s">
        <v>17</v>
      </c>
      <c r="P351" cm="1">
        <f t="array" ref="P351">_xlfn.SWITCH(Table2[[#This Row],[mood]], "Tired", 3, "Neutral", 2, "Happy", 1)</f>
        <v>3</v>
      </c>
    </row>
    <row r="352" spans="1:16" x14ac:dyDescent="0.3">
      <c r="A352">
        <v>1778</v>
      </c>
      <c r="B352" s="1">
        <v>42355</v>
      </c>
      <c r="C352">
        <v>36</v>
      </c>
      <c r="D352" t="s">
        <v>20</v>
      </c>
      <c r="E352">
        <v>171.6</v>
      </c>
      <c r="F352">
        <v>60.5</v>
      </c>
      <c r="G352">
        <v>8756</v>
      </c>
      <c r="H352">
        <v>616.9</v>
      </c>
      <c r="I352">
        <v>8.5</v>
      </c>
      <c r="J352">
        <v>59</v>
      </c>
      <c r="K352" t="s">
        <v>16</v>
      </c>
      <c r="L352">
        <v>0</v>
      </c>
      <c r="M352">
        <v>1.76</v>
      </c>
      <c r="N352">
        <v>9</v>
      </c>
      <c r="O352" t="s">
        <v>17</v>
      </c>
      <c r="P352" cm="1">
        <f t="array" ref="P352">_xlfn.SWITCH(Table2[[#This Row],[mood]], "Tired", 3, "Neutral", 2, "Happy", 1)</f>
        <v>3</v>
      </c>
    </row>
    <row r="353" spans="1:16" x14ac:dyDescent="0.3">
      <c r="A353">
        <v>1987</v>
      </c>
      <c r="B353" s="1">
        <v>42356</v>
      </c>
      <c r="C353">
        <v>54</v>
      </c>
      <c r="D353" t="s">
        <v>20</v>
      </c>
      <c r="E353">
        <v>159.4</v>
      </c>
      <c r="F353">
        <v>55.1</v>
      </c>
      <c r="G353">
        <v>6353</v>
      </c>
      <c r="H353">
        <v>467.4</v>
      </c>
      <c r="I353">
        <v>8.1</v>
      </c>
      <c r="J353">
        <v>72</v>
      </c>
      <c r="K353" t="s">
        <v>25</v>
      </c>
      <c r="L353">
        <v>53</v>
      </c>
      <c r="M353">
        <v>2.33</v>
      </c>
      <c r="N353">
        <v>3</v>
      </c>
      <c r="O353" t="s">
        <v>17</v>
      </c>
      <c r="P353" cm="1">
        <f t="array" ref="P353">_xlfn.SWITCH(Table2[[#This Row],[mood]], "Tired", 3, "Neutral", 2, "Happy", 1)</f>
        <v>3</v>
      </c>
    </row>
    <row r="354" spans="1:16" x14ac:dyDescent="0.3">
      <c r="A354">
        <v>1952</v>
      </c>
      <c r="B354" s="1">
        <v>42357</v>
      </c>
      <c r="C354">
        <v>35</v>
      </c>
      <c r="D354" t="s">
        <v>15</v>
      </c>
      <c r="E354">
        <v>168.8</v>
      </c>
      <c r="F354">
        <v>59.6</v>
      </c>
      <c r="G354">
        <v>18349</v>
      </c>
      <c r="H354">
        <v>900</v>
      </c>
      <c r="I354">
        <v>9.4</v>
      </c>
      <c r="J354">
        <v>76</v>
      </c>
      <c r="K354" t="s">
        <v>22</v>
      </c>
      <c r="L354">
        <v>59</v>
      </c>
      <c r="M354">
        <v>3.08</v>
      </c>
      <c r="N354">
        <v>2</v>
      </c>
      <c r="O354" t="s">
        <v>19</v>
      </c>
      <c r="P354" cm="1">
        <f t="array" ref="P354">_xlfn.SWITCH(Table2[[#This Row],[mood]], "Tired", 3, "Neutral", 2, "Happy", 1)</f>
        <v>2</v>
      </c>
    </row>
    <row r="355" spans="1:16" x14ac:dyDescent="0.3">
      <c r="A355">
        <v>1472</v>
      </c>
      <c r="B355" s="1">
        <v>42358</v>
      </c>
      <c r="C355">
        <v>48</v>
      </c>
      <c r="D355" t="s">
        <v>15</v>
      </c>
      <c r="E355">
        <v>176.1</v>
      </c>
      <c r="F355">
        <v>50.9</v>
      </c>
      <c r="G355">
        <v>2737</v>
      </c>
      <c r="H355">
        <v>297.89999999999998</v>
      </c>
      <c r="I355">
        <v>5.4</v>
      </c>
      <c r="J355">
        <v>66</v>
      </c>
      <c r="K355" t="s">
        <v>24</v>
      </c>
      <c r="L355">
        <v>26</v>
      </c>
      <c r="M355">
        <v>1.69</v>
      </c>
      <c r="N355">
        <v>5</v>
      </c>
      <c r="O355" t="s">
        <v>19</v>
      </c>
      <c r="P355" cm="1">
        <f t="array" ref="P355">_xlfn.SWITCH(Table2[[#This Row],[mood]], "Tired", 3, "Neutral", 2, "Happy", 1)</f>
        <v>2</v>
      </c>
    </row>
    <row r="356" spans="1:16" x14ac:dyDescent="0.3">
      <c r="A356">
        <v>1945</v>
      </c>
      <c r="B356" s="1">
        <v>42359</v>
      </c>
      <c r="C356">
        <v>54</v>
      </c>
      <c r="D356" t="s">
        <v>20</v>
      </c>
      <c r="E356">
        <v>180</v>
      </c>
      <c r="F356">
        <v>72.2</v>
      </c>
      <c r="G356">
        <v>17868</v>
      </c>
      <c r="H356">
        <v>900</v>
      </c>
      <c r="I356">
        <v>5.5</v>
      </c>
      <c r="J356">
        <v>78</v>
      </c>
      <c r="K356" t="s">
        <v>18</v>
      </c>
      <c r="L356">
        <v>71</v>
      </c>
      <c r="M356">
        <v>3.23</v>
      </c>
      <c r="N356">
        <v>7</v>
      </c>
      <c r="O356" t="s">
        <v>19</v>
      </c>
      <c r="P356" cm="1">
        <f t="array" ref="P356">_xlfn.SWITCH(Table2[[#This Row],[mood]], "Tired", 3, "Neutral", 2, "Happy", 1)</f>
        <v>2</v>
      </c>
    </row>
    <row r="357" spans="1:16" x14ac:dyDescent="0.3">
      <c r="A357">
        <v>1150</v>
      </c>
      <c r="B357" s="1">
        <v>42360</v>
      </c>
      <c r="C357">
        <v>47</v>
      </c>
      <c r="D357" t="s">
        <v>15</v>
      </c>
      <c r="E357">
        <v>153.80000000000001</v>
      </c>
      <c r="F357">
        <v>82.2</v>
      </c>
      <c r="G357">
        <v>13326</v>
      </c>
      <c r="H357">
        <v>779.9</v>
      </c>
      <c r="I357">
        <v>8.6</v>
      </c>
      <c r="J357">
        <v>55</v>
      </c>
      <c r="K357" t="s">
        <v>22</v>
      </c>
      <c r="L357">
        <v>68</v>
      </c>
      <c r="M357">
        <v>1.35</v>
      </c>
      <c r="N357">
        <v>7</v>
      </c>
      <c r="O357" t="s">
        <v>17</v>
      </c>
      <c r="P357" cm="1">
        <f t="array" ref="P357">_xlfn.SWITCH(Table2[[#This Row],[mood]], "Tired", 3, "Neutral", 2, "Happy", 1)</f>
        <v>3</v>
      </c>
    </row>
    <row r="358" spans="1:16" x14ac:dyDescent="0.3">
      <c r="A358">
        <v>1414</v>
      </c>
      <c r="B358" s="1">
        <v>42361</v>
      </c>
      <c r="C358">
        <v>59</v>
      </c>
      <c r="D358" t="s">
        <v>20</v>
      </c>
      <c r="E358">
        <v>172.5</v>
      </c>
      <c r="F358">
        <v>68.900000000000006</v>
      </c>
      <c r="G358">
        <v>13911</v>
      </c>
      <c r="H358">
        <v>808.3</v>
      </c>
      <c r="I358">
        <v>8.6999999999999993</v>
      </c>
      <c r="J358">
        <v>80</v>
      </c>
      <c r="K358" t="s">
        <v>23</v>
      </c>
      <c r="L358">
        <v>56</v>
      </c>
      <c r="M358">
        <v>2.33</v>
      </c>
      <c r="N358">
        <v>6</v>
      </c>
      <c r="O358" t="s">
        <v>21</v>
      </c>
      <c r="P358" cm="1">
        <f t="array" ref="P358">_xlfn.SWITCH(Table2[[#This Row],[mood]], "Tired", 3, "Neutral", 2, "Happy", 1)</f>
        <v>1</v>
      </c>
    </row>
    <row r="359" spans="1:16" x14ac:dyDescent="0.3">
      <c r="A359">
        <v>1989</v>
      </c>
      <c r="B359" s="1">
        <v>42362</v>
      </c>
      <c r="C359">
        <v>50</v>
      </c>
      <c r="D359" t="s">
        <v>15</v>
      </c>
      <c r="E359">
        <v>161</v>
      </c>
      <c r="F359">
        <v>95.8</v>
      </c>
      <c r="G359">
        <v>19411</v>
      </c>
      <c r="H359">
        <v>900</v>
      </c>
      <c r="I359">
        <v>9</v>
      </c>
      <c r="J359">
        <v>71</v>
      </c>
      <c r="K359" t="s">
        <v>24</v>
      </c>
      <c r="L359">
        <v>81</v>
      </c>
      <c r="M359">
        <v>1.51</v>
      </c>
      <c r="N359">
        <v>3</v>
      </c>
      <c r="O359" t="s">
        <v>21</v>
      </c>
      <c r="P359" cm="1">
        <f t="array" ref="P359">_xlfn.SWITCH(Table2[[#This Row],[mood]], "Tired", 3, "Neutral", 2, "Happy", 1)</f>
        <v>1</v>
      </c>
    </row>
    <row r="360" spans="1:16" x14ac:dyDescent="0.3">
      <c r="A360">
        <v>1297</v>
      </c>
      <c r="B360" s="1">
        <v>42363</v>
      </c>
      <c r="C360">
        <v>27</v>
      </c>
      <c r="D360" t="s">
        <v>15</v>
      </c>
      <c r="E360">
        <v>164.3</v>
      </c>
      <c r="F360">
        <v>96.6</v>
      </c>
      <c r="G360">
        <v>6213</v>
      </c>
      <c r="H360">
        <v>379.7</v>
      </c>
      <c r="I360">
        <v>8.6999999999999993</v>
      </c>
      <c r="J360">
        <v>67</v>
      </c>
      <c r="K360" t="s">
        <v>23</v>
      </c>
      <c r="L360">
        <v>34</v>
      </c>
      <c r="M360">
        <v>0.67</v>
      </c>
      <c r="N360">
        <v>6</v>
      </c>
      <c r="O360" t="s">
        <v>17</v>
      </c>
      <c r="P360" cm="1">
        <f t="array" ref="P360">_xlfn.SWITCH(Table2[[#This Row],[mood]], "Tired", 3, "Neutral", 2, "Happy", 1)</f>
        <v>3</v>
      </c>
    </row>
    <row r="361" spans="1:16" x14ac:dyDescent="0.3">
      <c r="A361">
        <v>1610</v>
      </c>
      <c r="B361" s="1">
        <v>42364</v>
      </c>
      <c r="C361">
        <v>54</v>
      </c>
      <c r="D361" t="s">
        <v>15</v>
      </c>
      <c r="E361">
        <v>178.5</v>
      </c>
      <c r="F361">
        <v>74.599999999999994</v>
      </c>
      <c r="G361">
        <v>7227</v>
      </c>
      <c r="H361">
        <v>509.3</v>
      </c>
      <c r="I361">
        <v>7.3</v>
      </c>
      <c r="J361">
        <v>82</v>
      </c>
      <c r="K361" t="s">
        <v>25</v>
      </c>
      <c r="L361">
        <v>21</v>
      </c>
      <c r="M361">
        <v>2.76</v>
      </c>
      <c r="N361">
        <v>1</v>
      </c>
      <c r="O361" t="s">
        <v>21</v>
      </c>
      <c r="P361" cm="1">
        <f t="array" ref="P361">_xlfn.SWITCH(Table2[[#This Row],[mood]], "Tired", 3, "Neutral", 2, "Happy", 1)</f>
        <v>1</v>
      </c>
    </row>
    <row r="362" spans="1:16" x14ac:dyDescent="0.3">
      <c r="A362">
        <v>1262</v>
      </c>
      <c r="B362" s="1">
        <v>42365</v>
      </c>
      <c r="C362">
        <v>29</v>
      </c>
      <c r="D362" t="s">
        <v>15</v>
      </c>
      <c r="E362">
        <v>177.5</v>
      </c>
      <c r="F362">
        <v>80.5</v>
      </c>
      <c r="G362">
        <v>12279</v>
      </c>
      <c r="H362">
        <v>704.5</v>
      </c>
      <c r="I362">
        <v>6.3</v>
      </c>
      <c r="J362">
        <v>90</v>
      </c>
      <c r="K362" t="s">
        <v>16</v>
      </c>
      <c r="L362">
        <v>0</v>
      </c>
      <c r="M362">
        <v>2.38</v>
      </c>
      <c r="N362">
        <v>3</v>
      </c>
      <c r="O362" t="s">
        <v>21</v>
      </c>
      <c r="P362" cm="1">
        <f t="array" ref="P362">_xlfn.SWITCH(Table2[[#This Row],[mood]], "Tired", 3, "Neutral", 2, "Happy", 1)</f>
        <v>1</v>
      </c>
    </row>
    <row r="363" spans="1:16" x14ac:dyDescent="0.3">
      <c r="A363">
        <v>1763</v>
      </c>
      <c r="B363" s="1">
        <v>42366</v>
      </c>
      <c r="C363">
        <v>47</v>
      </c>
      <c r="D363" t="s">
        <v>20</v>
      </c>
      <c r="E363">
        <v>163.19999999999999</v>
      </c>
      <c r="F363">
        <v>56.5</v>
      </c>
      <c r="G363">
        <v>16836</v>
      </c>
      <c r="H363">
        <v>846</v>
      </c>
      <c r="I363">
        <v>8.1</v>
      </c>
      <c r="J363">
        <v>84</v>
      </c>
      <c r="K363" t="s">
        <v>16</v>
      </c>
      <c r="L363">
        <v>0</v>
      </c>
      <c r="M363">
        <v>1.52</v>
      </c>
      <c r="N363">
        <v>2</v>
      </c>
      <c r="O363" t="s">
        <v>17</v>
      </c>
      <c r="P363" cm="1">
        <f t="array" ref="P363">_xlfn.SWITCH(Table2[[#This Row],[mood]], "Tired", 3, "Neutral", 2, "Happy", 1)</f>
        <v>3</v>
      </c>
    </row>
    <row r="364" spans="1:16" x14ac:dyDescent="0.3">
      <c r="A364">
        <v>1143</v>
      </c>
      <c r="B364" s="1">
        <v>42367</v>
      </c>
      <c r="C364">
        <v>44</v>
      </c>
      <c r="D364" t="s">
        <v>20</v>
      </c>
      <c r="E364">
        <v>168.4</v>
      </c>
      <c r="F364">
        <v>64.599999999999994</v>
      </c>
      <c r="G364">
        <v>9796</v>
      </c>
      <c r="H364">
        <v>551.70000000000005</v>
      </c>
      <c r="I364">
        <v>6.3</v>
      </c>
      <c r="J364">
        <v>67</v>
      </c>
      <c r="K364" t="s">
        <v>24</v>
      </c>
      <c r="L364">
        <v>64</v>
      </c>
      <c r="M364">
        <v>2.14</v>
      </c>
      <c r="N364">
        <v>4</v>
      </c>
      <c r="O364" t="s">
        <v>19</v>
      </c>
      <c r="P364" cm="1">
        <f t="array" ref="P364">_xlfn.SWITCH(Table2[[#This Row],[mood]], "Tired", 3, "Neutral", 2, "Happy", 1)</f>
        <v>2</v>
      </c>
    </row>
    <row r="365" spans="1:16" x14ac:dyDescent="0.3">
      <c r="A365">
        <v>1345</v>
      </c>
      <c r="B365" s="1">
        <v>42368</v>
      </c>
      <c r="C365">
        <v>56</v>
      </c>
      <c r="D365" t="s">
        <v>15</v>
      </c>
      <c r="E365">
        <v>164.6</v>
      </c>
      <c r="F365">
        <v>89.1</v>
      </c>
      <c r="G365">
        <v>17351</v>
      </c>
      <c r="H365">
        <v>900</v>
      </c>
      <c r="I365">
        <v>7.2</v>
      </c>
      <c r="J365">
        <v>82</v>
      </c>
      <c r="K365" t="s">
        <v>24</v>
      </c>
      <c r="L365">
        <v>87</v>
      </c>
      <c r="M365">
        <v>2.81</v>
      </c>
      <c r="N365">
        <v>8</v>
      </c>
      <c r="O365" t="s">
        <v>21</v>
      </c>
      <c r="P365" cm="1">
        <f t="array" ref="P365">_xlfn.SWITCH(Table2[[#This Row],[mood]], "Tired", 3, "Neutral", 2, "Happy", 1)</f>
        <v>1</v>
      </c>
    </row>
    <row r="366" spans="1:16" x14ac:dyDescent="0.3">
      <c r="A366">
        <v>1623</v>
      </c>
      <c r="B366" s="1">
        <v>42369</v>
      </c>
      <c r="C366">
        <v>26</v>
      </c>
      <c r="D366" t="s">
        <v>15</v>
      </c>
      <c r="E366">
        <v>198.9</v>
      </c>
      <c r="F366">
        <v>61.3</v>
      </c>
      <c r="G366">
        <v>18352</v>
      </c>
      <c r="H366">
        <v>900</v>
      </c>
      <c r="I366">
        <v>6.4</v>
      </c>
      <c r="J366">
        <v>72</v>
      </c>
      <c r="K366" t="s">
        <v>16</v>
      </c>
      <c r="L366">
        <v>0</v>
      </c>
      <c r="M366">
        <v>2.2400000000000002</v>
      </c>
      <c r="N366">
        <v>3</v>
      </c>
      <c r="O366" t="s">
        <v>19</v>
      </c>
      <c r="P366" cm="1">
        <f t="array" ref="P366">_xlfn.SWITCH(Table2[[#This Row],[mood]], "Tired", 3, "Neutral", 2, "Happy", 1)</f>
        <v>2</v>
      </c>
    </row>
    <row r="367" spans="1:16" x14ac:dyDescent="0.3">
      <c r="A367">
        <v>1571</v>
      </c>
      <c r="B367" s="1">
        <v>42370</v>
      </c>
      <c r="C367">
        <v>38</v>
      </c>
      <c r="D367" t="s">
        <v>20</v>
      </c>
      <c r="E367">
        <v>172.8</v>
      </c>
      <c r="F367">
        <v>92.3</v>
      </c>
      <c r="G367">
        <v>17820</v>
      </c>
      <c r="H367">
        <v>893.3</v>
      </c>
      <c r="I367">
        <v>7.4</v>
      </c>
      <c r="J367">
        <v>86</v>
      </c>
      <c r="K367" t="s">
        <v>22</v>
      </c>
      <c r="L367">
        <v>65</v>
      </c>
      <c r="M367">
        <v>2.36</v>
      </c>
      <c r="N367">
        <v>6</v>
      </c>
      <c r="O367" t="s">
        <v>21</v>
      </c>
      <c r="P367" cm="1">
        <f t="array" ref="P367">_xlfn.SWITCH(Table2[[#This Row],[mood]], "Tired", 3, "Neutral", 2, "Happy", 1)</f>
        <v>1</v>
      </c>
    </row>
    <row r="368" spans="1:16" x14ac:dyDescent="0.3">
      <c r="A368">
        <v>1880</v>
      </c>
      <c r="B368" s="1">
        <v>42371</v>
      </c>
      <c r="C368">
        <v>29</v>
      </c>
      <c r="D368" t="s">
        <v>15</v>
      </c>
      <c r="E368">
        <v>161.6</v>
      </c>
      <c r="F368">
        <v>86.7</v>
      </c>
      <c r="G368">
        <v>11966</v>
      </c>
      <c r="H368">
        <v>762.3</v>
      </c>
      <c r="I368">
        <v>8.9</v>
      </c>
      <c r="J368">
        <v>77</v>
      </c>
      <c r="K368" t="s">
        <v>16</v>
      </c>
      <c r="L368">
        <v>0</v>
      </c>
      <c r="M368">
        <v>2.2200000000000002</v>
      </c>
      <c r="N368">
        <v>10</v>
      </c>
      <c r="O368" t="s">
        <v>17</v>
      </c>
      <c r="P368" cm="1">
        <f t="array" ref="P368">_xlfn.SWITCH(Table2[[#This Row],[mood]], "Tired", 3, "Neutral", 2, "Happy", 1)</f>
        <v>3</v>
      </c>
    </row>
    <row r="369" spans="1:16" x14ac:dyDescent="0.3">
      <c r="A369">
        <v>1001</v>
      </c>
      <c r="B369" s="1">
        <v>42372</v>
      </c>
      <c r="C369">
        <v>46</v>
      </c>
      <c r="D369" t="s">
        <v>20</v>
      </c>
      <c r="E369">
        <v>183.2</v>
      </c>
      <c r="F369">
        <v>81.3</v>
      </c>
      <c r="G369">
        <v>14967</v>
      </c>
      <c r="H369">
        <v>832.3</v>
      </c>
      <c r="I369">
        <v>6.5</v>
      </c>
      <c r="J369">
        <v>60</v>
      </c>
      <c r="K369" t="s">
        <v>16</v>
      </c>
      <c r="L369">
        <v>0</v>
      </c>
      <c r="M369">
        <v>2.09</v>
      </c>
      <c r="N369">
        <v>1</v>
      </c>
      <c r="O369" t="s">
        <v>17</v>
      </c>
      <c r="P369" cm="1">
        <f t="array" ref="P369">_xlfn.SWITCH(Table2[[#This Row],[mood]], "Tired", 3, "Neutral", 2, "Happy", 1)</f>
        <v>3</v>
      </c>
    </row>
    <row r="370" spans="1:16" x14ac:dyDescent="0.3">
      <c r="A370">
        <v>1896</v>
      </c>
      <c r="B370" s="1">
        <v>42373</v>
      </c>
      <c r="C370">
        <v>50</v>
      </c>
      <c r="D370" t="s">
        <v>20</v>
      </c>
      <c r="E370">
        <v>183.6</v>
      </c>
      <c r="F370">
        <v>52.4</v>
      </c>
      <c r="G370">
        <v>2809</v>
      </c>
      <c r="H370">
        <v>334.1</v>
      </c>
      <c r="I370">
        <v>6.2</v>
      </c>
      <c r="J370">
        <v>73</v>
      </c>
      <c r="K370" t="s">
        <v>22</v>
      </c>
      <c r="L370">
        <v>86</v>
      </c>
      <c r="M370">
        <v>2.08</v>
      </c>
      <c r="N370">
        <v>4</v>
      </c>
      <c r="O370" t="s">
        <v>19</v>
      </c>
      <c r="P370" cm="1">
        <f t="array" ref="P370">_xlfn.SWITCH(Table2[[#This Row],[mood]], "Tired", 3, "Neutral", 2, "Happy", 1)</f>
        <v>2</v>
      </c>
    </row>
    <row r="371" spans="1:16" x14ac:dyDescent="0.3">
      <c r="A371">
        <v>1303</v>
      </c>
      <c r="B371" s="1">
        <v>42374</v>
      </c>
      <c r="C371">
        <v>32</v>
      </c>
      <c r="D371" t="s">
        <v>20</v>
      </c>
      <c r="E371">
        <v>187.9</v>
      </c>
      <c r="F371">
        <v>65.3</v>
      </c>
      <c r="G371">
        <v>7546</v>
      </c>
      <c r="H371">
        <v>562.79999999999995</v>
      </c>
      <c r="I371">
        <v>6.8</v>
      </c>
      <c r="J371">
        <v>67</v>
      </c>
      <c r="K371" t="s">
        <v>23</v>
      </c>
      <c r="L371">
        <v>23</v>
      </c>
      <c r="M371">
        <v>2.06</v>
      </c>
      <c r="N371">
        <v>5</v>
      </c>
      <c r="O371" t="s">
        <v>19</v>
      </c>
      <c r="P371" cm="1">
        <f t="array" ref="P371">_xlfn.SWITCH(Table2[[#This Row],[mood]], "Tired", 3, "Neutral", 2, "Happy", 1)</f>
        <v>2</v>
      </c>
    </row>
    <row r="372" spans="1:16" x14ac:dyDescent="0.3">
      <c r="A372">
        <v>1253</v>
      </c>
      <c r="B372" s="1">
        <v>42375</v>
      </c>
      <c r="C372">
        <v>19</v>
      </c>
      <c r="D372" t="s">
        <v>15</v>
      </c>
      <c r="E372">
        <v>190.9</v>
      </c>
      <c r="F372">
        <v>79.7</v>
      </c>
      <c r="G372">
        <v>9107</v>
      </c>
      <c r="H372">
        <v>580.79999999999995</v>
      </c>
      <c r="I372">
        <v>5.2</v>
      </c>
      <c r="J372">
        <v>67</v>
      </c>
      <c r="K372" t="s">
        <v>22</v>
      </c>
      <c r="L372">
        <v>44</v>
      </c>
      <c r="M372">
        <v>1.97</v>
      </c>
      <c r="N372">
        <v>5</v>
      </c>
      <c r="O372" t="s">
        <v>19</v>
      </c>
      <c r="P372" cm="1">
        <f t="array" ref="P372">_xlfn.SWITCH(Table2[[#This Row],[mood]], "Tired", 3, "Neutral", 2, "Happy", 1)</f>
        <v>2</v>
      </c>
    </row>
    <row r="373" spans="1:16" x14ac:dyDescent="0.3">
      <c r="A373">
        <v>1651</v>
      </c>
      <c r="B373" s="1">
        <v>42376</v>
      </c>
      <c r="C373">
        <v>56</v>
      </c>
      <c r="D373" t="s">
        <v>20</v>
      </c>
      <c r="E373">
        <v>177.1</v>
      </c>
      <c r="F373">
        <v>55.2</v>
      </c>
      <c r="G373">
        <v>6505</v>
      </c>
      <c r="H373">
        <v>425</v>
      </c>
      <c r="I373">
        <v>8</v>
      </c>
      <c r="J373">
        <v>72</v>
      </c>
      <c r="K373" t="s">
        <v>18</v>
      </c>
      <c r="L373">
        <v>40</v>
      </c>
      <c r="M373">
        <v>1.79</v>
      </c>
      <c r="N373">
        <v>1</v>
      </c>
      <c r="O373" t="s">
        <v>19</v>
      </c>
      <c r="P373" cm="1">
        <f t="array" ref="P373">_xlfn.SWITCH(Table2[[#This Row],[mood]], "Tired", 3, "Neutral", 2, "Happy", 1)</f>
        <v>2</v>
      </c>
    </row>
    <row r="374" spans="1:16" x14ac:dyDescent="0.3">
      <c r="A374">
        <v>1452</v>
      </c>
      <c r="B374" s="1">
        <v>42377</v>
      </c>
      <c r="C374">
        <v>35</v>
      </c>
      <c r="D374" t="s">
        <v>15</v>
      </c>
      <c r="E374">
        <v>166.5</v>
      </c>
      <c r="F374">
        <v>67.099999999999994</v>
      </c>
      <c r="G374">
        <v>6257</v>
      </c>
      <c r="H374">
        <v>430.8</v>
      </c>
      <c r="I374">
        <v>7.2</v>
      </c>
      <c r="J374">
        <v>78</v>
      </c>
      <c r="K374" t="s">
        <v>24</v>
      </c>
      <c r="L374">
        <v>33</v>
      </c>
      <c r="M374">
        <v>2.23</v>
      </c>
      <c r="N374">
        <v>9</v>
      </c>
      <c r="O374" t="s">
        <v>17</v>
      </c>
      <c r="P374" cm="1">
        <f t="array" ref="P374">_xlfn.SWITCH(Table2[[#This Row],[mood]], "Tired", 3, "Neutral", 2, "Happy", 1)</f>
        <v>3</v>
      </c>
    </row>
    <row r="375" spans="1:16" x14ac:dyDescent="0.3">
      <c r="A375">
        <v>1036</v>
      </c>
      <c r="B375" s="1">
        <v>42378</v>
      </c>
      <c r="C375">
        <v>20</v>
      </c>
      <c r="D375" t="s">
        <v>20</v>
      </c>
      <c r="E375">
        <v>168</v>
      </c>
      <c r="F375">
        <v>81.3</v>
      </c>
      <c r="G375">
        <v>16051</v>
      </c>
      <c r="H375">
        <v>878.6</v>
      </c>
      <c r="I375">
        <v>6.9</v>
      </c>
      <c r="J375">
        <v>84</v>
      </c>
      <c r="K375" t="s">
        <v>16</v>
      </c>
      <c r="L375">
        <v>0</v>
      </c>
      <c r="M375">
        <v>2.0499999999999998</v>
      </c>
      <c r="N375">
        <v>5</v>
      </c>
      <c r="O375" t="s">
        <v>17</v>
      </c>
      <c r="P375" cm="1">
        <f t="array" ref="P375">_xlfn.SWITCH(Table2[[#This Row],[mood]], "Tired", 3, "Neutral", 2, "Happy", 1)</f>
        <v>3</v>
      </c>
    </row>
    <row r="376" spans="1:16" x14ac:dyDescent="0.3">
      <c r="A376">
        <v>1159</v>
      </c>
      <c r="B376" s="1">
        <v>42379</v>
      </c>
      <c r="C376">
        <v>24</v>
      </c>
      <c r="D376" t="s">
        <v>15</v>
      </c>
      <c r="E376">
        <v>167.1</v>
      </c>
      <c r="F376">
        <v>61.5</v>
      </c>
      <c r="G376">
        <v>5909</v>
      </c>
      <c r="H376">
        <v>467.6</v>
      </c>
      <c r="I376">
        <v>7.5</v>
      </c>
      <c r="J376">
        <v>70</v>
      </c>
      <c r="K376" t="s">
        <v>25</v>
      </c>
      <c r="L376">
        <v>67</v>
      </c>
      <c r="M376">
        <v>1.75</v>
      </c>
      <c r="N376">
        <v>9</v>
      </c>
      <c r="O376" t="s">
        <v>17</v>
      </c>
      <c r="P376" cm="1">
        <f t="array" ref="P376">_xlfn.SWITCH(Table2[[#This Row],[mood]], "Tired", 3, "Neutral", 2, "Happy", 1)</f>
        <v>3</v>
      </c>
    </row>
    <row r="377" spans="1:16" x14ac:dyDescent="0.3">
      <c r="A377">
        <v>1008</v>
      </c>
      <c r="B377" s="1">
        <v>42380</v>
      </c>
      <c r="C377">
        <v>35</v>
      </c>
      <c r="D377" t="s">
        <v>15</v>
      </c>
      <c r="E377">
        <v>166</v>
      </c>
      <c r="F377">
        <v>57.3</v>
      </c>
      <c r="G377">
        <v>15866</v>
      </c>
      <c r="H377">
        <v>857</v>
      </c>
      <c r="I377">
        <v>4.8</v>
      </c>
      <c r="J377">
        <v>87</v>
      </c>
      <c r="K377" t="s">
        <v>24</v>
      </c>
      <c r="L377">
        <v>70</v>
      </c>
      <c r="M377">
        <v>3.04</v>
      </c>
      <c r="N377">
        <v>7</v>
      </c>
      <c r="O377" t="s">
        <v>19</v>
      </c>
      <c r="P377" cm="1">
        <f t="array" ref="P377">_xlfn.SWITCH(Table2[[#This Row],[mood]], "Tired", 3, "Neutral", 2, "Happy", 1)</f>
        <v>2</v>
      </c>
    </row>
    <row r="378" spans="1:16" x14ac:dyDescent="0.3">
      <c r="A378">
        <v>1232</v>
      </c>
      <c r="B378" s="1">
        <v>42381</v>
      </c>
      <c r="C378">
        <v>55</v>
      </c>
      <c r="D378" t="s">
        <v>15</v>
      </c>
      <c r="E378">
        <v>182.4</v>
      </c>
      <c r="F378">
        <v>45</v>
      </c>
      <c r="G378">
        <v>11021</v>
      </c>
      <c r="H378">
        <v>584</v>
      </c>
      <c r="I378">
        <v>9.1</v>
      </c>
      <c r="J378">
        <v>58</v>
      </c>
      <c r="K378" t="s">
        <v>16</v>
      </c>
      <c r="L378">
        <v>0</v>
      </c>
      <c r="M378">
        <v>3.36</v>
      </c>
      <c r="N378">
        <v>5</v>
      </c>
      <c r="O378" t="s">
        <v>17</v>
      </c>
      <c r="P378" cm="1">
        <f t="array" ref="P378">_xlfn.SWITCH(Table2[[#This Row],[mood]], "Tired", 3, "Neutral", 2, "Happy", 1)</f>
        <v>3</v>
      </c>
    </row>
    <row r="379" spans="1:16" x14ac:dyDescent="0.3">
      <c r="A379">
        <v>1098</v>
      </c>
      <c r="B379" s="1">
        <v>42382</v>
      </c>
      <c r="C379">
        <v>54</v>
      </c>
      <c r="D379" t="s">
        <v>20</v>
      </c>
      <c r="E379">
        <v>170</v>
      </c>
      <c r="F379">
        <v>64.2</v>
      </c>
      <c r="G379">
        <v>16358</v>
      </c>
      <c r="H379">
        <v>895</v>
      </c>
      <c r="I379">
        <v>6.2</v>
      </c>
      <c r="J379">
        <v>67</v>
      </c>
      <c r="K379" t="s">
        <v>23</v>
      </c>
      <c r="L379">
        <v>78</v>
      </c>
      <c r="M379">
        <v>2.5</v>
      </c>
      <c r="N379">
        <v>9</v>
      </c>
      <c r="O379" t="s">
        <v>17</v>
      </c>
      <c r="P379" cm="1">
        <f t="array" ref="P379">_xlfn.SWITCH(Table2[[#This Row],[mood]], "Tired", 3, "Neutral", 2, "Happy", 1)</f>
        <v>3</v>
      </c>
    </row>
    <row r="380" spans="1:16" x14ac:dyDescent="0.3">
      <c r="A380">
        <v>1658</v>
      </c>
      <c r="B380" s="1">
        <v>42383</v>
      </c>
      <c r="C380">
        <v>50</v>
      </c>
      <c r="D380" t="s">
        <v>20</v>
      </c>
      <c r="E380">
        <v>179.7</v>
      </c>
      <c r="F380">
        <v>81.599999999999994</v>
      </c>
      <c r="G380">
        <v>1461</v>
      </c>
      <c r="H380">
        <v>255.2</v>
      </c>
      <c r="I380">
        <v>6.4</v>
      </c>
      <c r="J380">
        <v>95</v>
      </c>
      <c r="K380" t="s">
        <v>16</v>
      </c>
      <c r="L380">
        <v>0</v>
      </c>
      <c r="M380">
        <v>2.5499999999999998</v>
      </c>
      <c r="N380">
        <v>5</v>
      </c>
      <c r="O380" t="s">
        <v>21</v>
      </c>
      <c r="P380" cm="1">
        <f t="array" ref="P380">_xlfn.SWITCH(Table2[[#This Row],[mood]], "Tired", 3, "Neutral", 2, "Happy", 1)</f>
        <v>1</v>
      </c>
    </row>
    <row r="381" spans="1:16" x14ac:dyDescent="0.3">
      <c r="A381">
        <v>1815</v>
      </c>
      <c r="B381" s="1">
        <v>42384</v>
      </c>
      <c r="C381">
        <v>48</v>
      </c>
      <c r="D381" t="s">
        <v>15</v>
      </c>
      <c r="E381">
        <v>176.8</v>
      </c>
      <c r="F381">
        <v>56.9</v>
      </c>
      <c r="G381">
        <v>16732</v>
      </c>
      <c r="H381">
        <v>899.3</v>
      </c>
      <c r="I381">
        <v>8.3000000000000007</v>
      </c>
      <c r="J381">
        <v>64</v>
      </c>
      <c r="K381" t="s">
        <v>22</v>
      </c>
      <c r="L381">
        <v>26</v>
      </c>
      <c r="M381">
        <v>2.02</v>
      </c>
      <c r="N381">
        <v>10</v>
      </c>
      <c r="O381" t="s">
        <v>21</v>
      </c>
      <c r="P381" cm="1">
        <f t="array" ref="P381">_xlfn.SWITCH(Table2[[#This Row],[mood]], "Tired", 3, "Neutral", 2, "Happy", 1)</f>
        <v>1</v>
      </c>
    </row>
    <row r="382" spans="1:16" x14ac:dyDescent="0.3">
      <c r="A382">
        <v>1207</v>
      </c>
      <c r="B382" s="1">
        <v>42385</v>
      </c>
      <c r="C382">
        <v>28</v>
      </c>
      <c r="D382" t="s">
        <v>15</v>
      </c>
      <c r="E382">
        <v>159</v>
      </c>
      <c r="F382">
        <v>70.3</v>
      </c>
      <c r="G382">
        <v>4233</v>
      </c>
      <c r="H382">
        <v>327.8</v>
      </c>
      <c r="I382">
        <v>7.9</v>
      </c>
      <c r="J382">
        <v>88</v>
      </c>
      <c r="K382" t="s">
        <v>24</v>
      </c>
      <c r="L382">
        <v>88</v>
      </c>
      <c r="M382">
        <v>3.25</v>
      </c>
      <c r="N382">
        <v>9</v>
      </c>
      <c r="O382" t="s">
        <v>21</v>
      </c>
      <c r="P382" cm="1">
        <f t="array" ref="P382">_xlfn.SWITCH(Table2[[#This Row],[mood]], "Tired", 3, "Neutral", 2, "Happy", 1)</f>
        <v>1</v>
      </c>
    </row>
    <row r="383" spans="1:16" x14ac:dyDescent="0.3">
      <c r="A383">
        <v>1130</v>
      </c>
      <c r="B383" s="1">
        <v>42386</v>
      </c>
      <c r="C383">
        <v>21</v>
      </c>
      <c r="D383" t="s">
        <v>15</v>
      </c>
      <c r="E383">
        <v>152.80000000000001</v>
      </c>
      <c r="F383">
        <v>66.599999999999994</v>
      </c>
      <c r="G383">
        <v>13128</v>
      </c>
      <c r="H383">
        <v>823.4</v>
      </c>
      <c r="I383">
        <v>10</v>
      </c>
      <c r="J383">
        <v>75</v>
      </c>
      <c r="K383" t="s">
        <v>22</v>
      </c>
      <c r="L383">
        <v>77</v>
      </c>
      <c r="M383">
        <v>3.72</v>
      </c>
      <c r="N383">
        <v>5</v>
      </c>
      <c r="O383" t="s">
        <v>19</v>
      </c>
      <c r="P383" cm="1">
        <f t="array" ref="P383">_xlfn.SWITCH(Table2[[#This Row],[mood]], "Tired", 3, "Neutral", 2, "Happy", 1)</f>
        <v>2</v>
      </c>
    </row>
    <row r="384" spans="1:16" x14ac:dyDescent="0.3">
      <c r="A384">
        <v>1403</v>
      </c>
      <c r="B384" s="1">
        <v>42387</v>
      </c>
      <c r="C384">
        <v>35</v>
      </c>
      <c r="D384" t="s">
        <v>20</v>
      </c>
      <c r="E384">
        <v>157.6</v>
      </c>
      <c r="F384">
        <v>60</v>
      </c>
      <c r="G384">
        <v>6202</v>
      </c>
      <c r="H384">
        <v>460.5</v>
      </c>
      <c r="I384">
        <v>5.6</v>
      </c>
      <c r="J384">
        <v>74</v>
      </c>
      <c r="K384" t="s">
        <v>16</v>
      </c>
      <c r="L384">
        <v>0</v>
      </c>
      <c r="M384">
        <v>2.39</v>
      </c>
      <c r="N384">
        <v>1</v>
      </c>
      <c r="O384" t="s">
        <v>19</v>
      </c>
      <c r="P384" cm="1">
        <f t="array" ref="P384">_xlfn.SWITCH(Table2[[#This Row],[mood]], "Tired", 3, "Neutral", 2, "Happy", 1)</f>
        <v>2</v>
      </c>
    </row>
    <row r="385" spans="1:16" x14ac:dyDescent="0.3">
      <c r="A385">
        <v>1151</v>
      </c>
      <c r="B385" s="1">
        <v>42388</v>
      </c>
      <c r="C385">
        <v>21</v>
      </c>
      <c r="D385" t="s">
        <v>20</v>
      </c>
      <c r="E385">
        <v>165.7</v>
      </c>
      <c r="F385">
        <v>82.6</v>
      </c>
      <c r="G385">
        <v>3939</v>
      </c>
      <c r="H385">
        <v>336.7</v>
      </c>
      <c r="I385">
        <v>5.6</v>
      </c>
      <c r="J385">
        <v>84</v>
      </c>
      <c r="K385" t="s">
        <v>23</v>
      </c>
      <c r="L385">
        <v>44</v>
      </c>
      <c r="M385">
        <v>2.13</v>
      </c>
      <c r="N385">
        <v>7</v>
      </c>
      <c r="O385" t="s">
        <v>17</v>
      </c>
      <c r="P385" cm="1">
        <f t="array" ref="P385">_xlfn.SWITCH(Table2[[#This Row],[mood]], "Tired", 3, "Neutral", 2, "Happy", 1)</f>
        <v>3</v>
      </c>
    </row>
    <row r="386" spans="1:16" x14ac:dyDescent="0.3">
      <c r="A386">
        <v>1053</v>
      </c>
      <c r="B386" s="1">
        <v>42389</v>
      </c>
      <c r="C386">
        <v>51</v>
      </c>
      <c r="D386" t="s">
        <v>20</v>
      </c>
      <c r="E386">
        <v>171.3</v>
      </c>
      <c r="F386">
        <v>94.6</v>
      </c>
      <c r="G386">
        <v>16197</v>
      </c>
      <c r="H386">
        <v>880.2</v>
      </c>
      <c r="I386">
        <v>5.2</v>
      </c>
      <c r="J386">
        <v>83</v>
      </c>
      <c r="K386" t="s">
        <v>22</v>
      </c>
      <c r="L386">
        <v>61</v>
      </c>
      <c r="M386">
        <v>2.74</v>
      </c>
      <c r="N386">
        <v>5</v>
      </c>
      <c r="O386" t="s">
        <v>17</v>
      </c>
      <c r="P386" cm="1">
        <f t="array" ref="P386">_xlfn.SWITCH(Table2[[#This Row],[mood]], "Tired", 3, "Neutral", 2, "Happy", 1)</f>
        <v>3</v>
      </c>
    </row>
    <row r="387" spans="1:16" x14ac:dyDescent="0.3">
      <c r="A387">
        <v>1119</v>
      </c>
      <c r="B387" s="1">
        <v>42390</v>
      </c>
      <c r="C387">
        <v>46</v>
      </c>
      <c r="D387" t="s">
        <v>20</v>
      </c>
      <c r="E387">
        <v>163.5</v>
      </c>
      <c r="F387">
        <v>85.1</v>
      </c>
      <c r="G387">
        <v>14722</v>
      </c>
      <c r="H387">
        <v>831.8</v>
      </c>
      <c r="I387">
        <v>7.2</v>
      </c>
      <c r="J387">
        <v>88</v>
      </c>
      <c r="K387" t="s">
        <v>25</v>
      </c>
      <c r="L387">
        <v>63</v>
      </c>
      <c r="M387">
        <v>2.59</v>
      </c>
      <c r="N387">
        <v>5</v>
      </c>
      <c r="O387" t="s">
        <v>19</v>
      </c>
      <c r="P387" cm="1">
        <f t="array" ref="P387">_xlfn.SWITCH(Table2[[#This Row],[mood]], "Tired", 3, "Neutral", 2, "Happy", 1)</f>
        <v>2</v>
      </c>
    </row>
    <row r="388" spans="1:16" x14ac:dyDescent="0.3">
      <c r="A388">
        <v>1672</v>
      </c>
      <c r="B388" s="1">
        <v>42391</v>
      </c>
      <c r="C388">
        <v>41</v>
      </c>
      <c r="D388" t="s">
        <v>15</v>
      </c>
      <c r="E388">
        <v>177</v>
      </c>
      <c r="F388">
        <v>59.6</v>
      </c>
      <c r="G388">
        <v>13998</v>
      </c>
      <c r="H388">
        <v>791.6</v>
      </c>
      <c r="I388">
        <v>6.6</v>
      </c>
      <c r="J388">
        <v>73</v>
      </c>
      <c r="K388" t="s">
        <v>16</v>
      </c>
      <c r="L388">
        <v>0</v>
      </c>
      <c r="M388">
        <v>2.15</v>
      </c>
      <c r="N388">
        <v>6</v>
      </c>
      <c r="O388" t="s">
        <v>21</v>
      </c>
      <c r="P388" cm="1">
        <f t="array" ref="P388">_xlfn.SWITCH(Table2[[#This Row],[mood]], "Tired", 3, "Neutral", 2, "Happy", 1)</f>
        <v>1</v>
      </c>
    </row>
    <row r="389" spans="1:16" x14ac:dyDescent="0.3">
      <c r="A389">
        <v>1919</v>
      </c>
      <c r="B389" s="1">
        <v>42392</v>
      </c>
      <c r="C389">
        <v>39</v>
      </c>
      <c r="D389" t="s">
        <v>15</v>
      </c>
      <c r="E389">
        <v>164.7</v>
      </c>
      <c r="F389">
        <v>99.9</v>
      </c>
      <c r="G389">
        <v>17472</v>
      </c>
      <c r="H389">
        <v>849.1</v>
      </c>
      <c r="I389">
        <v>6</v>
      </c>
      <c r="J389">
        <v>76</v>
      </c>
      <c r="K389" t="s">
        <v>23</v>
      </c>
      <c r="L389">
        <v>47</v>
      </c>
      <c r="M389">
        <v>2.83</v>
      </c>
      <c r="N389">
        <v>6</v>
      </c>
      <c r="O389" t="s">
        <v>17</v>
      </c>
      <c r="P389" cm="1">
        <f t="array" ref="P389">_xlfn.SWITCH(Table2[[#This Row],[mood]], "Tired", 3, "Neutral", 2, "Happy", 1)</f>
        <v>3</v>
      </c>
    </row>
    <row r="390" spans="1:16" x14ac:dyDescent="0.3">
      <c r="A390">
        <v>1627</v>
      </c>
      <c r="B390" s="1">
        <v>42393</v>
      </c>
      <c r="C390">
        <v>19</v>
      </c>
      <c r="D390" t="s">
        <v>20</v>
      </c>
      <c r="E390">
        <v>172.6</v>
      </c>
      <c r="F390">
        <v>85</v>
      </c>
      <c r="G390">
        <v>19047</v>
      </c>
      <c r="H390">
        <v>900</v>
      </c>
      <c r="I390">
        <v>6.9</v>
      </c>
      <c r="J390">
        <v>72</v>
      </c>
      <c r="K390" t="s">
        <v>24</v>
      </c>
      <c r="L390">
        <v>79</v>
      </c>
      <c r="M390">
        <v>3.16</v>
      </c>
      <c r="N390">
        <v>7</v>
      </c>
      <c r="O390" t="s">
        <v>21</v>
      </c>
      <c r="P390" cm="1">
        <f t="array" ref="P390">_xlfn.SWITCH(Table2[[#This Row],[mood]], "Tired", 3, "Neutral", 2, "Happy", 1)</f>
        <v>1</v>
      </c>
    </row>
    <row r="391" spans="1:16" x14ac:dyDescent="0.3">
      <c r="A391">
        <v>1586</v>
      </c>
      <c r="B391" s="1">
        <v>42394</v>
      </c>
      <c r="C391">
        <v>23</v>
      </c>
      <c r="D391" t="s">
        <v>20</v>
      </c>
      <c r="E391">
        <v>171.2</v>
      </c>
      <c r="F391">
        <v>63.1</v>
      </c>
      <c r="G391">
        <v>4301</v>
      </c>
      <c r="H391">
        <v>354.8</v>
      </c>
      <c r="I391">
        <v>5.5</v>
      </c>
      <c r="J391">
        <v>64</v>
      </c>
      <c r="K391" t="s">
        <v>24</v>
      </c>
      <c r="L391">
        <v>40</v>
      </c>
      <c r="M391">
        <v>1.95</v>
      </c>
      <c r="N391">
        <v>8</v>
      </c>
      <c r="O391" t="s">
        <v>17</v>
      </c>
      <c r="P391" cm="1">
        <f t="array" ref="P391">_xlfn.SWITCH(Table2[[#This Row],[mood]], "Tired", 3, "Neutral", 2, "Happy", 1)</f>
        <v>3</v>
      </c>
    </row>
    <row r="392" spans="1:16" x14ac:dyDescent="0.3">
      <c r="A392">
        <v>1624</v>
      </c>
      <c r="B392" s="1">
        <v>42395</v>
      </c>
      <c r="C392">
        <v>59</v>
      </c>
      <c r="D392" t="s">
        <v>15</v>
      </c>
      <c r="E392">
        <v>187.3</v>
      </c>
      <c r="F392">
        <v>58.4</v>
      </c>
      <c r="G392">
        <v>16640</v>
      </c>
      <c r="H392">
        <v>864.8</v>
      </c>
      <c r="I392">
        <v>9.3000000000000007</v>
      </c>
      <c r="J392">
        <v>77</v>
      </c>
      <c r="K392" t="s">
        <v>25</v>
      </c>
      <c r="L392">
        <v>68</v>
      </c>
      <c r="M392">
        <v>4.28</v>
      </c>
      <c r="N392">
        <v>1</v>
      </c>
      <c r="O392" t="s">
        <v>21</v>
      </c>
      <c r="P392" cm="1">
        <f t="array" ref="P392">_xlfn.SWITCH(Table2[[#This Row],[mood]], "Tired", 3, "Neutral", 2, "Happy", 1)</f>
        <v>1</v>
      </c>
    </row>
    <row r="393" spans="1:16" x14ac:dyDescent="0.3">
      <c r="A393">
        <v>1967</v>
      </c>
      <c r="B393" s="1">
        <v>42396</v>
      </c>
      <c r="C393">
        <v>42</v>
      </c>
      <c r="D393" t="s">
        <v>20</v>
      </c>
      <c r="E393">
        <v>160.19999999999999</v>
      </c>
      <c r="F393">
        <v>86.8</v>
      </c>
      <c r="G393">
        <v>17805</v>
      </c>
      <c r="H393">
        <v>801.8</v>
      </c>
      <c r="I393">
        <v>6</v>
      </c>
      <c r="J393">
        <v>73</v>
      </c>
      <c r="K393" t="s">
        <v>18</v>
      </c>
      <c r="L393">
        <v>75</v>
      </c>
      <c r="M393">
        <v>1.43</v>
      </c>
      <c r="N393">
        <v>10</v>
      </c>
      <c r="O393" t="s">
        <v>17</v>
      </c>
      <c r="P393" cm="1">
        <f t="array" ref="P393">_xlfn.SWITCH(Table2[[#This Row],[mood]], "Tired", 3, "Neutral", 2, "Happy", 1)</f>
        <v>3</v>
      </c>
    </row>
    <row r="394" spans="1:16" x14ac:dyDescent="0.3">
      <c r="A394">
        <v>1419</v>
      </c>
      <c r="B394" s="1">
        <v>42397</v>
      </c>
      <c r="C394">
        <v>38</v>
      </c>
      <c r="D394" t="s">
        <v>20</v>
      </c>
      <c r="E394">
        <v>192.1</v>
      </c>
      <c r="F394">
        <v>72.599999999999994</v>
      </c>
      <c r="G394">
        <v>17131</v>
      </c>
      <c r="H394">
        <v>862</v>
      </c>
      <c r="I394">
        <v>6.1</v>
      </c>
      <c r="J394">
        <v>56</v>
      </c>
      <c r="K394" t="s">
        <v>22</v>
      </c>
      <c r="L394">
        <v>76</v>
      </c>
      <c r="M394">
        <v>1.9</v>
      </c>
      <c r="N394">
        <v>3</v>
      </c>
      <c r="O394" t="s">
        <v>21</v>
      </c>
      <c r="P394" cm="1">
        <f t="array" ref="P394">_xlfn.SWITCH(Table2[[#This Row],[mood]], "Tired", 3, "Neutral", 2, "Happy", 1)</f>
        <v>1</v>
      </c>
    </row>
    <row r="395" spans="1:16" x14ac:dyDescent="0.3">
      <c r="A395">
        <v>1421</v>
      </c>
      <c r="B395" s="1">
        <v>42398</v>
      </c>
      <c r="C395">
        <v>33</v>
      </c>
      <c r="D395" t="s">
        <v>20</v>
      </c>
      <c r="E395">
        <v>164.1</v>
      </c>
      <c r="F395">
        <v>57.2</v>
      </c>
      <c r="G395">
        <v>5433</v>
      </c>
      <c r="H395">
        <v>393.8</v>
      </c>
      <c r="I395">
        <v>3.4</v>
      </c>
      <c r="J395">
        <v>86</v>
      </c>
      <c r="K395" t="s">
        <v>16</v>
      </c>
      <c r="L395">
        <v>0</v>
      </c>
      <c r="M395">
        <v>2.66</v>
      </c>
      <c r="N395">
        <v>6</v>
      </c>
      <c r="O395" t="s">
        <v>21</v>
      </c>
      <c r="P395" cm="1">
        <f t="array" ref="P395">_xlfn.SWITCH(Table2[[#This Row],[mood]], "Tired", 3, "Neutral", 2, "Happy", 1)</f>
        <v>1</v>
      </c>
    </row>
    <row r="396" spans="1:16" x14ac:dyDescent="0.3">
      <c r="A396">
        <v>1103</v>
      </c>
      <c r="B396" s="1">
        <v>42399</v>
      </c>
      <c r="C396">
        <v>48</v>
      </c>
      <c r="D396" t="s">
        <v>20</v>
      </c>
      <c r="E396">
        <v>156.6</v>
      </c>
      <c r="F396">
        <v>67.8</v>
      </c>
      <c r="G396">
        <v>1265</v>
      </c>
      <c r="H396">
        <v>273.10000000000002</v>
      </c>
      <c r="I396">
        <v>4.5</v>
      </c>
      <c r="J396">
        <v>76</v>
      </c>
      <c r="K396" t="s">
        <v>24</v>
      </c>
      <c r="L396">
        <v>57</v>
      </c>
      <c r="M396">
        <v>4.07</v>
      </c>
      <c r="N396">
        <v>1</v>
      </c>
      <c r="O396" t="s">
        <v>19</v>
      </c>
      <c r="P396" cm="1">
        <f t="array" ref="P396">_xlfn.SWITCH(Table2[[#This Row],[mood]], "Tired", 3, "Neutral", 2, "Happy", 1)</f>
        <v>2</v>
      </c>
    </row>
    <row r="397" spans="1:16" x14ac:dyDescent="0.3">
      <c r="A397">
        <v>1851</v>
      </c>
      <c r="B397" s="1">
        <v>42400</v>
      </c>
      <c r="C397">
        <v>31</v>
      </c>
      <c r="D397" t="s">
        <v>20</v>
      </c>
      <c r="E397">
        <v>167.8</v>
      </c>
      <c r="F397">
        <v>63.9</v>
      </c>
      <c r="G397">
        <v>3850</v>
      </c>
      <c r="H397">
        <v>327.8</v>
      </c>
      <c r="I397">
        <v>6.1</v>
      </c>
      <c r="J397">
        <v>68</v>
      </c>
      <c r="K397" t="s">
        <v>16</v>
      </c>
      <c r="L397">
        <v>0</v>
      </c>
      <c r="M397">
        <v>2.11</v>
      </c>
      <c r="N397">
        <v>5</v>
      </c>
      <c r="O397" t="s">
        <v>17</v>
      </c>
      <c r="P397" cm="1">
        <f t="array" ref="P397">_xlfn.SWITCH(Table2[[#This Row],[mood]], "Tired", 3, "Neutral", 2, "Happy", 1)</f>
        <v>3</v>
      </c>
    </row>
    <row r="398" spans="1:16" x14ac:dyDescent="0.3">
      <c r="A398">
        <v>1253</v>
      </c>
      <c r="B398" s="1">
        <v>42401</v>
      </c>
      <c r="C398">
        <v>56</v>
      </c>
      <c r="D398" t="s">
        <v>20</v>
      </c>
      <c r="E398">
        <v>200</v>
      </c>
      <c r="F398">
        <v>57.6</v>
      </c>
      <c r="G398">
        <v>2378</v>
      </c>
      <c r="H398">
        <v>214</v>
      </c>
      <c r="I398">
        <v>6.5</v>
      </c>
      <c r="J398">
        <v>78</v>
      </c>
      <c r="K398" t="s">
        <v>25</v>
      </c>
      <c r="L398">
        <v>22</v>
      </c>
      <c r="M398">
        <v>1.75</v>
      </c>
      <c r="N398">
        <v>5</v>
      </c>
      <c r="O398" t="s">
        <v>21</v>
      </c>
      <c r="P398" cm="1">
        <f t="array" ref="P398">_xlfn.SWITCH(Table2[[#This Row],[mood]], "Tired", 3, "Neutral", 2, "Happy", 1)</f>
        <v>1</v>
      </c>
    </row>
    <row r="399" spans="1:16" x14ac:dyDescent="0.3">
      <c r="A399">
        <v>1226</v>
      </c>
      <c r="B399" s="1">
        <v>42402</v>
      </c>
      <c r="C399">
        <v>45</v>
      </c>
      <c r="D399" t="s">
        <v>15</v>
      </c>
      <c r="E399">
        <v>179</v>
      </c>
      <c r="F399">
        <v>85.2</v>
      </c>
      <c r="G399">
        <v>7503</v>
      </c>
      <c r="H399">
        <v>512.29999999999995</v>
      </c>
      <c r="I399">
        <v>8.1</v>
      </c>
      <c r="J399">
        <v>70</v>
      </c>
      <c r="K399" t="s">
        <v>22</v>
      </c>
      <c r="L399">
        <v>62</v>
      </c>
      <c r="M399">
        <v>2.88</v>
      </c>
      <c r="N399">
        <v>10</v>
      </c>
      <c r="O399" t="s">
        <v>19</v>
      </c>
      <c r="P399" cm="1">
        <f t="array" ref="P399">_xlfn.SWITCH(Table2[[#This Row],[mood]], "Tired", 3, "Neutral", 2, "Happy", 1)</f>
        <v>2</v>
      </c>
    </row>
    <row r="400" spans="1:16" x14ac:dyDescent="0.3">
      <c r="A400">
        <v>1111</v>
      </c>
      <c r="B400" s="1">
        <v>42403</v>
      </c>
      <c r="C400">
        <v>49</v>
      </c>
      <c r="D400" t="s">
        <v>20</v>
      </c>
      <c r="E400">
        <v>176</v>
      </c>
      <c r="F400">
        <v>81.7</v>
      </c>
      <c r="G400">
        <v>8157</v>
      </c>
      <c r="H400">
        <v>513.79999999999995</v>
      </c>
      <c r="I400">
        <v>4.8</v>
      </c>
      <c r="J400">
        <v>77</v>
      </c>
      <c r="K400" t="s">
        <v>23</v>
      </c>
      <c r="L400">
        <v>54</v>
      </c>
      <c r="M400">
        <v>2.33</v>
      </c>
      <c r="N400">
        <v>9</v>
      </c>
      <c r="O400" t="s">
        <v>17</v>
      </c>
      <c r="P400" cm="1">
        <f t="array" ref="P400">_xlfn.SWITCH(Table2[[#This Row],[mood]], "Tired", 3, "Neutral", 2, "Happy", 1)</f>
        <v>3</v>
      </c>
    </row>
    <row r="401" spans="1:16" x14ac:dyDescent="0.3">
      <c r="A401">
        <v>1509</v>
      </c>
      <c r="B401" s="1">
        <v>42404</v>
      </c>
      <c r="C401">
        <v>45</v>
      </c>
      <c r="D401" t="s">
        <v>20</v>
      </c>
      <c r="E401">
        <v>178</v>
      </c>
      <c r="F401">
        <v>82.6</v>
      </c>
      <c r="G401">
        <v>11006</v>
      </c>
      <c r="H401">
        <v>603.79999999999995</v>
      </c>
      <c r="I401">
        <v>7.7</v>
      </c>
      <c r="J401">
        <v>89</v>
      </c>
      <c r="K401" t="s">
        <v>16</v>
      </c>
      <c r="L401">
        <v>0</v>
      </c>
      <c r="M401">
        <v>2.97</v>
      </c>
      <c r="N401">
        <v>2</v>
      </c>
      <c r="O401" t="s">
        <v>19</v>
      </c>
      <c r="P401" cm="1">
        <f t="array" ref="P401">_xlfn.SWITCH(Table2[[#This Row],[mood]], "Tired", 3, "Neutral", 2, "Happy", 1)</f>
        <v>2</v>
      </c>
    </row>
    <row r="402" spans="1:16" x14ac:dyDescent="0.3">
      <c r="A402">
        <v>1472</v>
      </c>
      <c r="B402" s="1">
        <v>42405</v>
      </c>
      <c r="C402">
        <v>26</v>
      </c>
      <c r="D402" t="s">
        <v>15</v>
      </c>
      <c r="E402">
        <v>162.30000000000001</v>
      </c>
      <c r="F402">
        <v>82.4</v>
      </c>
      <c r="G402">
        <v>1849</v>
      </c>
      <c r="H402">
        <v>278.3</v>
      </c>
      <c r="I402">
        <v>7.9</v>
      </c>
      <c r="J402">
        <v>79</v>
      </c>
      <c r="K402" t="s">
        <v>25</v>
      </c>
      <c r="L402">
        <v>77</v>
      </c>
      <c r="M402">
        <v>2.4500000000000002</v>
      </c>
      <c r="N402">
        <v>7</v>
      </c>
      <c r="O402" t="s">
        <v>21</v>
      </c>
      <c r="P402" cm="1">
        <f t="array" ref="P402">_xlfn.SWITCH(Table2[[#This Row],[mood]], "Tired", 3, "Neutral", 2, "Happy", 1)</f>
        <v>1</v>
      </c>
    </row>
    <row r="403" spans="1:16" x14ac:dyDescent="0.3">
      <c r="A403">
        <v>1098</v>
      </c>
      <c r="B403" s="1">
        <v>42406</v>
      </c>
      <c r="C403">
        <v>39</v>
      </c>
      <c r="D403" t="s">
        <v>15</v>
      </c>
      <c r="E403">
        <v>173.3</v>
      </c>
      <c r="F403">
        <v>56.3</v>
      </c>
      <c r="G403">
        <v>5814</v>
      </c>
      <c r="H403">
        <v>343.6</v>
      </c>
      <c r="I403">
        <v>8</v>
      </c>
      <c r="J403">
        <v>70</v>
      </c>
      <c r="K403" t="s">
        <v>23</v>
      </c>
      <c r="L403">
        <v>53</v>
      </c>
      <c r="M403">
        <v>1.9</v>
      </c>
      <c r="N403">
        <v>9</v>
      </c>
      <c r="O403" t="s">
        <v>17</v>
      </c>
      <c r="P403" cm="1">
        <f t="array" ref="P403">_xlfn.SWITCH(Table2[[#This Row],[mood]], "Tired", 3, "Neutral", 2, "Happy", 1)</f>
        <v>3</v>
      </c>
    </row>
    <row r="404" spans="1:16" x14ac:dyDescent="0.3">
      <c r="A404">
        <v>1152</v>
      </c>
      <c r="B404" s="1">
        <v>42407</v>
      </c>
      <c r="C404">
        <v>49</v>
      </c>
      <c r="D404" t="s">
        <v>15</v>
      </c>
      <c r="E404">
        <v>170</v>
      </c>
      <c r="F404">
        <v>60.9</v>
      </c>
      <c r="G404">
        <v>11000</v>
      </c>
      <c r="H404">
        <v>671</v>
      </c>
      <c r="I404">
        <v>8.6</v>
      </c>
      <c r="J404">
        <v>65</v>
      </c>
      <c r="K404" t="s">
        <v>23</v>
      </c>
      <c r="L404">
        <v>44</v>
      </c>
      <c r="M404">
        <v>4.1399999999999997</v>
      </c>
      <c r="N404">
        <v>8</v>
      </c>
      <c r="O404" t="s">
        <v>21</v>
      </c>
      <c r="P404" cm="1">
        <f t="array" ref="P404">_xlfn.SWITCH(Table2[[#This Row],[mood]], "Tired", 3, "Neutral", 2, "Happy", 1)</f>
        <v>1</v>
      </c>
    </row>
    <row r="405" spans="1:16" x14ac:dyDescent="0.3">
      <c r="A405">
        <v>1860</v>
      </c>
      <c r="B405" s="1">
        <v>42408</v>
      </c>
      <c r="C405">
        <v>22</v>
      </c>
      <c r="D405" t="s">
        <v>20</v>
      </c>
      <c r="E405">
        <v>188.1</v>
      </c>
      <c r="F405">
        <v>91.9</v>
      </c>
      <c r="G405">
        <v>16288</v>
      </c>
      <c r="H405">
        <v>842.4</v>
      </c>
      <c r="I405">
        <v>5.3</v>
      </c>
      <c r="J405">
        <v>68</v>
      </c>
      <c r="K405" t="s">
        <v>23</v>
      </c>
      <c r="L405">
        <v>75</v>
      </c>
      <c r="M405">
        <v>0.5</v>
      </c>
      <c r="N405">
        <v>1</v>
      </c>
      <c r="O405" t="s">
        <v>21</v>
      </c>
      <c r="P405" cm="1">
        <f t="array" ref="P405">_xlfn.SWITCH(Table2[[#This Row],[mood]], "Tired", 3, "Neutral", 2, "Happy", 1)</f>
        <v>1</v>
      </c>
    </row>
    <row r="406" spans="1:16" x14ac:dyDescent="0.3">
      <c r="A406">
        <v>1913</v>
      </c>
      <c r="B406" s="1">
        <v>42409</v>
      </c>
      <c r="C406">
        <v>40</v>
      </c>
      <c r="D406" t="s">
        <v>15</v>
      </c>
      <c r="E406">
        <v>168.9</v>
      </c>
      <c r="F406">
        <v>71.599999999999994</v>
      </c>
      <c r="G406">
        <v>4274</v>
      </c>
      <c r="H406">
        <v>357.6</v>
      </c>
      <c r="I406">
        <v>7.8</v>
      </c>
      <c r="J406">
        <v>83</v>
      </c>
      <c r="K406" t="s">
        <v>22</v>
      </c>
      <c r="L406">
        <v>51</v>
      </c>
      <c r="M406">
        <v>3.77</v>
      </c>
      <c r="N406">
        <v>1</v>
      </c>
      <c r="O406" t="s">
        <v>19</v>
      </c>
      <c r="P406" cm="1">
        <f t="array" ref="P406">_xlfn.SWITCH(Table2[[#This Row],[mood]], "Tired", 3, "Neutral", 2, "Happy", 1)</f>
        <v>2</v>
      </c>
    </row>
    <row r="407" spans="1:16" x14ac:dyDescent="0.3">
      <c r="A407">
        <v>1895</v>
      </c>
      <c r="B407" s="1">
        <v>42410</v>
      </c>
      <c r="C407">
        <v>22</v>
      </c>
      <c r="D407" t="s">
        <v>20</v>
      </c>
      <c r="E407">
        <v>166.2</v>
      </c>
      <c r="F407">
        <v>47.9</v>
      </c>
      <c r="G407">
        <v>18100</v>
      </c>
      <c r="H407">
        <v>900</v>
      </c>
      <c r="I407">
        <v>9.6</v>
      </c>
      <c r="J407">
        <v>74</v>
      </c>
      <c r="K407" t="s">
        <v>18</v>
      </c>
      <c r="L407">
        <v>41</v>
      </c>
      <c r="M407">
        <v>3.15</v>
      </c>
      <c r="N407">
        <v>2</v>
      </c>
      <c r="O407" t="s">
        <v>21</v>
      </c>
      <c r="P407" cm="1">
        <f t="array" ref="P407">_xlfn.SWITCH(Table2[[#This Row],[mood]], "Tired", 3, "Neutral", 2, "Happy", 1)</f>
        <v>1</v>
      </c>
    </row>
    <row r="408" spans="1:16" x14ac:dyDescent="0.3">
      <c r="A408">
        <v>1877</v>
      </c>
      <c r="B408" s="1">
        <v>42411</v>
      </c>
      <c r="C408">
        <v>59</v>
      </c>
      <c r="D408" t="s">
        <v>20</v>
      </c>
      <c r="E408">
        <v>158.4</v>
      </c>
      <c r="F408">
        <v>73.3</v>
      </c>
      <c r="G408">
        <v>15227</v>
      </c>
      <c r="H408">
        <v>782.3</v>
      </c>
      <c r="I408">
        <v>9.1</v>
      </c>
      <c r="J408">
        <v>81</v>
      </c>
      <c r="K408" t="s">
        <v>16</v>
      </c>
      <c r="L408">
        <v>0</v>
      </c>
      <c r="M408">
        <v>1.98</v>
      </c>
      <c r="N408">
        <v>1</v>
      </c>
      <c r="O408" t="s">
        <v>17</v>
      </c>
      <c r="P408" cm="1">
        <f t="array" ref="P408">_xlfn.SWITCH(Table2[[#This Row],[mood]], "Tired", 3, "Neutral", 2, "Happy", 1)</f>
        <v>3</v>
      </c>
    </row>
    <row r="409" spans="1:16" x14ac:dyDescent="0.3">
      <c r="A409">
        <v>1337</v>
      </c>
      <c r="B409" s="1">
        <v>42412</v>
      </c>
      <c r="C409">
        <v>49</v>
      </c>
      <c r="D409" t="s">
        <v>20</v>
      </c>
      <c r="E409">
        <v>171.4</v>
      </c>
      <c r="F409">
        <v>79.8</v>
      </c>
      <c r="G409">
        <v>18279</v>
      </c>
      <c r="H409">
        <v>900</v>
      </c>
      <c r="I409">
        <v>9.8000000000000007</v>
      </c>
      <c r="J409">
        <v>72</v>
      </c>
      <c r="K409" t="s">
        <v>23</v>
      </c>
      <c r="L409">
        <v>40</v>
      </c>
      <c r="M409">
        <v>3.81</v>
      </c>
      <c r="N409">
        <v>8</v>
      </c>
      <c r="O409" t="s">
        <v>19</v>
      </c>
      <c r="P409" cm="1">
        <f t="array" ref="P409">_xlfn.SWITCH(Table2[[#This Row],[mood]], "Tired", 3, "Neutral", 2, "Happy", 1)</f>
        <v>2</v>
      </c>
    </row>
    <row r="410" spans="1:16" x14ac:dyDescent="0.3">
      <c r="A410">
        <v>1705</v>
      </c>
      <c r="B410" s="1">
        <v>42413</v>
      </c>
      <c r="C410">
        <v>27</v>
      </c>
      <c r="D410" t="s">
        <v>15</v>
      </c>
      <c r="E410">
        <v>172.9</v>
      </c>
      <c r="F410">
        <v>77.900000000000006</v>
      </c>
      <c r="G410">
        <v>10368</v>
      </c>
      <c r="H410">
        <v>608.20000000000005</v>
      </c>
      <c r="I410">
        <v>7.4</v>
      </c>
      <c r="J410">
        <v>66</v>
      </c>
      <c r="K410" t="s">
        <v>24</v>
      </c>
      <c r="L410">
        <v>40</v>
      </c>
      <c r="M410">
        <v>1.54</v>
      </c>
      <c r="N410">
        <v>7</v>
      </c>
      <c r="O410" t="s">
        <v>21</v>
      </c>
      <c r="P410" cm="1">
        <f t="array" ref="P410">_xlfn.SWITCH(Table2[[#This Row],[mood]], "Tired", 3, "Neutral", 2, "Happy", 1)</f>
        <v>1</v>
      </c>
    </row>
    <row r="411" spans="1:16" x14ac:dyDescent="0.3">
      <c r="A411">
        <v>1821</v>
      </c>
      <c r="B411" s="1">
        <v>42414</v>
      </c>
      <c r="C411">
        <v>56</v>
      </c>
      <c r="D411" t="s">
        <v>15</v>
      </c>
      <c r="E411">
        <v>158</v>
      </c>
      <c r="F411">
        <v>55.9</v>
      </c>
      <c r="G411">
        <v>12945</v>
      </c>
      <c r="H411">
        <v>878.6</v>
      </c>
      <c r="I411">
        <v>6.1</v>
      </c>
      <c r="J411">
        <v>81</v>
      </c>
      <c r="K411" t="s">
        <v>22</v>
      </c>
      <c r="L411">
        <v>47</v>
      </c>
      <c r="M411">
        <v>3.21</v>
      </c>
      <c r="N411">
        <v>6</v>
      </c>
      <c r="O411" t="s">
        <v>21</v>
      </c>
      <c r="P411" cm="1">
        <f t="array" ref="P411">_xlfn.SWITCH(Table2[[#This Row],[mood]], "Tired", 3, "Neutral", 2, "Happy", 1)</f>
        <v>1</v>
      </c>
    </row>
    <row r="412" spans="1:16" x14ac:dyDescent="0.3">
      <c r="A412">
        <v>1162</v>
      </c>
      <c r="B412" s="1">
        <v>42415</v>
      </c>
      <c r="C412">
        <v>32</v>
      </c>
      <c r="D412" t="s">
        <v>15</v>
      </c>
      <c r="E412">
        <v>174.5</v>
      </c>
      <c r="F412">
        <v>98.3</v>
      </c>
      <c r="G412">
        <v>10968</v>
      </c>
      <c r="H412">
        <v>663.1</v>
      </c>
      <c r="I412">
        <v>3.2</v>
      </c>
      <c r="J412">
        <v>67</v>
      </c>
      <c r="K412" t="s">
        <v>22</v>
      </c>
      <c r="L412">
        <v>38</v>
      </c>
      <c r="M412">
        <v>1.04</v>
      </c>
      <c r="N412">
        <v>2</v>
      </c>
      <c r="O412" t="s">
        <v>21</v>
      </c>
      <c r="P412" cm="1">
        <f t="array" ref="P412">_xlfn.SWITCH(Table2[[#This Row],[mood]], "Tired", 3, "Neutral", 2, "Happy", 1)</f>
        <v>1</v>
      </c>
    </row>
    <row r="413" spans="1:16" x14ac:dyDescent="0.3">
      <c r="A413">
        <v>1719</v>
      </c>
      <c r="B413" s="1">
        <v>42416</v>
      </c>
      <c r="C413">
        <v>24</v>
      </c>
      <c r="D413" t="s">
        <v>15</v>
      </c>
      <c r="E413">
        <v>172.3</v>
      </c>
      <c r="F413">
        <v>47.5</v>
      </c>
      <c r="G413">
        <v>10651</v>
      </c>
      <c r="H413">
        <v>569</v>
      </c>
      <c r="I413">
        <v>5.0999999999999996</v>
      </c>
      <c r="J413">
        <v>71</v>
      </c>
      <c r="K413" t="s">
        <v>23</v>
      </c>
      <c r="L413">
        <v>33</v>
      </c>
      <c r="M413">
        <v>1.7</v>
      </c>
      <c r="N413">
        <v>9</v>
      </c>
      <c r="O413" t="s">
        <v>19</v>
      </c>
      <c r="P413" cm="1">
        <f t="array" ref="P413">_xlfn.SWITCH(Table2[[#This Row],[mood]], "Tired", 3, "Neutral", 2, "Happy", 1)</f>
        <v>2</v>
      </c>
    </row>
    <row r="414" spans="1:16" x14ac:dyDescent="0.3">
      <c r="A414">
        <v>1956</v>
      </c>
      <c r="B414" s="1">
        <v>42417</v>
      </c>
      <c r="C414">
        <v>46</v>
      </c>
      <c r="D414" t="s">
        <v>15</v>
      </c>
      <c r="E414">
        <v>180.1</v>
      </c>
      <c r="F414">
        <v>71.7</v>
      </c>
      <c r="G414">
        <v>14903</v>
      </c>
      <c r="H414">
        <v>883.7</v>
      </c>
      <c r="I414">
        <v>6.2</v>
      </c>
      <c r="J414">
        <v>63</v>
      </c>
      <c r="K414" t="s">
        <v>24</v>
      </c>
      <c r="L414">
        <v>43</v>
      </c>
      <c r="M414">
        <v>1.7</v>
      </c>
      <c r="N414">
        <v>1</v>
      </c>
      <c r="O414" t="s">
        <v>17</v>
      </c>
      <c r="P414" cm="1">
        <f t="array" ref="P414">_xlfn.SWITCH(Table2[[#This Row],[mood]], "Tired", 3, "Neutral", 2, "Happy", 1)</f>
        <v>3</v>
      </c>
    </row>
    <row r="415" spans="1:16" x14ac:dyDescent="0.3">
      <c r="A415">
        <v>1680</v>
      </c>
      <c r="B415" s="1">
        <v>42418</v>
      </c>
      <c r="C415">
        <v>20</v>
      </c>
      <c r="D415" t="s">
        <v>20</v>
      </c>
      <c r="E415">
        <v>182.1</v>
      </c>
      <c r="F415">
        <v>96</v>
      </c>
      <c r="G415">
        <v>19927</v>
      </c>
      <c r="H415">
        <v>900</v>
      </c>
      <c r="I415">
        <v>6.5</v>
      </c>
      <c r="J415">
        <v>66</v>
      </c>
      <c r="K415" t="s">
        <v>25</v>
      </c>
      <c r="L415">
        <v>39</v>
      </c>
      <c r="M415">
        <v>1.97</v>
      </c>
      <c r="N415">
        <v>1</v>
      </c>
      <c r="O415" t="s">
        <v>19</v>
      </c>
      <c r="P415" cm="1">
        <f t="array" ref="P415">_xlfn.SWITCH(Table2[[#This Row],[mood]], "Tired", 3, "Neutral", 2, "Happy", 1)</f>
        <v>2</v>
      </c>
    </row>
    <row r="416" spans="1:16" x14ac:dyDescent="0.3">
      <c r="A416">
        <v>1995</v>
      </c>
      <c r="B416" s="1">
        <v>42419</v>
      </c>
      <c r="C416">
        <v>36</v>
      </c>
      <c r="D416" t="s">
        <v>20</v>
      </c>
      <c r="E416">
        <v>170.9</v>
      </c>
      <c r="F416">
        <v>78.900000000000006</v>
      </c>
      <c r="G416">
        <v>8771</v>
      </c>
      <c r="H416">
        <v>553.1</v>
      </c>
      <c r="I416">
        <v>5.8</v>
      </c>
      <c r="J416">
        <v>84</v>
      </c>
      <c r="K416" t="s">
        <v>22</v>
      </c>
      <c r="L416">
        <v>51</v>
      </c>
      <c r="M416">
        <v>2.5099999999999998</v>
      </c>
      <c r="N416">
        <v>2</v>
      </c>
      <c r="O416" t="s">
        <v>21</v>
      </c>
      <c r="P416" cm="1">
        <f t="array" ref="P416">_xlfn.SWITCH(Table2[[#This Row],[mood]], "Tired", 3, "Neutral", 2, "Happy", 1)</f>
        <v>1</v>
      </c>
    </row>
    <row r="417" spans="1:16" x14ac:dyDescent="0.3">
      <c r="A417">
        <v>1160</v>
      </c>
      <c r="B417" s="1">
        <v>42420</v>
      </c>
      <c r="C417">
        <v>27</v>
      </c>
      <c r="D417" t="s">
        <v>20</v>
      </c>
      <c r="E417">
        <v>159.6</v>
      </c>
      <c r="F417">
        <v>82.5</v>
      </c>
      <c r="G417">
        <v>14460</v>
      </c>
      <c r="H417">
        <v>756.5</v>
      </c>
      <c r="I417">
        <v>7.5</v>
      </c>
      <c r="J417">
        <v>85</v>
      </c>
      <c r="K417" t="s">
        <v>23</v>
      </c>
      <c r="L417">
        <v>71</v>
      </c>
      <c r="M417">
        <v>1.92</v>
      </c>
      <c r="N417">
        <v>7</v>
      </c>
      <c r="O417" t="s">
        <v>19</v>
      </c>
      <c r="P417" cm="1">
        <f t="array" ref="P417">_xlfn.SWITCH(Table2[[#This Row],[mood]], "Tired", 3, "Neutral", 2, "Happy", 1)</f>
        <v>2</v>
      </c>
    </row>
    <row r="418" spans="1:16" x14ac:dyDescent="0.3">
      <c r="A418">
        <v>1579</v>
      </c>
      <c r="B418" s="1">
        <v>42421</v>
      </c>
      <c r="C418">
        <v>45</v>
      </c>
      <c r="D418" t="s">
        <v>20</v>
      </c>
      <c r="E418">
        <v>161.69999999999999</v>
      </c>
      <c r="F418">
        <v>54.2</v>
      </c>
      <c r="G418">
        <v>5637</v>
      </c>
      <c r="H418">
        <v>359.2</v>
      </c>
      <c r="I418">
        <v>7.3</v>
      </c>
      <c r="J418">
        <v>86</v>
      </c>
      <c r="K418" t="s">
        <v>16</v>
      </c>
      <c r="L418">
        <v>0</v>
      </c>
      <c r="M418">
        <v>1.07</v>
      </c>
      <c r="N418">
        <v>10</v>
      </c>
      <c r="O418" t="s">
        <v>21</v>
      </c>
      <c r="P418" cm="1">
        <f t="array" ref="P418">_xlfn.SWITCH(Table2[[#This Row],[mood]], "Tired", 3, "Neutral", 2, "Happy", 1)</f>
        <v>1</v>
      </c>
    </row>
    <row r="419" spans="1:16" x14ac:dyDescent="0.3">
      <c r="A419">
        <v>1800</v>
      </c>
      <c r="B419" s="1">
        <v>42422</v>
      </c>
      <c r="C419">
        <v>46</v>
      </c>
      <c r="D419" t="s">
        <v>15</v>
      </c>
      <c r="E419">
        <v>187.6</v>
      </c>
      <c r="F419">
        <v>75.2</v>
      </c>
      <c r="G419">
        <v>13922</v>
      </c>
      <c r="H419">
        <v>778.4</v>
      </c>
      <c r="I419">
        <v>7.1</v>
      </c>
      <c r="J419">
        <v>86</v>
      </c>
      <c r="K419" t="s">
        <v>23</v>
      </c>
      <c r="L419">
        <v>71</v>
      </c>
      <c r="M419">
        <v>2.82</v>
      </c>
      <c r="N419">
        <v>1</v>
      </c>
      <c r="O419" t="s">
        <v>19</v>
      </c>
      <c r="P419" cm="1">
        <f t="array" ref="P419">_xlfn.SWITCH(Table2[[#This Row],[mood]], "Tired", 3, "Neutral", 2, "Happy", 1)</f>
        <v>2</v>
      </c>
    </row>
    <row r="420" spans="1:16" x14ac:dyDescent="0.3">
      <c r="A420">
        <v>1397</v>
      </c>
      <c r="B420" s="1">
        <v>42423</v>
      </c>
      <c r="C420">
        <v>32</v>
      </c>
      <c r="D420" t="s">
        <v>15</v>
      </c>
      <c r="E420">
        <v>171.7</v>
      </c>
      <c r="F420">
        <v>69.5</v>
      </c>
      <c r="G420">
        <v>9066</v>
      </c>
      <c r="H420">
        <v>528.9</v>
      </c>
      <c r="I420">
        <v>8.1999999999999993</v>
      </c>
      <c r="J420">
        <v>71</v>
      </c>
      <c r="K420" t="s">
        <v>16</v>
      </c>
      <c r="L420">
        <v>0</v>
      </c>
      <c r="M420">
        <v>2.5299999999999998</v>
      </c>
      <c r="N420">
        <v>3</v>
      </c>
      <c r="O420" t="s">
        <v>21</v>
      </c>
      <c r="P420" cm="1">
        <f t="array" ref="P420">_xlfn.SWITCH(Table2[[#This Row],[mood]], "Tired", 3, "Neutral", 2, "Happy", 1)</f>
        <v>1</v>
      </c>
    </row>
    <row r="421" spans="1:16" x14ac:dyDescent="0.3">
      <c r="A421">
        <v>1276</v>
      </c>
      <c r="B421" s="1">
        <v>42424</v>
      </c>
      <c r="C421">
        <v>52</v>
      </c>
      <c r="D421" t="s">
        <v>20</v>
      </c>
      <c r="E421">
        <v>187.5</v>
      </c>
      <c r="F421">
        <v>53</v>
      </c>
      <c r="G421">
        <v>4553</v>
      </c>
      <c r="H421">
        <v>338.1</v>
      </c>
      <c r="I421">
        <v>6.3</v>
      </c>
      <c r="J421">
        <v>82</v>
      </c>
      <c r="K421" t="s">
        <v>16</v>
      </c>
      <c r="L421">
        <v>0</v>
      </c>
      <c r="M421">
        <v>2.79</v>
      </c>
      <c r="N421">
        <v>10</v>
      </c>
      <c r="O421" t="s">
        <v>19</v>
      </c>
      <c r="P421" cm="1">
        <f t="array" ref="P421">_xlfn.SWITCH(Table2[[#This Row],[mood]], "Tired", 3, "Neutral", 2, "Happy", 1)</f>
        <v>2</v>
      </c>
    </row>
    <row r="422" spans="1:16" x14ac:dyDescent="0.3">
      <c r="A422">
        <v>1815</v>
      </c>
      <c r="B422" s="1">
        <v>42425</v>
      </c>
      <c r="C422">
        <v>23</v>
      </c>
      <c r="D422" t="s">
        <v>15</v>
      </c>
      <c r="E422">
        <v>175</v>
      </c>
      <c r="F422">
        <v>83</v>
      </c>
      <c r="G422">
        <v>2349</v>
      </c>
      <c r="H422">
        <v>332.7</v>
      </c>
      <c r="I422">
        <v>8.6</v>
      </c>
      <c r="J422">
        <v>86</v>
      </c>
      <c r="K422" t="s">
        <v>18</v>
      </c>
      <c r="L422">
        <v>89</v>
      </c>
      <c r="M422">
        <v>2.62</v>
      </c>
      <c r="N422">
        <v>8</v>
      </c>
      <c r="O422" t="s">
        <v>21</v>
      </c>
      <c r="P422" cm="1">
        <f t="array" ref="P422">_xlfn.SWITCH(Table2[[#This Row],[mood]], "Tired", 3, "Neutral", 2, "Happy", 1)</f>
        <v>1</v>
      </c>
    </row>
    <row r="423" spans="1:16" x14ac:dyDescent="0.3">
      <c r="A423">
        <v>1915</v>
      </c>
      <c r="B423" s="1">
        <v>42426</v>
      </c>
      <c r="C423">
        <v>29</v>
      </c>
      <c r="D423" t="s">
        <v>15</v>
      </c>
      <c r="E423">
        <v>177.5</v>
      </c>
      <c r="F423">
        <v>57.7</v>
      </c>
      <c r="G423">
        <v>3986</v>
      </c>
      <c r="H423">
        <v>436.7</v>
      </c>
      <c r="I423">
        <v>5.2</v>
      </c>
      <c r="J423">
        <v>66</v>
      </c>
      <c r="K423" t="s">
        <v>18</v>
      </c>
      <c r="L423">
        <v>34</v>
      </c>
      <c r="M423">
        <v>3.17</v>
      </c>
      <c r="N423">
        <v>7</v>
      </c>
      <c r="O423" t="s">
        <v>21</v>
      </c>
      <c r="P423" cm="1">
        <f t="array" ref="P423">_xlfn.SWITCH(Table2[[#This Row],[mood]], "Tired", 3, "Neutral", 2, "Happy", 1)</f>
        <v>1</v>
      </c>
    </row>
    <row r="424" spans="1:16" x14ac:dyDescent="0.3">
      <c r="A424">
        <v>1503</v>
      </c>
      <c r="B424" s="1">
        <v>42427</v>
      </c>
      <c r="C424">
        <v>55</v>
      </c>
      <c r="D424" t="s">
        <v>20</v>
      </c>
      <c r="E424">
        <v>179.4</v>
      </c>
      <c r="F424">
        <v>59.5</v>
      </c>
      <c r="G424">
        <v>12522</v>
      </c>
      <c r="H424">
        <v>677.1</v>
      </c>
      <c r="I424">
        <v>6.5</v>
      </c>
      <c r="J424">
        <v>77</v>
      </c>
      <c r="K424" t="s">
        <v>25</v>
      </c>
      <c r="L424">
        <v>66</v>
      </c>
      <c r="M424">
        <v>2.4500000000000002</v>
      </c>
      <c r="N424">
        <v>8</v>
      </c>
      <c r="O424" t="s">
        <v>19</v>
      </c>
      <c r="P424" cm="1">
        <f t="array" ref="P424">_xlfn.SWITCH(Table2[[#This Row],[mood]], "Tired", 3, "Neutral", 2, "Happy", 1)</f>
        <v>2</v>
      </c>
    </row>
    <row r="425" spans="1:16" x14ac:dyDescent="0.3">
      <c r="A425">
        <v>1895</v>
      </c>
      <c r="B425" s="1">
        <v>42428</v>
      </c>
      <c r="C425">
        <v>30</v>
      </c>
      <c r="D425" t="s">
        <v>20</v>
      </c>
      <c r="E425">
        <v>157.80000000000001</v>
      </c>
      <c r="F425">
        <v>76.5</v>
      </c>
      <c r="G425">
        <v>3122</v>
      </c>
      <c r="H425">
        <v>365.2</v>
      </c>
      <c r="I425">
        <v>7.5</v>
      </c>
      <c r="J425">
        <v>74</v>
      </c>
      <c r="K425" t="s">
        <v>25</v>
      </c>
      <c r="L425">
        <v>29</v>
      </c>
      <c r="M425">
        <v>3.21</v>
      </c>
      <c r="N425">
        <v>6</v>
      </c>
      <c r="O425" t="s">
        <v>19</v>
      </c>
      <c r="P425" cm="1">
        <f t="array" ref="P425">_xlfn.SWITCH(Table2[[#This Row],[mood]], "Tired", 3, "Neutral", 2, "Happy", 1)</f>
        <v>2</v>
      </c>
    </row>
    <row r="426" spans="1:16" x14ac:dyDescent="0.3">
      <c r="A426">
        <v>1391</v>
      </c>
      <c r="B426" s="1">
        <v>42429</v>
      </c>
      <c r="C426">
        <v>46</v>
      </c>
      <c r="D426" t="s">
        <v>15</v>
      </c>
      <c r="E426">
        <v>173.1</v>
      </c>
      <c r="F426">
        <v>67.900000000000006</v>
      </c>
      <c r="G426">
        <v>14892</v>
      </c>
      <c r="H426">
        <v>806.3</v>
      </c>
      <c r="I426">
        <v>4.0999999999999996</v>
      </c>
      <c r="J426">
        <v>56</v>
      </c>
      <c r="K426" t="s">
        <v>16</v>
      </c>
      <c r="L426">
        <v>0</v>
      </c>
      <c r="M426">
        <v>1.96</v>
      </c>
      <c r="N426">
        <v>8</v>
      </c>
      <c r="O426" t="s">
        <v>21</v>
      </c>
      <c r="P426" cm="1">
        <f t="array" ref="P426">_xlfn.SWITCH(Table2[[#This Row],[mood]], "Tired", 3, "Neutral", 2, "Happy", 1)</f>
        <v>1</v>
      </c>
    </row>
    <row r="427" spans="1:16" x14ac:dyDescent="0.3">
      <c r="A427">
        <v>1134</v>
      </c>
      <c r="B427" s="1">
        <v>42430</v>
      </c>
      <c r="C427">
        <v>36</v>
      </c>
      <c r="D427" t="s">
        <v>15</v>
      </c>
      <c r="E427">
        <v>157.6</v>
      </c>
      <c r="F427">
        <v>72.5</v>
      </c>
      <c r="G427">
        <v>9689</v>
      </c>
      <c r="H427">
        <v>605.5</v>
      </c>
      <c r="I427">
        <v>6.2</v>
      </c>
      <c r="J427">
        <v>78</v>
      </c>
      <c r="K427" t="s">
        <v>25</v>
      </c>
      <c r="L427">
        <v>38</v>
      </c>
      <c r="M427">
        <v>2</v>
      </c>
      <c r="N427">
        <v>5</v>
      </c>
      <c r="O427" t="s">
        <v>17</v>
      </c>
      <c r="P427" cm="1">
        <f t="array" ref="P427">_xlfn.SWITCH(Table2[[#This Row],[mood]], "Tired", 3, "Neutral", 2, "Happy", 1)</f>
        <v>3</v>
      </c>
    </row>
    <row r="428" spans="1:16" x14ac:dyDescent="0.3">
      <c r="A428">
        <v>1194</v>
      </c>
      <c r="B428" s="1">
        <v>42431</v>
      </c>
      <c r="C428">
        <v>20</v>
      </c>
      <c r="D428" t="s">
        <v>20</v>
      </c>
      <c r="E428">
        <v>167.2</v>
      </c>
      <c r="F428">
        <v>66.900000000000006</v>
      </c>
      <c r="G428">
        <v>15062</v>
      </c>
      <c r="H428">
        <v>761.5</v>
      </c>
      <c r="I428">
        <v>8.1</v>
      </c>
      <c r="J428">
        <v>68</v>
      </c>
      <c r="K428" t="s">
        <v>25</v>
      </c>
      <c r="L428">
        <v>87</v>
      </c>
      <c r="M428">
        <v>3.46</v>
      </c>
      <c r="N428">
        <v>9</v>
      </c>
      <c r="O428" t="s">
        <v>21</v>
      </c>
      <c r="P428" cm="1">
        <f t="array" ref="P428">_xlfn.SWITCH(Table2[[#This Row],[mood]], "Tired", 3, "Neutral", 2, "Happy", 1)</f>
        <v>1</v>
      </c>
    </row>
    <row r="429" spans="1:16" x14ac:dyDescent="0.3">
      <c r="A429">
        <v>1400</v>
      </c>
      <c r="B429" s="1">
        <v>42432</v>
      </c>
      <c r="C429">
        <v>25</v>
      </c>
      <c r="D429" t="s">
        <v>20</v>
      </c>
      <c r="E429">
        <v>176.4</v>
      </c>
      <c r="F429">
        <v>91.2</v>
      </c>
      <c r="G429">
        <v>2363</v>
      </c>
      <c r="H429">
        <v>283.89999999999998</v>
      </c>
      <c r="I429">
        <v>6.4</v>
      </c>
      <c r="J429">
        <v>86</v>
      </c>
      <c r="K429" t="s">
        <v>23</v>
      </c>
      <c r="L429">
        <v>41</v>
      </c>
      <c r="M429">
        <v>3.45</v>
      </c>
      <c r="N429">
        <v>10</v>
      </c>
      <c r="O429" t="s">
        <v>21</v>
      </c>
      <c r="P429" cm="1">
        <f t="array" ref="P429">_xlfn.SWITCH(Table2[[#This Row],[mood]], "Tired", 3, "Neutral", 2, "Happy", 1)</f>
        <v>1</v>
      </c>
    </row>
    <row r="430" spans="1:16" x14ac:dyDescent="0.3">
      <c r="A430">
        <v>1639</v>
      </c>
      <c r="B430" s="1">
        <v>42433</v>
      </c>
      <c r="C430">
        <v>25</v>
      </c>
      <c r="D430" t="s">
        <v>20</v>
      </c>
      <c r="E430">
        <v>159.69999999999999</v>
      </c>
      <c r="F430">
        <v>56.1</v>
      </c>
      <c r="G430">
        <v>17691</v>
      </c>
      <c r="H430">
        <v>852.8</v>
      </c>
      <c r="I430">
        <v>4.3</v>
      </c>
      <c r="J430">
        <v>67</v>
      </c>
      <c r="K430" t="s">
        <v>23</v>
      </c>
      <c r="L430">
        <v>82</v>
      </c>
      <c r="M430">
        <v>2.9</v>
      </c>
      <c r="N430">
        <v>1</v>
      </c>
      <c r="O430" t="s">
        <v>17</v>
      </c>
      <c r="P430" cm="1">
        <f t="array" ref="P430">_xlfn.SWITCH(Table2[[#This Row],[mood]], "Tired", 3, "Neutral", 2, "Happy", 1)</f>
        <v>3</v>
      </c>
    </row>
    <row r="431" spans="1:16" x14ac:dyDescent="0.3">
      <c r="A431">
        <v>1032</v>
      </c>
      <c r="B431" s="1">
        <v>42434</v>
      </c>
      <c r="C431">
        <v>37</v>
      </c>
      <c r="D431" t="s">
        <v>15</v>
      </c>
      <c r="E431">
        <v>175.6</v>
      </c>
      <c r="F431">
        <v>63</v>
      </c>
      <c r="G431">
        <v>3751</v>
      </c>
      <c r="H431">
        <v>288.89999999999998</v>
      </c>
      <c r="I431">
        <v>5.7</v>
      </c>
      <c r="J431">
        <v>78</v>
      </c>
      <c r="K431" t="s">
        <v>23</v>
      </c>
      <c r="L431">
        <v>57</v>
      </c>
      <c r="M431">
        <v>1.88</v>
      </c>
      <c r="N431">
        <v>7</v>
      </c>
      <c r="O431" t="s">
        <v>21</v>
      </c>
      <c r="P431" cm="1">
        <f t="array" ref="P431">_xlfn.SWITCH(Table2[[#This Row],[mood]], "Tired", 3, "Neutral", 2, "Happy", 1)</f>
        <v>1</v>
      </c>
    </row>
    <row r="432" spans="1:16" x14ac:dyDescent="0.3">
      <c r="A432">
        <v>1687</v>
      </c>
      <c r="B432" s="1">
        <v>42435</v>
      </c>
      <c r="C432">
        <v>21</v>
      </c>
      <c r="D432" t="s">
        <v>20</v>
      </c>
      <c r="E432">
        <v>155</v>
      </c>
      <c r="F432">
        <v>77.2</v>
      </c>
      <c r="G432">
        <v>8782</v>
      </c>
      <c r="H432">
        <v>577.20000000000005</v>
      </c>
      <c r="I432">
        <v>5</v>
      </c>
      <c r="J432">
        <v>76</v>
      </c>
      <c r="K432" t="s">
        <v>24</v>
      </c>
      <c r="L432">
        <v>34</v>
      </c>
      <c r="M432">
        <v>1.82</v>
      </c>
      <c r="N432">
        <v>6</v>
      </c>
      <c r="O432" t="s">
        <v>19</v>
      </c>
      <c r="P432" cm="1">
        <f t="array" ref="P432">_xlfn.SWITCH(Table2[[#This Row],[mood]], "Tired", 3, "Neutral", 2, "Happy", 1)</f>
        <v>2</v>
      </c>
    </row>
    <row r="433" spans="1:16" x14ac:dyDescent="0.3">
      <c r="A433">
        <v>1459</v>
      </c>
      <c r="B433" s="1">
        <v>42436</v>
      </c>
      <c r="C433">
        <v>38</v>
      </c>
      <c r="D433" t="s">
        <v>20</v>
      </c>
      <c r="E433">
        <v>181.4</v>
      </c>
      <c r="F433">
        <v>55.2</v>
      </c>
      <c r="G433">
        <v>18648</v>
      </c>
      <c r="H433">
        <v>900</v>
      </c>
      <c r="I433">
        <v>7.7</v>
      </c>
      <c r="J433">
        <v>58</v>
      </c>
      <c r="K433" t="s">
        <v>16</v>
      </c>
      <c r="L433">
        <v>0</v>
      </c>
      <c r="M433">
        <v>3.43</v>
      </c>
      <c r="N433">
        <v>8</v>
      </c>
      <c r="O433" t="s">
        <v>19</v>
      </c>
      <c r="P433" cm="1">
        <f t="array" ref="P433">_xlfn.SWITCH(Table2[[#This Row],[mood]], "Tired", 3, "Neutral", 2, "Happy", 1)</f>
        <v>2</v>
      </c>
    </row>
    <row r="434" spans="1:16" x14ac:dyDescent="0.3">
      <c r="A434">
        <v>1954</v>
      </c>
      <c r="B434" s="1">
        <v>42437</v>
      </c>
      <c r="C434">
        <v>20</v>
      </c>
      <c r="D434" t="s">
        <v>15</v>
      </c>
      <c r="E434">
        <v>163.4</v>
      </c>
      <c r="F434">
        <v>54.5</v>
      </c>
      <c r="G434">
        <v>13540</v>
      </c>
      <c r="H434">
        <v>695.8</v>
      </c>
      <c r="I434">
        <v>7.2</v>
      </c>
      <c r="J434">
        <v>72</v>
      </c>
      <c r="K434" t="s">
        <v>25</v>
      </c>
      <c r="L434">
        <v>63</v>
      </c>
      <c r="M434">
        <v>3.39</v>
      </c>
      <c r="N434">
        <v>2</v>
      </c>
      <c r="O434" t="s">
        <v>17</v>
      </c>
      <c r="P434" cm="1">
        <f t="array" ref="P434">_xlfn.SWITCH(Table2[[#This Row],[mood]], "Tired", 3, "Neutral", 2, "Happy", 1)</f>
        <v>3</v>
      </c>
    </row>
    <row r="435" spans="1:16" x14ac:dyDescent="0.3">
      <c r="A435">
        <v>1882</v>
      </c>
      <c r="B435" s="1">
        <v>42438</v>
      </c>
      <c r="C435">
        <v>25</v>
      </c>
      <c r="D435" t="s">
        <v>15</v>
      </c>
      <c r="E435">
        <v>159.69999999999999</v>
      </c>
      <c r="F435">
        <v>72.099999999999994</v>
      </c>
      <c r="G435">
        <v>14223</v>
      </c>
      <c r="H435">
        <v>708.4</v>
      </c>
      <c r="I435">
        <v>4.7</v>
      </c>
      <c r="J435">
        <v>79</v>
      </c>
      <c r="K435" t="s">
        <v>24</v>
      </c>
      <c r="L435">
        <v>49</v>
      </c>
      <c r="M435">
        <v>2.46</v>
      </c>
      <c r="N435">
        <v>1</v>
      </c>
      <c r="O435" t="s">
        <v>21</v>
      </c>
      <c r="P435" cm="1">
        <f t="array" ref="P435">_xlfn.SWITCH(Table2[[#This Row],[mood]], "Tired", 3, "Neutral", 2, "Happy", 1)</f>
        <v>1</v>
      </c>
    </row>
    <row r="436" spans="1:16" x14ac:dyDescent="0.3">
      <c r="A436">
        <v>1469</v>
      </c>
      <c r="B436" s="1">
        <v>42439</v>
      </c>
      <c r="C436">
        <v>40</v>
      </c>
      <c r="D436" t="s">
        <v>15</v>
      </c>
      <c r="E436">
        <v>155.6</v>
      </c>
      <c r="F436">
        <v>83</v>
      </c>
      <c r="G436">
        <v>6339</v>
      </c>
      <c r="H436">
        <v>377.9</v>
      </c>
      <c r="I436">
        <v>4.5</v>
      </c>
      <c r="J436">
        <v>85</v>
      </c>
      <c r="K436" t="s">
        <v>22</v>
      </c>
      <c r="L436">
        <v>43</v>
      </c>
      <c r="M436">
        <v>4.1399999999999997</v>
      </c>
      <c r="N436">
        <v>1</v>
      </c>
      <c r="O436" t="s">
        <v>19</v>
      </c>
      <c r="P436" cm="1">
        <f t="array" ref="P436">_xlfn.SWITCH(Table2[[#This Row],[mood]], "Tired", 3, "Neutral", 2, "Happy", 1)</f>
        <v>2</v>
      </c>
    </row>
    <row r="437" spans="1:16" x14ac:dyDescent="0.3">
      <c r="A437">
        <v>1374</v>
      </c>
      <c r="B437" s="1">
        <v>42440</v>
      </c>
      <c r="C437">
        <v>33</v>
      </c>
      <c r="D437" t="s">
        <v>15</v>
      </c>
      <c r="E437">
        <v>164.2</v>
      </c>
      <c r="F437">
        <v>85</v>
      </c>
      <c r="G437">
        <v>6848</v>
      </c>
      <c r="H437">
        <v>376.1</v>
      </c>
      <c r="I437">
        <v>5.9</v>
      </c>
      <c r="J437">
        <v>75</v>
      </c>
      <c r="K437" t="s">
        <v>16</v>
      </c>
      <c r="L437">
        <v>0</v>
      </c>
      <c r="M437">
        <v>2.82</v>
      </c>
      <c r="N437">
        <v>2</v>
      </c>
      <c r="O437" t="s">
        <v>21</v>
      </c>
      <c r="P437" cm="1">
        <f t="array" ref="P437">_xlfn.SWITCH(Table2[[#This Row],[mood]], "Tired", 3, "Neutral", 2, "Happy", 1)</f>
        <v>1</v>
      </c>
    </row>
    <row r="438" spans="1:16" x14ac:dyDescent="0.3">
      <c r="A438">
        <v>1021</v>
      </c>
      <c r="B438" s="1">
        <v>42441</v>
      </c>
      <c r="C438">
        <v>30</v>
      </c>
      <c r="D438" t="s">
        <v>15</v>
      </c>
      <c r="E438">
        <v>150.9</v>
      </c>
      <c r="F438">
        <v>71.400000000000006</v>
      </c>
      <c r="G438">
        <v>17877</v>
      </c>
      <c r="H438">
        <v>900</v>
      </c>
      <c r="I438">
        <v>7</v>
      </c>
      <c r="J438">
        <v>84</v>
      </c>
      <c r="K438" t="s">
        <v>22</v>
      </c>
      <c r="L438">
        <v>23</v>
      </c>
      <c r="M438">
        <v>1.72</v>
      </c>
      <c r="N438">
        <v>5</v>
      </c>
      <c r="O438" t="s">
        <v>17</v>
      </c>
      <c r="P438" cm="1">
        <f t="array" ref="P438">_xlfn.SWITCH(Table2[[#This Row],[mood]], "Tired", 3, "Neutral", 2, "Happy", 1)</f>
        <v>3</v>
      </c>
    </row>
    <row r="439" spans="1:16" x14ac:dyDescent="0.3">
      <c r="A439">
        <v>1749</v>
      </c>
      <c r="B439" s="1">
        <v>42442</v>
      </c>
      <c r="C439">
        <v>20</v>
      </c>
      <c r="D439" t="s">
        <v>20</v>
      </c>
      <c r="E439">
        <v>164.5</v>
      </c>
      <c r="F439">
        <v>59.9</v>
      </c>
      <c r="G439">
        <v>19405</v>
      </c>
      <c r="H439">
        <v>844.8</v>
      </c>
      <c r="I439">
        <v>6</v>
      </c>
      <c r="J439">
        <v>80</v>
      </c>
      <c r="K439" t="s">
        <v>23</v>
      </c>
      <c r="L439">
        <v>25</v>
      </c>
      <c r="M439">
        <v>2.31</v>
      </c>
      <c r="N439">
        <v>7</v>
      </c>
      <c r="O439" t="s">
        <v>19</v>
      </c>
      <c r="P439" cm="1">
        <f t="array" ref="P439">_xlfn.SWITCH(Table2[[#This Row],[mood]], "Tired", 3, "Neutral", 2, "Happy", 1)</f>
        <v>2</v>
      </c>
    </row>
    <row r="440" spans="1:16" x14ac:dyDescent="0.3">
      <c r="A440">
        <v>1669</v>
      </c>
      <c r="B440" s="1">
        <v>42443</v>
      </c>
      <c r="C440">
        <v>26</v>
      </c>
      <c r="D440" t="s">
        <v>20</v>
      </c>
      <c r="E440">
        <v>181</v>
      </c>
      <c r="F440">
        <v>74.099999999999994</v>
      </c>
      <c r="G440">
        <v>19131</v>
      </c>
      <c r="H440">
        <v>900</v>
      </c>
      <c r="I440">
        <v>7.5</v>
      </c>
      <c r="J440">
        <v>81</v>
      </c>
      <c r="K440" t="s">
        <v>22</v>
      </c>
      <c r="L440">
        <v>57</v>
      </c>
      <c r="M440">
        <v>2.5</v>
      </c>
      <c r="N440">
        <v>9</v>
      </c>
      <c r="O440" t="s">
        <v>17</v>
      </c>
      <c r="P440" cm="1">
        <f t="array" ref="P440">_xlfn.SWITCH(Table2[[#This Row],[mood]], "Tired", 3, "Neutral", 2, "Happy", 1)</f>
        <v>3</v>
      </c>
    </row>
    <row r="441" spans="1:16" x14ac:dyDescent="0.3">
      <c r="A441">
        <v>1037</v>
      </c>
      <c r="B441" s="1">
        <v>42444</v>
      </c>
      <c r="C441">
        <v>31</v>
      </c>
      <c r="D441" t="s">
        <v>15</v>
      </c>
      <c r="E441">
        <v>168.1</v>
      </c>
      <c r="F441">
        <v>78.5</v>
      </c>
      <c r="G441">
        <v>16861</v>
      </c>
      <c r="H441">
        <v>897.7</v>
      </c>
      <c r="I441">
        <v>7.5</v>
      </c>
      <c r="J441">
        <v>81</v>
      </c>
      <c r="K441" t="s">
        <v>23</v>
      </c>
      <c r="L441">
        <v>45</v>
      </c>
      <c r="M441">
        <v>2.56</v>
      </c>
      <c r="N441">
        <v>4</v>
      </c>
      <c r="O441" t="s">
        <v>21</v>
      </c>
      <c r="P441" cm="1">
        <f t="array" ref="P441">_xlfn.SWITCH(Table2[[#This Row],[mood]], "Tired", 3, "Neutral", 2, "Happy", 1)</f>
        <v>1</v>
      </c>
    </row>
    <row r="442" spans="1:16" x14ac:dyDescent="0.3">
      <c r="A442">
        <v>1229</v>
      </c>
      <c r="B442" s="1">
        <v>42445</v>
      </c>
      <c r="C442">
        <v>30</v>
      </c>
      <c r="D442" t="s">
        <v>15</v>
      </c>
      <c r="E442">
        <v>158.19999999999999</v>
      </c>
      <c r="F442">
        <v>73.900000000000006</v>
      </c>
      <c r="G442">
        <v>14465</v>
      </c>
      <c r="H442">
        <v>773.6</v>
      </c>
      <c r="I442">
        <v>7.8</v>
      </c>
      <c r="J442">
        <v>72</v>
      </c>
      <c r="K442" t="s">
        <v>16</v>
      </c>
      <c r="L442">
        <v>0</v>
      </c>
      <c r="M442">
        <v>3.38</v>
      </c>
      <c r="N442">
        <v>9</v>
      </c>
      <c r="O442" t="s">
        <v>21</v>
      </c>
      <c r="P442" cm="1">
        <f t="array" ref="P442">_xlfn.SWITCH(Table2[[#This Row],[mood]], "Tired", 3, "Neutral", 2, "Happy", 1)</f>
        <v>1</v>
      </c>
    </row>
    <row r="443" spans="1:16" x14ac:dyDescent="0.3">
      <c r="A443">
        <v>1364</v>
      </c>
      <c r="B443" s="1">
        <v>42446</v>
      </c>
      <c r="C443">
        <v>24</v>
      </c>
      <c r="D443" t="s">
        <v>15</v>
      </c>
      <c r="E443">
        <v>172.3</v>
      </c>
      <c r="F443">
        <v>88.5</v>
      </c>
      <c r="G443">
        <v>4302</v>
      </c>
      <c r="H443">
        <v>375.8</v>
      </c>
      <c r="I443">
        <v>4.9000000000000004</v>
      </c>
      <c r="J443">
        <v>65</v>
      </c>
      <c r="K443" t="s">
        <v>16</v>
      </c>
      <c r="L443">
        <v>0</v>
      </c>
      <c r="M443">
        <v>1.83</v>
      </c>
      <c r="N443">
        <v>3</v>
      </c>
      <c r="O443" t="s">
        <v>21</v>
      </c>
      <c r="P443" cm="1">
        <f t="array" ref="P443">_xlfn.SWITCH(Table2[[#This Row],[mood]], "Tired", 3, "Neutral", 2, "Happy", 1)</f>
        <v>1</v>
      </c>
    </row>
    <row r="444" spans="1:16" x14ac:dyDescent="0.3">
      <c r="A444">
        <v>1562</v>
      </c>
      <c r="B444" s="1">
        <v>42447</v>
      </c>
      <c r="C444">
        <v>32</v>
      </c>
      <c r="D444" t="s">
        <v>15</v>
      </c>
      <c r="E444">
        <v>171.4</v>
      </c>
      <c r="F444">
        <v>54.8</v>
      </c>
      <c r="G444">
        <v>15437</v>
      </c>
      <c r="H444">
        <v>803.2</v>
      </c>
      <c r="I444">
        <v>6.6</v>
      </c>
      <c r="J444">
        <v>91</v>
      </c>
      <c r="K444" t="s">
        <v>25</v>
      </c>
      <c r="L444">
        <v>87</v>
      </c>
      <c r="M444">
        <v>1.57</v>
      </c>
      <c r="N444">
        <v>6</v>
      </c>
      <c r="O444" t="s">
        <v>17</v>
      </c>
      <c r="P444" cm="1">
        <f t="array" ref="P444">_xlfn.SWITCH(Table2[[#This Row],[mood]], "Tired", 3, "Neutral", 2, "Happy", 1)</f>
        <v>3</v>
      </c>
    </row>
    <row r="445" spans="1:16" x14ac:dyDescent="0.3">
      <c r="A445">
        <v>1437</v>
      </c>
      <c r="B445" s="1">
        <v>42448</v>
      </c>
      <c r="C445">
        <v>24</v>
      </c>
      <c r="D445" t="s">
        <v>15</v>
      </c>
      <c r="E445">
        <v>189.6</v>
      </c>
      <c r="F445">
        <v>59.5</v>
      </c>
      <c r="G445">
        <v>16162</v>
      </c>
      <c r="H445">
        <v>857.7</v>
      </c>
      <c r="I445">
        <v>8.6</v>
      </c>
      <c r="J445">
        <v>83</v>
      </c>
      <c r="K445" t="s">
        <v>24</v>
      </c>
      <c r="L445">
        <v>88</v>
      </c>
      <c r="M445">
        <v>2.92</v>
      </c>
      <c r="N445">
        <v>9</v>
      </c>
      <c r="O445" t="s">
        <v>19</v>
      </c>
      <c r="P445" cm="1">
        <f t="array" ref="P445">_xlfn.SWITCH(Table2[[#This Row],[mood]], "Tired", 3, "Neutral", 2, "Happy", 1)</f>
        <v>2</v>
      </c>
    </row>
    <row r="446" spans="1:16" x14ac:dyDescent="0.3">
      <c r="A446">
        <v>1775</v>
      </c>
      <c r="B446" s="1">
        <v>42449</v>
      </c>
      <c r="C446">
        <v>55</v>
      </c>
      <c r="D446" t="s">
        <v>20</v>
      </c>
      <c r="E446">
        <v>177.9</v>
      </c>
      <c r="F446">
        <v>86.4</v>
      </c>
      <c r="G446">
        <v>15512</v>
      </c>
      <c r="H446">
        <v>831.2</v>
      </c>
      <c r="I446">
        <v>6</v>
      </c>
      <c r="J446">
        <v>74</v>
      </c>
      <c r="K446" t="s">
        <v>23</v>
      </c>
      <c r="L446">
        <v>66</v>
      </c>
      <c r="M446">
        <v>2.15</v>
      </c>
      <c r="N446">
        <v>1</v>
      </c>
      <c r="O446" t="s">
        <v>17</v>
      </c>
      <c r="P446" cm="1">
        <f t="array" ref="P446">_xlfn.SWITCH(Table2[[#This Row],[mood]], "Tired", 3, "Neutral", 2, "Happy", 1)</f>
        <v>3</v>
      </c>
    </row>
    <row r="447" spans="1:16" x14ac:dyDescent="0.3">
      <c r="A447">
        <v>1282</v>
      </c>
      <c r="B447" s="1">
        <v>42450</v>
      </c>
      <c r="C447">
        <v>51</v>
      </c>
      <c r="D447" t="s">
        <v>20</v>
      </c>
      <c r="E447">
        <v>173.1</v>
      </c>
      <c r="F447">
        <v>47.9</v>
      </c>
      <c r="G447">
        <v>6022</v>
      </c>
      <c r="H447">
        <v>506</v>
      </c>
      <c r="I447">
        <v>5.8</v>
      </c>
      <c r="J447">
        <v>81</v>
      </c>
      <c r="K447" t="s">
        <v>18</v>
      </c>
      <c r="L447">
        <v>48</v>
      </c>
      <c r="M447">
        <v>4.2</v>
      </c>
      <c r="N447">
        <v>4</v>
      </c>
      <c r="O447" t="s">
        <v>19</v>
      </c>
      <c r="P447" cm="1">
        <f t="array" ref="P447">_xlfn.SWITCH(Table2[[#This Row],[mood]], "Tired", 3, "Neutral", 2, "Happy", 1)</f>
        <v>2</v>
      </c>
    </row>
    <row r="448" spans="1:16" x14ac:dyDescent="0.3">
      <c r="A448">
        <v>1026</v>
      </c>
      <c r="B448" s="1">
        <v>42451</v>
      </c>
      <c r="C448">
        <v>58</v>
      </c>
      <c r="D448" t="s">
        <v>20</v>
      </c>
      <c r="E448">
        <v>179.1</v>
      </c>
      <c r="F448">
        <v>61.9</v>
      </c>
      <c r="G448">
        <v>11471</v>
      </c>
      <c r="H448">
        <v>735.5</v>
      </c>
      <c r="I448">
        <v>6.3</v>
      </c>
      <c r="J448">
        <v>79</v>
      </c>
      <c r="K448" t="s">
        <v>18</v>
      </c>
      <c r="L448">
        <v>83</v>
      </c>
      <c r="M448">
        <v>3.16</v>
      </c>
      <c r="N448">
        <v>5</v>
      </c>
      <c r="O448" t="s">
        <v>21</v>
      </c>
      <c r="P448" cm="1">
        <f t="array" ref="P448">_xlfn.SWITCH(Table2[[#This Row],[mood]], "Tired", 3, "Neutral", 2, "Happy", 1)</f>
        <v>1</v>
      </c>
    </row>
    <row r="449" spans="1:16" x14ac:dyDescent="0.3">
      <c r="A449">
        <v>1225</v>
      </c>
      <c r="B449" s="1">
        <v>42452</v>
      </c>
      <c r="C449">
        <v>39</v>
      </c>
      <c r="D449" t="s">
        <v>20</v>
      </c>
      <c r="E449">
        <v>168.7</v>
      </c>
      <c r="F449">
        <v>59</v>
      </c>
      <c r="G449">
        <v>7155</v>
      </c>
      <c r="H449">
        <v>561.29999999999995</v>
      </c>
      <c r="I449">
        <v>6.2</v>
      </c>
      <c r="J449">
        <v>66</v>
      </c>
      <c r="K449" t="s">
        <v>25</v>
      </c>
      <c r="L449">
        <v>31</v>
      </c>
      <c r="M449">
        <v>2.13</v>
      </c>
      <c r="N449">
        <v>6</v>
      </c>
      <c r="O449" t="s">
        <v>21</v>
      </c>
      <c r="P449" cm="1">
        <f t="array" ref="P449">_xlfn.SWITCH(Table2[[#This Row],[mood]], "Tired", 3, "Neutral", 2, "Happy", 1)</f>
        <v>1</v>
      </c>
    </row>
    <row r="450" spans="1:16" x14ac:dyDescent="0.3">
      <c r="A450">
        <v>1276</v>
      </c>
      <c r="B450" s="1">
        <v>42453</v>
      </c>
      <c r="C450">
        <v>41</v>
      </c>
      <c r="D450" t="s">
        <v>15</v>
      </c>
      <c r="E450">
        <v>169.2</v>
      </c>
      <c r="F450">
        <v>46.5</v>
      </c>
      <c r="G450">
        <v>6254</v>
      </c>
      <c r="H450">
        <v>410.3</v>
      </c>
      <c r="I450">
        <v>7.2</v>
      </c>
      <c r="J450">
        <v>72</v>
      </c>
      <c r="K450" t="s">
        <v>24</v>
      </c>
      <c r="L450">
        <v>30</v>
      </c>
      <c r="M450">
        <v>3.35</v>
      </c>
      <c r="N450">
        <v>8</v>
      </c>
      <c r="O450" t="s">
        <v>17</v>
      </c>
      <c r="P450" cm="1">
        <f t="array" ref="P450">_xlfn.SWITCH(Table2[[#This Row],[mood]], "Tired", 3, "Neutral", 2, "Happy", 1)</f>
        <v>3</v>
      </c>
    </row>
    <row r="451" spans="1:16" x14ac:dyDescent="0.3">
      <c r="A451">
        <v>1797</v>
      </c>
      <c r="B451" s="1">
        <v>42454</v>
      </c>
      <c r="C451">
        <v>54</v>
      </c>
      <c r="D451" t="s">
        <v>20</v>
      </c>
      <c r="E451">
        <v>186.6</v>
      </c>
      <c r="F451">
        <v>67.2</v>
      </c>
      <c r="G451">
        <v>5354</v>
      </c>
      <c r="H451">
        <v>452</v>
      </c>
      <c r="I451">
        <v>6.1</v>
      </c>
      <c r="J451">
        <v>88</v>
      </c>
      <c r="K451" t="s">
        <v>23</v>
      </c>
      <c r="L451">
        <v>27</v>
      </c>
      <c r="M451">
        <v>3.01</v>
      </c>
      <c r="N451">
        <v>2</v>
      </c>
      <c r="O451" t="s">
        <v>19</v>
      </c>
      <c r="P451" cm="1">
        <f t="array" ref="P451">_xlfn.SWITCH(Table2[[#This Row],[mood]], "Tired", 3, "Neutral", 2, "Happy", 1)</f>
        <v>2</v>
      </c>
    </row>
    <row r="452" spans="1:16" x14ac:dyDescent="0.3">
      <c r="A452">
        <v>1608</v>
      </c>
      <c r="B452" s="1">
        <v>42455</v>
      </c>
      <c r="C452">
        <v>18</v>
      </c>
      <c r="D452" t="s">
        <v>15</v>
      </c>
      <c r="E452">
        <v>153.6</v>
      </c>
      <c r="F452">
        <v>81.2</v>
      </c>
      <c r="G452">
        <v>3516</v>
      </c>
      <c r="H452">
        <v>365.9</v>
      </c>
      <c r="I452">
        <v>4</v>
      </c>
      <c r="J452">
        <v>75</v>
      </c>
      <c r="K452" t="s">
        <v>25</v>
      </c>
      <c r="L452">
        <v>79</v>
      </c>
      <c r="M452">
        <v>2.94</v>
      </c>
      <c r="N452">
        <v>6</v>
      </c>
      <c r="O452" t="s">
        <v>21</v>
      </c>
      <c r="P452" cm="1">
        <f t="array" ref="P452">_xlfn.SWITCH(Table2[[#This Row],[mood]], "Tired", 3, "Neutral", 2, "Happy", 1)</f>
        <v>1</v>
      </c>
    </row>
    <row r="453" spans="1:16" x14ac:dyDescent="0.3">
      <c r="A453">
        <v>1283</v>
      </c>
      <c r="B453" s="1">
        <v>42456</v>
      </c>
      <c r="C453">
        <v>27</v>
      </c>
      <c r="D453" t="s">
        <v>15</v>
      </c>
      <c r="E453">
        <v>179.7</v>
      </c>
      <c r="F453">
        <v>72.3</v>
      </c>
      <c r="G453">
        <v>16872</v>
      </c>
      <c r="H453">
        <v>842.4</v>
      </c>
      <c r="I453">
        <v>8.8000000000000007</v>
      </c>
      <c r="J453">
        <v>79</v>
      </c>
      <c r="K453" t="s">
        <v>24</v>
      </c>
      <c r="L453">
        <v>45</v>
      </c>
      <c r="M453">
        <v>2.41</v>
      </c>
      <c r="N453">
        <v>7</v>
      </c>
      <c r="O453" t="s">
        <v>21</v>
      </c>
      <c r="P453" cm="1">
        <f t="array" ref="P453">_xlfn.SWITCH(Table2[[#This Row],[mood]], "Tired", 3, "Neutral", 2, "Happy", 1)</f>
        <v>1</v>
      </c>
    </row>
    <row r="454" spans="1:16" x14ac:dyDescent="0.3">
      <c r="A454">
        <v>1878</v>
      </c>
      <c r="B454" s="1">
        <v>42457</v>
      </c>
      <c r="C454">
        <v>33</v>
      </c>
      <c r="D454" t="s">
        <v>15</v>
      </c>
      <c r="E454">
        <v>168.9</v>
      </c>
      <c r="F454">
        <v>82</v>
      </c>
      <c r="G454">
        <v>11156</v>
      </c>
      <c r="H454">
        <v>601.9</v>
      </c>
      <c r="I454">
        <v>7.8</v>
      </c>
      <c r="J454">
        <v>88</v>
      </c>
      <c r="K454" t="s">
        <v>18</v>
      </c>
      <c r="L454">
        <v>51</v>
      </c>
      <c r="M454">
        <v>2.79</v>
      </c>
      <c r="N454">
        <v>6</v>
      </c>
      <c r="O454" t="s">
        <v>17</v>
      </c>
      <c r="P454" cm="1">
        <f t="array" ref="P454">_xlfn.SWITCH(Table2[[#This Row],[mood]], "Tired", 3, "Neutral", 2, "Happy", 1)</f>
        <v>3</v>
      </c>
    </row>
    <row r="455" spans="1:16" x14ac:dyDescent="0.3">
      <c r="A455">
        <v>1959</v>
      </c>
      <c r="B455" s="1">
        <v>42458</v>
      </c>
      <c r="C455">
        <v>25</v>
      </c>
      <c r="D455" t="s">
        <v>20</v>
      </c>
      <c r="E455">
        <v>167.1</v>
      </c>
      <c r="F455">
        <v>87.9</v>
      </c>
      <c r="G455">
        <v>9838</v>
      </c>
      <c r="H455">
        <v>574.70000000000005</v>
      </c>
      <c r="I455">
        <v>7.2</v>
      </c>
      <c r="J455">
        <v>75</v>
      </c>
      <c r="K455" t="s">
        <v>23</v>
      </c>
      <c r="L455">
        <v>58</v>
      </c>
      <c r="M455">
        <v>1.03</v>
      </c>
      <c r="N455">
        <v>4</v>
      </c>
      <c r="O455" t="s">
        <v>17</v>
      </c>
      <c r="P455" cm="1">
        <f t="array" ref="P455">_xlfn.SWITCH(Table2[[#This Row],[mood]], "Tired", 3, "Neutral", 2, "Happy", 1)</f>
        <v>3</v>
      </c>
    </row>
    <row r="456" spans="1:16" x14ac:dyDescent="0.3">
      <c r="A456">
        <v>1480</v>
      </c>
      <c r="B456" s="1">
        <v>42459</v>
      </c>
      <c r="C456">
        <v>42</v>
      </c>
      <c r="D456" t="s">
        <v>15</v>
      </c>
      <c r="E456">
        <v>164.5</v>
      </c>
      <c r="F456">
        <v>64.2</v>
      </c>
      <c r="G456">
        <v>13734</v>
      </c>
      <c r="H456">
        <v>696.3</v>
      </c>
      <c r="I456">
        <v>6.9</v>
      </c>
      <c r="J456">
        <v>66</v>
      </c>
      <c r="K456" t="s">
        <v>24</v>
      </c>
      <c r="L456">
        <v>23</v>
      </c>
      <c r="M456">
        <v>3.42</v>
      </c>
      <c r="N456">
        <v>6</v>
      </c>
      <c r="O456" t="s">
        <v>19</v>
      </c>
      <c r="P456" cm="1">
        <f t="array" ref="P456">_xlfn.SWITCH(Table2[[#This Row],[mood]], "Tired", 3, "Neutral", 2, "Happy", 1)</f>
        <v>2</v>
      </c>
    </row>
    <row r="457" spans="1:16" x14ac:dyDescent="0.3">
      <c r="A457">
        <v>1452</v>
      </c>
      <c r="B457" s="1">
        <v>42460</v>
      </c>
      <c r="C457">
        <v>29</v>
      </c>
      <c r="D457" t="s">
        <v>20</v>
      </c>
      <c r="E457">
        <v>171.5</v>
      </c>
      <c r="F457">
        <v>109.7</v>
      </c>
      <c r="G457">
        <v>12022</v>
      </c>
      <c r="H457">
        <v>611.4</v>
      </c>
      <c r="I457">
        <v>6.5</v>
      </c>
      <c r="J457">
        <v>76</v>
      </c>
      <c r="K457" t="s">
        <v>22</v>
      </c>
      <c r="L457">
        <v>63</v>
      </c>
      <c r="M457">
        <v>0.5</v>
      </c>
      <c r="N457">
        <v>4</v>
      </c>
      <c r="O457" t="s">
        <v>21</v>
      </c>
      <c r="P457" cm="1">
        <f t="array" ref="P457">_xlfn.SWITCH(Table2[[#This Row],[mood]], "Tired", 3, "Neutral", 2, "Happy", 1)</f>
        <v>1</v>
      </c>
    </row>
    <row r="458" spans="1:16" x14ac:dyDescent="0.3">
      <c r="A458">
        <v>1828</v>
      </c>
      <c r="B458" s="1">
        <v>42461</v>
      </c>
      <c r="C458">
        <v>42</v>
      </c>
      <c r="D458" t="s">
        <v>20</v>
      </c>
      <c r="E458">
        <v>169.6</v>
      </c>
      <c r="F458">
        <v>64.8</v>
      </c>
      <c r="G458">
        <v>6208</v>
      </c>
      <c r="H458">
        <v>473.2</v>
      </c>
      <c r="I458">
        <v>5.8</v>
      </c>
      <c r="J458">
        <v>69</v>
      </c>
      <c r="K458" t="s">
        <v>23</v>
      </c>
      <c r="L458">
        <v>54</v>
      </c>
      <c r="M458">
        <v>2.19</v>
      </c>
      <c r="N458">
        <v>9</v>
      </c>
      <c r="O458" t="s">
        <v>19</v>
      </c>
      <c r="P458" cm="1">
        <f t="array" ref="P458">_xlfn.SWITCH(Table2[[#This Row],[mood]], "Tired", 3, "Neutral", 2, "Happy", 1)</f>
        <v>2</v>
      </c>
    </row>
    <row r="459" spans="1:16" x14ac:dyDescent="0.3">
      <c r="A459">
        <v>1815</v>
      </c>
      <c r="B459" s="1">
        <v>42462</v>
      </c>
      <c r="C459">
        <v>34</v>
      </c>
      <c r="D459" t="s">
        <v>15</v>
      </c>
      <c r="E459">
        <v>165.9</v>
      </c>
      <c r="F459">
        <v>66.8</v>
      </c>
      <c r="G459">
        <v>17578</v>
      </c>
      <c r="H459">
        <v>900</v>
      </c>
      <c r="I459">
        <v>4.2</v>
      </c>
      <c r="J459">
        <v>61</v>
      </c>
      <c r="K459" t="s">
        <v>22</v>
      </c>
      <c r="L459">
        <v>70</v>
      </c>
      <c r="M459">
        <v>1.38</v>
      </c>
      <c r="N459">
        <v>1</v>
      </c>
      <c r="O459" t="s">
        <v>19</v>
      </c>
      <c r="P459" cm="1">
        <f t="array" ref="P459">_xlfn.SWITCH(Table2[[#This Row],[mood]], "Tired", 3, "Neutral", 2, "Happy", 1)</f>
        <v>2</v>
      </c>
    </row>
    <row r="460" spans="1:16" x14ac:dyDescent="0.3">
      <c r="A460">
        <v>1658</v>
      </c>
      <c r="B460" s="1">
        <v>42463</v>
      </c>
      <c r="C460">
        <v>43</v>
      </c>
      <c r="D460" t="s">
        <v>15</v>
      </c>
      <c r="E460">
        <v>163</v>
      </c>
      <c r="F460">
        <v>59.4</v>
      </c>
      <c r="G460">
        <v>14725</v>
      </c>
      <c r="H460">
        <v>790.4</v>
      </c>
      <c r="I460">
        <v>9.4</v>
      </c>
      <c r="J460">
        <v>83</v>
      </c>
      <c r="K460" t="s">
        <v>16</v>
      </c>
      <c r="L460">
        <v>0</v>
      </c>
      <c r="M460">
        <v>2.15</v>
      </c>
      <c r="N460">
        <v>9</v>
      </c>
      <c r="O460" t="s">
        <v>19</v>
      </c>
      <c r="P460" cm="1">
        <f t="array" ref="P460">_xlfn.SWITCH(Table2[[#This Row],[mood]], "Tired", 3, "Neutral", 2, "Happy", 1)</f>
        <v>2</v>
      </c>
    </row>
    <row r="461" spans="1:16" x14ac:dyDescent="0.3">
      <c r="A461">
        <v>1515</v>
      </c>
      <c r="B461" s="1">
        <v>42464</v>
      </c>
      <c r="C461">
        <v>31</v>
      </c>
      <c r="D461" t="s">
        <v>15</v>
      </c>
      <c r="E461">
        <v>150.9</v>
      </c>
      <c r="F461">
        <v>78.2</v>
      </c>
      <c r="G461">
        <v>10337</v>
      </c>
      <c r="H461">
        <v>659.8</v>
      </c>
      <c r="I461">
        <v>7</v>
      </c>
      <c r="J461">
        <v>72</v>
      </c>
      <c r="K461" t="s">
        <v>16</v>
      </c>
      <c r="L461">
        <v>0</v>
      </c>
      <c r="M461">
        <v>2.4500000000000002</v>
      </c>
      <c r="N461">
        <v>4</v>
      </c>
      <c r="O461" t="s">
        <v>17</v>
      </c>
      <c r="P461" cm="1">
        <f t="array" ref="P461">_xlfn.SWITCH(Table2[[#This Row],[mood]], "Tired", 3, "Neutral", 2, "Happy", 1)</f>
        <v>3</v>
      </c>
    </row>
    <row r="462" spans="1:16" x14ac:dyDescent="0.3">
      <c r="A462">
        <v>1546</v>
      </c>
      <c r="B462" s="1">
        <v>42465</v>
      </c>
      <c r="C462">
        <v>58</v>
      </c>
      <c r="D462" t="s">
        <v>20</v>
      </c>
      <c r="E462">
        <v>162.80000000000001</v>
      </c>
      <c r="F462">
        <v>65.599999999999994</v>
      </c>
      <c r="G462">
        <v>11701</v>
      </c>
      <c r="H462">
        <v>658.2</v>
      </c>
      <c r="I462">
        <v>4.5999999999999996</v>
      </c>
      <c r="J462">
        <v>50</v>
      </c>
      <c r="K462" t="s">
        <v>16</v>
      </c>
      <c r="L462">
        <v>0</v>
      </c>
      <c r="M462">
        <v>1.66</v>
      </c>
      <c r="N462">
        <v>3</v>
      </c>
      <c r="O462" t="s">
        <v>19</v>
      </c>
      <c r="P462" cm="1">
        <f t="array" ref="P462">_xlfn.SWITCH(Table2[[#This Row],[mood]], "Tired", 3, "Neutral", 2, "Happy", 1)</f>
        <v>2</v>
      </c>
    </row>
    <row r="463" spans="1:16" x14ac:dyDescent="0.3">
      <c r="A463">
        <v>1191</v>
      </c>
      <c r="B463" s="1">
        <v>42466</v>
      </c>
      <c r="C463">
        <v>53</v>
      </c>
      <c r="D463" t="s">
        <v>15</v>
      </c>
      <c r="E463">
        <v>164.9</v>
      </c>
      <c r="F463">
        <v>68.8</v>
      </c>
      <c r="G463">
        <v>11275</v>
      </c>
      <c r="H463">
        <v>692.5</v>
      </c>
      <c r="I463">
        <v>5.5</v>
      </c>
      <c r="J463">
        <v>78</v>
      </c>
      <c r="K463" t="s">
        <v>25</v>
      </c>
      <c r="L463">
        <v>79</v>
      </c>
      <c r="M463">
        <v>0.56000000000000005</v>
      </c>
      <c r="N463">
        <v>5</v>
      </c>
      <c r="O463" t="s">
        <v>19</v>
      </c>
      <c r="P463" cm="1">
        <f t="array" ref="P463">_xlfn.SWITCH(Table2[[#This Row],[mood]], "Tired", 3, "Neutral", 2, "Happy", 1)</f>
        <v>2</v>
      </c>
    </row>
    <row r="464" spans="1:16" x14ac:dyDescent="0.3">
      <c r="A464">
        <v>1048</v>
      </c>
      <c r="B464" s="1">
        <v>42467</v>
      </c>
      <c r="C464">
        <v>40</v>
      </c>
      <c r="D464" t="s">
        <v>20</v>
      </c>
      <c r="E464">
        <v>171.5</v>
      </c>
      <c r="F464">
        <v>66.900000000000006</v>
      </c>
      <c r="G464">
        <v>7210</v>
      </c>
      <c r="H464">
        <v>451.5</v>
      </c>
      <c r="I464">
        <v>7.5</v>
      </c>
      <c r="J464">
        <v>78</v>
      </c>
      <c r="K464" t="s">
        <v>24</v>
      </c>
      <c r="L464">
        <v>34</v>
      </c>
      <c r="M464">
        <v>2.64</v>
      </c>
      <c r="N464">
        <v>3</v>
      </c>
      <c r="O464" t="s">
        <v>19</v>
      </c>
      <c r="P464" cm="1">
        <f t="array" ref="P464">_xlfn.SWITCH(Table2[[#This Row],[mood]], "Tired", 3, "Neutral", 2, "Happy", 1)</f>
        <v>2</v>
      </c>
    </row>
    <row r="465" spans="1:16" x14ac:dyDescent="0.3">
      <c r="A465">
        <v>1511</v>
      </c>
      <c r="B465" s="1">
        <v>42468</v>
      </c>
      <c r="C465">
        <v>23</v>
      </c>
      <c r="D465" t="s">
        <v>15</v>
      </c>
      <c r="E465">
        <v>189.6</v>
      </c>
      <c r="F465">
        <v>66.599999999999994</v>
      </c>
      <c r="G465">
        <v>12544</v>
      </c>
      <c r="H465">
        <v>664.5</v>
      </c>
      <c r="I465">
        <v>7.4</v>
      </c>
      <c r="J465">
        <v>95</v>
      </c>
      <c r="K465" t="s">
        <v>16</v>
      </c>
      <c r="L465">
        <v>0</v>
      </c>
      <c r="M465">
        <v>3.96</v>
      </c>
      <c r="N465">
        <v>1</v>
      </c>
      <c r="O465" t="s">
        <v>17</v>
      </c>
      <c r="P465" cm="1">
        <f t="array" ref="P465">_xlfn.SWITCH(Table2[[#This Row],[mood]], "Tired", 3, "Neutral", 2, "Happy", 1)</f>
        <v>3</v>
      </c>
    </row>
    <row r="466" spans="1:16" x14ac:dyDescent="0.3">
      <c r="A466">
        <v>1016</v>
      </c>
      <c r="B466" s="1">
        <v>42469</v>
      </c>
      <c r="C466">
        <v>22</v>
      </c>
      <c r="D466" t="s">
        <v>15</v>
      </c>
      <c r="E466">
        <v>163.80000000000001</v>
      </c>
      <c r="F466">
        <v>72.400000000000006</v>
      </c>
      <c r="G466">
        <v>17327</v>
      </c>
      <c r="H466">
        <v>893.8</v>
      </c>
      <c r="I466">
        <v>5.9</v>
      </c>
      <c r="J466">
        <v>75</v>
      </c>
      <c r="K466" t="s">
        <v>24</v>
      </c>
      <c r="L466">
        <v>69</v>
      </c>
      <c r="M466">
        <v>2.25</v>
      </c>
      <c r="N466">
        <v>8</v>
      </c>
      <c r="O466" t="s">
        <v>17</v>
      </c>
      <c r="P466" cm="1">
        <f t="array" ref="P466">_xlfn.SWITCH(Table2[[#This Row],[mood]], "Tired", 3, "Neutral", 2, "Happy", 1)</f>
        <v>3</v>
      </c>
    </row>
    <row r="467" spans="1:16" x14ac:dyDescent="0.3">
      <c r="A467">
        <v>1171</v>
      </c>
      <c r="B467" s="1">
        <v>42470</v>
      </c>
      <c r="C467">
        <v>42</v>
      </c>
      <c r="D467" t="s">
        <v>20</v>
      </c>
      <c r="E467">
        <v>159.80000000000001</v>
      </c>
      <c r="F467">
        <v>63.2</v>
      </c>
      <c r="G467">
        <v>15041</v>
      </c>
      <c r="H467">
        <v>900</v>
      </c>
      <c r="I467">
        <v>5.4</v>
      </c>
      <c r="J467">
        <v>86</v>
      </c>
      <c r="K467" t="s">
        <v>24</v>
      </c>
      <c r="L467">
        <v>74</v>
      </c>
      <c r="M467">
        <v>3.17</v>
      </c>
      <c r="N467">
        <v>9</v>
      </c>
      <c r="O467" t="s">
        <v>21</v>
      </c>
      <c r="P467" cm="1">
        <f t="array" ref="P467">_xlfn.SWITCH(Table2[[#This Row],[mood]], "Tired", 3, "Neutral", 2, "Happy", 1)</f>
        <v>1</v>
      </c>
    </row>
    <row r="468" spans="1:16" x14ac:dyDescent="0.3">
      <c r="A468">
        <v>1219</v>
      </c>
      <c r="B468" s="1">
        <v>42471</v>
      </c>
      <c r="C468">
        <v>35</v>
      </c>
      <c r="D468" t="s">
        <v>20</v>
      </c>
      <c r="E468">
        <v>162.9</v>
      </c>
      <c r="F468">
        <v>64</v>
      </c>
      <c r="G468">
        <v>17705</v>
      </c>
      <c r="H468">
        <v>900</v>
      </c>
      <c r="I468">
        <v>6.1</v>
      </c>
      <c r="J468">
        <v>81</v>
      </c>
      <c r="K468" t="s">
        <v>24</v>
      </c>
      <c r="L468">
        <v>31</v>
      </c>
      <c r="M468">
        <v>3.55</v>
      </c>
      <c r="N468">
        <v>6</v>
      </c>
      <c r="O468" t="s">
        <v>17</v>
      </c>
      <c r="P468" cm="1">
        <f t="array" ref="P468">_xlfn.SWITCH(Table2[[#This Row],[mood]], "Tired", 3, "Neutral", 2, "Happy", 1)</f>
        <v>3</v>
      </c>
    </row>
    <row r="469" spans="1:16" x14ac:dyDescent="0.3">
      <c r="A469">
        <v>1157</v>
      </c>
      <c r="B469" s="1">
        <v>42472</v>
      </c>
      <c r="C469">
        <v>30</v>
      </c>
      <c r="D469" t="s">
        <v>20</v>
      </c>
      <c r="E469">
        <v>171.5</v>
      </c>
      <c r="F469">
        <v>86.1</v>
      </c>
      <c r="G469">
        <v>11479</v>
      </c>
      <c r="H469">
        <v>714.1</v>
      </c>
      <c r="I469">
        <v>4.0999999999999996</v>
      </c>
      <c r="J469">
        <v>69</v>
      </c>
      <c r="K469" t="s">
        <v>23</v>
      </c>
      <c r="L469">
        <v>69</v>
      </c>
      <c r="M469">
        <v>1.17</v>
      </c>
      <c r="N469">
        <v>2</v>
      </c>
      <c r="O469" t="s">
        <v>17</v>
      </c>
      <c r="P469" cm="1">
        <f t="array" ref="P469">_xlfn.SWITCH(Table2[[#This Row],[mood]], "Tired", 3, "Neutral", 2, "Happy", 1)</f>
        <v>3</v>
      </c>
    </row>
    <row r="470" spans="1:16" x14ac:dyDescent="0.3">
      <c r="A470">
        <v>1476</v>
      </c>
      <c r="B470" s="1">
        <v>42473</v>
      </c>
      <c r="C470">
        <v>31</v>
      </c>
      <c r="D470" t="s">
        <v>20</v>
      </c>
      <c r="E470">
        <v>175.9</v>
      </c>
      <c r="F470">
        <v>65.599999999999994</v>
      </c>
      <c r="G470">
        <v>12323</v>
      </c>
      <c r="H470">
        <v>624.29999999999995</v>
      </c>
      <c r="I470">
        <v>6.3</v>
      </c>
      <c r="J470">
        <v>78</v>
      </c>
      <c r="K470" t="s">
        <v>22</v>
      </c>
      <c r="L470">
        <v>81</v>
      </c>
      <c r="M470">
        <v>2.1800000000000002</v>
      </c>
      <c r="N470">
        <v>6</v>
      </c>
      <c r="O470" t="s">
        <v>19</v>
      </c>
      <c r="P470" cm="1">
        <f t="array" ref="P470">_xlfn.SWITCH(Table2[[#This Row],[mood]], "Tired", 3, "Neutral", 2, "Happy", 1)</f>
        <v>2</v>
      </c>
    </row>
    <row r="471" spans="1:16" x14ac:dyDescent="0.3">
      <c r="A471">
        <v>1045</v>
      </c>
      <c r="B471" s="1">
        <v>42474</v>
      </c>
      <c r="C471">
        <v>45</v>
      </c>
      <c r="D471" t="s">
        <v>20</v>
      </c>
      <c r="E471">
        <v>177.3</v>
      </c>
      <c r="F471">
        <v>75.8</v>
      </c>
      <c r="G471">
        <v>13937</v>
      </c>
      <c r="H471">
        <v>764.7</v>
      </c>
      <c r="I471">
        <v>6.3</v>
      </c>
      <c r="J471">
        <v>73</v>
      </c>
      <c r="K471" t="s">
        <v>22</v>
      </c>
      <c r="L471">
        <v>24</v>
      </c>
      <c r="M471">
        <v>1.61</v>
      </c>
      <c r="N471">
        <v>6</v>
      </c>
      <c r="O471" t="s">
        <v>21</v>
      </c>
      <c r="P471" cm="1">
        <f t="array" ref="P471">_xlfn.SWITCH(Table2[[#This Row],[mood]], "Tired", 3, "Neutral", 2, "Happy", 1)</f>
        <v>1</v>
      </c>
    </row>
    <row r="472" spans="1:16" x14ac:dyDescent="0.3">
      <c r="A472">
        <v>1372</v>
      </c>
      <c r="B472" s="1">
        <v>42475</v>
      </c>
      <c r="C472">
        <v>35</v>
      </c>
      <c r="D472" t="s">
        <v>20</v>
      </c>
      <c r="E472">
        <v>178.3</v>
      </c>
      <c r="F472">
        <v>56.7</v>
      </c>
      <c r="G472">
        <v>2702</v>
      </c>
      <c r="H472">
        <v>349.1</v>
      </c>
      <c r="I472">
        <v>9.3000000000000007</v>
      </c>
      <c r="J472">
        <v>68</v>
      </c>
      <c r="K472" t="s">
        <v>25</v>
      </c>
      <c r="L472">
        <v>46</v>
      </c>
      <c r="M472">
        <v>1.94</v>
      </c>
      <c r="N472">
        <v>6</v>
      </c>
      <c r="O472" t="s">
        <v>17</v>
      </c>
      <c r="P472" cm="1">
        <f t="array" ref="P472">_xlfn.SWITCH(Table2[[#This Row],[mood]], "Tired", 3, "Neutral", 2, "Happy", 1)</f>
        <v>3</v>
      </c>
    </row>
    <row r="473" spans="1:16" x14ac:dyDescent="0.3">
      <c r="A473">
        <v>1517</v>
      </c>
      <c r="B473" s="1">
        <v>42476</v>
      </c>
      <c r="C473">
        <v>45</v>
      </c>
      <c r="D473" t="s">
        <v>15</v>
      </c>
      <c r="E473">
        <v>179.7</v>
      </c>
      <c r="F473">
        <v>63.3</v>
      </c>
      <c r="G473">
        <v>11404</v>
      </c>
      <c r="H473">
        <v>760.4</v>
      </c>
      <c r="I473">
        <v>6.3</v>
      </c>
      <c r="J473">
        <v>70</v>
      </c>
      <c r="K473" t="s">
        <v>16</v>
      </c>
      <c r="L473">
        <v>0</v>
      </c>
      <c r="M473">
        <v>3.69</v>
      </c>
      <c r="N473">
        <v>10</v>
      </c>
      <c r="O473" t="s">
        <v>21</v>
      </c>
      <c r="P473" cm="1">
        <f t="array" ref="P473">_xlfn.SWITCH(Table2[[#This Row],[mood]], "Tired", 3, "Neutral", 2, "Happy", 1)</f>
        <v>1</v>
      </c>
    </row>
    <row r="474" spans="1:16" x14ac:dyDescent="0.3">
      <c r="A474">
        <v>1098</v>
      </c>
      <c r="B474" s="1">
        <v>42477</v>
      </c>
      <c r="C474">
        <v>44</v>
      </c>
      <c r="D474" t="s">
        <v>15</v>
      </c>
      <c r="E474">
        <v>167.2</v>
      </c>
      <c r="F474">
        <v>51.5</v>
      </c>
      <c r="G474">
        <v>1830</v>
      </c>
      <c r="H474">
        <v>189</v>
      </c>
      <c r="I474">
        <v>7.4</v>
      </c>
      <c r="J474">
        <v>68</v>
      </c>
      <c r="K474" t="s">
        <v>25</v>
      </c>
      <c r="L474">
        <v>54</v>
      </c>
      <c r="M474">
        <v>2.66</v>
      </c>
      <c r="N474">
        <v>9</v>
      </c>
      <c r="O474" t="s">
        <v>19</v>
      </c>
      <c r="P474" cm="1">
        <f t="array" ref="P474">_xlfn.SWITCH(Table2[[#This Row],[mood]], "Tired", 3, "Neutral", 2, "Happy", 1)</f>
        <v>2</v>
      </c>
    </row>
    <row r="475" spans="1:16" x14ac:dyDescent="0.3">
      <c r="A475">
        <v>1891</v>
      </c>
      <c r="B475" s="1">
        <v>42478</v>
      </c>
      <c r="C475">
        <v>49</v>
      </c>
      <c r="D475" t="s">
        <v>20</v>
      </c>
      <c r="E475">
        <v>190.5</v>
      </c>
      <c r="F475">
        <v>97.8</v>
      </c>
      <c r="G475">
        <v>9380</v>
      </c>
      <c r="H475">
        <v>611.70000000000005</v>
      </c>
      <c r="I475">
        <v>9.4</v>
      </c>
      <c r="J475">
        <v>75</v>
      </c>
      <c r="K475" t="s">
        <v>24</v>
      </c>
      <c r="L475">
        <v>32</v>
      </c>
      <c r="M475">
        <v>3.05</v>
      </c>
      <c r="N475">
        <v>4</v>
      </c>
      <c r="O475" t="s">
        <v>17</v>
      </c>
      <c r="P475" cm="1">
        <f t="array" ref="P475">_xlfn.SWITCH(Table2[[#This Row],[mood]], "Tired", 3, "Neutral", 2, "Happy", 1)</f>
        <v>3</v>
      </c>
    </row>
    <row r="476" spans="1:16" x14ac:dyDescent="0.3">
      <c r="A476">
        <v>1744</v>
      </c>
      <c r="B476" s="1">
        <v>42479</v>
      </c>
      <c r="C476">
        <v>26</v>
      </c>
      <c r="D476" t="s">
        <v>15</v>
      </c>
      <c r="E476">
        <v>166.5</v>
      </c>
      <c r="F476">
        <v>90.6</v>
      </c>
      <c r="G476">
        <v>1091</v>
      </c>
      <c r="H476">
        <v>296.89999999999998</v>
      </c>
      <c r="I476">
        <v>5.4</v>
      </c>
      <c r="J476">
        <v>75</v>
      </c>
      <c r="K476" t="s">
        <v>18</v>
      </c>
      <c r="L476">
        <v>63</v>
      </c>
      <c r="M476">
        <v>2.4700000000000002</v>
      </c>
      <c r="N476">
        <v>2</v>
      </c>
      <c r="O476" t="s">
        <v>19</v>
      </c>
      <c r="P476" cm="1">
        <f t="array" ref="P476">_xlfn.SWITCH(Table2[[#This Row],[mood]], "Tired", 3, "Neutral", 2, "Happy", 1)</f>
        <v>2</v>
      </c>
    </row>
    <row r="477" spans="1:16" x14ac:dyDescent="0.3">
      <c r="A477">
        <v>1036</v>
      </c>
      <c r="B477" s="1">
        <v>42480</v>
      </c>
      <c r="C477">
        <v>57</v>
      </c>
      <c r="D477" t="s">
        <v>20</v>
      </c>
      <c r="E477">
        <v>171.1</v>
      </c>
      <c r="F477">
        <v>78.900000000000006</v>
      </c>
      <c r="G477">
        <v>4877</v>
      </c>
      <c r="H477">
        <v>417.7</v>
      </c>
      <c r="I477">
        <v>6.1</v>
      </c>
      <c r="J477">
        <v>70</v>
      </c>
      <c r="K477" t="s">
        <v>18</v>
      </c>
      <c r="L477">
        <v>65</v>
      </c>
      <c r="M477">
        <v>1.65</v>
      </c>
      <c r="N477">
        <v>8</v>
      </c>
      <c r="O477" t="s">
        <v>19</v>
      </c>
      <c r="P477" cm="1">
        <f t="array" ref="P477">_xlfn.SWITCH(Table2[[#This Row],[mood]], "Tired", 3, "Neutral", 2, "Happy", 1)</f>
        <v>2</v>
      </c>
    </row>
    <row r="478" spans="1:16" x14ac:dyDescent="0.3">
      <c r="A478">
        <v>1279</v>
      </c>
      <c r="B478" s="1">
        <v>42481</v>
      </c>
      <c r="C478">
        <v>49</v>
      </c>
      <c r="D478" t="s">
        <v>15</v>
      </c>
      <c r="E478">
        <v>183</v>
      </c>
      <c r="F478">
        <v>102.3</v>
      </c>
      <c r="G478">
        <v>11103</v>
      </c>
      <c r="H478">
        <v>576.6</v>
      </c>
      <c r="I478">
        <v>6.2</v>
      </c>
      <c r="J478">
        <v>73</v>
      </c>
      <c r="K478" t="s">
        <v>24</v>
      </c>
      <c r="L478">
        <v>87</v>
      </c>
      <c r="M478">
        <v>2.97</v>
      </c>
      <c r="N478">
        <v>6</v>
      </c>
      <c r="O478" t="s">
        <v>21</v>
      </c>
      <c r="P478" cm="1">
        <f t="array" ref="P478">_xlfn.SWITCH(Table2[[#This Row],[mood]], "Tired", 3, "Neutral", 2, "Happy", 1)</f>
        <v>1</v>
      </c>
    </row>
    <row r="479" spans="1:16" x14ac:dyDescent="0.3">
      <c r="A479">
        <v>1348</v>
      </c>
      <c r="B479" s="1">
        <v>42482</v>
      </c>
      <c r="C479">
        <v>37</v>
      </c>
      <c r="D479" t="s">
        <v>15</v>
      </c>
      <c r="E479">
        <v>175.7</v>
      </c>
      <c r="F479">
        <v>81.599999999999994</v>
      </c>
      <c r="G479">
        <v>19720</v>
      </c>
      <c r="H479">
        <v>900</v>
      </c>
      <c r="I479">
        <v>4.5</v>
      </c>
      <c r="J479">
        <v>56</v>
      </c>
      <c r="K479" t="s">
        <v>16</v>
      </c>
      <c r="L479">
        <v>0</v>
      </c>
      <c r="M479">
        <v>3.38</v>
      </c>
      <c r="N479">
        <v>10</v>
      </c>
      <c r="O479" t="s">
        <v>17</v>
      </c>
      <c r="P479" cm="1">
        <f t="array" ref="P479">_xlfn.SWITCH(Table2[[#This Row],[mood]], "Tired", 3, "Neutral", 2, "Happy", 1)</f>
        <v>3</v>
      </c>
    </row>
    <row r="480" spans="1:16" x14ac:dyDescent="0.3">
      <c r="A480">
        <v>1496</v>
      </c>
      <c r="B480" s="1">
        <v>42483</v>
      </c>
      <c r="C480">
        <v>45</v>
      </c>
      <c r="D480" t="s">
        <v>20</v>
      </c>
      <c r="E480">
        <v>150</v>
      </c>
      <c r="F480">
        <v>67.400000000000006</v>
      </c>
      <c r="G480">
        <v>8676</v>
      </c>
      <c r="H480">
        <v>568.5</v>
      </c>
      <c r="I480">
        <v>6.6</v>
      </c>
      <c r="J480">
        <v>65</v>
      </c>
      <c r="K480" t="s">
        <v>22</v>
      </c>
      <c r="L480">
        <v>20</v>
      </c>
      <c r="M480">
        <v>2.72</v>
      </c>
      <c r="N480">
        <v>1</v>
      </c>
      <c r="O480" t="s">
        <v>21</v>
      </c>
      <c r="P480" cm="1">
        <f t="array" ref="P480">_xlfn.SWITCH(Table2[[#This Row],[mood]], "Tired", 3, "Neutral", 2, "Happy", 1)</f>
        <v>1</v>
      </c>
    </row>
    <row r="481" spans="1:16" x14ac:dyDescent="0.3">
      <c r="A481">
        <v>1301</v>
      </c>
      <c r="B481" s="1">
        <v>42484</v>
      </c>
      <c r="C481">
        <v>50</v>
      </c>
      <c r="D481" t="s">
        <v>20</v>
      </c>
      <c r="E481">
        <v>170.1</v>
      </c>
      <c r="F481">
        <v>75.599999999999994</v>
      </c>
      <c r="G481">
        <v>2580</v>
      </c>
      <c r="H481">
        <v>312.10000000000002</v>
      </c>
      <c r="I481">
        <v>8.6999999999999993</v>
      </c>
      <c r="J481">
        <v>72</v>
      </c>
      <c r="K481" t="s">
        <v>25</v>
      </c>
      <c r="L481">
        <v>30</v>
      </c>
      <c r="M481">
        <v>2.84</v>
      </c>
      <c r="N481">
        <v>6</v>
      </c>
      <c r="O481" t="s">
        <v>19</v>
      </c>
      <c r="P481" cm="1">
        <f t="array" ref="P481">_xlfn.SWITCH(Table2[[#This Row],[mood]], "Tired", 3, "Neutral", 2, "Happy", 1)</f>
        <v>2</v>
      </c>
    </row>
    <row r="482" spans="1:16" x14ac:dyDescent="0.3">
      <c r="A482">
        <v>1180</v>
      </c>
      <c r="B482" s="1">
        <v>42485</v>
      </c>
      <c r="C482">
        <v>21</v>
      </c>
      <c r="D482" t="s">
        <v>20</v>
      </c>
      <c r="E482">
        <v>178.6</v>
      </c>
      <c r="F482">
        <v>90.4</v>
      </c>
      <c r="G482">
        <v>16787</v>
      </c>
      <c r="H482">
        <v>837.2</v>
      </c>
      <c r="I482">
        <v>8.3000000000000007</v>
      </c>
      <c r="J482">
        <v>92</v>
      </c>
      <c r="K482" t="s">
        <v>23</v>
      </c>
      <c r="L482">
        <v>69</v>
      </c>
      <c r="M482">
        <v>1.64</v>
      </c>
      <c r="N482">
        <v>2</v>
      </c>
      <c r="O482" t="s">
        <v>17</v>
      </c>
      <c r="P482" cm="1">
        <f t="array" ref="P482">_xlfn.SWITCH(Table2[[#This Row],[mood]], "Tired", 3, "Neutral", 2, "Happy", 1)</f>
        <v>3</v>
      </c>
    </row>
    <row r="483" spans="1:16" x14ac:dyDescent="0.3">
      <c r="A483">
        <v>1606</v>
      </c>
      <c r="B483" s="1">
        <v>42486</v>
      </c>
      <c r="C483">
        <v>51</v>
      </c>
      <c r="D483" t="s">
        <v>15</v>
      </c>
      <c r="E483">
        <v>156.6</v>
      </c>
      <c r="F483">
        <v>56.8</v>
      </c>
      <c r="G483">
        <v>10600</v>
      </c>
      <c r="H483">
        <v>583.6</v>
      </c>
      <c r="I483">
        <v>8.8000000000000007</v>
      </c>
      <c r="J483">
        <v>81</v>
      </c>
      <c r="K483" t="s">
        <v>18</v>
      </c>
      <c r="L483">
        <v>28</v>
      </c>
      <c r="M483">
        <v>2.99</v>
      </c>
      <c r="N483">
        <v>4</v>
      </c>
      <c r="O483" t="s">
        <v>19</v>
      </c>
      <c r="P483" cm="1">
        <f t="array" ref="P483">_xlfn.SWITCH(Table2[[#This Row],[mood]], "Tired", 3, "Neutral", 2, "Happy", 1)</f>
        <v>2</v>
      </c>
    </row>
    <row r="484" spans="1:16" x14ac:dyDescent="0.3">
      <c r="A484">
        <v>1098</v>
      </c>
      <c r="B484" s="1">
        <v>42487</v>
      </c>
      <c r="C484">
        <v>20</v>
      </c>
      <c r="D484" t="s">
        <v>20</v>
      </c>
      <c r="E484">
        <v>177.5</v>
      </c>
      <c r="F484">
        <v>52.4</v>
      </c>
      <c r="G484">
        <v>16412</v>
      </c>
      <c r="H484">
        <v>879.3</v>
      </c>
      <c r="I484">
        <v>6</v>
      </c>
      <c r="J484">
        <v>65</v>
      </c>
      <c r="K484" t="s">
        <v>25</v>
      </c>
      <c r="L484">
        <v>57</v>
      </c>
      <c r="M484">
        <v>3.44</v>
      </c>
      <c r="N484">
        <v>2</v>
      </c>
      <c r="O484" t="s">
        <v>21</v>
      </c>
      <c r="P484" cm="1">
        <f t="array" ref="P484">_xlfn.SWITCH(Table2[[#This Row],[mood]], "Tired", 3, "Neutral", 2, "Happy", 1)</f>
        <v>1</v>
      </c>
    </row>
    <row r="485" spans="1:16" x14ac:dyDescent="0.3">
      <c r="A485">
        <v>1699</v>
      </c>
      <c r="B485" s="1">
        <v>42488</v>
      </c>
      <c r="C485">
        <v>43</v>
      </c>
      <c r="D485" t="s">
        <v>15</v>
      </c>
      <c r="E485">
        <v>173.9</v>
      </c>
      <c r="F485">
        <v>76.099999999999994</v>
      </c>
      <c r="G485">
        <v>1473</v>
      </c>
      <c r="H485">
        <v>225.1</v>
      </c>
      <c r="I485">
        <v>5.3</v>
      </c>
      <c r="J485">
        <v>91</v>
      </c>
      <c r="K485" t="s">
        <v>18</v>
      </c>
      <c r="L485">
        <v>32</v>
      </c>
      <c r="M485">
        <v>2.78</v>
      </c>
      <c r="N485">
        <v>4</v>
      </c>
      <c r="O485" t="s">
        <v>21</v>
      </c>
      <c r="P485" cm="1">
        <f t="array" ref="P485">_xlfn.SWITCH(Table2[[#This Row],[mood]], "Tired", 3, "Neutral", 2, "Happy", 1)</f>
        <v>1</v>
      </c>
    </row>
    <row r="486" spans="1:16" x14ac:dyDescent="0.3">
      <c r="A486">
        <v>1992</v>
      </c>
      <c r="B486" s="1">
        <v>42489</v>
      </c>
      <c r="C486">
        <v>25</v>
      </c>
      <c r="D486" t="s">
        <v>20</v>
      </c>
      <c r="E486">
        <v>181.8</v>
      </c>
      <c r="F486">
        <v>61.2</v>
      </c>
      <c r="G486">
        <v>12624</v>
      </c>
      <c r="H486">
        <v>672.3</v>
      </c>
      <c r="I486">
        <v>10</v>
      </c>
      <c r="J486">
        <v>75</v>
      </c>
      <c r="K486" t="s">
        <v>22</v>
      </c>
      <c r="L486">
        <v>24</v>
      </c>
      <c r="M486">
        <v>1.24</v>
      </c>
      <c r="N486">
        <v>7</v>
      </c>
      <c r="O486" t="s">
        <v>19</v>
      </c>
      <c r="P486" cm="1">
        <f t="array" ref="P486">_xlfn.SWITCH(Table2[[#This Row],[mood]], "Tired", 3, "Neutral", 2, "Happy", 1)</f>
        <v>2</v>
      </c>
    </row>
    <row r="487" spans="1:16" x14ac:dyDescent="0.3">
      <c r="A487">
        <v>1115</v>
      </c>
      <c r="B487" s="1">
        <v>42490</v>
      </c>
      <c r="C487">
        <v>23</v>
      </c>
      <c r="D487" t="s">
        <v>15</v>
      </c>
      <c r="E487">
        <v>163.1</v>
      </c>
      <c r="F487">
        <v>45</v>
      </c>
      <c r="G487">
        <v>17653</v>
      </c>
      <c r="H487">
        <v>899.1</v>
      </c>
      <c r="I487">
        <v>7.3</v>
      </c>
      <c r="J487">
        <v>64</v>
      </c>
      <c r="K487" t="s">
        <v>22</v>
      </c>
      <c r="L487">
        <v>44</v>
      </c>
      <c r="M487">
        <v>3.64</v>
      </c>
      <c r="N487">
        <v>8</v>
      </c>
      <c r="O487" t="s">
        <v>21</v>
      </c>
      <c r="P487" cm="1">
        <f t="array" ref="P487">_xlfn.SWITCH(Table2[[#This Row],[mood]], "Tired", 3, "Neutral", 2, "Happy", 1)</f>
        <v>1</v>
      </c>
    </row>
    <row r="488" spans="1:16" x14ac:dyDescent="0.3">
      <c r="A488">
        <v>1190</v>
      </c>
      <c r="B488" s="1">
        <v>42491</v>
      </c>
      <c r="C488">
        <v>33</v>
      </c>
      <c r="D488" t="s">
        <v>15</v>
      </c>
      <c r="E488">
        <v>180</v>
      </c>
      <c r="F488">
        <v>51.4</v>
      </c>
      <c r="G488">
        <v>18077</v>
      </c>
      <c r="H488">
        <v>900</v>
      </c>
      <c r="I488">
        <v>4.5999999999999996</v>
      </c>
      <c r="J488">
        <v>74</v>
      </c>
      <c r="K488" t="s">
        <v>24</v>
      </c>
      <c r="L488">
        <v>29</v>
      </c>
      <c r="M488">
        <v>1.84</v>
      </c>
      <c r="N488">
        <v>3</v>
      </c>
      <c r="O488" t="s">
        <v>21</v>
      </c>
      <c r="P488" cm="1">
        <f t="array" ref="P488">_xlfn.SWITCH(Table2[[#This Row],[mood]], "Tired", 3, "Neutral", 2, "Happy", 1)</f>
        <v>1</v>
      </c>
    </row>
    <row r="489" spans="1:16" x14ac:dyDescent="0.3">
      <c r="A489">
        <v>1252</v>
      </c>
      <c r="B489" s="1">
        <v>42492</v>
      </c>
      <c r="C489">
        <v>41</v>
      </c>
      <c r="D489" t="s">
        <v>20</v>
      </c>
      <c r="E489">
        <v>171.6</v>
      </c>
      <c r="F489">
        <v>65.3</v>
      </c>
      <c r="G489">
        <v>13663</v>
      </c>
      <c r="H489">
        <v>798.5</v>
      </c>
      <c r="I489">
        <v>10</v>
      </c>
      <c r="J489">
        <v>85</v>
      </c>
      <c r="K489" t="s">
        <v>24</v>
      </c>
      <c r="L489">
        <v>24</v>
      </c>
      <c r="M489">
        <v>2.77</v>
      </c>
      <c r="N489">
        <v>1</v>
      </c>
      <c r="O489" t="s">
        <v>19</v>
      </c>
      <c r="P489" cm="1">
        <f t="array" ref="P489">_xlfn.SWITCH(Table2[[#This Row],[mood]], "Tired", 3, "Neutral", 2, "Happy", 1)</f>
        <v>2</v>
      </c>
    </row>
    <row r="490" spans="1:16" x14ac:dyDescent="0.3">
      <c r="A490">
        <v>1980</v>
      </c>
      <c r="B490" s="1">
        <v>42493</v>
      </c>
      <c r="C490">
        <v>56</v>
      </c>
      <c r="D490" t="s">
        <v>15</v>
      </c>
      <c r="E490">
        <v>187.7</v>
      </c>
      <c r="F490">
        <v>70.7</v>
      </c>
      <c r="G490">
        <v>18799</v>
      </c>
      <c r="H490">
        <v>892.2</v>
      </c>
      <c r="I490">
        <v>6.9</v>
      </c>
      <c r="J490">
        <v>64</v>
      </c>
      <c r="K490" t="s">
        <v>18</v>
      </c>
      <c r="L490">
        <v>41</v>
      </c>
      <c r="M490">
        <v>3.17</v>
      </c>
      <c r="N490">
        <v>10</v>
      </c>
      <c r="O490" t="s">
        <v>17</v>
      </c>
      <c r="P490" cm="1">
        <f t="array" ref="P490">_xlfn.SWITCH(Table2[[#This Row],[mood]], "Tired", 3, "Neutral", 2, "Happy", 1)</f>
        <v>3</v>
      </c>
    </row>
    <row r="491" spans="1:16" x14ac:dyDescent="0.3">
      <c r="A491">
        <v>1927</v>
      </c>
      <c r="B491" s="1">
        <v>42494</v>
      </c>
      <c r="C491">
        <v>47</v>
      </c>
      <c r="D491" t="s">
        <v>15</v>
      </c>
      <c r="E491">
        <v>197.9</v>
      </c>
      <c r="F491">
        <v>71.2</v>
      </c>
      <c r="G491">
        <v>15517</v>
      </c>
      <c r="H491">
        <v>755.9</v>
      </c>
      <c r="I491">
        <v>3</v>
      </c>
      <c r="J491">
        <v>65</v>
      </c>
      <c r="K491" t="s">
        <v>18</v>
      </c>
      <c r="L491">
        <v>61</v>
      </c>
      <c r="M491">
        <v>3.26</v>
      </c>
      <c r="N491">
        <v>1</v>
      </c>
      <c r="O491" t="s">
        <v>17</v>
      </c>
      <c r="P491" cm="1">
        <f t="array" ref="P491">_xlfn.SWITCH(Table2[[#This Row],[mood]], "Tired", 3, "Neutral", 2, "Happy", 1)</f>
        <v>3</v>
      </c>
    </row>
    <row r="492" spans="1:16" x14ac:dyDescent="0.3">
      <c r="A492">
        <v>1982</v>
      </c>
      <c r="B492" s="1">
        <v>42495</v>
      </c>
      <c r="C492">
        <v>30</v>
      </c>
      <c r="D492" t="s">
        <v>20</v>
      </c>
      <c r="E492">
        <v>185.4</v>
      </c>
      <c r="F492">
        <v>100.1</v>
      </c>
      <c r="G492">
        <v>19467</v>
      </c>
      <c r="H492">
        <v>900</v>
      </c>
      <c r="I492">
        <v>9.1999999999999993</v>
      </c>
      <c r="J492">
        <v>93</v>
      </c>
      <c r="K492" t="s">
        <v>25</v>
      </c>
      <c r="L492">
        <v>39</v>
      </c>
      <c r="M492">
        <v>1.24</v>
      </c>
      <c r="N492">
        <v>10</v>
      </c>
      <c r="O492" t="s">
        <v>17</v>
      </c>
      <c r="P492" cm="1">
        <f t="array" ref="P492">_xlfn.SWITCH(Table2[[#This Row],[mood]], "Tired", 3, "Neutral", 2, "Happy", 1)</f>
        <v>3</v>
      </c>
    </row>
    <row r="493" spans="1:16" x14ac:dyDescent="0.3">
      <c r="A493">
        <v>1160</v>
      </c>
      <c r="B493" s="1">
        <v>42496</v>
      </c>
      <c r="C493">
        <v>22</v>
      </c>
      <c r="D493" t="s">
        <v>15</v>
      </c>
      <c r="E493">
        <v>174.8</v>
      </c>
      <c r="F493">
        <v>66.900000000000006</v>
      </c>
      <c r="G493">
        <v>18619</v>
      </c>
      <c r="H493">
        <v>854.8</v>
      </c>
      <c r="I493">
        <v>3.5</v>
      </c>
      <c r="J493">
        <v>78</v>
      </c>
      <c r="K493" t="s">
        <v>24</v>
      </c>
      <c r="L493">
        <v>47</v>
      </c>
      <c r="M493">
        <v>2.58</v>
      </c>
      <c r="N493">
        <v>7</v>
      </c>
      <c r="O493" t="s">
        <v>19</v>
      </c>
      <c r="P493" cm="1">
        <f t="array" ref="P493">_xlfn.SWITCH(Table2[[#This Row],[mood]], "Tired", 3, "Neutral", 2, "Happy", 1)</f>
        <v>2</v>
      </c>
    </row>
    <row r="494" spans="1:16" x14ac:dyDescent="0.3">
      <c r="A494">
        <v>1255</v>
      </c>
      <c r="B494" s="1">
        <v>42497</v>
      </c>
      <c r="C494">
        <v>42</v>
      </c>
      <c r="D494" t="s">
        <v>20</v>
      </c>
      <c r="E494">
        <v>193.2</v>
      </c>
      <c r="F494">
        <v>74.2</v>
      </c>
      <c r="G494">
        <v>4967</v>
      </c>
      <c r="H494">
        <v>428</v>
      </c>
      <c r="I494">
        <v>7.4</v>
      </c>
      <c r="J494">
        <v>70</v>
      </c>
      <c r="K494" t="s">
        <v>22</v>
      </c>
      <c r="L494">
        <v>40</v>
      </c>
      <c r="M494">
        <v>2.54</v>
      </c>
      <c r="N494">
        <v>1</v>
      </c>
      <c r="O494" t="s">
        <v>19</v>
      </c>
      <c r="P494" cm="1">
        <f t="array" ref="P494">_xlfn.SWITCH(Table2[[#This Row],[mood]], "Tired", 3, "Neutral", 2, "Happy", 1)</f>
        <v>2</v>
      </c>
    </row>
    <row r="495" spans="1:16" x14ac:dyDescent="0.3">
      <c r="A495">
        <v>1322</v>
      </c>
      <c r="B495" s="1">
        <v>42498</v>
      </c>
      <c r="C495">
        <v>37</v>
      </c>
      <c r="D495" t="s">
        <v>20</v>
      </c>
      <c r="E495">
        <v>176</v>
      </c>
      <c r="F495">
        <v>45.6</v>
      </c>
      <c r="G495">
        <v>14211</v>
      </c>
      <c r="H495">
        <v>668.8</v>
      </c>
      <c r="I495">
        <v>8.3000000000000007</v>
      </c>
      <c r="J495">
        <v>74</v>
      </c>
      <c r="K495" t="s">
        <v>16</v>
      </c>
      <c r="L495">
        <v>0</v>
      </c>
      <c r="M495">
        <v>3.51</v>
      </c>
      <c r="N495">
        <v>3</v>
      </c>
      <c r="O495" t="s">
        <v>21</v>
      </c>
      <c r="P495" cm="1">
        <f t="array" ref="P495">_xlfn.SWITCH(Table2[[#This Row],[mood]], "Tired", 3, "Neutral", 2, "Happy", 1)</f>
        <v>1</v>
      </c>
    </row>
    <row r="496" spans="1:16" x14ac:dyDescent="0.3">
      <c r="A496">
        <v>1127</v>
      </c>
      <c r="B496" s="1">
        <v>42499</v>
      </c>
      <c r="C496">
        <v>35</v>
      </c>
      <c r="D496" t="s">
        <v>20</v>
      </c>
      <c r="E496">
        <v>160.9</v>
      </c>
      <c r="F496">
        <v>69.5</v>
      </c>
      <c r="G496">
        <v>7634</v>
      </c>
      <c r="H496">
        <v>540.70000000000005</v>
      </c>
      <c r="I496">
        <v>8</v>
      </c>
      <c r="J496">
        <v>78</v>
      </c>
      <c r="K496" t="s">
        <v>25</v>
      </c>
      <c r="L496">
        <v>88</v>
      </c>
      <c r="M496">
        <v>2.82</v>
      </c>
      <c r="N496">
        <v>5</v>
      </c>
      <c r="O496" t="s">
        <v>17</v>
      </c>
      <c r="P496" cm="1">
        <f t="array" ref="P496">_xlfn.SWITCH(Table2[[#This Row],[mood]], "Tired", 3, "Neutral", 2, "Happy", 1)</f>
        <v>3</v>
      </c>
    </row>
    <row r="497" spans="1:16" x14ac:dyDescent="0.3">
      <c r="A497">
        <v>1017</v>
      </c>
      <c r="B497" s="1">
        <v>42500</v>
      </c>
      <c r="C497">
        <v>35</v>
      </c>
      <c r="D497" t="s">
        <v>20</v>
      </c>
      <c r="E497">
        <v>169.6</v>
      </c>
      <c r="F497">
        <v>75</v>
      </c>
      <c r="G497">
        <v>1840</v>
      </c>
      <c r="H497">
        <v>329.1</v>
      </c>
      <c r="I497">
        <v>9.3000000000000007</v>
      </c>
      <c r="J497">
        <v>73</v>
      </c>
      <c r="K497" t="s">
        <v>25</v>
      </c>
      <c r="L497">
        <v>56</v>
      </c>
      <c r="M497">
        <v>3.51</v>
      </c>
      <c r="N497">
        <v>5</v>
      </c>
      <c r="O497" t="s">
        <v>21</v>
      </c>
      <c r="P497" cm="1">
        <f t="array" ref="P497">_xlfn.SWITCH(Table2[[#This Row],[mood]], "Tired", 3, "Neutral", 2, "Happy", 1)</f>
        <v>1</v>
      </c>
    </row>
    <row r="498" spans="1:16" x14ac:dyDescent="0.3">
      <c r="A498">
        <v>1792</v>
      </c>
      <c r="B498" s="1">
        <v>42501</v>
      </c>
      <c r="C498">
        <v>19</v>
      </c>
      <c r="D498" t="s">
        <v>15</v>
      </c>
      <c r="E498">
        <v>177.6</v>
      </c>
      <c r="F498">
        <v>49.4</v>
      </c>
      <c r="G498">
        <v>2461</v>
      </c>
      <c r="H498">
        <v>311.39999999999998</v>
      </c>
      <c r="I498">
        <v>8.5</v>
      </c>
      <c r="J498">
        <v>88</v>
      </c>
      <c r="K498" t="s">
        <v>23</v>
      </c>
      <c r="L498">
        <v>68</v>
      </c>
      <c r="M498">
        <v>2.88</v>
      </c>
      <c r="N498">
        <v>4</v>
      </c>
      <c r="O498" t="s">
        <v>19</v>
      </c>
      <c r="P498" cm="1">
        <f t="array" ref="P498">_xlfn.SWITCH(Table2[[#This Row],[mood]], "Tired", 3, "Neutral", 2, "Happy", 1)</f>
        <v>2</v>
      </c>
    </row>
    <row r="499" spans="1:16" x14ac:dyDescent="0.3">
      <c r="A499">
        <v>1734</v>
      </c>
      <c r="B499" s="1">
        <v>42502</v>
      </c>
      <c r="C499">
        <v>27</v>
      </c>
      <c r="D499" t="s">
        <v>15</v>
      </c>
      <c r="E499">
        <v>178.3</v>
      </c>
      <c r="F499">
        <v>56</v>
      </c>
      <c r="G499">
        <v>16405</v>
      </c>
      <c r="H499">
        <v>763.3</v>
      </c>
      <c r="I499">
        <v>9.8000000000000007</v>
      </c>
      <c r="J499">
        <v>76</v>
      </c>
      <c r="K499" t="s">
        <v>16</v>
      </c>
      <c r="L499">
        <v>0</v>
      </c>
      <c r="M499">
        <v>2.4500000000000002</v>
      </c>
      <c r="N499">
        <v>8</v>
      </c>
      <c r="O499" t="s">
        <v>17</v>
      </c>
      <c r="P499" cm="1">
        <f t="array" ref="P499">_xlfn.SWITCH(Table2[[#This Row],[mood]], "Tired", 3, "Neutral", 2, "Happy", 1)</f>
        <v>3</v>
      </c>
    </row>
    <row r="500" spans="1:16" x14ac:dyDescent="0.3">
      <c r="A500">
        <v>1565</v>
      </c>
      <c r="B500" s="1">
        <v>42503</v>
      </c>
      <c r="C500">
        <v>29</v>
      </c>
      <c r="D500" t="s">
        <v>15</v>
      </c>
      <c r="E500">
        <v>158.69999999999999</v>
      </c>
      <c r="F500">
        <v>77.3</v>
      </c>
      <c r="G500">
        <v>16003</v>
      </c>
      <c r="H500">
        <v>845.4</v>
      </c>
      <c r="I500">
        <v>6.9</v>
      </c>
      <c r="J500">
        <v>82</v>
      </c>
      <c r="K500" t="s">
        <v>22</v>
      </c>
      <c r="L500">
        <v>52</v>
      </c>
      <c r="M500">
        <v>2.64</v>
      </c>
      <c r="N500">
        <v>3</v>
      </c>
      <c r="O500" t="s">
        <v>19</v>
      </c>
      <c r="P500" cm="1">
        <f t="array" ref="P500">_xlfn.SWITCH(Table2[[#This Row],[mood]], "Tired", 3, "Neutral", 2, "Happy", 1)</f>
        <v>2</v>
      </c>
    </row>
    <row r="501" spans="1:16" x14ac:dyDescent="0.3">
      <c r="A501">
        <v>1569</v>
      </c>
      <c r="B501" s="1">
        <v>42504</v>
      </c>
      <c r="C501">
        <v>30</v>
      </c>
      <c r="D501" t="s">
        <v>20</v>
      </c>
      <c r="E501">
        <v>159.1</v>
      </c>
      <c r="F501">
        <v>61.8</v>
      </c>
      <c r="G501">
        <v>4472</v>
      </c>
      <c r="H501">
        <v>339</v>
      </c>
      <c r="I501">
        <v>6.4</v>
      </c>
      <c r="J501">
        <v>76</v>
      </c>
      <c r="K501" t="s">
        <v>25</v>
      </c>
      <c r="L501">
        <v>64</v>
      </c>
      <c r="M501">
        <v>3.57</v>
      </c>
      <c r="N501">
        <v>8</v>
      </c>
      <c r="O501" t="s">
        <v>21</v>
      </c>
      <c r="P501" cm="1">
        <f t="array" ref="P501">_xlfn.SWITCH(Table2[[#This Row],[mood]], "Tired", 3, "Neutral", 2, "Happy", 1)</f>
        <v>1</v>
      </c>
    </row>
    <row r="502" spans="1:16" x14ac:dyDescent="0.3">
      <c r="A502">
        <v>1322</v>
      </c>
      <c r="B502" s="1">
        <v>42505</v>
      </c>
      <c r="C502">
        <v>28</v>
      </c>
      <c r="D502" t="s">
        <v>15</v>
      </c>
      <c r="E502">
        <v>166.6</v>
      </c>
      <c r="F502">
        <v>68.5</v>
      </c>
      <c r="G502">
        <v>16847</v>
      </c>
      <c r="H502">
        <v>813.8</v>
      </c>
      <c r="I502">
        <v>6.5</v>
      </c>
      <c r="J502">
        <v>75</v>
      </c>
      <c r="K502" t="s">
        <v>16</v>
      </c>
      <c r="L502">
        <v>0</v>
      </c>
      <c r="M502">
        <v>1.59</v>
      </c>
      <c r="N502">
        <v>6</v>
      </c>
      <c r="O502" t="s">
        <v>21</v>
      </c>
      <c r="P502" cm="1">
        <f t="array" ref="P502">_xlfn.SWITCH(Table2[[#This Row],[mood]], "Tired", 3, "Neutral", 2, "Happy", 1)</f>
        <v>1</v>
      </c>
    </row>
    <row r="503" spans="1:16" x14ac:dyDescent="0.3">
      <c r="A503">
        <v>1871</v>
      </c>
      <c r="B503" s="1">
        <v>42506</v>
      </c>
      <c r="C503">
        <v>36</v>
      </c>
      <c r="D503" t="s">
        <v>15</v>
      </c>
      <c r="E503">
        <v>175.3</v>
      </c>
      <c r="F503">
        <v>78.099999999999994</v>
      </c>
      <c r="G503">
        <v>7575</v>
      </c>
      <c r="H503">
        <v>532</v>
      </c>
      <c r="I503">
        <v>9.1</v>
      </c>
      <c r="J503">
        <v>84</v>
      </c>
      <c r="K503" t="s">
        <v>23</v>
      </c>
      <c r="L503">
        <v>25</v>
      </c>
      <c r="M503">
        <v>3.13</v>
      </c>
      <c r="N503">
        <v>4</v>
      </c>
      <c r="O503" t="s">
        <v>19</v>
      </c>
      <c r="P503" cm="1">
        <f t="array" ref="P503">_xlfn.SWITCH(Table2[[#This Row],[mood]], "Tired", 3, "Neutral", 2, "Happy", 1)</f>
        <v>2</v>
      </c>
    </row>
    <row r="504" spans="1:16" x14ac:dyDescent="0.3">
      <c r="A504">
        <v>1685</v>
      </c>
      <c r="B504" s="1">
        <v>42507</v>
      </c>
      <c r="C504">
        <v>52</v>
      </c>
      <c r="D504" t="s">
        <v>20</v>
      </c>
      <c r="E504">
        <v>176.6</v>
      </c>
      <c r="F504">
        <v>100.6</v>
      </c>
      <c r="G504">
        <v>5843</v>
      </c>
      <c r="H504">
        <v>472.1</v>
      </c>
      <c r="I504">
        <v>6</v>
      </c>
      <c r="J504">
        <v>84</v>
      </c>
      <c r="K504" t="s">
        <v>16</v>
      </c>
      <c r="L504">
        <v>0</v>
      </c>
      <c r="M504">
        <v>2.06</v>
      </c>
      <c r="N504">
        <v>10</v>
      </c>
      <c r="O504" t="s">
        <v>19</v>
      </c>
      <c r="P504" cm="1">
        <f t="array" ref="P504">_xlfn.SWITCH(Table2[[#This Row],[mood]], "Tired", 3, "Neutral", 2, "Happy", 1)</f>
        <v>2</v>
      </c>
    </row>
    <row r="505" spans="1:16" x14ac:dyDescent="0.3">
      <c r="A505">
        <v>1791</v>
      </c>
      <c r="B505" s="1">
        <v>42508</v>
      </c>
      <c r="C505">
        <v>56</v>
      </c>
      <c r="D505" t="s">
        <v>20</v>
      </c>
      <c r="E505">
        <v>171.4</v>
      </c>
      <c r="F505">
        <v>66.7</v>
      </c>
      <c r="G505">
        <v>8739</v>
      </c>
      <c r="H505">
        <v>613.79999999999995</v>
      </c>
      <c r="I505">
        <v>8.3000000000000007</v>
      </c>
      <c r="J505">
        <v>59</v>
      </c>
      <c r="K505" t="s">
        <v>24</v>
      </c>
      <c r="L505">
        <v>34</v>
      </c>
      <c r="M505">
        <v>1.91</v>
      </c>
      <c r="N505">
        <v>3</v>
      </c>
      <c r="O505" t="s">
        <v>17</v>
      </c>
      <c r="P505" cm="1">
        <f t="array" ref="P505">_xlfn.SWITCH(Table2[[#This Row],[mood]], "Tired", 3, "Neutral", 2, "Happy", 1)</f>
        <v>3</v>
      </c>
    </row>
    <row r="506" spans="1:16" x14ac:dyDescent="0.3">
      <c r="A506">
        <v>1625</v>
      </c>
      <c r="B506" s="1">
        <v>42509</v>
      </c>
      <c r="C506">
        <v>43</v>
      </c>
      <c r="D506" t="s">
        <v>15</v>
      </c>
      <c r="E506">
        <v>161.69999999999999</v>
      </c>
      <c r="F506">
        <v>96.5</v>
      </c>
      <c r="G506">
        <v>15852</v>
      </c>
      <c r="H506">
        <v>819.8</v>
      </c>
      <c r="I506">
        <v>5.7</v>
      </c>
      <c r="J506">
        <v>75</v>
      </c>
      <c r="K506" t="s">
        <v>22</v>
      </c>
      <c r="L506">
        <v>28</v>
      </c>
      <c r="M506">
        <v>3.22</v>
      </c>
      <c r="N506">
        <v>10</v>
      </c>
      <c r="O506" t="s">
        <v>19</v>
      </c>
      <c r="P506" cm="1">
        <f t="array" ref="P506">_xlfn.SWITCH(Table2[[#This Row],[mood]], "Tired", 3, "Neutral", 2, "Happy", 1)</f>
        <v>2</v>
      </c>
    </row>
    <row r="507" spans="1:16" x14ac:dyDescent="0.3">
      <c r="A507">
        <v>1287</v>
      </c>
      <c r="B507" s="1">
        <v>42510</v>
      </c>
      <c r="C507">
        <v>31</v>
      </c>
      <c r="D507" t="s">
        <v>20</v>
      </c>
      <c r="E507">
        <v>187.4</v>
      </c>
      <c r="F507">
        <v>45</v>
      </c>
      <c r="G507">
        <v>17324</v>
      </c>
      <c r="H507">
        <v>900</v>
      </c>
      <c r="I507">
        <v>5.7</v>
      </c>
      <c r="J507">
        <v>95</v>
      </c>
      <c r="K507" t="s">
        <v>24</v>
      </c>
      <c r="L507">
        <v>80</v>
      </c>
      <c r="M507">
        <v>1.88</v>
      </c>
      <c r="N507">
        <v>10</v>
      </c>
      <c r="O507" t="s">
        <v>21</v>
      </c>
      <c r="P507" cm="1">
        <f t="array" ref="P507">_xlfn.SWITCH(Table2[[#This Row],[mood]], "Tired", 3, "Neutral", 2, "Happy", 1)</f>
        <v>1</v>
      </c>
    </row>
    <row r="508" spans="1:16" x14ac:dyDescent="0.3">
      <c r="A508">
        <v>1942</v>
      </c>
      <c r="B508" s="1">
        <v>42511</v>
      </c>
      <c r="C508">
        <v>41</v>
      </c>
      <c r="D508" t="s">
        <v>20</v>
      </c>
      <c r="E508">
        <v>159.30000000000001</v>
      </c>
      <c r="F508">
        <v>72.2</v>
      </c>
      <c r="G508">
        <v>19893</v>
      </c>
      <c r="H508">
        <v>900</v>
      </c>
      <c r="I508">
        <v>8.8000000000000007</v>
      </c>
      <c r="J508">
        <v>71</v>
      </c>
      <c r="K508" t="s">
        <v>23</v>
      </c>
      <c r="L508">
        <v>75</v>
      </c>
      <c r="M508">
        <v>2.76</v>
      </c>
      <c r="N508">
        <v>2</v>
      </c>
      <c r="O508" t="s">
        <v>21</v>
      </c>
      <c r="P508" cm="1">
        <f t="array" ref="P508">_xlfn.SWITCH(Table2[[#This Row],[mood]], "Tired", 3, "Neutral", 2, "Happy", 1)</f>
        <v>1</v>
      </c>
    </row>
    <row r="509" spans="1:16" x14ac:dyDescent="0.3">
      <c r="A509">
        <v>1853</v>
      </c>
      <c r="B509" s="1">
        <v>42512</v>
      </c>
      <c r="C509">
        <v>58</v>
      </c>
      <c r="D509" t="s">
        <v>20</v>
      </c>
      <c r="E509">
        <v>183</v>
      </c>
      <c r="F509">
        <v>65</v>
      </c>
      <c r="G509">
        <v>10157</v>
      </c>
      <c r="H509">
        <v>711</v>
      </c>
      <c r="I509">
        <v>7.7</v>
      </c>
      <c r="J509">
        <v>80</v>
      </c>
      <c r="K509" t="s">
        <v>22</v>
      </c>
      <c r="L509">
        <v>24</v>
      </c>
      <c r="M509">
        <v>2.16</v>
      </c>
      <c r="N509">
        <v>6</v>
      </c>
      <c r="O509" t="s">
        <v>19</v>
      </c>
      <c r="P509" cm="1">
        <f t="array" ref="P509">_xlfn.SWITCH(Table2[[#This Row],[mood]], "Tired", 3, "Neutral", 2, "Happy", 1)</f>
        <v>2</v>
      </c>
    </row>
    <row r="510" spans="1:16" x14ac:dyDescent="0.3">
      <c r="A510">
        <v>1662</v>
      </c>
      <c r="B510" s="1">
        <v>42513</v>
      </c>
      <c r="C510">
        <v>18</v>
      </c>
      <c r="D510" t="s">
        <v>20</v>
      </c>
      <c r="E510">
        <v>177.4</v>
      </c>
      <c r="F510">
        <v>62</v>
      </c>
      <c r="G510">
        <v>19422</v>
      </c>
      <c r="H510">
        <v>900</v>
      </c>
      <c r="I510">
        <v>3.8</v>
      </c>
      <c r="J510">
        <v>87</v>
      </c>
      <c r="K510" t="s">
        <v>18</v>
      </c>
      <c r="L510">
        <v>45</v>
      </c>
      <c r="M510">
        <v>0.85</v>
      </c>
      <c r="N510">
        <v>1</v>
      </c>
      <c r="O510" t="s">
        <v>19</v>
      </c>
      <c r="P510" cm="1">
        <f t="array" ref="P510">_xlfn.SWITCH(Table2[[#This Row],[mood]], "Tired", 3, "Neutral", 2, "Happy", 1)</f>
        <v>2</v>
      </c>
    </row>
    <row r="511" spans="1:16" x14ac:dyDescent="0.3">
      <c r="A511">
        <v>1961</v>
      </c>
      <c r="B511" s="1">
        <v>42514</v>
      </c>
      <c r="C511">
        <v>39</v>
      </c>
      <c r="D511" t="s">
        <v>15</v>
      </c>
      <c r="E511">
        <v>182.8</v>
      </c>
      <c r="F511">
        <v>79.900000000000006</v>
      </c>
      <c r="G511">
        <v>15516</v>
      </c>
      <c r="H511">
        <v>803.1</v>
      </c>
      <c r="I511">
        <v>5.7</v>
      </c>
      <c r="J511">
        <v>64</v>
      </c>
      <c r="K511" t="s">
        <v>18</v>
      </c>
      <c r="L511">
        <v>76</v>
      </c>
      <c r="M511">
        <v>2.83</v>
      </c>
      <c r="N511">
        <v>10</v>
      </c>
      <c r="O511" t="s">
        <v>17</v>
      </c>
      <c r="P511" cm="1">
        <f t="array" ref="P511">_xlfn.SWITCH(Table2[[#This Row],[mood]], "Tired", 3, "Neutral", 2, "Happy", 1)</f>
        <v>3</v>
      </c>
    </row>
    <row r="512" spans="1:16" x14ac:dyDescent="0.3">
      <c r="A512">
        <v>1638</v>
      </c>
      <c r="B512" s="1">
        <v>42515</v>
      </c>
      <c r="C512">
        <v>40</v>
      </c>
      <c r="D512" t="s">
        <v>20</v>
      </c>
      <c r="E512">
        <v>165.6</v>
      </c>
      <c r="F512">
        <v>66.8</v>
      </c>
      <c r="G512">
        <v>13432</v>
      </c>
      <c r="H512">
        <v>737.6</v>
      </c>
      <c r="I512">
        <v>3.1</v>
      </c>
      <c r="J512">
        <v>71</v>
      </c>
      <c r="K512" t="s">
        <v>18</v>
      </c>
      <c r="L512">
        <v>54</v>
      </c>
      <c r="M512">
        <v>2.59</v>
      </c>
      <c r="N512">
        <v>8</v>
      </c>
      <c r="O512" t="s">
        <v>21</v>
      </c>
      <c r="P512" cm="1">
        <f t="array" ref="P512">_xlfn.SWITCH(Table2[[#This Row],[mood]], "Tired", 3, "Neutral", 2, "Happy", 1)</f>
        <v>1</v>
      </c>
    </row>
    <row r="513" spans="1:16" x14ac:dyDescent="0.3">
      <c r="A513">
        <v>1154</v>
      </c>
      <c r="B513" s="1">
        <v>42516</v>
      </c>
      <c r="C513">
        <v>36</v>
      </c>
      <c r="D513" t="s">
        <v>20</v>
      </c>
      <c r="E513">
        <v>168.6</v>
      </c>
      <c r="F513">
        <v>45</v>
      </c>
      <c r="G513">
        <v>19234</v>
      </c>
      <c r="H513">
        <v>900</v>
      </c>
      <c r="I513">
        <v>6.4</v>
      </c>
      <c r="J513">
        <v>59</v>
      </c>
      <c r="K513" t="s">
        <v>16</v>
      </c>
      <c r="L513">
        <v>0</v>
      </c>
      <c r="M513">
        <v>1.1599999999999999</v>
      </c>
      <c r="N513">
        <v>5</v>
      </c>
      <c r="O513" t="s">
        <v>21</v>
      </c>
      <c r="P513" cm="1">
        <f t="array" ref="P513">_xlfn.SWITCH(Table2[[#This Row],[mood]], "Tired", 3, "Neutral", 2, "Happy", 1)</f>
        <v>1</v>
      </c>
    </row>
    <row r="514" spans="1:16" x14ac:dyDescent="0.3">
      <c r="A514">
        <v>1489</v>
      </c>
      <c r="B514" s="1">
        <v>42517</v>
      </c>
      <c r="C514">
        <v>35</v>
      </c>
      <c r="D514" t="s">
        <v>20</v>
      </c>
      <c r="E514">
        <v>170.6</v>
      </c>
      <c r="F514">
        <v>46.2</v>
      </c>
      <c r="G514">
        <v>8432</v>
      </c>
      <c r="H514">
        <v>572.6</v>
      </c>
      <c r="I514">
        <v>6.6</v>
      </c>
      <c r="J514">
        <v>76</v>
      </c>
      <c r="K514" t="s">
        <v>25</v>
      </c>
      <c r="L514">
        <v>40</v>
      </c>
      <c r="M514">
        <v>2.0099999999999998</v>
      </c>
      <c r="N514">
        <v>7</v>
      </c>
      <c r="O514" t="s">
        <v>21</v>
      </c>
      <c r="P514" cm="1">
        <f t="array" ref="P514">_xlfn.SWITCH(Table2[[#This Row],[mood]], "Tired", 3, "Neutral", 2, "Happy", 1)</f>
        <v>1</v>
      </c>
    </row>
    <row r="515" spans="1:16" x14ac:dyDescent="0.3">
      <c r="A515">
        <v>1385</v>
      </c>
      <c r="B515" s="1">
        <v>42518</v>
      </c>
      <c r="C515">
        <v>29</v>
      </c>
      <c r="D515" t="s">
        <v>20</v>
      </c>
      <c r="E515">
        <v>165.2</v>
      </c>
      <c r="F515">
        <v>80.8</v>
      </c>
      <c r="G515">
        <v>19837</v>
      </c>
      <c r="H515">
        <v>900</v>
      </c>
      <c r="I515">
        <v>6.3</v>
      </c>
      <c r="J515">
        <v>79</v>
      </c>
      <c r="K515" t="s">
        <v>16</v>
      </c>
      <c r="L515">
        <v>0</v>
      </c>
      <c r="M515">
        <v>1.24</v>
      </c>
      <c r="N515">
        <v>7</v>
      </c>
      <c r="O515" t="s">
        <v>19</v>
      </c>
      <c r="P515" cm="1">
        <f t="array" ref="P515">_xlfn.SWITCH(Table2[[#This Row],[mood]], "Tired", 3, "Neutral", 2, "Happy", 1)</f>
        <v>2</v>
      </c>
    </row>
    <row r="516" spans="1:16" x14ac:dyDescent="0.3">
      <c r="A516">
        <v>1985</v>
      </c>
      <c r="B516" s="1">
        <v>42519</v>
      </c>
      <c r="C516">
        <v>45</v>
      </c>
      <c r="D516" t="s">
        <v>20</v>
      </c>
      <c r="E516">
        <v>172.3</v>
      </c>
      <c r="F516">
        <v>45.4</v>
      </c>
      <c r="G516">
        <v>16148</v>
      </c>
      <c r="H516">
        <v>862</v>
      </c>
      <c r="I516">
        <v>8.8000000000000007</v>
      </c>
      <c r="J516">
        <v>81</v>
      </c>
      <c r="K516" t="s">
        <v>16</v>
      </c>
      <c r="L516">
        <v>0</v>
      </c>
      <c r="M516">
        <v>3.01</v>
      </c>
      <c r="N516">
        <v>10</v>
      </c>
      <c r="O516" t="s">
        <v>21</v>
      </c>
      <c r="P516" cm="1">
        <f t="array" ref="P516">_xlfn.SWITCH(Table2[[#This Row],[mood]], "Tired", 3, "Neutral", 2, "Happy", 1)</f>
        <v>1</v>
      </c>
    </row>
    <row r="517" spans="1:16" x14ac:dyDescent="0.3">
      <c r="A517">
        <v>1784</v>
      </c>
      <c r="B517" s="1">
        <v>42520</v>
      </c>
      <c r="C517">
        <v>45</v>
      </c>
      <c r="D517" t="s">
        <v>20</v>
      </c>
      <c r="E517">
        <v>185.8</v>
      </c>
      <c r="F517">
        <v>81.2</v>
      </c>
      <c r="G517">
        <v>12194</v>
      </c>
      <c r="H517">
        <v>704.1</v>
      </c>
      <c r="I517">
        <v>7.6</v>
      </c>
      <c r="J517">
        <v>91</v>
      </c>
      <c r="K517" t="s">
        <v>16</v>
      </c>
      <c r="L517">
        <v>0</v>
      </c>
      <c r="M517">
        <v>3.47</v>
      </c>
      <c r="N517">
        <v>6</v>
      </c>
      <c r="O517" t="s">
        <v>19</v>
      </c>
      <c r="P517" cm="1">
        <f t="array" ref="P517">_xlfn.SWITCH(Table2[[#This Row],[mood]], "Tired", 3, "Neutral", 2, "Happy", 1)</f>
        <v>2</v>
      </c>
    </row>
    <row r="518" spans="1:16" x14ac:dyDescent="0.3">
      <c r="A518">
        <v>1103</v>
      </c>
      <c r="B518" s="1">
        <v>42521</v>
      </c>
      <c r="C518">
        <v>50</v>
      </c>
      <c r="D518" t="s">
        <v>20</v>
      </c>
      <c r="E518">
        <v>157</v>
      </c>
      <c r="F518">
        <v>71.900000000000006</v>
      </c>
      <c r="G518">
        <v>15819</v>
      </c>
      <c r="H518">
        <v>851.9</v>
      </c>
      <c r="I518">
        <v>10</v>
      </c>
      <c r="J518">
        <v>76</v>
      </c>
      <c r="K518" t="s">
        <v>16</v>
      </c>
      <c r="L518">
        <v>0</v>
      </c>
      <c r="M518">
        <v>3.09</v>
      </c>
      <c r="N518">
        <v>5</v>
      </c>
      <c r="O518" t="s">
        <v>17</v>
      </c>
      <c r="P518" cm="1">
        <f t="array" ref="P518">_xlfn.SWITCH(Table2[[#This Row],[mood]], "Tired", 3, "Neutral", 2, "Happy", 1)</f>
        <v>3</v>
      </c>
    </row>
    <row r="519" spans="1:16" x14ac:dyDescent="0.3">
      <c r="A519">
        <v>1928</v>
      </c>
      <c r="B519" s="1">
        <v>42522</v>
      </c>
      <c r="C519">
        <v>36</v>
      </c>
      <c r="D519" t="s">
        <v>20</v>
      </c>
      <c r="E519">
        <v>163.4</v>
      </c>
      <c r="F519">
        <v>67.400000000000006</v>
      </c>
      <c r="G519">
        <v>7625</v>
      </c>
      <c r="H519">
        <v>453.9</v>
      </c>
      <c r="I519">
        <v>7.8</v>
      </c>
      <c r="J519">
        <v>63</v>
      </c>
      <c r="K519" t="s">
        <v>18</v>
      </c>
      <c r="L519">
        <v>42</v>
      </c>
      <c r="M519">
        <v>3.19</v>
      </c>
      <c r="N519">
        <v>2</v>
      </c>
      <c r="O519" t="s">
        <v>19</v>
      </c>
      <c r="P519" cm="1">
        <f t="array" ref="P519">_xlfn.SWITCH(Table2[[#This Row],[mood]], "Tired", 3, "Neutral", 2, "Happy", 1)</f>
        <v>2</v>
      </c>
    </row>
    <row r="520" spans="1:16" x14ac:dyDescent="0.3">
      <c r="A520">
        <v>1392</v>
      </c>
      <c r="B520" s="1">
        <v>42523</v>
      </c>
      <c r="C520">
        <v>45</v>
      </c>
      <c r="D520" t="s">
        <v>15</v>
      </c>
      <c r="E520">
        <v>162.30000000000001</v>
      </c>
      <c r="F520">
        <v>68.8</v>
      </c>
      <c r="G520">
        <v>8404</v>
      </c>
      <c r="H520">
        <v>548.5</v>
      </c>
      <c r="I520">
        <v>7.8</v>
      </c>
      <c r="J520">
        <v>66</v>
      </c>
      <c r="K520" t="s">
        <v>25</v>
      </c>
      <c r="L520">
        <v>58</v>
      </c>
      <c r="M520">
        <v>2.14</v>
      </c>
      <c r="N520">
        <v>3</v>
      </c>
      <c r="O520" t="s">
        <v>17</v>
      </c>
      <c r="P520" cm="1">
        <f t="array" ref="P520">_xlfn.SWITCH(Table2[[#This Row],[mood]], "Tired", 3, "Neutral", 2, "Happy", 1)</f>
        <v>3</v>
      </c>
    </row>
    <row r="521" spans="1:16" x14ac:dyDescent="0.3">
      <c r="A521">
        <v>1810</v>
      </c>
      <c r="B521" s="1">
        <v>42524</v>
      </c>
      <c r="C521">
        <v>54</v>
      </c>
      <c r="D521" t="s">
        <v>20</v>
      </c>
      <c r="E521">
        <v>169.1</v>
      </c>
      <c r="F521">
        <v>77.7</v>
      </c>
      <c r="G521">
        <v>15674</v>
      </c>
      <c r="H521">
        <v>900</v>
      </c>
      <c r="I521">
        <v>7.4</v>
      </c>
      <c r="J521">
        <v>67</v>
      </c>
      <c r="K521" t="s">
        <v>25</v>
      </c>
      <c r="L521">
        <v>41</v>
      </c>
      <c r="M521">
        <v>2.88</v>
      </c>
      <c r="N521">
        <v>3</v>
      </c>
      <c r="O521" t="s">
        <v>17</v>
      </c>
      <c r="P521" cm="1">
        <f t="array" ref="P521">_xlfn.SWITCH(Table2[[#This Row],[mood]], "Tired", 3, "Neutral", 2, "Happy", 1)</f>
        <v>3</v>
      </c>
    </row>
    <row r="522" spans="1:16" x14ac:dyDescent="0.3">
      <c r="A522">
        <v>1245</v>
      </c>
      <c r="B522" s="1">
        <v>42525</v>
      </c>
      <c r="C522">
        <v>43</v>
      </c>
      <c r="D522" t="s">
        <v>15</v>
      </c>
      <c r="E522">
        <v>168.6</v>
      </c>
      <c r="F522">
        <v>52.3</v>
      </c>
      <c r="G522">
        <v>11507</v>
      </c>
      <c r="H522">
        <v>637.4</v>
      </c>
      <c r="I522">
        <v>6.6</v>
      </c>
      <c r="J522">
        <v>77</v>
      </c>
      <c r="K522" t="s">
        <v>23</v>
      </c>
      <c r="L522">
        <v>74</v>
      </c>
      <c r="M522">
        <v>2.4900000000000002</v>
      </c>
      <c r="N522">
        <v>5</v>
      </c>
      <c r="O522" t="s">
        <v>19</v>
      </c>
      <c r="P522" cm="1">
        <f t="array" ref="P522">_xlfn.SWITCH(Table2[[#This Row],[mood]], "Tired", 3, "Neutral", 2, "Happy", 1)</f>
        <v>2</v>
      </c>
    </row>
    <row r="523" spans="1:16" x14ac:dyDescent="0.3">
      <c r="A523">
        <v>1175</v>
      </c>
      <c r="B523" s="1">
        <v>42526</v>
      </c>
      <c r="C523">
        <v>52</v>
      </c>
      <c r="D523" t="s">
        <v>20</v>
      </c>
      <c r="E523">
        <v>177.7</v>
      </c>
      <c r="F523">
        <v>70.599999999999994</v>
      </c>
      <c r="G523">
        <v>19697</v>
      </c>
      <c r="H523">
        <v>900</v>
      </c>
      <c r="I523">
        <v>6</v>
      </c>
      <c r="J523">
        <v>98</v>
      </c>
      <c r="K523" t="s">
        <v>18</v>
      </c>
      <c r="L523">
        <v>50</v>
      </c>
      <c r="M523">
        <v>2.63</v>
      </c>
      <c r="N523">
        <v>2</v>
      </c>
      <c r="O523" t="s">
        <v>17</v>
      </c>
      <c r="P523" cm="1">
        <f t="array" ref="P523">_xlfn.SWITCH(Table2[[#This Row],[mood]], "Tired", 3, "Neutral", 2, "Happy", 1)</f>
        <v>3</v>
      </c>
    </row>
    <row r="524" spans="1:16" x14ac:dyDescent="0.3">
      <c r="A524">
        <v>1038</v>
      </c>
      <c r="B524" s="1">
        <v>42527</v>
      </c>
      <c r="C524">
        <v>51</v>
      </c>
      <c r="D524" t="s">
        <v>20</v>
      </c>
      <c r="E524">
        <v>170.3</v>
      </c>
      <c r="F524">
        <v>52.9</v>
      </c>
      <c r="G524">
        <v>5623</v>
      </c>
      <c r="H524">
        <v>332.8</v>
      </c>
      <c r="I524">
        <v>6.6</v>
      </c>
      <c r="J524">
        <v>74</v>
      </c>
      <c r="K524" t="s">
        <v>22</v>
      </c>
      <c r="L524">
        <v>66</v>
      </c>
      <c r="M524">
        <v>3.17</v>
      </c>
      <c r="N524">
        <v>1</v>
      </c>
      <c r="O524" t="s">
        <v>19</v>
      </c>
      <c r="P524" cm="1">
        <f t="array" ref="P524">_xlfn.SWITCH(Table2[[#This Row],[mood]], "Tired", 3, "Neutral", 2, "Happy", 1)</f>
        <v>2</v>
      </c>
    </row>
    <row r="525" spans="1:16" x14ac:dyDescent="0.3">
      <c r="A525">
        <v>1476</v>
      </c>
      <c r="B525" s="1">
        <v>42528</v>
      </c>
      <c r="C525">
        <v>52</v>
      </c>
      <c r="D525" t="s">
        <v>20</v>
      </c>
      <c r="E525">
        <v>173</v>
      </c>
      <c r="F525">
        <v>72.5</v>
      </c>
      <c r="G525">
        <v>8015</v>
      </c>
      <c r="H525">
        <v>533.20000000000005</v>
      </c>
      <c r="I525">
        <v>6.7</v>
      </c>
      <c r="J525">
        <v>89</v>
      </c>
      <c r="K525" t="s">
        <v>16</v>
      </c>
      <c r="L525">
        <v>0</v>
      </c>
      <c r="M525">
        <v>3.32</v>
      </c>
      <c r="N525">
        <v>4</v>
      </c>
      <c r="O525" t="s">
        <v>21</v>
      </c>
      <c r="P525" cm="1">
        <f t="array" ref="P525">_xlfn.SWITCH(Table2[[#This Row],[mood]], "Tired", 3, "Neutral", 2, "Happy", 1)</f>
        <v>1</v>
      </c>
    </row>
    <row r="526" spans="1:16" x14ac:dyDescent="0.3">
      <c r="A526">
        <v>1681</v>
      </c>
      <c r="B526" s="1">
        <v>42529</v>
      </c>
      <c r="C526">
        <v>57</v>
      </c>
      <c r="D526" t="s">
        <v>20</v>
      </c>
      <c r="E526">
        <v>174</v>
      </c>
      <c r="F526">
        <v>79.7</v>
      </c>
      <c r="G526">
        <v>16261</v>
      </c>
      <c r="H526">
        <v>861.3</v>
      </c>
      <c r="I526">
        <v>6.9</v>
      </c>
      <c r="J526">
        <v>74</v>
      </c>
      <c r="K526" t="s">
        <v>25</v>
      </c>
      <c r="L526">
        <v>67</v>
      </c>
      <c r="M526">
        <v>2.23</v>
      </c>
      <c r="N526">
        <v>10</v>
      </c>
      <c r="O526" t="s">
        <v>19</v>
      </c>
      <c r="P526" cm="1">
        <f t="array" ref="P526">_xlfn.SWITCH(Table2[[#This Row],[mood]], "Tired", 3, "Neutral", 2, "Happy", 1)</f>
        <v>2</v>
      </c>
    </row>
    <row r="527" spans="1:16" x14ac:dyDescent="0.3">
      <c r="A527">
        <v>1758</v>
      </c>
      <c r="B527" s="1">
        <v>42530</v>
      </c>
      <c r="C527">
        <v>33</v>
      </c>
      <c r="D527" t="s">
        <v>15</v>
      </c>
      <c r="E527">
        <v>172.5</v>
      </c>
      <c r="F527">
        <v>72.5</v>
      </c>
      <c r="G527">
        <v>8782</v>
      </c>
      <c r="H527">
        <v>557.1</v>
      </c>
      <c r="I527">
        <v>8</v>
      </c>
      <c r="J527">
        <v>63</v>
      </c>
      <c r="K527" t="s">
        <v>23</v>
      </c>
      <c r="L527">
        <v>58</v>
      </c>
      <c r="M527">
        <v>1.51</v>
      </c>
      <c r="N527">
        <v>3</v>
      </c>
      <c r="O527" t="s">
        <v>17</v>
      </c>
      <c r="P527" cm="1">
        <f t="array" ref="P527">_xlfn.SWITCH(Table2[[#This Row],[mood]], "Tired", 3, "Neutral", 2, "Happy", 1)</f>
        <v>3</v>
      </c>
    </row>
    <row r="528" spans="1:16" x14ac:dyDescent="0.3">
      <c r="A528">
        <v>1537</v>
      </c>
      <c r="B528" s="1">
        <v>42531</v>
      </c>
      <c r="C528">
        <v>55</v>
      </c>
      <c r="D528" t="s">
        <v>20</v>
      </c>
      <c r="E528">
        <v>177</v>
      </c>
      <c r="F528">
        <v>79.099999999999994</v>
      </c>
      <c r="G528">
        <v>6214</v>
      </c>
      <c r="H528">
        <v>485.1</v>
      </c>
      <c r="I528">
        <v>7.5</v>
      </c>
      <c r="J528">
        <v>67</v>
      </c>
      <c r="K528" t="s">
        <v>25</v>
      </c>
      <c r="L528">
        <v>40</v>
      </c>
      <c r="M528">
        <v>2.37</v>
      </c>
      <c r="N528">
        <v>3</v>
      </c>
      <c r="O528" t="s">
        <v>17</v>
      </c>
      <c r="P528" cm="1">
        <f t="array" ref="P528">_xlfn.SWITCH(Table2[[#This Row],[mood]], "Tired", 3, "Neutral", 2, "Happy", 1)</f>
        <v>3</v>
      </c>
    </row>
    <row r="529" spans="1:16" x14ac:dyDescent="0.3">
      <c r="A529">
        <v>1866</v>
      </c>
      <c r="B529" s="1">
        <v>42532</v>
      </c>
      <c r="C529">
        <v>30</v>
      </c>
      <c r="D529" t="s">
        <v>20</v>
      </c>
      <c r="E529">
        <v>168.8</v>
      </c>
      <c r="F529">
        <v>59.5</v>
      </c>
      <c r="G529">
        <v>7938</v>
      </c>
      <c r="H529">
        <v>503.6</v>
      </c>
      <c r="I529">
        <v>6.2</v>
      </c>
      <c r="J529">
        <v>68</v>
      </c>
      <c r="K529" t="s">
        <v>22</v>
      </c>
      <c r="L529">
        <v>34</v>
      </c>
      <c r="M529">
        <v>2.35</v>
      </c>
      <c r="N529">
        <v>10</v>
      </c>
      <c r="O529" t="s">
        <v>21</v>
      </c>
      <c r="P529" cm="1">
        <f t="array" ref="P529">_xlfn.SWITCH(Table2[[#This Row],[mood]], "Tired", 3, "Neutral", 2, "Happy", 1)</f>
        <v>1</v>
      </c>
    </row>
    <row r="530" spans="1:16" x14ac:dyDescent="0.3">
      <c r="A530">
        <v>1817</v>
      </c>
      <c r="B530" s="1">
        <v>42533</v>
      </c>
      <c r="C530">
        <v>40</v>
      </c>
      <c r="D530" t="s">
        <v>15</v>
      </c>
      <c r="E530">
        <v>186.5</v>
      </c>
      <c r="F530">
        <v>69.099999999999994</v>
      </c>
      <c r="G530">
        <v>3988</v>
      </c>
      <c r="H530">
        <v>418.3</v>
      </c>
      <c r="I530">
        <v>5.9</v>
      </c>
      <c r="J530">
        <v>74</v>
      </c>
      <c r="K530" t="s">
        <v>22</v>
      </c>
      <c r="L530">
        <v>64</v>
      </c>
      <c r="M530">
        <v>2.7</v>
      </c>
      <c r="N530">
        <v>6</v>
      </c>
      <c r="O530" t="s">
        <v>19</v>
      </c>
      <c r="P530" cm="1">
        <f t="array" ref="P530">_xlfn.SWITCH(Table2[[#This Row],[mood]], "Tired", 3, "Neutral", 2, "Happy", 1)</f>
        <v>2</v>
      </c>
    </row>
    <row r="531" spans="1:16" x14ac:dyDescent="0.3">
      <c r="A531">
        <v>1920</v>
      </c>
      <c r="B531" s="1">
        <v>42534</v>
      </c>
      <c r="C531">
        <v>39</v>
      </c>
      <c r="D531" t="s">
        <v>15</v>
      </c>
      <c r="E531">
        <v>195.4</v>
      </c>
      <c r="F531">
        <v>66.400000000000006</v>
      </c>
      <c r="G531">
        <v>6156</v>
      </c>
      <c r="H531">
        <v>402.1</v>
      </c>
      <c r="I531">
        <v>7.3</v>
      </c>
      <c r="J531">
        <v>79</v>
      </c>
      <c r="K531" t="s">
        <v>18</v>
      </c>
      <c r="L531">
        <v>38</v>
      </c>
      <c r="M531">
        <v>3.08</v>
      </c>
      <c r="N531">
        <v>9</v>
      </c>
      <c r="O531" t="s">
        <v>21</v>
      </c>
      <c r="P531" cm="1">
        <f t="array" ref="P531">_xlfn.SWITCH(Table2[[#This Row],[mood]], "Tired", 3, "Neutral", 2, "Happy", 1)</f>
        <v>1</v>
      </c>
    </row>
    <row r="532" spans="1:16" x14ac:dyDescent="0.3">
      <c r="A532">
        <v>1407</v>
      </c>
      <c r="B532" s="1">
        <v>42535</v>
      </c>
      <c r="C532">
        <v>33</v>
      </c>
      <c r="D532" t="s">
        <v>20</v>
      </c>
      <c r="E532">
        <v>177.1</v>
      </c>
      <c r="F532">
        <v>65.400000000000006</v>
      </c>
      <c r="G532">
        <v>6512</v>
      </c>
      <c r="H532">
        <v>532.6</v>
      </c>
      <c r="I532">
        <v>5.6</v>
      </c>
      <c r="J532">
        <v>68</v>
      </c>
      <c r="K532" t="s">
        <v>25</v>
      </c>
      <c r="L532">
        <v>72</v>
      </c>
      <c r="M532">
        <v>1.1599999999999999</v>
      </c>
      <c r="N532">
        <v>10</v>
      </c>
      <c r="O532" t="s">
        <v>17</v>
      </c>
      <c r="P532" cm="1">
        <f t="array" ref="P532">_xlfn.SWITCH(Table2[[#This Row],[mood]], "Tired", 3, "Neutral", 2, "Happy", 1)</f>
        <v>3</v>
      </c>
    </row>
    <row r="533" spans="1:16" x14ac:dyDescent="0.3">
      <c r="A533">
        <v>1524</v>
      </c>
      <c r="B533" s="1">
        <v>42536</v>
      </c>
      <c r="C533">
        <v>45</v>
      </c>
      <c r="D533" t="s">
        <v>15</v>
      </c>
      <c r="E533">
        <v>172.3</v>
      </c>
      <c r="F533">
        <v>58</v>
      </c>
      <c r="G533">
        <v>10788</v>
      </c>
      <c r="H533">
        <v>642.20000000000005</v>
      </c>
      <c r="I533">
        <v>6.4</v>
      </c>
      <c r="J533">
        <v>83</v>
      </c>
      <c r="K533" t="s">
        <v>22</v>
      </c>
      <c r="L533">
        <v>74</v>
      </c>
      <c r="M533">
        <v>2.0299999999999998</v>
      </c>
      <c r="N533">
        <v>10</v>
      </c>
      <c r="O533" t="s">
        <v>19</v>
      </c>
      <c r="P533" cm="1">
        <f t="array" ref="P533">_xlfn.SWITCH(Table2[[#This Row],[mood]], "Tired", 3, "Neutral", 2, "Happy", 1)</f>
        <v>2</v>
      </c>
    </row>
    <row r="534" spans="1:16" x14ac:dyDescent="0.3">
      <c r="A534">
        <v>1827</v>
      </c>
      <c r="B534" s="1">
        <v>42537</v>
      </c>
      <c r="C534">
        <v>52</v>
      </c>
      <c r="D534" t="s">
        <v>15</v>
      </c>
      <c r="E534">
        <v>176.2</v>
      </c>
      <c r="F534">
        <v>63.5</v>
      </c>
      <c r="G534">
        <v>15185</v>
      </c>
      <c r="H534">
        <v>803.8</v>
      </c>
      <c r="I534">
        <v>6.2</v>
      </c>
      <c r="J534">
        <v>85</v>
      </c>
      <c r="K534" t="s">
        <v>24</v>
      </c>
      <c r="L534">
        <v>68</v>
      </c>
      <c r="M534">
        <v>1.83</v>
      </c>
      <c r="N534">
        <v>2</v>
      </c>
      <c r="O534" t="s">
        <v>17</v>
      </c>
      <c r="P534" cm="1">
        <f t="array" ref="P534">_xlfn.SWITCH(Table2[[#This Row],[mood]], "Tired", 3, "Neutral", 2, "Happy", 1)</f>
        <v>3</v>
      </c>
    </row>
    <row r="535" spans="1:16" x14ac:dyDescent="0.3">
      <c r="A535">
        <v>1505</v>
      </c>
      <c r="B535" s="1">
        <v>42538</v>
      </c>
      <c r="C535">
        <v>25</v>
      </c>
      <c r="D535" t="s">
        <v>15</v>
      </c>
      <c r="E535">
        <v>159</v>
      </c>
      <c r="F535">
        <v>53.3</v>
      </c>
      <c r="G535">
        <v>19734</v>
      </c>
      <c r="H535">
        <v>900</v>
      </c>
      <c r="I535">
        <v>10</v>
      </c>
      <c r="J535">
        <v>72</v>
      </c>
      <c r="K535" t="s">
        <v>22</v>
      </c>
      <c r="L535">
        <v>80</v>
      </c>
      <c r="M535">
        <v>3.38</v>
      </c>
      <c r="N535">
        <v>5</v>
      </c>
      <c r="O535" t="s">
        <v>19</v>
      </c>
      <c r="P535" cm="1">
        <f t="array" ref="P535">_xlfn.SWITCH(Table2[[#This Row],[mood]], "Tired", 3, "Neutral", 2, "Happy", 1)</f>
        <v>2</v>
      </c>
    </row>
    <row r="536" spans="1:16" x14ac:dyDescent="0.3">
      <c r="A536">
        <v>1902</v>
      </c>
      <c r="B536" s="1">
        <v>42539</v>
      </c>
      <c r="C536">
        <v>39</v>
      </c>
      <c r="D536" t="s">
        <v>20</v>
      </c>
      <c r="E536">
        <v>171.8</v>
      </c>
      <c r="F536">
        <v>45</v>
      </c>
      <c r="G536">
        <v>10971</v>
      </c>
      <c r="H536">
        <v>583.4</v>
      </c>
      <c r="I536">
        <v>5.0999999999999996</v>
      </c>
      <c r="J536">
        <v>84</v>
      </c>
      <c r="K536" t="s">
        <v>22</v>
      </c>
      <c r="L536">
        <v>79</v>
      </c>
      <c r="M536">
        <v>2.35</v>
      </c>
      <c r="N536">
        <v>2</v>
      </c>
      <c r="O536" t="s">
        <v>21</v>
      </c>
      <c r="P536" cm="1">
        <f t="array" ref="P536">_xlfn.SWITCH(Table2[[#This Row],[mood]], "Tired", 3, "Neutral", 2, "Happy", 1)</f>
        <v>1</v>
      </c>
    </row>
    <row r="537" spans="1:16" x14ac:dyDescent="0.3">
      <c r="A537">
        <v>1824</v>
      </c>
      <c r="B537" s="1">
        <v>42540</v>
      </c>
      <c r="C537">
        <v>38</v>
      </c>
      <c r="D537" t="s">
        <v>20</v>
      </c>
      <c r="E537">
        <v>162.69999999999999</v>
      </c>
      <c r="F537">
        <v>59.5</v>
      </c>
      <c r="G537">
        <v>11640</v>
      </c>
      <c r="H537">
        <v>683.1</v>
      </c>
      <c r="I537">
        <v>5.8</v>
      </c>
      <c r="J537">
        <v>56</v>
      </c>
      <c r="K537" t="s">
        <v>25</v>
      </c>
      <c r="L537">
        <v>43</v>
      </c>
      <c r="M537">
        <v>2.14</v>
      </c>
      <c r="N537">
        <v>6</v>
      </c>
      <c r="O537" t="s">
        <v>21</v>
      </c>
      <c r="P537" cm="1">
        <f t="array" ref="P537">_xlfn.SWITCH(Table2[[#This Row],[mood]], "Tired", 3, "Neutral", 2, "Happy", 1)</f>
        <v>1</v>
      </c>
    </row>
    <row r="538" spans="1:16" x14ac:dyDescent="0.3">
      <c r="A538">
        <v>1035</v>
      </c>
      <c r="B538" s="1">
        <v>42541</v>
      </c>
      <c r="C538">
        <v>43</v>
      </c>
      <c r="D538" t="s">
        <v>20</v>
      </c>
      <c r="E538">
        <v>175.1</v>
      </c>
      <c r="F538">
        <v>79.400000000000006</v>
      </c>
      <c r="G538">
        <v>7487</v>
      </c>
      <c r="H538">
        <v>463.6</v>
      </c>
      <c r="I538">
        <v>6.2</v>
      </c>
      <c r="J538">
        <v>51</v>
      </c>
      <c r="K538" t="s">
        <v>16</v>
      </c>
      <c r="L538">
        <v>0</v>
      </c>
      <c r="M538">
        <v>2.88</v>
      </c>
      <c r="N538">
        <v>1</v>
      </c>
      <c r="O538" t="s">
        <v>17</v>
      </c>
      <c r="P538" cm="1">
        <f t="array" ref="P538">_xlfn.SWITCH(Table2[[#This Row],[mood]], "Tired", 3, "Neutral", 2, "Happy", 1)</f>
        <v>3</v>
      </c>
    </row>
    <row r="539" spans="1:16" x14ac:dyDescent="0.3">
      <c r="A539">
        <v>1684</v>
      </c>
      <c r="B539" s="1">
        <v>42542</v>
      </c>
      <c r="C539">
        <v>57</v>
      </c>
      <c r="D539" t="s">
        <v>15</v>
      </c>
      <c r="E539">
        <v>162.69999999999999</v>
      </c>
      <c r="F539">
        <v>73.5</v>
      </c>
      <c r="G539">
        <v>14688</v>
      </c>
      <c r="H539">
        <v>837.3</v>
      </c>
      <c r="I539">
        <v>6.3</v>
      </c>
      <c r="J539">
        <v>83</v>
      </c>
      <c r="K539" t="s">
        <v>22</v>
      </c>
      <c r="L539">
        <v>80</v>
      </c>
      <c r="M539">
        <v>2.08</v>
      </c>
      <c r="N539">
        <v>1</v>
      </c>
      <c r="O539" t="s">
        <v>21</v>
      </c>
      <c r="P539" cm="1">
        <f t="array" ref="P539">_xlfn.SWITCH(Table2[[#This Row],[mood]], "Tired", 3, "Neutral", 2, "Happy", 1)</f>
        <v>1</v>
      </c>
    </row>
    <row r="540" spans="1:16" x14ac:dyDescent="0.3">
      <c r="A540">
        <v>1019</v>
      </c>
      <c r="B540" s="1">
        <v>42543</v>
      </c>
      <c r="C540">
        <v>38</v>
      </c>
      <c r="D540" t="s">
        <v>20</v>
      </c>
      <c r="E540">
        <v>166.6</v>
      </c>
      <c r="F540">
        <v>51.2</v>
      </c>
      <c r="G540">
        <v>13452</v>
      </c>
      <c r="H540">
        <v>752.5</v>
      </c>
      <c r="I540">
        <v>8.5</v>
      </c>
      <c r="J540">
        <v>71</v>
      </c>
      <c r="K540" t="s">
        <v>23</v>
      </c>
      <c r="L540">
        <v>42</v>
      </c>
      <c r="M540">
        <v>2.4900000000000002</v>
      </c>
      <c r="N540">
        <v>9</v>
      </c>
      <c r="O540" t="s">
        <v>21</v>
      </c>
      <c r="P540" cm="1">
        <f t="array" ref="P540">_xlfn.SWITCH(Table2[[#This Row],[mood]], "Tired", 3, "Neutral", 2, "Happy", 1)</f>
        <v>1</v>
      </c>
    </row>
    <row r="541" spans="1:16" x14ac:dyDescent="0.3">
      <c r="A541">
        <v>1320</v>
      </c>
      <c r="B541" s="1">
        <v>42544</v>
      </c>
      <c r="C541">
        <v>42</v>
      </c>
      <c r="D541" t="s">
        <v>15</v>
      </c>
      <c r="E541">
        <v>151.30000000000001</v>
      </c>
      <c r="F541">
        <v>63.9</v>
      </c>
      <c r="G541">
        <v>16372</v>
      </c>
      <c r="H541">
        <v>783.6</v>
      </c>
      <c r="I541">
        <v>6.6</v>
      </c>
      <c r="J541">
        <v>97</v>
      </c>
      <c r="K541" t="s">
        <v>16</v>
      </c>
      <c r="L541">
        <v>0</v>
      </c>
      <c r="M541">
        <v>3.77</v>
      </c>
      <c r="N541">
        <v>10</v>
      </c>
      <c r="O541" t="s">
        <v>17</v>
      </c>
      <c r="P541" cm="1">
        <f t="array" ref="P541">_xlfn.SWITCH(Table2[[#This Row],[mood]], "Tired", 3, "Neutral", 2, "Happy", 1)</f>
        <v>3</v>
      </c>
    </row>
    <row r="542" spans="1:16" x14ac:dyDescent="0.3">
      <c r="A542">
        <v>1775</v>
      </c>
      <c r="B542" s="1">
        <v>42545</v>
      </c>
      <c r="C542">
        <v>58</v>
      </c>
      <c r="D542" t="s">
        <v>20</v>
      </c>
      <c r="E542">
        <v>158.30000000000001</v>
      </c>
      <c r="F542">
        <v>80.400000000000006</v>
      </c>
      <c r="G542">
        <v>12999</v>
      </c>
      <c r="H542">
        <v>758</v>
      </c>
      <c r="I542">
        <v>5</v>
      </c>
      <c r="J542">
        <v>74</v>
      </c>
      <c r="K542" t="s">
        <v>22</v>
      </c>
      <c r="L542">
        <v>30</v>
      </c>
      <c r="M542">
        <v>3.75</v>
      </c>
      <c r="N542">
        <v>5</v>
      </c>
      <c r="O542" t="s">
        <v>17</v>
      </c>
      <c r="P542" cm="1">
        <f t="array" ref="P542">_xlfn.SWITCH(Table2[[#This Row],[mood]], "Tired", 3, "Neutral", 2, "Happy", 1)</f>
        <v>3</v>
      </c>
    </row>
    <row r="543" spans="1:16" x14ac:dyDescent="0.3">
      <c r="A543">
        <v>1511</v>
      </c>
      <c r="B543" s="1">
        <v>42546</v>
      </c>
      <c r="C543">
        <v>18</v>
      </c>
      <c r="D543" t="s">
        <v>20</v>
      </c>
      <c r="E543">
        <v>173.5</v>
      </c>
      <c r="F543">
        <v>63.3</v>
      </c>
      <c r="G543">
        <v>14434</v>
      </c>
      <c r="H543">
        <v>769.2</v>
      </c>
      <c r="I543">
        <v>9.1</v>
      </c>
      <c r="J543">
        <v>65</v>
      </c>
      <c r="K543" t="s">
        <v>24</v>
      </c>
      <c r="L543">
        <v>61</v>
      </c>
      <c r="M543">
        <v>2.21</v>
      </c>
      <c r="N543">
        <v>9</v>
      </c>
      <c r="O543" t="s">
        <v>17</v>
      </c>
      <c r="P543" cm="1">
        <f t="array" ref="P543">_xlfn.SWITCH(Table2[[#This Row],[mood]], "Tired", 3, "Neutral", 2, "Happy", 1)</f>
        <v>3</v>
      </c>
    </row>
    <row r="544" spans="1:16" x14ac:dyDescent="0.3">
      <c r="A544">
        <v>1399</v>
      </c>
      <c r="B544" s="1">
        <v>42547</v>
      </c>
      <c r="C544">
        <v>23</v>
      </c>
      <c r="D544" t="s">
        <v>15</v>
      </c>
      <c r="E544">
        <v>161.30000000000001</v>
      </c>
      <c r="F544">
        <v>48.7</v>
      </c>
      <c r="G544">
        <v>13416</v>
      </c>
      <c r="H544">
        <v>734.4</v>
      </c>
      <c r="I544">
        <v>7.4</v>
      </c>
      <c r="J544">
        <v>92</v>
      </c>
      <c r="K544" t="s">
        <v>22</v>
      </c>
      <c r="L544">
        <v>44</v>
      </c>
      <c r="M544">
        <v>2.37</v>
      </c>
      <c r="N544">
        <v>8</v>
      </c>
      <c r="O544" t="s">
        <v>19</v>
      </c>
      <c r="P544" cm="1">
        <f t="array" ref="P544">_xlfn.SWITCH(Table2[[#This Row],[mood]], "Tired", 3, "Neutral", 2, "Happy", 1)</f>
        <v>2</v>
      </c>
    </row>
    <row r="545" spans="1:16" x14ac:dyDescent="0.3">
      <c r="A545">
        <v>1653</v>
      </c>
      <c r="B545" s="1">
        <v>42548</v>
      </c>
      <c r="C545">
        <v>40</v>
      </c>
      <c r="D545" t="s">
        <v>20</v>
      </c>
      <c r="E545">
        <v>180.6</v>
      </c>
      <c r="F545">
        <v>103.9</v>
      </c>
      <c r="G545">
        <v>14945</v>
      </c>
      <c r="H545">
        <v>850</v>
      </c>
      <c r="I545">
        <v>7.6</v>
      </c>
      <c r="J545">
        <v>82</v>
      </c>
      <c r="K545" t="s">
        <v>18</v>
      </c>
      <c r="L545">
        <v>53</v>
      </c>
      <c r="M545">
        <v>2.0699999999999998</v>
      </c>
      <c r="N545">
        <v>9</v>
      </c>
      <c r="O545" t="s">
        <v>17</v>
      </c>
      <c r="P545" cm="1">
        <f t="array" ref="P545">_xlfn.SWITCH(Table2[[#This Row],[mood]], "Tired", 3, "Neutral", 2, "Happy", 1)</f>
        <v>3</v>
      </c>
    </row>
    <row r="546" spans="1:16" x14ac:dyDescent="0.3">
      <c r="A546">
        <v>1971</v>
      </c>
      <c r="B546" s="1">
        <v>42549</v>
      </c>
      <c r="C546">
        <v>40</v>
      </c>
      <c r="D546" t="s">
        <v>15</v>
      </c>
      <c r="E546">
        <v>160.5</v>
      </c>
      <c r="F546">
        <v>67.5</v>
      </c>
      <c r="G546">
        <v>2017</v>
      </c>
      <c r="H546">
        <v>211</v>
      </c>
      <c r="I546">
        <v>8</v>
      </c>
      <c r="J546">
        <v>90</v>
      </c>
      <c r="K546" t="s">
        <v>25</v>
      </c>
      <c r="L546">
        <v>41</v>
      </c>
      <c r="M546">
        <v>1.1499999999999999</v>
      </c>
      <c r="N546">
        <v>9</v>
      </c>
      <c r="O546" t="s">
        <v>19</v>
      </c>
      <c r="P546" cm="1">
        <f t="array" ref="P546">_xlfn.SWITCH(Table2[[#This Row],[mood]], "Tired", 3, "Neutral", 2, "Happy", 1)</f>
        <v>2</v>
      </c>
    </row>
    <row r="547" spans="1:16" x14ac:dyDescent="0.3">
      <c r="A547">
        <v>1882</v>
      </c>
      <c r="B547" s="1">
        <v>42550</v>
      </c>
      <c r="C547">
        <v>40</v>
      </c>
      <c r="D547" t="s">
        <v>15</v>
      </c>
      <c r="E547">
        <v>174.5</v>
      </c>
      <c r="F547">
        <v>52.5</v>
      </c>
      <c r="G547">
        <v>5690</v>
      </c>
      <c r="H547">
        <v>371.4</v>
      </c>
      <c r="I547">
        <v>5.2</v>
      </c>
      <c r="J547">
        <v>69</v>
      </c>
      <c r="K547" t="s">
        <v>24</v>
      </c>
      <c r="L547">
        <v>21</v>
      </c>
      <c r="M547">
        <v>3.23</v>
      </c>
      <c r="N547">
        <v>8</v>
      </c>
      <c r="O547" t="s">
        <v>17</v>
      </c>
      <c r="P547" cm="1">
        <f t="array" ref="P547">_xlfn.SWITCH(Table2[[#This Row],[mood]], "Tired", 3, "Neutral", 2, "Happy", 1)</f>
        <v>3</v>
      </c>
    </row>
    <row r="548" spans="1:16" x14ac:dyDescent="0.3">
      <c r="A548">
        <v>1470</v>
      </c>
      <c r="B548" s="1">
        <v>42551</v>
      </c>
      <c r="C548">
        <v>49</v>
      </c>
      <c r="D548" t="s">
        <v>20</v>
      </c>
      <c r="E548">
        <v>162.4</v>
      </c>
      <c r="F548">
        <v>72.599999999999994</v>
      </c>
      <c r="G548">
        <v>9373</v>
      </c>
      <c r="H548">
        <v>591.20000000000005</v>
      </c>
      <c r="I548">
        <v>7</v>
      </c>
      <c r="J548">
        <v>79</v>
      </c>
      <c r="K548" t="s">
        <v>23</v>
      </c>
      <c r="L548">
        <v>70</v>
      </c>
      <c r="M548">
        <v>4.1900000000000004</v>
      </c>
      <c r="N548">
        <v>3</v>
      </c>
      <c r="O548" t="s">
        <v>19</v>
      </c>
      <c r="P548" cm="1">
        <f t="array" ref="P548">_xlfn.SWITCH(Table2[[#This Row],[mood]], "Tired", 3, "Neutral", 2, "Happy", 1)</f>
        <v>2</v>
      </c>
    </row>
    <row r="549" spans="1:16" x14ac:dyDescent="0.3">
      <c r="A549">
        <v>1142</v>
      </c>
      <c r="B549" s="1">
        <v>42552</v>
      </c>
      <c r="C549">
        <v>47</v>
      </c>
      <c r="D549" t="s">
        <v>15</v>
      </c>
      <c r="E549">
        <v>173.9</v>
      </c>
      <c r="F549">
        <v>68.7</v>
      </c>
      <c r="G549">
        <v>15378</v>
      </c>
      <c r="H549">
        <v>730.2</v>
      </c>
      <c r="I549">
        <v>8.1999999999999993</v>
      </c>
      <c r="J549">
        <v>66</v>
      </c>
      <c r="K549" t="s">
        <v>22</v>
      </c>
      <c r="L549">
        <v>35</v>
      </c>
      <c r="M549">
        <v>2.19</v>
      </c>
      <c r="N549">
        <v>7</v>
      </c>
      <c r="O549" t="s">
        <v>17</v>
      </c>
      <c r="P549" cm="1">
        <f t="array" ref="P549">_xlfn.SWITCH(Table2[[#This Row],[mood]], "Tired", 3, "Neutral", 2, "Happy", 1)</f>
        <v>3</v>
      </c>
    </row>
    <row r="550" spans="1:16" x14ac:dyDescent="0.3">
      <c r="A550">
        <v>1091</v>
      </c>
      <c r="B550" s="1">
        <v>42553</v>
      </c>
      <c r="C550">
        <v>30</v>
      </c>
      <c r="D550" t="s">
        <v>20</v>
      </c>
      <c r="E550">
        <v>154.69999999999999</v>
      </c>
      <c r="F550">
        <v>46.9</v>
      </c>
      <c r="G550">
        <v>19835</v>
      </c>
      <c r="H550">
        <v>900</v>
      </c>
      <c r="I550">
        <v>6</v>
      </c>
      <c r="J550">
        <v>58</v>
      </c>
      <c r="K550" t="s">
        <v>22</v>
      </c>
      <c r="L550">
        <v>30</v>
      </c>
      <c r="M550">
        <v>1.93</v>
      </c>
      <c r="N550">
        <v>4</v>
      </c>
      <c r="O550" t="s">
        <v>19</v>
      </c>
      <c r="P550" cm="1">
        <f t="array" ref="P550">_xlfn.SWITCH(Table2[[#This Row],[mood]], "Tired", 3, "Neutral", 2, "Happy", 1)</f>
        <v>2</v>
      </c>
    </row>
    <row r="551" spans="1:16" x14ac:dyDescent="0.3">
      <c r="A551">
        <v>1353</v>
      </c>
      <c r="B551" s="1">
        <v>42554</v>
      </c>
      <c r="C551">
        <v>35</v>
      </c>
      <c r="D551" t="s">
        <v>20</v>
      </c>
      <c r="E551">
        <v>165.5</v>
      </c>
      <c r="F551">
        <v>71.400000000000006</v>
      </c>
      <c r="G551">
        <v>19336</v>
      </c>
      <c r="H551">
        <v>900</v>
      </c>
      <c r="I551">
        <v>7.5</v>
      </c>
      <c r="J551">
        <v>82</v>
      </c>
      <c r="K551" t="s">
        <v>23</v>
      </c>
      <c r="L551">
        <v>88</v>
      </c>
      <c r="M551">
        <v>2.31</v>
      </c>
      <c r="N551">
        <v>8</v>
      </c>
      <c r="O551" t="s">
        <v>21</v>
      </c>
      <c r="P551" cm="1">
        <f t="array" ref="P551">_xlfn.SWITCH(Table2[[#This Row],[mood]], "Tired", 3, "Neutral", 2, "Happy", 1)</f>
        <v>1</v>
      </c>
    </row>
    <row r="552" spans="1:16" x14ac:dyDescent="0.3">
      <c r="A552">
        <v>1833</v>
      </c>
      <c r="B552" s="1">
        <v>42555</v>
      </c>
      <c r="C552">
        <v>40</v>
      </c>
      <c r="D552" t="s">
        <v>15</v>
      </c>
      <c r="E552">
        <v>161.5</v>
      </c>
      <c r="F552">
        <v>84.8</v>
      </c>
      <c r="G552">
        <v>5700</v>
      </c>
      <c r="H552">
        <v>422.6</v>
      </c>
      <c r="I552">
        <v>7.8</v>
      </c>
      <c r="J552">
        <v>70</v>
      </c>
      <c r="K552" t="s">
        <v>22</v>
      </c>
      <c r="L552">
        <v>81</v>
      </c>
      <c r="M552">
        <v>2.56</v>
      </c>
      <c r="N552">
        <v>7</v>
      </c>
      <c r="O552" t="s">
        <v>17</v>
      </c>
      <c r="P552" cm="1">
        <f t="array" ref="P552">_xlfn.SWITCH(Table2[[#This Row],[mood]], "Tired", 3, "Neutral", 2, "Happy", 1)</f>
        <v>3</v>
      </c>
    </row>
    <row r="553" spans="1:16" x14ac:dyDescent="0.3">
      <c r="A553">
        <v>1799</v>
      </c>
      <c r="B553" s="1">
        <v>42556</v>
      </c>
      <c r="C553">
        <v>32</v>
      </c>
      <c r="D553" t="s">
        <v>20</v>
      </c>
      <c r="E553">
        <v>178.8</v>
      </c>
      <c r="F553">
        <v>66.5</v>
      </c>
      <c r="G553">
        <v>14901</v>
      </c>
      <c r="H553">
        <v>727.3</v>
      </c>
      <c r="I553">
        <v>4.8</v>
      </c>
      <c r="J553">
        <v>65</v>
      </c>
      <c r="K553" t="s">
        <v>18</v>
      </c>
      <c r="L553">
        <v>38</v>
      </c>
      <c r="M553">
        <v>1.71</v>
      </c>
      <c r="N553">
        <v>9</v>
      </c>
      <c r="O553" t="s">
        <v>17</v>
      </c>
      <c r="P553" cm="1">
        <f t="array" ref="P553">_xlfn.SWITCH(Table2[[#This Row],[mood]], "Tired", 3, "Neutral", 2, "Happy", 1)</f>
        <v>3</v>
      </c>
    </row>
    <row r="554" spans="1:16" x14ac:dyDescent="0.3">
      <c r="A554">
        <v>1726</v>
      </c>
      <c r="B554" s="1">
        <v>42557</v>
      </c>
      <c r="C554">
        <v>50</v>
      </c>
      <c r="D554" t="s">
        <v>15</v>
      </c>
      <c r="E554">
        <v>174.6</v>
      </c>
      <c r="F554">
        <v>45</v>
      </c>
      <c r="G554">
        <v>1660</v>
      </c>
      <c r="H554">
        <v>275.89999999999998</v>
      </c>
      <c r="I554">
        <v>5.5</v>
      </c>
      <c r="J554">
        <v>61</v>
      </c>
      <c r="K554" t="s">
        <v>16</v>
      </c>
      <c r="L554">
        <v>0</v>
      </c>
      <c r="M554">
        <v>2.1800000000000002</v>
      </c>
      <c r="N554">
        <v>8</v>
      </c>
      <c r="O554" t="s">
        <v>19</v>
      </c>
      <c r="P554" cm="1">
        <f t="array" ref="P554">_xlfn.SWITCH(Table2[[#This Row],[mood]], "Tired", 3, "Neutral", 2, "Happy", 1)</f>
        <v>2</v>
      </c>
    </row>
    <row r="555" spans="1:16" x14ac:dyDescent="0.3">
      <c r="A555">
        <v>1958</v>
      </c>
      <c r="B555" s="1">
        <v>42558</v>
      </c>
      <c r="C555">
        <v>38</v>
      </c>
      <c r="D555" t="s">
        <v>20</v>
      </c>
      <c r="E555">
        <v>157.69999999999999</v>
      </c>
      <c r="F555">
        <v>75.099999999999994</v>
      </c>
      <c r="G555">
        <v>18699</v>
      </c>
      <c r="H555">
        <v>900</v>
      </c>
      <c r="I555">
        <v>3.6</v>
      </c>
      <c r="J555">
        <v>77</v>
      </c>
      <c r="K555" t="s">
        <v>16</v>
      </c>
      <c r="L555">
        <v>0</v>
      </c>
      <c r="M555">
        <v>3.21</v>
      </c>
      <c r="N555">
        <v>3</v>
      </c>
      <c r="O555" t="s">
        <v>21</v>
      </c>
      <c r="P555" cm="1">
        <f t="array" ref="P555">_xlfn.SWITCH(Table2[[#This Row],[mood]], "Tired", 3, "Neutral", 2, "Happy", 1)</f>
        <v>1</v>
      </c>
    </row>
    <row r="556" spans="1:16" x14ac:dyDescent="0.3">
      <c r="A556">
        <v>1853</v>
      </c>
      <c r="B556" s="1">
        <v>42559</v>
      </c>
      <c r="C556">
        <v>56</v>
      </c>
      <c r="D556" t="s">
        <v>20</v>
      </c>
      <c r="E556">
        <v>168</v>
      </c>
      <c r="F556">
        <v>79</v>
      </c>
      <c r="G556">
        <v>8381</v>
      </c>
      <c r="H556">
        <v>500.1</v>
      </c>
      <c r="I556">
        <v>7.3</v>
      </c>
      <c r="J556">
        <v>76</v>
      </c>
      <c r="K556" t="s">
        <v>24</v>
      </c>
      <c r="L556">
        <v>42</v>
      </c>
      <c r="M556">
        <v>2.59</v>
      </c>
      <c r="N556">
        <v>5</v>
      </c>
      <c r="O556" t="s">
        <v>21</v>
      </c>
      <c r="P556" cm="1">
        <f t="array" ref="P556">_xlfn.SWITCH(Table2[[#This Row],[mood]], "Tired", 3, "Neutral", 2, "Happy", 1)</f>
        <v>1</v>
      </c>
    </row>
    <row r="557" spans="1:16" x14ac:dyDescent="0.3">
      <c r="A557">
        <v>1050</v>
      </c>
      <c r="B557" s="1">
        <v>42560</v>
      </c>
      <c r="C557">
        <v>40</v>
      </c>
      <c r="D557" t="s">
        <v>20</v>
      </c>
      <c r="E557">
        <v>162.30000000000001</v>
      </c>
      <c r="F557">
        <v>61.2</v>
      </c>
      <c r="G557">
        <v>3919</v>
      </c>
      <c r="H557">
        <v>534.6</v>
      </c>
      <c r="I557">
        <v>9.8000000000000007</v>
      </c>
      <c r="J557">
        <v>70</v>
      </c>
      <c r="K557" t="s">
        <v>22</v>
      </c>
      <c r="L557">
        <v>79</v>
      </c>
      <c r="M557">
        <v>3.39</v>
      </c>
      <c r="N557">
        <v>3</v>
      </c>
      <c r="O557" t="s">
        <v>19</v>
      </c>
      <c r="P557" cm="1">
        <f t="array" ref="P557">_xlfn.SWITCH(Table2[[#This Row],[mood]], "Tired", 3, "Neutral", 2, "Happy", 1)</f>
        <v>2</v>
      </c>
    </row>
    <row r="558" spans="1:16" x14ac:dyDescent="0.3">
      <c r="A558">
        <v>1664</v>
      </c>
      <c r="B558" s="1">
        <v>42561</v>
      </c>
      <c r="C558">
        <v>44</v>
      </c>
      <c r="D558" t="s">
        <v>20</v>
      </c>
      <c r="E558">
        <v>179.5</v>
      </c>
      <c r="F558">
        <v>61.3</v>
      </c>
      <c r="G558">
        <v>19456</v>
      </c>
      <c r="H558">
        <v>900</v>
      </c>
      <c r="I558">
        <v>6</v>
      </c>
      <c r="J558">
        <v>68</v>
      </c>
      <c r="K558" t="s">
        <v>23</v>
      </c>
      <c r="L558">
        <v>37</v>
      </c>
      <c r="M558">
        <v>2.76</v>
      </c>
      <c r="N558">
        <v>9</v>
      </c>
      <c r="O558" t="s">
        <v>17</v>
      </c>
      <c r="P558" cm="1">
        <f t="array" ref="P558">_xlfn.SWITCH(Table2[[#This Row],[mood]], "Tired", 3, "Neutral", 2, "Happy", 1)</f>
        <v>3</v>
      </c>
    </row>
    <row r="559" spans="1:16" x14ac:dyDescent="0.3">
      <c r="A559">
        <v>1697</v>
      </c>
      <c r="B559" s="1">
        <v>42562</v>
      </c>
      <c r="C559">
        <v>35</v>
      </c>
      <c r="D559" t="s">
        <v>20</v>
      </c>
      <c r="E559">
        <v>182.7</v>
      </c>
      <c r="F559">
        <v>103.9</v>
      </c>
      <c r="G559">
        <v>19403</v>
      </c>
      <c r="H559">
        <v>900</v>
      </c>
      <c r="I559">
        <v>6.7</v>
      </c>
      <c r="J559">
        <v>83</v>
      </c>
      <c r="K559" t="s">
        <v>23</v>
      </c>
      <c r="L559">
        <v>74</v>
      </c>
      <c r="M559">
        <v>1.74</v>
      </c>
      <c r="N559">
        <v>1</v>
      </c>
      <c r="O559" t="s">
        <v>21</v>
      </c>
      <c r="P559" cm="1">
        <f t="array" ref="P559">_xlfn.SWITCH(Table2[[#This Row],[mood]], "Tired", 3, "Neutral", 2, "Happy", 1)</f>
        <v>1</v>
      </c>
    </row>
    <row r="560" spans="1:16" x14ac:dyDescent="0.3">
      <c r="A560">
        <v>1574</v>
      </c>
      <c r="B560" s="1">
        <v>42563</v>
      </c>
      <c r="C560">
        <v>41</v>
      </c>
      <c r="D560" t="s">
        <v>15</v>
      </c>
      <c r="E560">
        <v>155.6</v>
      </c>
      <c r="F560">
        <v>60.1</v>
      </c>
      <c r="G560">
        <v>11932</v>
      </c>
      <c r="H560">
        <v>722.2</v>
      </c>
      <c r="I560">
        <v>8.5</v>
      </c>
      <c r="J560">
        <v>50</v>
      </c>
      <c r="K560" t="s">
        <v>24</v>
      </c>
      <c r="L560">
        <v>37</v>
      </c>
      <c r="M560">
        <v>2.1</v>
      </c>
      <c r="N560">
        <v>7</v>
      </c>
      <c r="O560" t="s">
        <v>17</v>
      </c>
      <c r="P560" cm="1">
        <f t="array" ref="P560">_xlfn.SWITCH(Table2[[#This Row],[mood]], "Tired", 3, "Neutral", 2, "Happy", 1)</f>
        <v>3</v>
      </c>
    </row>
    <row r="561" spans="1:16" x14ac:dyDescent="0.3">
      <c r="A561">
        <v>1189</v>
      </c>
      <c r="B561" s="1">
        <v>42564</v>
      </c>
      <c r="C561">
        <v>57</v>
      </c>
      <c r="D561" t="s">
        <v>15</v>
      </c>
      <c r="E561">
        <v>178.3</v>
      </c>
      <c r="F561">
        <v>53.2</v>
      </c>
      <c r="G561">
        <v>1815</v>
      </c>
      <c r="H561">
        <v>258.10000000000002</v>
      </c>
      <c r="I561">
        <v>7.4</v>
      </c>
      <c r="J561">
        <v>81</v>
      </c>
      <c r="K561" t="s">
        <v>18</v>
      </c>
      <c r="L561">
        <v>46</v>
      </c>
      <c r="M561">
        <v>2.67</v>
      </c>
      <c r="N561">
        <v>9</v>
      </c>
      <c r="O561" t="s">
        <v>19</v>
      </c>
      <c r="P561" cm="1">
        <f t="array" ref="P561">_xlfn.SWITCH(Table2[[#This Row],[mood]], "Tired", 3, "Neutral", 2, "Happy", 1)</f>
        <v>2</v>
      </c>
    </row>
    <row r="562" spans="1:16" x14ac:dyDescent="0.3">
      <c r="A562">
        <v>1124</v>
      </c>
      <c r="B562" s="1">
        <v>42565</v>
      </c>
      <c r="C562">
        <v>59</v>
      </c>
      <c r="D562" t="s">
        <v>15</v>
      </c>
      <c r="E562">
        <v>161.80000000000001</v>
      </c>
      <c r="F562">
        <v>70.400000000000006</v>
      </c>
      <c r="G562">
        <v>15510</v>
      </c>
      <c r="H562">
        <v>794.5</v>
      </c>
      <c r="I562">
        <v>5.5</v>
      </c>
      <c r="J562">
        <v>80</v>
      </c>
      <c r="K562" t="s">
        <v>24</v>
      </c>
      <c r="L562">
        <v>20</v>
      </c>
      <c r="M562">
        <v>1.71</v>
      </c>
      <c r="N562">
        <v>3</v>
      </c>
      <c r="O562" t="s">
        <v>17</v>
      </c>
      <c r="P562" cm="1">
        <f t="array" ref="P562">_xlfn.SWITCH(Table2[[#This Row],[mood]], "Tired", 3, "Neutral", 2, "Happy", 1)</f>
        <v>3</v>
      </c>
    </row>
    <row r="563" spans="1:16" x14ac:dyDescent="0.3">
      <c r="A563">
        <v>1149</v>
      </c>
      <c r="B563" s="1">
        <v>42566</v>
      </c>
      <c r="C563">
        <v>24</v>
      </c>
      <c r="D563" t="s">
        <v>15</v>
      </c>
      <c r="E563">
        <v>167.5</v>
      </c>
      <c r="F563">
        <v>78.599999999999994</v>
      </c>
      <c r="G563">
        <v>13289</v>
      </c>
      <c r="H563">
        <v>746.5</v>
      </c>
      <c r="I563">
        <v>9.3000000000000007</v>
      </c>
      <c r="J563">
        <v>63</v>
      </c>
      <c r="K563" t="s">
        <v>22</v>
      </c>
      <c r="L563">
        <v>33</v>
      </c>
      <c r="M563">
        <v>1.62</v>
      </c>
      <c r="N563">
        <v>7</v>
      </c>
      <c r="O563" t="s">
        <v>21</v>
      </c>
      <c r="P563" cm="1">
        <f t="array" ref="P563">_xlfn.SWITCH(Table2[[#This Row],[mood]], "Tired", 3, "Neutral", 2, "Happy", 1)</f>
        <v>1</v>
      </c>
    </row>
    <row r="564" spans="1:16" x14ac:dyDescent="0.3">
      <c r="A564">
        <v>1313</v>
      </c>
      <c r="B564" s="1">
        <v>42567</v>
      </c>
      <c r="C564">
        <v>37</v>
      </c>
      <c r="D564" t="s">
        <v>15</v>
      </c>
      <c r="E564">
        <v>170.3</v>
      </c>
      <c r="F564">
        <v>78</v>
      </c>
      <c r="G564">
        <v>5734</v>
      </c>
      <c r="H564">
        <v>454.8</v>
      </c>
      <c r="I564">
        <v>7.3</v>
      </c>
      <c r="J564">
        <v>56</v>
      </c>
      <c r="K564" t="s">
        <v>16</v>
      </c>
      <c r="L564">
        <v>0</v>
      </c>
      <c r="M564">
        <v>1.67</v>
      </c>
      <c r="N564">
        <v>7</v>
      </c>
      <c r="O564" t="s">
        <v>19</v>
      </c>
      <c r="P564" cm="1">
        <f t="array" ref="P564">_xlfn.SWITCH(Table2[[#This Row],[mood]], "Tired", 3, "Neutral", 2, "Happy", 1)</f>
        <v>2</v>
      </c>
    </row>
    <row r="565" spans="1:16" x14ac:dyDescent="0.3">
      <c r="A565">
        <v>1569</v>
      </c>
      <c r="B565" s="1">
        <v>42568</v>
      </c>
      <c r="C565">
        <v>44</v>
      </c>
      <c r="D565" t="s">
        <v>15</v>
      </c>
      <c r="E565">
        <v>188.2</v>
      </c>
      <c r="F565">
        <v>45</v>
      </c>
      <c r="G565">
        <v>3753</v>
      </c>
      <c r="H565">
        <v>396.4</v>
      </c>
      <c r="I565">
        <v>6.7</v>
      </c>
      <c r="J565">
        <v>81</v>
      </c>
      <c r="K565" t="s">
        <v>18</v>
      </c>
      <c r="L565">
        <v>52</v>
      </c>
      <c r="M565">
        <v>2.86</v>
      </c>
      <c r="N565">
        <v>2</v>
      </c>
      <c r="O565" t="s">
        <v>21</v>
      </c>
      <c r="P565" cm="1">
        <f t="array" ref="P565">_xlfn.SWITCH(Table2[[#This Row],[mood]], "Tired", 3, "Neutral", 2, "Happy", 1)</f>
        <v>1</v>
      </c>
    </row>
    <row r="566" spans="1:16" x14ac:dyDescent="0.3">
      <c r="A566">
        <v>1341</v>
      </c>
      <c r="B566" s="1">
        <v>42569</v>
      </c>
      <c r="C566">
        <v>23</v>
      </c>
      <c r="D566" t="s">
        <v>20</v>
      </c>
      <c r="E566">
        <v>160</v>
      </c>
      <c r="F566">
        <v>60.1</v>
      </c>
      <c r="G566">
        <v>7505</v>
      </c>
      <c r="H566">
        <v>571.4</v>
      </c>
      <c r="I566">
        <v>6.8</v>
      </c>
      <c r="J566">
        <v>63</v>
      </c>
      <c r="K566" t="s">
        <v>18</v>
      </c>
      <c r="L566">
        <v>55</v>
      </c>
      <c r="M566">
        <v>2.2400000000000002</v>
      </c>
      <c r="N566">
        <v>5</v>
      </c>
      <c r="O566" t="s">
        <v>17</v>
      </c>
      <c r="P566" cm="1">
        <f t="array" ref="P566">_xlfn.SWITCH(Table2[[#This Row],[mood]], "Tired", 3, "Neutral", 2, "Happy", 1)</f>
        <v>3</v>
      </c>
    </row>
    <row r="567" spans="1:16" x14ac:dyDescent="0.3">
      <c r="A567">
        <v>1304</v>
      </c>
      <c r="B567" s="1">
        <v>42570</v>
      </c>
      <c r="C567">
        <v>44</v>
      </c>
      <c r="D567" t="s">
        <v>20</v>
      </c>
      <c r="E567">
        <v>178.3</v>
      </c>
      <c r="F567">
        <v>87.3</v>
      </c>
      <c r="G567">
        <v>12559</v>
      </c>
      <c r="H567">
        <v>761.7</v>
      </c>
      <c r="I567">
        <v>7.9</v>
      </c>
      <c r="J567">
        <v>91</v>
      </c>
      <c r="K567" t="s">
        <v>23</v>
      </c>
      <c r="L567">
        <v>58</v>
      </c>
      <c r="M567">
        <v>3.33</v>
      </c>
      <c r="N567">
        <v>10</v>
      </c>
      <c r="O567" t="s">
        <v>17</v>
      </c>
      <c r="P567" cm="1">
        <f t="array" ref="P567">_xlfn.SWITCH(Table2[[#This Row],[mood]], "Tired", 3, "Neutral", 2, "Happy", 1)</f>
        <v>3</v>
      </c>
    </row>
    <row r="568" spans="1:16" x14ac:dyDescent="0.3">
      <c r="A568">
        <v>1691</v>
      </c>
      <c r="B568" s="1">
        <v>42571</v>
      </c>
      <c r="C568">
        <v>26</v>
      </c>
      <c r="D568" t="s">
        <v>15</v>
      </c>
      <c r="E568">
        <v>158.30000000000001</v>
      </c>
      <c r="F568">
        <v>74.900000000000006</v>
      </c>
      <c r="G568">
        <v>15905</v>
      </c>
      <c r="H568">
        <v>879</v>
      </c>
      <c r="I568">
        <v>6.1</v>
      </c>
      <c r="J568">
        <v>96</v>
      </c>
      <c r="K568" t="s">
        <v>18</v>
      </c>
      <c r="L568">
        <v>64</v>
      </c>
      <c r="M568">
        <v>1.87</v>
      </c>
      <c r="N568">
        <v>7</v>
      </c>
      <c r="O568" t="s">
        <v>19</v>
      </c>
      <c r="P568" cm="1">
        <f t="array" ref="P568">_xlfn.SWITCH(Table2[[#This Row],[mood]], "Tired", 3, "Neutral", 2, "Happy", 1)</f>
        <v>2</v>
      </c>
    </row>
    <row r="569" spans="1:16" x14ac:dyDescent="0.3">
      <c r="A569">
        <v>1681</v>
      </c>
      <c r="B569" s="1">
        <v>42572</v>
      </c>
      <c r="C569">
        <v>48</v>
      </c>
      <c r="D569" t="s">
        <v>15</v>
      </c>
      <c r="E569">
        <v>157.6</v>
      </c>
      <c r="F569">
        <v>51.5</v>
      </c>
      <c r="G569">
        <v>5685</v>
      </c>
      <c r="H569">
        <v>475.4</v>
      </c>
      <c r="I569">
        <v>9.4</v>
      </c>
      <c r="J569">
        <v>79</v>
      </c>
      <c r="K569" t="s">
        <v>22</v>
      </c>
      <c r="L569">
        <v>44</v>
      </c>
      <c r="M569">
        <v>0.78</v>
      </c>
      <c r="N569">
        <v>2</v>
      </c>
      <c r="O569" t="s">
        <v>21</v>
      </c>
      <c r="P569" cm="1">
        <f t="array" ref="P569">_xlfn.SWITCH(Table2[[#This Row],[mood]], "Tired", 3, "Neutral", 2, "Happy", 1)</f>
        <v>1</v>
      </c>
    </row>
    <row r="570" spans="1:16" x14ac:dyDescent="0.3">
      <c r="A570">
        <v>1837</v>
      </c>
      <c r="B570" s="1">
        <v>42573</v>
      </c>
      <c r="C570">
        <v>38</v>
      </c>
      <c r="D570" t="s">
        <v>20</v>
      </c>
      <c r="E570">
        <v>170.3</v>
      </c>
      <c r="F570">
        <v>88.6</v>
      </c>
      <c r="G570">
        <v>17585</v>
      </c>
      <c r="H570">
        <v>900</v>
      </c>
      <c r="I570">
        <v>8.9</v>
      </c>
      <c r="J570">
        <v>74</v>
      </c>
      <c r="K570" t="s">
        <v>22</v>
      </c>
      <c r="L570">
        <v>34</v>
      </c>
      <c r="M570">
        <v>2.41</v>
      </c>
      <c r="N570">
        <v>10</v>
      </c>
      <c r="O570" t="s">
        <v>21</v>
      </c>
      <c r="P570" cm="1">
        <f t="array" ref="P570">_xlfn.SWITCH(Table2[[#This Row],[mood]], "Tired", 3, "Neutral", 2, "Happy", 1)</f>
        <v>1</v>
      </c>
    </row>
    <row r="571" spans="1:16" x14ac:dyDescent="0.3">
      <c r="A571">
        <v>1782</v>
      </c>
      <c r="B571" s="1">
        <v>42574</v>
      </c>
      <c r="C571">
        <v>43</v>
      </c>
      <c r="D571" t="s">
        <v>20</v>
      </c>
      <c r="E571">
        <v>170.2</v>
      </c>
      <c r="F571">
        <v>84.5</v>
      </c>
      <c r="G571">
        <v>18388</v>
      </c>
      <c r="H571">
        <v>900</v>
      </c>
      <c r="I571">
        <v>7</v>
      </c>
      <c r="J571">
        <v>73</v>
      </c>
      <c r="K571" t="s">
        <v>22</v>
      </c>
      <c r="L571">
        <v>39</v>
      </c>
      <c r="M571">
        <v>3.65</v>
      </c>
      <c r="N571">
        <v>10</v>
      </c>
      <c r="O571" t="s">
        <v>21</v>
      </c>
      <c r="P571" cm="1">
        <f t="array" ref="P571">_xlfn.SWITCH(Table2[[#This Row],[mood]], "Tired", 3, "Neutral", 2, "Happy", 1)</f>
        <v>1</v>
      </c>
    </row>
    <row r="572" spans="1:16" x14ac:dyDescent="0.3">
      <c r="A572">
        <v>1053</v>
      </c>
      <c r="B572" s="1">
        <v>42575</v>
      </c>
      <c r="C572">
        <v>57</v>
      </c>
      <c r="D572" t="s">
        <v>20</v>
      </c>
      <c r="E572">
        <v>150</v>
      </c>
      <c r="F572">
        <v>65.599999999999994</v>
      </c>
      <c r="G572">
        <v>18696</v>
      </c>
      <c r="H572">
        <v>868.6</v>
      </c>
      <c r="I572">
        <v>7.1</v>
      </c>
      <c r="J572">
        <v>58</v>
      </c>
      <c r="K572" t="s">
        <v>16</v>
      </c>
      <c r="L572">
        <v>0</v>
      </c>
      <c r="M572">
        <v>2.52</v>
      </c>
      <c r="N572">
        <v>2</v>
      </c>
      <c r="O572" t="s">
        <v>19</v>
      </c>
      <c r="P572" cm="1">
        <f t="array" ref="P572">_xlfn.SWITCH(Table2[[#This Row],[mood]], "Tired", 3, "Neutral", 2, "Happy", 1)</f>
        <v>2</v>
      </c>
    </row>
    <row r="573" spans="1:16" x14ac:dyDescent="0.3">
      <c r="A573">
        <v>1443</v>
      </c>
      <c r="B573" s="1">
        <v>42576</v>
      </c>
      <c r="C573">
        <v>30</v>
      </c>
      <c r="D573" t="s">
        <v>15</v>
      </c>
      <c r="E573">
        <v>181.6</v>
      </c>
      <c r="F573">
        <v>83.2</v>
      </c>
      <c r="G573">
        <v>19409</v>
      </c>
      <c r="H573">
        <v>900</v>
      </c>
      <c r="I573">
        <v>5.7</v>
      </c>
      <c r="J573">
        <v>72</v>
      </c>
      <c r="K573" t="s">
        <v>25</v>
      </c>
      <c r="L573">
        <v>77</v>
      </c>
      <c r="M573">
        <v>1.54</v>
      </c>
      <c r="N573">
        <v>6</v>
      </c>
      <c r="O573" t="s">
        <v>17</v>
      </c>
      <c r="P573" cm="1">
        <f t="array" ref="P573">_xlfn.SWITCH(Table2[[#This Row],[mood]], "Tired", 3, "Neutral", 2, "Happy", 1)</f>
        <v>3</v>
      </c>
    </row>
    <row r="574" spans="1:16" x14ac:dyDescent="0.3">
      <c r="A574">
        <v>1612</v>
      </c>
      <c r="B574" s="1">
        <v>42577</v>
      </c>
      <c r="C574">
        <v>40</v>
      </c>
      <c r="D574" t="s">
        <v>15</v>
      </c>
      <c r="E574">
        <v>150</v>
      </c>
      <c r="F574">
        <v>100</v>
      </c>
      <c r="G574">
        <v>12765</v>
      </c>
      <c r="H574">
        <v>779.4</v>
      </c>
      <c r="I574">
        <v>6</v>
      </c>
      <c r="J574">
        <v>70</v>
      </c>
      <c r="K574" t="s">
        <v>18</v>
      </c>
      <c r="L574">
        <v>79</v>
      </c>
      <c r="M574">
        <v>1.36</v>
      </c>
      <c r="N574">
        <v>2</v>
      </c>
      <c r="O574" t="s">
        <v>17</v>
      </c>
      <c r="P574" cm="1">
        <f t="array" ref="P574">_xlfn.SWITCH(Table2[[#This Row],[mood]], "Tired", 3, "Neutral", 2, "Happy", 1)</f>
        <v>3</v>
      </c>
    </row>
    <row r="575" spans="1:16" x14ac:dyDescent="0.3">
      <c r="A575">
        <v>1992</v>
      </c>
      <c r="B575" s="1">
        <v>42578</v>
      </c>
      <c r="C575">
        <v>37</v>
      </c>
      <c r="D575" t="s">
        <v>15</v>
      </c>
      <c r="E575">
        <v>168.5</v>
      </c>
      <c r="F575">
        <v>54.2</v>
      </c>
      <c r="G575">
        <v>5221</v>
      </c>
      <c r="H575">
        <v>368.7</v>
      </c>
      <c r="I575">
        <v>5.3</v>
      </c>
      <c r="J575">
        <v>69</v>
      </c>
      <c r="K575" t="s">
        <v>18</v>
      </c>
      <c r="L575">
        <v>49</v>
      </c>
      <c r="M575">
        <v>3.34</v>
      </c>
      <c r="N575">
        <v>10</v>
      </c>
      <c r="O575" t="s">
        <v>17</v>
      </c>
      <c r="P575" cm="1">
        <f t="array" ref="P575">_xlfn.SWITCH(Table2[[#This Row],[mood]], "Tired", 3, "Neutral", 2, "Happy", 1)</f>
        <v>3</v>
      </c>
    </row>
    <row r="576" spans="1:16" x14ac:dyDescent="0.3">
      <c r="A576">
        <v>1263</v>
      </c>
      <c r="B576" s="1">
        <v>42579</v>
      </c>
      <c r="C576">
        <v>54</v>
      </c>
      <c r="D576" t="s">
        <v>20</v>
      </c>
      <c r="E576">
        <v>183.3</v>
      </c>
      <c r="F576">
        <v>78.3</v>
      </c>
      <c r="G576">
        <v>16327</v>
      </c>
      <c r="H576">
        <v>833.5</v>
      </c>
      <c r="I576">
        <v>6.7</v>
      </c>
      <c r="J576">
        <v>79</v>
      </c>
      <c r="K576" t="s">
        <v>22</v>
      </c>
      <c r="L576">
        <v>32</v>
      </c>
      <c r="M576">
        <v>1.93</v>
      </c>
      <c r="N576">
        <v>1</v>
      </c>
      <c r="O576" t="s">
        <v>21</v>
      </c>
      <c r="P576" cm="1">
        <f t="array" ref="P576">_xlfn.SWITCH(Table2[[#This Row],[mood]], "Tired", 3, "Neutral", 2, "Happy", 1)</f>
        <v>1</v>
      </c>
    </row>
    <row r="577" spans="1:16" x14ac:dyDescent="0.3">
      <c r="A577">
        <v>1052</v>
      </c>
      <c r="B577" s="1">
        <v>42580</v>
      </c>
      <c r="C577">
        <v>45</v>
      </c>
      <c r="D577" t="s">
        <v>20</v>
      </c>
      <c r="E577">
        <v>192.1</v>
      </c>
      <c r="F577">
        <v>99.8</v>
      </c>
      <c r="G577">
        <v>4671</v>
      </c>
      <c r="H577">
        <v>383.8</v>
      </c>
      <c r="I577">
        <v>7.1</v>
      </c>
      <c r="J577">
        <v>76</v>
      </c>
      <c r="K577" t="s">
        <v>23</v>
      </c>
      <c r="L577">
        <v>86</v>
      </c>
      <c r="M577">
        <v>3.58</v>
      </c>
      <c r="N577">
        <v>3</v>
      </c>
      <c r="O577" t="s">
        <v>19</v>
      </c>
      <c r="P577" cm="1">
        <f t="array" ref="P577">_xlfn.SWITCH(Table2[[#This Row],[mood]], "Tired", 3, "Neutral", 2, "Happy", 1)</f>
        <v>2</v>
      </c>
    </row>
    <row r="578" spans="1:16" x14ac:dyDescent="0.3">
      <c r="A578">
        <v>1571</v>
      </c>
      <c r="B578" s="1">
        <v>42581</v>
      </c>
      <c r="C578">
        <v>34</v>
      </c>
      <c r="D578" t="s">
        <v>15</v>
      </c>
      <c r="E578">
        <v>166.4</v>
      </c>
      <c r="F578">
        <v>79.8</v>
      </c>
      <c r="G578">
        <v>5941</v>
      </c>
      <c r="H578">
        <v>447.1</v>
      </c>
      <c r="I578">
        <v>4.5999999999999996</v>
      </c>
      <c r="J578">
        <v>83</v>
      </c>
      <c r="K578" t="s">
        <v>16</v>
      </c>
      <c r="L578">
        <v>0</v>
      </c>
      <c r="M578">
        <v>2.96</v>
      </c>
      <c r="N578">
        <v>1</v>
      </c>
      <c r="O578" t="s">
        <v>21</v>
      </c>
      <c r="P578" cm="1">
        <f t="array" ref="P578">_xlfn.SWITCH(Table2[[#This Row],[mood]], "Tired", 3, "Neutral", 2, "Happy", 1)</f>
        <v>1</v>
      </c>
    </row>
    <row r="579" spans="1:16" x14ac:dyDescent="0.3">
      <c r="A579">
        <v>1619</v>
      </c>
      <c r="B579" s="1">
        <v>42582</v>
      </c>
      <c r="C579">
        <v>45</v>
      </c>
      <c r="D579" t="s">
        <v>15</v>
      </c>
      <c r="E579">
        <v>155.69999999999999</v>
      </c>
      <c r="F579">
        <v>58.7</v>
      </c>
      <c r="G579">
        <v>13466</v>
      </c>
      <c r="H579">
        <v>710.9</v>
      </c>
      <c r="I579">
        <v>8</v>
      </c>
      <c r="J579">
        <v>71</v>
      </c>
      <c r="K579" t="s">
        <v>18</v>
      </c>
      <c r="L579">
        <v>59</v>
      </c>
      <c r="M579">
        <v>1.96</v>
      </c>
      <c r="N579">
        <v>6</v>
      </c>
      <c r="O579" t="s">
        <v>19</v>
      </c>
      <c r="P579" cm="1">
        <f t="array" ref="P579">_xlfn.SWITCH(Table2[[#This Row],[mood]], "Tired", 3, "Neutral", 2, "Happy", 1)</f>
        <v>2</v>
      </c>
    </row>
    <row r="580" spans="1:16" x14ac:dyDescent="0.3">
      <c r="A580">
        <v>1004</v>
      </c>
      <c r="B580" s="1">
        <v>42583</v>
      </c>
      <c r="C580">
        <v>58</v>
      </c>
      <c r="D580" t="s">
        <v>20</v>
      </c>
      <c r="E580">
        <v>182.9</v>
      </c>
      <c r="F580">
        <v>73.599999999999994</v>
      </c>
      <c r="G580">
        <v>18988</v>
      </c>
      <c r="H580">
        <v>900</v>
      </c>
      <c r="I580">
        <v>5.7</v>
      </c>
      <c r="J580">
        <v>81</v>
      </c>
      <c r="K580" t="s">
        <v>25</v>
      </c>
      <c r="L580">
        <v>57</v>
      </c>
      <c r="M580">
        <v>3.32</v>
      </c>
      <c r="N580">
        <v>4</v>
      </c>
      <c r="O580" t="s">
        <v>21</v>
      </c>
      <c r="P580" cm="1">
        <f t="array" ref="P580">_xlfn.SWITCH(Table2[[#This Row],[mood]], "Tired", 3, "Neutral", 2, "Happy", 1)</f>
        <v>1</v>
      </c>
    </row>
    <row r="581" spans="1:16" x14ac:dyDescent="0.3">
      <c r="A581">
        <v>1102</v>
      </c>
      <c r="B581" s="1">
        <v>42584</v>
      </c>
      <c r="C581">
        <v>19</v>
      </c>
      <c r="D581" t="s">
        <v>20</v>
      </c>
      <c r="E581">
        <v>178.7</v>
      </c>
      <c r="F581">
        <v>90.5</v>
      </c>
      <c r="G581">
        <v>19286</v>
      </c>
      <c r="H581">
        <v>900</v>
      </c>
      <c r="I581">
        <v>7.6</v>
      </c>
      <c r="J581">
        <v>75</v>
      </c>
      <c r="K581" t="s">
        <v>18</v>
      </c>
      <c r="L581">
        <v>66</v>
      </c>
      <c r="M581">
        <v>1.85</v>
      </c>
      <c r="N581">
        <v>2</v>
      </c>
      <c r="O581" t="s">
        <v>19</v>
      </c>
      <c r="P581" cm="1">
        <f t="array" ref="P581">_xlfn.SWITCH(Table2[[#This Row],[mood]], "Tired", 3, "Neutral", 2, "Happy", 1)</f>
        <v>2</v>
      </c>
    </row>
    <row r="582" spans="1:16" x14ac:dyDescent="0.3">
      <c r="A582">
        <v>1195</v>
      </c>
      <c r="B582" s="1">
        <v>42585</v>
      </c>
      <c r="C582">
        <v>42</v>
      </c>
      <c r="D582" t="s">
        <v>20</v>
      </c>
      <c r="E582">
        <v>165.1</v>
      </c>
      <c r="F582">
        <v>54.8</v>
      </c>
      <c r="G582">
        <v>13191</v>
      </c>
      <c r="H582">
        <v>627.1</v>
      </c>
      <c r="I582">
        <v>8.1999999999999993</v>
      </c>
      <c r="J582">
        <v>81</v>
      </c>
      <c r="K582" t="s">
        <v>24</v>
      </c>
      <c r="L582">
        <v>48</v>
      </c>
      <c r="M582">
        <v>1.49</v>
      </c>
      <c r="N582">
        <v>7</v>
      </c>
      <c r="O582" t="s">
        <v>21</v>
      </c>
      <c r="P582" cm="1">
        <f t="array" ref="P582">_xlfn.SWITCH(Table2[[#This Row],[mood]], "Tired", 3, "Neutral", 2, "Happy", 1)</f>
        <v>1</v>
      </c>
    </row>
    <row r="583" spans="1:16" x14ac:dyDescent="0.3">
      <c r="A583">
        <v>1773</v>
      </c>
      <c r="B583" s="1">
        <v>42586</v>
      </c>
      <c r="C583">
        <v>58</v>
      </c>
      <c r="D583" t="s">
        <v>20</v>
      </c>
      <c r="E583">
        <v>163.80000000000001</v>
      </c>
      <c r="F583">
        <v>69.5</v>
      </c>
      <c r="G583">
        <v>5588</v>
      </c>
      <c r="H583">
        <v>427.3</v>
      </c>
      <c r="I583">
        <v>9</v>
      </c>
      <c r="J583">
        <v>74</v>
      </c>
      <c r="K583" t="s">
        <v>25</v>
      </c>
      <c r="L583">
        <v>53</v>
      </c>
      <c r="M583">
        <v>1.89</v>
      </c>
      <c r="N583">
        <v>7</v>
      </c>
      <c r="O583" t="s">
        <v>21</v>
      </c>
      <c r="P583" cm="1">
        <f t="array" ref="P583">_xlfn.SWITCH(Table2[[#This Row],[mood]], "Tired", 3, "Neutral", 2, "Happy", 1)</f>
        <v>1</v>
      </c>
    </row>
    <row r="584" spans="1:16" x14ac:dyDescent="0.3">
      <c r="A584">
        <v>1876</v>
      </c>
      <c r="B584" s="1">
        <v>42587</v>
      </c>
      <c r="C584">
        <v>23</v>
      </c>
      <c r="D584" t="s">
        <v>15</v>
      </c>
      <c r="E584">
        <v>162.80000000000001</v>
      </c>
      <c r="F584">
        <v>66.3</v>
      </c>
      <c r="G584">
        <v>11811</v>
      </c>
      <c r="H584">
        <v>653.29999999999995</v>
      </c>
      <c r="I584">
        <v>8.6</v>
      </c>
      <c r="J584">
        <v>93</v>
      </c>
      <c r="K584" t="s">
        <v>23</v>
      </c>
      <c r="L584">
        <v>30</v>
      </c>
      <c r="M584">
        <v>3.04</v>
      </c>
      <c r="N584">
        <v>8</v>
      </c>
      <c r="O584" t="s">
        <v>19</v>
      </c>
      <c r="P584" cm="1">
        <f t="array" ref="P584">_xlfn.SWITCH(Table2[[#This Row],[mood]], "Tired", 3, "Neutral", 2, "Happy", 1)</f>
        <v>2</v>
      </c>
    </row>
    <row r="585" spans="1:16" x14ac:dyDescent="0.3">
      <c r="A585">
        <v>1991</v>
      </c>
      <c r="B585" s="1">
        <v>42588</v>
      </c>
      <c r="C585">
        <v>28</v>
      </c>
      <c r="D585" t="s">
        <v>20</v>
      </c>
      <c r="E585">
        <v>166.6</v>
      </c>
      <c r="F585">
        <v>60.5</v>
      </c>
      <c r="G585">
        <v>19733</v>
      </c>
      <c r="H585">
        <v>900</v>
      </c>
      <c r="I585">
        <v>9.5</v>
      </c>
      <c r="J585">
        <v>51</v>
      </c>
      <c r="K585" t="s">
        <v>25</v>
      </c>
      <c r="L585">
        <v>39</v>
      </c>
      <c r="M585">
        <v>3.3</v>
      </c>
      <c r="N585">
        <v>7</v>
      </c>
      <c r="O585" t="s">
        <v>17</v>
      </c>
      <c r="P585" cm="1">
        <f t="array" ref="P585">_xlfn.SWITCH(Table2[[#This Row],[mood]], "Tired", 3, "Neutral", 2, "Happy", 1)</f>
        <v>3</v>
      </c>
    </row>
    <row r="586" spans="1:16" x14ac:dyDescent="0.3">
      <c r="A586">
        <v>1883</v>
      </c>
      <c r="B586" s="1">
        <v>42589</v>
      </c>
      <c r="C586">
        <v>55</v>
      </c>
      <c r="D586" t="s">
        <v>20</v>
      </c>
      <c r="E586">
        <v>173.2</v>
      </c>
      <c r="F586">
        <v>73.599999999999994</v>
      </c>
      <c r="G586">
        <v>8928</v>
      </c>
      <c r="H586">
        <v>585.29999999999995</v>
      </c>
      <c r="I586">
        <v>8.1999999999999993</v>
      </c>
      <c r="J586">
        <v>81</v>
      </c>
      <c r="K586" t="s">
        <v>25</v>
      </c>
      <c r="L586">
        <v>39</v>
      </c>
      <c r="M586">
        <v>2.2200000000000002</v>
      </c>
      <c r="N586">
        <v>1</v>
      </c>
      <c r="O586" t="s">
        <v>17</v>
      </c>
      <c r="P586" cm="1">
        <f t="array" ref="P586">_xlfn.SWITCH(Table2[[#This Row],[mood]], "Tired", 3, "Neutral", 2, "Happy", 1)</f>
        <v>3</v>
      </c>
    </row>
    <row r="587" spans="1:16" x14ac:dyDescent="0.3">
      <c r="A587">
        <v>1349</v>
      </c>
      <c r="B587" s="1">
        <v>42590</v>
      </c>
      <c r="C587">
        <v>23</v>
      </c>
      <c r="D587" t="s">
        <v>20</v>
      </c>
      <c r="E587">
        <v>164.3</v>
      </c>
      <c r="F587">
        <v>68.5</v>
      </c>
      <c r="G587">
        <v>16325</v>
      </c>
      <c r="H587">
        <v>868.6</v>
      </c>
      <c r="I587">
        <v>7.3</v>
      </c>
      <c r="J587">
        <v>84</v>
      </c>
      <c r="K587" t="s">
        <v>18</v>
      </c>
      <c r="L587">
        <v>75</v>
      </c>
      <c r="M587">
        <v>1.19</v>
      </c>
      <c r="N587">
        <v>3</v>
      </c>
      <c r="O587" t="s">
        <v>19</v>
      </c>
      <c r="P587" cm="1">
        <f t="array" ref="P587">_xlfn.SWITCH(Table2[[#This Row],[mood]], "Tired", 3, "Neutral", 2, "Happy", 1)</f>
        <v>2</v>
      </c>
    </row>
    <row r="588" spans="1:16" x14ac:dyDescent="0.3">
      <c r="A588">
        <v>1046</v>
      </c>
      <c r="B588" s="1">
        <v>42591</v>
      </c>
      <c r="C588">
        <v>28</v>
      </c>
      <c r="D588" t="s">
        <v>15</v>
      </c>
      <c r="E588">
        <v>165.6</v>
      </c>
      <c r="F588">
        <v>79.7</v>
      </c>
      <c r="G588">
        <v>8120</v>
      </c>
      <c r="H588">
        <v>533</v>
      </c>
      <c r="I588">
        <v>6.3</v>
      </c>
      <c r="J588">
        <v>62</v>
      </c>
      <c r="K588" t="s">
        <v>25</v>
      </c>
      <c r="L588">
        <v>42</v>
      </c>
      <c r="M588">
        <v>1.41</v>
      </c>
      <c r="N588">
        <v>1</v>
      </c>
      <c r="O588" t="s">
        <v>19</v>
      </c>
      <c r="P588" cm="1">
        <f t="array" ref="P588">_xlfn.SWITCH(Table2[[#This Row],[mood]], "Tired", 3, "Neutral", 2, "Happy", 1)</f>
        <v>2</v>
      </c>
    </row>
    <row r="589" spans="1:16" x14ac:dyDescent="0.3">
      <c r="A589">
        <v>1866</v>
      </c>
      <c r="B589" s="1">
        <v>42592</v>
      </c>
      <c r="C589">
        <v>31</v>
      </c>
      <c r="D589" t="s">
        <v>15</v>
      </c>
      <c r="E589">
        <v>176.4</v>
      </c>
      <c r="F589">
        <v>87.1</v>
      </c>
      <c r="G589">
        <v>15274</v>
      </c>
      <c r="H589">
        <v>841.5</v>
      </c>
      <c r="I589">
        <v>6.8</v>
      </c>
      <c r="J589">
        <v>93</v>
      </c>
      <c r="K589" t="s">
        <v>22</v>
      </c>
      <c r="L589">
        <v>44</v>
      </c>
      <c r="M589">
        <v>1.75</v>
      </c>
      <c r="N589">
        <v>2</v>
      </c>
      <c r="O589" t="s">
        <v>17</v>
      </c>
      <c r="P589" cm="1">
        <f t="array" ref="P589">_xlfn.SWITCH(Table2[[#This Row],[mood]], "Tired", 3, "Neutral", 2, "Happy", 1)</f>
        <v>3</v>
      </c>
    </row>
    <row r="590" spans="1:16" x14ac:dyDescent="0.3">
      <c r="A590">
        <v>1822</v>
      </c>
      <c r="B590" s="1">
        <v>42593</v>
      </c>
      <c r="C590">
        <v>19</v>
      </c>
      <c r="D590" t="s">
        <v>20</v>
      </c>
      <c r="E590">
        <v>155.19999999999999</v>
      </c>
      <c r="F590">
        <v>50.9</v>
      </c>
      <c r="G590">
        <v>5719</v>
      </c>
      <c r="H590">
        <v>444.8</v>
      </c>
      <c r="I590">
        <v>9.4</v>
      </c>
      <c r="J590">
        <v>75</v>
      </c>
      <c r="K590" t="s">
        <v>16</v>
      </c>
      <c r="L590">
        <v>0</v>
      </c>
      <c r="M590">
        <v>1.59</v>
      </c>
      <c r="N590">
        <v>1</v>
      </c>
      <c r="O590" t="s">
        <v>21</v>
      </c>
      <c r="P590" cm="1">
        <f t="array" ref="P590">_xlfn.SWITCH(Table2[[#This Row],[mood]], "Tired", 3, "Neutral", 2, "Happy", 1)</f>
        <v>1</v>
      </c>
    </row>
    <row r="591" spans="1:16" x14ac:dyDescent="0.3">
      <c r="A591">
        <v>1935</v>
      </c>
      <c r="B591" s="1">
        <v>42594</v>
      </c>
      <c r="C591">
        <v>57</v>
      </c>
      <c r="D591" t="s">
        <v>20</v>
      </c>
      <c r="E591">
        <v>166.2</v>
      </c>
      <c r="F591">
        <v>71</v>
      </c>
      <c r="G591">
        <v>9081</v>
      </c>
      <c r="H591">
        <v>526.29999999999995</v>
      </c>
      <c r="I591">
        <v>6.7</v>
      </c>
      <c r="J591">
        <v>74</v>
      </c>
      <c r="K591" t="s">
        <v>25</v>
      </c>
      <c r="L591">
        <v>50</v>
      </c>
      <c r="M591">
        <v>2.69</v>
      </c>
      <c r="N591">
        <v>9</v>
      </c>
      <c r="O591" t="s">
        <v>17</v>
      </c>
      <c r="P591" cm="1">
        <f t="array" ref="P591">_xlfn.SWITCH(Table2[[#This Row],[mood]], "Tired", 3, "Neutral", 2, "Happy", 1)</f>
        <v>3</v>
      </c>
    </row>
    <row r="592" spans="1:16" x14ac:dyDescent="0.3">
      <c r="A592">
        <v>1819</v>
      </c>
      <c r="B592" s="1">
        <v>42595</v>
      </c>
      <c r="C592">
        <v>20</v>
      </c>
      <c r="D592" t="s">
        <v>20</v>
      </c>
      <c r="E592">
        <v>153.19999999999999</v>
      </c>
      <c r="F592">
        <v>69.2</v>
      </c>
      <c r="G592">
        <v>15550</v>
      </c>
      <c r="H592">
        <v>858.1</v>
      </c>
      <c r="I592">
        <v>7</v>
      </c>
      <c r="J592">
        <v>79</v>
      </c>
      <c r="K592" t="s">
        <v>18</v>
      </c>
      <c r="L592">
        <v>20</v>
      </c>
      <c r="M592">
        <v>3.86</v>
      </c>
      <c r="N592">
        <v>7</v>
      </c>
      <c r="O592" t="s">
        <v>19</v>
      </c>
      <c r="P592" cm="1">
        <f t="array" ref="P592">_xlfn.SWITCH(Table2[[#This Row],[mood]], "Tired", 3, "Neutral", 2, "Happy", 1)</f>
        <v>2</v>
      </c>
    </row>
    <row r="593" spans="1:16" x14ac:dyDescent="0.3">
      <c r="A593">
        <v>1655</v>
      </c>
      <c r="B593" s="1">
        <v>42596</v>
      </c>
      <c r="C593">
        <v>52</v>
      </c>
      <c r="D593" t="s">
        <v>15</v>
      </c>
      <c r="E593">
        <v>171.1</v>
      </c>
      <c r="F593">
        <v>73.099999999999994</v>
      </c>
      <c r="G593">
        <v>17354</v>
      </c>
      <c r="H593">
        <v>900</v>
      </c>
      <c r="I593">
        <v>9.1999999999999993</v>
      </c>
      <c r="J593">
        <v>84</v>
      </c>
      <c r="K593" t="s">
        <v>22</v>
      </c>
      <c r="L593">
        <v>73</v>
      </c>
      <c r="M593">
        <v>3.06</v>
      </c>
      <c r="N593">
        <v>9</v>
      </c>
      <c r="O593" t="s">
        <v>21</v>
      </c>
      <c r="P593" cm="1">
        <f t="array" ref="P593">_xlfn.SWITCH(Table2[[#This Row],[mood]], "Tired", 3, "Neutral", 2, "Happy", 1)</f>
        <v>1</v>
      </c>
    </row>
    <row r="594" spans="1:16" x14ac:dyDescent="0.3">
      <c r="A594">
        <v>1268</v>
      </c>
      <c r="B594" s="1">
        <v>42597</v>
      </c>
      <c r="C594">
        <v>50</v>
      </c>
      <c r="D594" t="s">
        <v>15</v>
      </c>
      <c r="E594">
        <v>150.6</v>
      </c>
      <c r="F594">
        <v>69.8</v>
      </c>
      <c r="G594">
        <v>11864</v>
      </c>
      <c r="H594">
        <v>620.29999999999995</v>
      </c>
      <c r="I594">
        <v>6.7</v>
      </c>
      <c r="J594">
        <v>76</v>
      </c>
      <c r="K594" t="s">
        <v>23</v>
      </c>
      <c r="L594">
        <v>35</v>
      </c>
      <c r="M594">
        <v>1.71</v>
      </c>
      <c r="N594">
        <v>8</v>
      </c>
      <c r="O594" t="s">
        <v>19</v>
      </c>
      <c r="P594" cm="1">
        <f t="array" ref="P594">_xlfn.SWITCH(Table2[[#This Row],[mood]], "Tired", 3, "Neutral", 2, "Happy", 1)</f>
        <v>2</v>
      </c>
    </row>
    <row r="595" spans="1:16" x14ac:dyDescent="0.3">
      <c r="A595">
        <v>1369</v>
      </c>
      <c r="B595" s="1">
        <v>42598</v>
      </c>
      <c r="C595">
        <v>41</v>
      </c>
      <c r="D595" t="s">
        <v>15</v>
      </c>
      <c r="E595">
        <v>178.9</v>
      </c>
      <c r="F595">
        <v>55.3</v>
      </c>
      <c r="G595">
        <v>17931</v>
      </c>
      <c r="H595">
        <v>900</v>
      </c>
      <c r="I595">
        <v>5.8</v>
      </c>
      <c r="J595">
        <v>76</v>
      </c>
      <c r="K595" t="s">
        <v>24</v>
      </c>
      <c r="L595">
        <v>78</v>
      </c>
      <c r="M595">
        <v>2.0099999999999998</v>
      </c>
      <c r="N595">
        <v>10</v>
      </c>
      <c r="O595" t="s">
        <v>17</v>
      </c>
      <c r="P595" cm="1">
        <f t="array" ref="P595">_xlfn.SWITCH(Table2[[#This Row],[mood]], "Tired", 3, "Neutral", 2, "Happy", 1)</f>
        <v>3</v>
      </c>
    </row>
    <row r="596" spans="1:16" x14ac:dyDescent="0.3">
      <c r="A596">
        <v>1635</v>
      </c>
      <c r="B596" s="1">
        <v>42599</v>
      </c>
      <c r="C596">
        <v>36</v>
      </c>
      <c r="D596" t="s">
        <v>20</v>
      </c>
      <c r="E596">
        <v>156.9</v>
      </c>
      <c r="F596">
        <v>91.8</v>
      </c>
      <c r="G596">
        <v>13624</v>
      </c>
      <c r="H596">
        <v>730.8</v>
      </c>
      <c r="I596">
        <v>8.6999999999999993</v>
      </c>
      <c r="J596">
        <v>83</v>
      </c>
      <c r="K596" t="s">
        <v>25</v>
      </c>
      <c r="L596">
        <v>85</v>
      </c>
      <c r="M596">
        <v>2.15</v>
      </c>
      <c r="N596">
        <v>2</v>
      </c>
      <c r="O596" t="s">
        <v>21</v>
      </c>
      <c r="P596" cm="1">
        <f t="array" ref="P596">_xlfn.SWITCH(Table2[[#This Row],[mood]], "Tired", 3, "Neutral", 2, "Happy", 1)</f>
        <v>1</v>
      </c>
    </row>
    <row r="597" spans="1:16" x14ac:dyDescent="0.3">
      <c r="A597">
        <v>1105</v>
      </c>
      <c r="B597" s="1">
        <v>42600</v>
      </c>
      <c r="C597">
        <v>35</v>
      </c>
      <c r="D597" t="s">
        <v>15</v>
      </c>
      <c r="E597">
        <v>152.30000000000001</v>
      </c>
      <c r="F597">
        <v>98.2</v>
      </c>
      <c r="G597">
        <v>4361</v>
      </c>
      <c r="H597">
        <v>405.1</v>
      </c>
      <c r="I597">
        <v>5.8</v>
      </c>
      <c r="J597">
        <v>85</v>
      </c>
      <c r="K597" t="s">
        <v>22</v>
      </c>
      <c r="L597">
        <v>22</v>
      </c>
      <c r="M597">
        <v>2.77</v>
      </c>
      <c r="N597">
        <v>1</v>
      </c>
      <c r="O597" t="s">
        <v>17</v>
      </c>
      <c r="P597" cm="1">
        <f t="array" ref="P597">_xlfn.SWITCH(Table2[[#This Row],[mood]], "Tired", 3, "Neutral", 2, "Happy", 1)</f>
        <v>3</v>
      </c>
    </row>
    <row r="598" spans="1:16" x14ac:dyDescent="0.3">
      <c r="A598">
        <v>1669</v>
      </c>
      <c r="B598" s="1">
        <v>42601</v>
      </c>
      <c r="C598">
        <v>41</v>
      </c>
      <c r="D598" t="s">
        <v>20</v>
      </c>
      <c r="E598">
        <v>166.4</v>
      </c>
      <c r="F598">
        <v>78.2</v>
      </c>
      <c r="G598">
        <v>14707</v>
      </c>
      <c r="H598">
        <v>795.9</v>
      </c>
      <c r="I598">
        <v>7.6</v>
      </c>
      <c r="J598">
        <v>78</v>
      </c>
      <c r="K598" t="s">
        <v>22</v>
      </c>
      <c r="L598">
        <v>34</v>
      </c>
      <c r="M598">
        <v>3.6</v>
      </c>
      <c r="N598">
        <v>5</v>
      </c>
      <c r="O598" t="s">
        <v>17</v>
      </c>
      <c r="P598" cm="1">
        <f t="array" ref="P598">_xlfn.SWITCH(Table2[[#This Row],[mood]], "Tired", 3, "Neutral", 2, "Happy", 1)</f>
        <v>3</v>
      </c>
    </row>
    <row r="599" spans="1:16" x14ac:dyDescent="0.3">
      <c r="A599">
        <v>1658</v>
      </c>
      <c r="B599" s="1">
        <v>42602</v>
      </c>
      <c r="C599">
        <v>52</v>
      </c>
      <c r="D599" t="s">
        <v>20</v>
      </c>
      <c r="E599">
        <v>187.1</v>
      </c>
      <c r="F599">
        <v>79</v>
      </c>
      <c r="G599">
        <v>2924</v>
      </c>
      <c r="H599">
        <v>308.39999999999998</v>
      </c>
      <c r="I599">
        <v>7.3</v>
      </c>
      <c r="J599">
        <v>60</v>
      </c>
      <c r="K599" t="s">
        <v>23</v>
      </c>
      <c r="L599">
        <v>51</v>
      </c>
      <c r="M599">
        <v>2.17</v>
      </c>
      <c r="N599">
        <v>7</v>
      </c>
      <c r="O599" t="s">
        <v>17</v>
      </c>
      <c r="P599" cm="1">
        <f t="array" ref="P599">_xlfn.SWITCH(Table2[[#This Row],[mood]], "Tired", 3, "Neutral", 2, "Happy", 1)</f>
        <v>3</v>
      </c>
    </row>
    <row r="600" spans="1:16" x14ac:dyDescent="0.3">
      <c r="A600">
        <v>1656</v>
      </c>
      <c r="B600" s="1">
        <v>42603</v>
      </c>
      <c r="C600">
        <v>18</v>
      </c>
      <c r="D600" t="s">
        <v>20</v>
      </c>
      <c r="E600">
        <v>177.1</v>
      </c>
      <c r="F600">
        <v>72</v>
      </c>
      <c r="G600">
        <v>13647</v>
      </c>
      <c r="H600">
        <v>772.8</v>
      </c>
      <c r="I600">
        <v>7.5</v>
      </c>
      <c r="J600">
        <v>65</v>
      </c>
      <c r="K600" t="s">
        <v>23</v>
      </c>
      <c r="L600">
        <v>69</v>
      </c>
      <c r="M600">
        <v>3.58</v>
      </c>
      <c r="N600">
        <v>2</v>
      </c>
      <c r="O600" t="s">
        <v>21</v>
      </c>
      <c r="P600" cm="1">
        <f t="array" ref="P600">_xlfn.SWITCH(Table2[[#This Row],[mood]], "Tired", 3, "Neutral", 2, "Happy", 1)</f>
        <v>1</v>
      </c>
    </row>
    <row r="601" spans="1:16" x14ac:dyDescent="0.3">
      <c r="A601">
        <v>1119</v>
      </c>
      <c r="B601" s="1">
        <v>42604</v>
      </c>
      <c r="C601">
        <v>53</v>
      </c>
      <c r="D601" t="s">
        <v>15</v>
      </c>
      <c r="E601">
        <v>150.80000000000001</v>
      </c>
      <c r="F601">
        <v>84.5</v>
      </c>
      <c r="G601">
        <v>7681</v>
      </c>
      <c r="H601">
        <v>490.6</v>
      </c>
      <c r="I601">
        <v>3.4</v>
      </c>
      <c r="J601">
        <v>86</v>
      </c>
      <c r="K601" t="s">
        <v>24</v>
      </c>
      <c r="L601">
        <v>79</v>
      </c>
      <c r="M601">
        <v>3.97</v>
      </c>
      <c r="N601">
        <v>4</v>
      </c>
      <c r="O601" t="s">
        <v>17</v>
      </c>
      <c r="P601" cm="1">
        <f t="array" ref="P601">_xlfn.SWITCH(Table2[[#This Row],[mood]], "Tired", 3, "Neutral", 2, "Happy", 1)</f>
        <v>3</v>
      </c>
    </row>
    <row r="602" spans="1:16" x14ac:dyDescent="0.3">
      <c r="A602">
        <v>1830</v>
      </c>
      <c r="B602" s="1">
        <v>42605</v>
      </c>
      <c r="C602">
        <v>42</v>
      </c>
      <c r="D602" t="s">
        <v>20</v>
      </c>
      <c r="E602">
        <v>156.6</v>
      </c>
      <c r="F602">
        <v>45</v>
      </c>
      <c r="G602">
        <v>3701</v>
      </c>
      <c r="H602">
        <v>402.1</v>
      </c>
      <c r="I602">
        <v>8.1999999999999993</v>
      </c>
      <c r="J602">
        <v>72</v>
      </c>
      <c r="K602" t="s">
        <v>24</v>
      </c>
      <c r="L602">
        <v>27</v>
      </c>
      <c r="M602">
        <v>2.2599999999999998</v>
      </c>
      <c r="N602">
        <v>7</v>
      </c>
      <c r="O602" t="s">
        <v>21</v>
      </c>
      <c r="P602" cm="1">
        <f t="array" ref="P602">_xlfn.SWITCH(Table2[[#This Row],[mood]], "Tired", 3, "Neutral", 2, "Happy", 1)</f>
        <v>1</v>
      </c>
    </row>
    <row r="603" spans="1:16" x14ac:dyDescent="0.3">
      <c r="A603">
        <v>1786</v>
      </c>
      <c r="B603" s="1">
        <v>42606</v>
      </c>
      <c r="C603">
        <v>51</v>
      </c>
      <c r="D603" t="s">
        <v>15</v>
      </c>
      <c r="E603">
        <v>166</v>
      </c>
      <c r="F603">
        <v>69.900000000000006</v>
      </c>
      <c r="G603">
        <v>15175</v>
      </c>
      <c r="H603">
        <v>869.2</v>
      </c>
      <c r="I603">
        <v>6.9</v>
      </c>
      <c r="J603">
        <v>69</v>
      </c>
      <c r="K603" t="s">
        <v>18</v>
      </c>
      <c r="L603">
        <v>26</v>
      </c>
      <c r="M603">
        <v>2.2400000000000002</v>
      </c>
      <c r="N603">
        <v>9</v>
      </c>
      <c r="O603" t="s">
        <v>17</v>
      </c>
      <c r="P603" cm="1">
        <f t="array" ref="P603">_xlfn.SWITCH(Table2[[#This Row],[mood]], "Tired", 3, "Neutral", 2, "Happy", 1)</f>
        <v>3</v>
      </c>
    </row>
    <row r="604" spans="1:16" x14ac:dyDescent="0.3">
      <c r="A604">
        <v>1603</v>
      </c>
      <c r="B604" s="1">
        <v>42607</v>
      </c>
      <c r="C604">
        <v>42</v>
      </c>
      <c r="D604" t="s">
        <v>15</v>
      </c>
      <c r="E604">
        <v>192.4</v>
      </c>
      <c r="F604">
        <v>61.4</v>
      </c>
      <c r="G604">
        <v>11122</v>
      </c>
      <c r="H604">
        <v>617.5</v>
      </c>
      <c r="I604">
        <v>7.9</v>
      </c>
      <c r="J604">
        <v>79</v>
      </c>
      <c r="K604" t="s">
        <v>24</v>
      </c>
      <c r="L604">
        <v>23</v>
      </c>
      <c r="M604">
        <v>2.25</v>
      </c>
      <c r="N604">
        <v>6</v>
      </c>
      <c r="O604" t="s">
        <v>17</v>
      </c>
      <c r="P604" cm="1">
        <f t="array" ref="P604">_xlfn.SWITCH(Table2[[#This Row],[mood]], "Tired", 3, "Neutral", 2, "Happy", 1)</f>
        <v>3</v>
      </c>
    </row>
    <row r="605" spans="1:16" x14ac:dyDescent="0.3">
      <c r="A605">
        <v>1057</v>
      </c>
      <c r="B605" s="1">
        <v>42608</v>
      </c>
      <c r="C605">
        <v>33</v>
      </c>
      <c r="D605" t="s">
        <v>20</v>
      </c>
      <c r="E605">
        <v>160.6</v>
      </c>
      <c r="F605">
        <v>72.2</v>
      </c>
      <c r="G605">
        <v>17805</v>
      </c>
      <c r="H605">
        <v>900</v>
      </c>
      <c r="I605">
        <v>7.8</v>
      </c>
      <c r="J605">
        <v>78</v>
      </c>
      <c r="K605" t="s">
        <v>24</v>
      </c>
      <c r="L605">
        <v>29</v>
      </c>
      <c r="M605">
        <v>2.54</v>
      </c>
      <c r="N605">
        <v>7</v>
      </c>
      <c r="O605" t="s">
        <v>19</v>
      </c>
      <c r="P605" cm="1">
        <f t="array" ref="P605">_xlfn.SWITCH(Table2[[#This Row],[mood]], "Tired", 3, "Neutral", 2, "Happy", 1)</f>
        <v>2</v>
      </c>
    </row>
    <row r="606" spans="1:16" x14ac:dyDescent="0.3">
      <c r="A606">
        <v>1950</v>
      </c>
      <c r="B606" s="1">
        <v>42609</v>
      </c>
      <c r="C606">
        <v>51</v>
      </c>
      <c r="D606" t="s">
        <v>20</v>
      </c>
      <c r="E606">
        <v>160.69999999999999</v>
      </c>
      <c r="F606">
        <v>86.4</v>
      </c>
      <c r="G606">
        <v>17719</v>
      </c>
      <c r="H606">
        <v>890.1</v>
      </c>
      <c r="I606">
        <v>7.5</v>
      </c>
      <c r="J606">
        <v>73</v>
      </c>
      <c r="K606" t="s">
        <v>22</v>
      </c>
      <c r="L606">
        <v>79</v>
      </c>
      <c r="M606">
        <v>2.25</v>
      </c>
      <c r="N606">
        <v>8</v>
      </c>
      <c r="O606" t="s">
        <v>17</v>
      </c>
      <c r="P606" cm="1">
        <f t="array" ref="P606">_xlfn.SWITCH(Table2[[#This Row],[mood]], "Tired", 3, "Neutral", 2, "Happy", 1)</f>
        <v>3</v>
      </c>
    </row>
    <row r="607" spans="1:16" x14ac:dyDescent="0.3">
      <c r="A607">
        <v>1345</v>
      </c>
      <c r="B607" s="1">
        <v>42610</v>
      </c>
      <c r="C607">
        <v>46</v>
      </c>
      <c r="D607" t="s">
        <v>15</v>
      </c>
      <c r="E607">
        <v>185.3</v>
      </c>
      <c r="F607">
        <v>70.3</v>
      </c>
      <c r="G607">
        <v>10718</v>
      </c>
      <c r="H607">
        <v>647.5</v>
      </c>
      <c r="I607">
        <v>6.4</v>
      </c>
      <c r="J607">
        <v>82</v>
      </c>
      <c r="K607" t="s">
        <v>25</v>
      </c>
      <c r="L607">
        <v>44</v>
      </c>
      <c r="M607">
        <v>3.12</v>
      </c>
      <c r="N607">
        <v>8</v>
      </c>
      <c r="O607" t="s">
        <v>21</v>
      </c>
      <c r="P607" cm="1">
        <f t="array" ref="P607">_xlfn.SWITCH(Table2[[#This Row],[mood]], "Tired", 3, "Neutral", 2, "Happy", 1)</f>
        <v>1</v>
      </c>
    </row>
    <row r="608" spans="1:16" x14ac:dyDescent="0.3">
      <c r="A608">
        <v>1740</v>
      </c>
      <c r="B608" s="1">
        <v>42611</v>
      </c>
      <c r="C608">
        <v>36</v>
      </c>
      <c r="D608" t="s">
        <v>20</v>
      </c>
      <c r="E608">
        <v>171.9</v>
      </c>
      <c r="F608">
        <v>64.599999999999994</v>
      </c>
      <c r="G608">
        <v>1056</v>
      </c>
      <c r="H608">
        <v>307.7</v>
      </c>
      <c r="I608">
        <v>6.4</v>
      </c>
      <c r="J608">
        <v>62</v>
      </c>
      <c r="K608" t="s">
        <v>25</v>
      </c>
      <c r="L608">
        <v>61</v>
      </c>
      <c r="M608">
        <v>1.42</v>
      </c>
      <c r="N608">
        <v>9</v>
      </c>
      <c r="O608" t="s">
        <v>19</v>
      </c>
      <c r="P608" cm="1">
        <f t="array" ref="P608">_xlfn.SWITCH(Table2[[#This Row],[mood]], "Tired", 3, "Neutral", 2, "Happy", 1)</f>
        <v>2</v>
      </c>
    </row>
    <row r="609" spans="1:16" x14ac:dyDescent="0.3">
      <c r="A609">
        <v>1473</v>
      </c>
      <c r="B609" s="1">
        <v>42612</v>
      </c>
      <c r="C609">
        <v>40</v>
      </c>
      <c r="D609" t="s">
        <v>15</v>
      </c>
      <c r="E609">
        <v>180.5</v>
      </c>
      <c r="F609">
        <v>49</v>
      </c>
      <c r="G609">
        <v>14973</v>
      </c>
      <c r="H609">
        <v>715.5</v>
      </c>
      <c r="I609">
        <v>6.9</v>
      </c>
      <c r="J609">
        <v>58</v>
      </c>
      <c r="K609" t="s">
        <v>16</v>
      </c>
      <c r="L609">
        <v>0</v>
      </c>
      <c r="M609">
        <v>2.13</v>
      </c>
      <c r="N609">
        <v>10</v>
      </c>
      <c r="O609" t="s">
        <v>21</v>
      </c>
      <c r="P609" cm="1">
        <f t="array" ref="P609">_xlfn.SWITCH(Table2[[#This Row],[mood]], "Tired", 3, "Neutral", 2, "Happy", 1)</f>
        <v>1</v>
      </c>
    </row>
    <row r="610" spans="1:16" x14ac:dyDescent="0.3">
      <c r="A610">
        <v>1116</v>
      </c>
      <c r="B610" s="1">
        <v>42613</v>
      </c>
      <c r="C610">
        <v>36</v>
      </c>
      <c r="D610" t="s">
        <v>20</v>
      </c>
      <c r="E610">
        <v>162.69999999999999</v>
      </c>
      <c r="F610">
        <v>68.400000000000006</v>
      </c>
      <c r="G610">
        <v>16352</v>
      </c>
      <c r="H610">
        <v>783.2</v>
      </c>
      <c r="I610">
        <v>7.3</v>
      </c>
      <c r="J610">
        <v>90</v>
      </c>
      <c r="K610" t="s">
        <v>24</v>
      </c>
      <c r="L610">
        <v>51</v>
      </c>
      <c r="M610">
        <v>2.73</v>
      </c>
      <c r="N610">
        <v>2</v>
      </c>
      <c r="O610" t="s">
        <v>17</v>
      </c>
      <c r="P610" cm="1">
        <f t="array" ref="P610">_xlfn.SWITCH(Table2[[#This Row],[mood]], "Tired", 3, "Neutral", 2, "Happy", 1)</f>
        <v>3</v>
      </c>
    </row>
    <row r="611" spans="1:16" x14ac:dyDescent="0.3">
      <c r="A611">
        <v>1829</v>
      </c>
      <c r="B611" s="1">
        <v>42614</v>
      </c>
      <c r="C611">
        <v>42</v>
      </c>
      <c r="D611" t="s">
        <v>15</v>
      </c>
      <c r="E611">
        <v>169</v>
      </c>
      <c r="F611">
        <v>80.099999999999994</v>
      </c>
      <c r="G611">
        <v>16052</v>
      </c>
      <c r="H611">
        <v>837.9</v>
      </c>
      <c r="I611">
        <v>6.4</v>
      </c>
      <c r="J611">
        <v>64</v>
      </c>
      <c r="K611" t="s">
        <v>16</v>
      </c>
      <c r="L611">
        <v>0</v>
      </c>
      <c r="M611">
        <v>3.11</v>
      </c>
      <c r="N611">
        <v>7</v>
      </c>
      <c r="O611" t="s">
        <v>19</v>
      </c>
      <c r="P611" cm="1">
        <f t="array" ref="P611">_xlfn.SWITCH(Table2[[#This Row],[mood]], "Tired", 3, "Neutral", 2, "Happy", 1)</f>
        <v>2</v>
      </c>
    </row>
    <row r="612" spans="1:16" x14ac:dyDescent="0.3">
      <c r="A612">
        <v>1790</v>
      </c>
      <c r="B612" s="1">
        <v>42615</v>
      </c>
      <c r="C612">
        <v>33</v>
      </c>
      <c r="D612" t="s">
        <v>15</v>
      </c>
      <c r="E612">
        <v>183.2</v>
      </c>
      <c r="F612">
        <v>57.4</v>
      </c>
      <c r="G612">
        <v>4147</v>
      </c>
      <c r="H612">
        <v>375.2</v>
      </c>
      <c r="I612">
        <v>8.4</v>
      </c>
      <c r="J612">
        <v>60</v>
      </c>
      <c r="K612" t="s">
        <v>16</v>
      </c>
      <c r="L612">
        <v>0</v>
      </c>
      <c r="M612">
        <v>4.04</v>
      </c>
      <c r="N612">
        <v>2</v>
      </c>
      <c r="O612" t="s">
        <v>19</v>
      </c>
      <c r="P612" cm="1">
        <f t="array" ref="P612">_xlfn.SWITCH(Table2[[#This Row],[mood]], "Tired", 3, "Neutral", 2, "Happy", 1)</f>
        <v>2</v>
      </c>
    </row>
    <row r="613" spans="1:16" x14ac:dyDescent="0.3">
      <c r="A613">
        <v>1126</v>
      </c>
      <c r="B613" s="1">
        <v>42616</v>
      </c>
      <c r="C613">
        <v>26</v>
      </c>
      <c r="D613" t="s">
        <v>15</v>
      </c>
      <c r="E613">
        <v>168.6</v>
      </c>
      <c r="F613">
        <v>45</v>
      </c>
      <c r="G613">
        <v>4537</v>
      </c>
      <c r="H613">
        <v>334.4</v>
      </c>
      <c r="I613">
        <v>6.5</v>
      </c>
      <c r="J613">
        <v>72</v>
      </c>
      <c r="K613" t="s">
        <v>18</v>
      </c>
      <c r="L613">
        <v>68</v>
      </c>
      <c r="M613">
        <v>1.6</v>
      </c>
      <c r="N613">
        <v>7</v>
      </c>
      <c r="O613" t="s">
        <v>19</v>
      </c>
      <c r="P613" cm="1">
        <f t="array" ref="P613">_xlfn.SWITCH(Table2[[#This Row],[mood]], "Tired", 3, "Neutral", 2, "Happy", 1)</f>
        <v>2</v>
      </c>
    </row>
    <row r="614" spans="1:16" x14ac:dyDescent="0.3">
      <c r="A614">
        <v>1392</v>
      </c>
      <c r="B614" s="1">
        <v>42617</v>
      </c>
      <c r="C614">
        <v>18</v>
      </c>
      <c r="D614" t="s">
        <v>15</v>
      </c>
      <c r="E614">
        <v>181.2</v>
      </c>
      <c r="F614">
        <v>104.1</v>
      </c>
      <c r="G614">
        <v>1721</v>
      </c>
      <c r="H614">
        <v>277.89999999999998</v>
      </c>
      <c r="I614">
        <v>5.5</v>
      </c>
      <c r="J614">
        <v>75</v>
      </c>
      <c r="K614" t="s">
        <v>18</v>
      </c>
      <c r="L614">
        <v>35</v>
      </c>
      <c r="M614">
        <v>2.04</v>
      </c>
      <c r="N614">
        <v>9</v>
      </c>
      <c r="O614" t="s">
        <v>21</v>
      </c>
      <c r="P614" cm="1">
        <f t="array" ref="P614">_xlfn.SWITCH(Table2[[#This Row],[mood]], "Tired", 3, "Neutral", 2, "Happy", 1)</f>
        <v>1</v>
      </c>
    </row>
    <row r="615" spans="1:16" x14ac:dyDescent="0.3">
      <c r="A615">
        <v>1907</v>
      </c>
      <c r="B615" s="1">
        <v>42618</v>
      </c>
      <c r="C615">
        <v>59</v>
      </c>
      <c r="D615" t="s">
        <v>20</v>
      </c>
      <c r="E615">
        <v>173.9</v>
      </c>
      <c r="F615">
        <v>75</v>
      </c>
      <c r="G615">
        <v>13269</v>
      </c>
      <c r="H615">
        <v>693.7</v>
      </c>
      <c r="I615">
        <v>7.9</v>
      </c>
      <c r="J615">
        <v>70</v>
      </c>
      <c r="K615" t="s">
        <v>25</v>
      </c>
      <c r="L615">
        <v>57</v>
      </c>
      <c r="M615">
        <v>0.91</v>
      </c>
      <c r="N615">
        <v>4</v>
      </c>
      <c r="O615" t="s">
        <v>19</v>
      </c>
      <c r="P615" cm="1">
        <f t="array" ref="P615">_xlfn.SWITCH(Table2[[#This Row],[mood]], "Tired", 3, "Neutral", 2, "Happy", 1)</f>
        <v>2</v>
      </c>
    </row>
    <row r="616" spans="1:16" x14ac:dyDescent="0.3">
      <c r="A616">
        <v>1640</v>
      </c>
      <c r="B616" s="1">
        <v>42619</v>
      </c>
      <c r="C616">
        <v>36</v>
      </c>
      <c r="D616" t="s">
        <v>20</v>
      </c>
      <c r="E616">
        <v>159.6</v>
      </c>
      <c r="F616">
        <v>66.7</v>
      </c>
      <c r="G616">
        <v>17769</v>
      </c>
      <c r="H616">
        <v>888.4</v>
      </c>
      <c r="I616">
        <v>9.8000000000000007</v>
      </c>
      <c r="J616">
        <v>73</v>
      </c>
      <c r="K616" t="s">
        <v>23</v>
      </c>
      <c r="L616">
        <v>24</v>
      </c>
      <c r="M616">
        <v>1.72</v>
      </c>
      <c r="N616">
        <v>5</v>
      </c>
      <c r="O616" t="s">
        <v>19</v>
      </c>
      <c r="P616" cm="1">
        <f t="array" ref="P616">_xlfn.SWITCH(Table2[[#This Row],[mood]], "Tired", 3, "Neutral", 2, "Happy", 1)</f>
        <v>2</v>
      </c>
    </row>
    <row r="617" spans="1:16" x14ac:dyDescent="0.3">
      <c r="A617">
        <v>1057</v>
      </c>
      <c r="B617" s="1">
        <v>42620</v>
      </c>
      <c r="C617">
        <v>50</v>
      </c>
      <c r="D617" t="s">
        <v>15</v>
      </c>
      <c r="E617">
        <v>169.8</v>
      </c>
      <c r="F617">
        <v>90.9</v>
      </c>
      <c r="G617">
        <v>8426</v>
      </c>
      <c r="H617">
        <v>600.5</v>
      </c>
      <c r="I617">
        <v>5.2</v>
      </c>
      <c r="J617">
        <v>61</v>
      </c>
      <c r="K617" t="s">
        <v>22</v>
      </c>
      <c r="L617">
        <v>26</v>
      </c>
      <c r="M617">
        <v>1.26</v>
      </c>
      <c r="N617">
        <v>5</v>
      </c>
      <c r="O617" t="s">
        <v>21</v>
      </c>
      <c r="P617" cm="1">
        <f t="array" ref="P617">_xlfn.SWITCH(Table2[[#This Row],[mood]], "Tired", 3, "Neutral", 2, "Happy", 1)</f>
        <v>1</v>
      </c>
    </row>
    <row r="618" spans="1:16" x14ac:dyDescent="0.3">
      <c r="A618">
        <v>1633</v>
      </c>
      <c r="B618" s="1">
        <v>42621</v>
      </c>
      <c r="C618">
        <v>51</v>
      </c>
      <c r="D618" t="s">
        <v>15</v>
      </c>
      <c r="E618">
        <v>179.8</v>
      </c>
      <c r="F618">
        <v>72.099999999999994</v>
      </c>
      <c r="G618">
        <v>14788</v>
      </c>
      <c r="H618">
        <v>774.4</v>
      </c>
      <c r="I618">
        <v>6.8</v>
      </c>
      <c r="J618">
        <v>82</v>
      </c>
      <c r="K618" t="s">
        <v>24</v>
      </c>
      <c r="L618">
        <v>27</v>
      </c>
      <c r="M618">
        <v>2.14</v>
      </c>
      <c r="N618">
        <v>2</v>
      </c>
      <c r="O618" t="s">
        <v>21</v>
      </c>
      <c r="P618" cm="1">
        <f t="array" ref="P618">_xlfn.SWITCH(Table2[[#This Row],[mood]], "Tired", 3, "Neutral", 2, "Happy", 1)</f>
        <v>1</v>
      </c>
    </row>
    <row r="619" spans="1:16" x14ac:dyDescent="0.3">
      <c r="A619">
        <v>1512</v>
      </c>
      <c r="B619" s="1">
        <v>42622</v>
      </c>
      <c r="C619">
        <v>33</v>
      </c>
      <c r="D619" t="s">
        <v>20</v>
      </c>
      <c r="E619">
        <v>176.7</v>
      </c>
      <c r="F619">
        <v>90</v>
      </c>
      <c r="G619">
        <v>15007</v>
      </c>
      <c r="H619">
        <v>782.2</v>
      </c>
      <c r="I619">
        <v>8.6</v>
      </c>
      <c r="J619">
        <v>60</v>
      </c>
      <c r="K619" t="s">
        <v>22</v>
      </c>
      <c r="L619">
        <v>52</v>
      </c>
      <c r="M619">
        <v>2.34</v>
      </c>
      <c r="N619">
        <v>3</v>
      </c>
      <c r="O619" t="s">
        <v>21</v>
      </c>
      <c r="P619" cm="1">
        <f t="array" ref="P619">_xlfn.SWITCH(Table2[[#This Row],[mood]], "Tired", 3, "Neutral", 2, "Happy", 1)</f>
        <v>1</v>
      </c>
    </row>
    <row r="620" spans="1:16" x14ac:dyDescent="0.3">
      <c r="A620">
        <v>1750</v>
      </c>
      <c r="B620" s="1">
        <v>42623</v>
      </c>
      <c r="C620">
        <v>57</v>
      </c>
      <c r="D620" t="s">
        <v>20</v>
      </c>
      <c r="E620">
        <v>169.6</v>
      </c>
      <c r="F620">
        <v>88.7</v>
      </c>
      <c r="G620">
        <v>12079</v>
      </c>
      <c r="H620">
        <v>689.7</v>
      </c>
      <c r="I620">
        <v>7.9</v>
      </c>
      <c r="J620">
        <v>75</v>
      </c>
      <c r="K620" t="s">
        <v>24</v>
      </c>
      <c r="L620">
        <v>81</v>
      </c>
      <c r="M620">
        <v>2.83</v>
      </c>
      <c r="N620">
        <v>10</v>
      </c>
      <c r="O620" t="s">
        <v>17</v>
      </c>
      <c r="P620" cm="1">
        <f t="array" ref="P620">_xlfn.SWITCH(Table2[[#This Row],[mood]], "Tired", 3, "Neutral", 2, "Happy", 1)</f>
        <v>3</v>
      </c>
    </row>
    <row r="621" spans="1:16" x14ac:dyDescent="0.3">
      <c r="A621">
        <v>1801</v>
      </c>
      <c r="B621" s="1">
        <v>42624</v>
      </c>
      <c r="C621">
        <v>35</v>
      </c>
      <c r="D621" t="s">
        <v>20</v>
      </c>
      <c r="E621">
        <v>151.1</v>
      </c>
      <c r="F621">
        <v>50.9</v>
      </c>
      <c r="G621">
        <v>15346</v>
      </c>
      <c r="H621">
        <v>868.5</v>
      </c>
      <c r="I621">
        <v>7.9</v>
      </c>
      <c r="J621">
        <v>77</v>
      </c>
      <c r="K621" t="s">
        <v>24</v>
      </c>
      <c r="L621">
        <v>51</v>
      </c>
      <c r="M621">
        <v>2.29</v>
      </c>
      <c r="N621">
        <v>1</v>
      </c>
      <c r="O621" t="s">
        <v>21</v>
      </c>
      <c r="P621" cm="1">
        <f t="array" ref="P621">_xlfn.SWITCH(Table2[[#This Row],[mood]], "Tired", 3, "Neutral", 2, "Happy", 1)</f>
        <v>1</v>
      </c>
    </row>
    <row r="622" spans="1:16" x14ac:dyDescent="0.3">
      <c r="A622">
        <v>1095</v>
      </c>
      <c r="B622" s="1">
        <v>42625</v>
      </c>
      <c r="C622">
        <v>51</v>
      </c>
      <c r="D622" t="s">
        <v>20</v>
      </c>
      <c r="E622">
        <v>152</v>
      </c>
      <c r="F622">
        <v>76.900000000000006</v>
      </c>
      <c r="G622">
        <v>8115</v>
      </c>
      <c r="H622">
        <v>522.4</v>
      </c>
      <c r="I622">
        <v>7</v>
      </c>
      <c r="J622">
        <v>81</v>
      </c>
      <c r="K622" t="s">
        <v>16</v>
      </c>
      <c r="L622">
        <v>0</v>
      </c>
      <c r="M622">
        <v>2.83</v>
      </c>
      <c r="N622">
        <v>3</v>
      </c>
      <c r="O622" t="s">
        <v>21</v>
      </c>
      <c r="P622" cm="1">
        <f t="array" ref="P622">_xlfn.SWITCH(Table2[[#This Row],[mood]], "Tired", 3, "Neutral", 2, "Happy", 1)</f>
        <v>1</v>
      </c>
    </row>
    <row r="623" spans="1:16" x14ac:dyDescent="0.3">
      <c r="A623">
        <v>1637</v>
      </c>
      <c r="B623" s="1">
        <v>42626</v>
      </c>
      <c r="C623">
        <v>42</v>
      </c>
      <c r="D623" t="s">
        <v>20</v>
      </c>
      <c r="E623">
        <v>154.19999999999999</v>
      </c>
      <c r="F623">
        <v>95.9</v>
      </c>
      <c r="G623">
        <v>11911</v>
      </c>
      <c r="H623">
        <v>648.5</v>
      </c>
      <c r="I623">
        <v>3</v>
      </c>
      <c r="J623">
        <v>77</v>
      </c>
      <c r="K623" t="s">
        <v>25</v>
      </c>
      <c r="L623">
        <v>39</v>
      </c>
      <c r="M623">
        <v>2.58</v>
      </c>
      <c r="N623">
        <v>5</v>
      </c>
      <c r="O623" t="s">
        <v>19</v>
      </c>
      <c r="P623" cm="1">
        <f t="array" ref="P623">_xlfn.SWITCH(Table2[[#This Row],[mood]], "Tired", 3, "Neutral", 2, "Happy", 1)</f>
        <v>2</v>
      </c>
    </row>
    <row r="624" spans="1:16" x14ac:dyDescent="0.3">
      <c r="A624">
        <v>1117</v>
      </c>
      <c r="B624" s="1">
        <v>42627</v>
      </c>
      <c r="C624">
        <v>23</v>
      </c>
      <c r="D624" t="s">
        <v>20</v>
      </c>
      <c r="E624">
        <v>164.9</v>
      </c>
      <c r="F624">
        <v>55</v>
      </c>
      <c r="G624">
        <v>1259</v>
      </c>
      <c r="H624">
        <v>279.3</v>
      </c>
      <c r="I624">
        <v>7.4</v>
      </c>
      <c r="J624">
        <v>64</v>
      </c>
      <c r="K624" t="s">
        <v>22</v>
      </c>
      <c r="L624">
        <v>74</v>
      </c>
      <c r="M624">
        <v>1.78</v>
      </c>
      <c r="N624">
        <v>9</v>
      </c>
      <c r="O624" t="s">
        <v>17</v>
      </c>
      <c r="P624" cm="1">
        <f t="array" ref="P624">_xlfn.SWITCH(Table2[[#This Row],[mood]], "Tired", 3, "Neutral", 2, "Happy", 1)</f>
        <v>3</v>
      </c>
    </row>
    <row r="625" spans="1:16" x14ac:dyDescent="0.3">
      <c r="A625">
        <v>1559</v>
      </c>
      <c r="B625" s="1">
        <v>42628</v>
      </c>
      <c r="C625">
        <v>38</v>
      </c>
      <c r="D625" t="s">
        <v>15</v>
      </c>
      <c r="E625">
        <v>166.2</v>
      </c>
      <c r="F625">
        <v>55.2</v>
      </c>
      <c r="G625">
        <v>9791</v>
      </c>
      <c r="H625">
        <v>632.29999999999995</v>
      </c>
      <c r="I625">
        <v>7.6</v>
      </c>
      <c r="J625">
        <v>71</v>
      </c>
      <c r="K625" t="s">
        <v>22</v>
      </c>
      <c r="L625">
        <v>82</v>
      </c>
      <c r="M625">
        <v>1.32</v>
      </c>
      <c r="N625">
        <v>1</v>
      </c>
      <c r="O625" t="s">
        <v>19</v>
      </c>
      <c r="P625" cm="1">
        <f t="array" ref="P625">_xlfn.SWITCH(Table2[[#This Row],[mood]], "Tired", 3, "Neutral", 2, "Happy", 1)</f>
        <v>2</v>
      </c>
    </row>
    <row r="626" spans="1:16" x14ac:dyDescent="0.3">
      <c r="A626">
        <v>1600</v>
      </c>
      <c r="B626" s="1">
        <v>42629</v>
      </c>
      <c r="C626">
        <v>23</v>
      </c>
      <c r="D626" t="s">
        <v>20</v>
      </c>
      <c r="E626">
        <v>155.19999999999999</v>
      </c>
      <c r="F626">
        <v>57.7</v>
      </c>
      <c r="G626">
        <v>8536</v>
      </c>
      <c r="H626">
        <v>598.70000000000005</v>
      </c>
      <c r="I626">
        <v>8.6999999999999993</v>
      </c>
      <c r="J626">
        <v>68</v>
      </c>
      <c r="K626" t="s">
        <v>23</v>
      </c>
      <c r="L626">
        <v>25</v>
      </c>
      <c r="M626">
        <v>2.91</v>
      </c>
      <c r="N626">
        <v>6</v>
      </c>
      <c r="O626" t="s">
        <v>21</v>
      </c>
      <c r="P626" cm="1">
        <f t="array" ref="P626">_xlfn.SWITCH(Table2[[#This Row],[mood]], "Tired", 3, "Neutral", 2, "Happy", 1)</f>
        <v>1</v>
      </c>
    </row>
    <row r="627" spans="1:16" x14ac:dyDescent="0.3">
      <c r="A627">
        <v>1487</v>
      </c>
      <c r="B627" s="1">
        <v>42630</v>
      </c>
      <c r="C627">
        <v>49</v>
      </c>
      <c r="D627" t="s">
        <v>20</v>
      </c>
      <c r="E627">
        <v>180.2</v>
      </c>
      <c r="F627">
        <v>83.4</v>
      </c>
      <c r="G627">
        <v>9947</v>
      </c>
      <c r="H627">
        <v>596.1</v>
      </c>
      <c r="I627">
        <v>5.9</v>
      </c>
      <c r="J627">
        <v>59</v>
      </c>
      <c r="K627" t="s">
        <v>23</v>
      </c>
      <c r="L627">
        <v>71</v>
      </c>
      <c r="M627">
        <v>3.65</v>
      </c>
      <c r="N627">
        <v>2</v>
      </c>
      <c r="O627" t="s">
        <v>21</v>
      </c>
      <c r="P627" cm="1">
        <f t="array" ref="P627">_xlfn.SWITCH(Table2[[#This Row],[mood]], "Tired", 3, "Neutral", 2, "Happy", 1)</f>
        <v>1</v>
      </c>
    </row>
    <row r="628" spans="1:16" x14ac:dyDescent="0.3">
      <c r="A628">
        <v>1236</v>
      </c>
      <c r="B628" s="1">
        <v>42631</v>
      </c>
      <c r="C628">
        <v>58</v>
      </c>
      <c r="D628" t="s">
        <v>15</v>
      </c>
      <c r="E628">
        <v>157.4</v>
      </c>
      <c r="F628">
        <v>74.3</v>
      </c>
      <c r="G628">
        <v>12769</v>
      </c>
      <c r="H628">
        <v>734.5</v>
      </c>
      <c r="I628">
        <v>9.5</v>
      </c>
      <c r="J628">
        <v>79</v>
      </c>
      <c r="K628" t="s">
        <v>22</v>
      </c>
      <c r="L628">
        <v>21</v>
      </c>
      <c r="M628">
        <v>4.2699999999999996</v>
      </c>
      <c r="N628">
        <v>6</v>
      </c>
      <c r="O628" t="s">
        <v>19</v>
      </c>
      <c r="P628" cm="1">
        <f t="array" ref="P628">_xlfn.SWITCH(Table2[[#This Row],[mood]], "Tired", 3, "Neutral", 2, "Happy", 1)</f>
        <v>2</v>
      </c>
    </row>
    <row r="629" spans="1:16" x14ac:dyDescent="0.3">
      <c r="A629">
        <v>1884</v>
      </c>
      <c r="B629" s="1">
        <v>42632</v>
      </c>
      <c r="C629">
        <v>56</v>
      </c>
      <c r="D629" t="s">
        <v>20</v>
      </c>
      <c r="E629">
        <v>156.30000000000001</v>
      </c>
      <c r="F629">
        <v>45</v>
      </c>
      <c r="G629">
        <v>11950</v>
      </c>
      <c r="H629">
        <v>717.5</v>
      </c>
      <c r="I629">
        <v>6.5</v>
      </c>
      <c r="J629">
        <v>67</v>
      </c>
      <c r="K629" t="s">
        <v>23</v>
      </c>
      <c r="L629">
        <v>58</v>
      </c>
      <c r="M629">
        <v>3.15</v>
      </c>
      <c r="N629">
        <v>10</v>
      </c>
      <c r="O629" t="s">
        <v>17</v>
      </c>
      <c r="P629" cm="1">
        <f t="array" ref="P629">_xlfn.SWITCH(Table2[[#This Row],[mood]], "Tired", 3, "Neutral", 2, "Happy", 1)</f>
        <v>3</v>
      </c>
    </row>
    <row r="630" spans="1:16" x14ac:dyDescent="0.3">
      <c r="A630">
        <v>1896</v>
      </c>
      <c r="B630" s="1">
        <v>42633</v>
      </c>
      <c r="C630">
        <v>48</v>
      </c>
      <c r="D630" t="s">
        <v>20</v>
      </c>
      <c r="E630">
        <v>170.9</v>
      </c>
      <c r="F630">
        <v>75.099999999999994</v>
      </c>
      <c r="G630">
        <v>17860</v>
      </c>
      <c r="H630">
        <v>900</v>
      </c>
      <c r="I630">
        <v>6.3</v>
      </c>
      <c r="J630">
        <v>76</v>
      </c>
      <c r="K630" t="s">
        <v>23</v>
      </c>
      <c r="L630">
        <v>51</v>
      </c>
      <c r="M630">
        <v>3.52</v>
      </c>
      <c r="N630">
        <v>6</v>
      </c>
      <c r="O630" t="s">
        <v>17</v>
      </c>
      <c r="P630" cm="1">
        <f t="array" ref="P630">_xlfn.SWITCH(Table2[[#This Row],[mood]], "Tired", 3, "Neutral", 2, "Happy", 1)</f>
        <v>3</v>
      </c>
    </row>
    <row r="631" spans="1:16" x14ac:dyDescent="0.3">
      <c r="A631">
        <v>1271</v>
      </c>
      <c r="B631" s="1">
        <v>42634</v>
      </c>
      <c r="C631">
        <v>59</v>
      </c>
      <c r="D631" t="s">
        <v>20</v>
      </c>
      <c r="E631">
        <v>179.7</v>
      </c>
      <c r="F631">
        <v>66.2</v>
      </c>
      <c r="G631">
        <v>6283</v>
      </c>
      <c r="H631">
        <v>517.29999999999995</v>
      </c>
      <c r="I631">
        <v>5.9</v>
      </c>
      <c r="J631">
        <v>74</v>
      </c>
      <c r="K631" t="s">
        <v>24</v>
      </c>
      <c r="L631">
        <v>70</v>
      </c>
      <c r="M631">
        <v>2.82</v>
      </c>
      <c r="N631">
        <v>1</v>
      </c>
      <c r="O631" t="s">
        <v>19</v>
      </c>
      <c r="P631" cm="1">
        <f t="array" ref="P631">_xlfn.SWITCH(Table2[[#This Row],[mood]], "Tired", 3, "Neutral", 2, "Happy", 1)</f>
        <v>2</v>
      </c>
    </row>
    <row r="632" spans="1:16" x14ac:dyDescent="0.3">
      <c r="A632">
        <v>1188</v>
      </c>
      <c r="B632" s="1">
        <v>42635</v>
      </c>
      <c r="C632">
        <v>27</v>
      </c>
      <c r="D632" t="s">
        <v>20</v>
      </c>
      <c r="E632">
        <v>190.5</v>
      </c>
      <c r="F632">
        <v>68.3</v>
      </c>
      <c r="G632">
        <v>10791</v>
      </c>
      <c r="H632">
        <v>664.2</v>
      </c>
      <c r="I632">
        <v>8.6</v>
      </c>
      <c r="J632">
        <v>64</v>
      </c>
      <c r="K632" t="s">
        <v>25</v>
      </c>
      <c r="L632">
        <v>88</v>
      </c>
      <c r="M632">
        <v>2.71</v>
      </c>
      <c r="N632">
        <v>5</v>
      </c>
      <c r="O632" t="s">
        <v>21</v>
      </c>
      <c r="P632" cm="1">
        <f t="array" ref="P632">_xlfn.SWITCH(Table2[[#This Row],[mood]], "Tired", 3, "Neutral", 2, "Happy", 1)</f>
        <v>1</v>
      </c>
    </row>
    <row r="633" spans="1:16" x14ac:dyDescent="0.3">
      <c r="A633">
        <v>1998</v>
      </c>
      <c r="B633" s="1">
        <v>42636</v>
      </c>
      <c r="C633">
        <v>47</v>
      </c>
      <c r="D633" t="s">
        <v>20</v>
      </c>
      <c r="E633">
        <v>175.8</v>
      </c>
      <c r="F633">
        <v>57.4</v>
      </c>
      <c r="G633">
        <v>3359</v>
      </c>
      <c r="H633">
        <v>428.5</v>
      </c>
      <c r="I633">
        <v>5.4</v>
      </c>
      <c r="J633">
        <v>63</v>
      </c>
      <c r="K633" t="s">
        <v>24</v>
      </c>
      <c r="L633">
        <v>51</v>
      </c>
      <c r="M633">
        <v>2.58</v>
      </c>
      <c r="N633">
        <v>10</v>
      </c>
      <c r="O633" t="s">
        <v>17</v>
      </c>
      <c r="P633" cm="1">
        <f t="array" ref="P633">_xlfn.SWITCH(Table2[[#This Row],[mood]], "Tired", 3, "Neutral", 2, "Happy", 1)</f>
        <v>3</v>
      </c>
    </row>
    <row r="634" spans="1:16" x14ac:dyDescent="0.3">
      <c r="A634">
        <v>1703</v>
      </c>
      <c r="B634" s="1">
        <v>42637</v>
      </c>
      <c r="C634">
        <v>35</v>
      </c>
      <c r="D634" t="s">
        <v>15</v>
      </c>
      <c r="E634">
        <v>185.8</v>
      </c>
      <c r="F634">
        <v>75.2</v>
      </c>
      <c r="G634">
        <v>8405</v>
      </c>
      <c r="H634">
        <v>582.1</v>
      </c>
      <c r="I634">
        <v>7.9</v>
      </c>
      <c r="J634">
        <v>72</v>
      </c>
      <c r="K634" t="s">
        <v>16</v>
      </c>
      <c r="L634">
        <v>0</v>
      </c>
      <c r="M634">
        <v>2.4300000000000002</v>
      </c>
      <c r="N634">
        <v>2</v>
      </c>
      <c r="O634" t="s">
        <v>17</v>
      </c>
      <c r="P634" cm="1">
        <f t="array" ref="P634">_xlfn.SWITCH(Table2[[#This Row],[mood]], "Tired", 3, "Neutral", 2, "Happy", 1)</f>
        <v>3</v>
      </c>
    </row>
    <row r="635" spans="1:16" x14ac:dyDescent="0.3">
      <c r="A635">
        <v>1446</v>
      </c>
      <c r="B635" s="1">
        <v>42638</v>
      </c>
      <c r="C635">
        <v>41</v>
      </c>
      <c r="D635" t="s">
        <v>20</v>
      </c>
      <c r="E635">
        <v>157.9</v>
      </c>
      <c r="F635">
        <v>85.8</v>
      </c>
      <c r="G635">
        <v>18645</v>
      </c>
      <c r="H635">
        <v>849.5</v>
      </c>
      <c r="I635">
        <v>5.8</v>
      </c>
      <c r="J635">
        <v>62</v>
      </c>
      <c r="K635" t="s">
        <v>23</v>
      </c>
      <c r="L635">
        <v>81</v>
      </c>
      <c r="M635">
        <v>2.92</v>
      </c>
      <c r="N635">
        <v>1</v>
      </c>
      <c r="O635" t="s">
        <v>19</v>
      </c>
      <c r="P635" cm="1">
        <f t="array" ref="P635">_xlfn.SWITCH(Table2[[#This Row],[mood]], "Tired", 3, "Neutral", 2, "Happy", 1)</f>
        <v>2</v>
      </c>
    </row>
    <row r="636" spans="1:16" x14ac:dyDescent="0.3">
      <c r="A636">
        <v>1580</v>
      </c>
      <c r="B636" s="1">
        <v>42639</v>
      </c>
      <c r="C636">
        <v>26</v>
      </c>
      <c r="D636" t="s">
        <v>15</v>
      </c>
      <c r="E636">
        <v>191.6</v>
      </c>
      <c r="F636">
        <v>60.4</v>
      </c>
      <c r="G636">
        <v>15357</v>
      </c>
      <c r="H636">
        <v>794.4</v>
      </c>
      <c r="I636">
        <v>6.9</v>
      </c>
      <c r="J636">
        <v>85</v>
      </c>
      <c r="K636" t="s">
        <v>24</v>
      </c>
      <c r="L636">
        <v>32</v>
      </c>
      <c r="M636">
        <v>2.14</v>
      </c>
      <c r="N636">
        <v>9</v>
      </c>
      <c r="O636" t="s">
        <v>17</v>
      </c>
      <c r="P636" cm="1">
        <f t="array" ref="P636">_xlfn.SWITCH(Table2[[#This Row],[mood]], "Tired", 3, "Neutral", 2, "Happy", 1)</f>
        <v>3</v>
      </c>
    </row>
    <row r="637" spans="1:16" x14ac:dyDescent="0.3">
      <c r="A637">
        <v>1789</v>
      </c>
      <c r="B637" s="1">
        <v>42640</v>
      </c>
      <c r="C637">
        <v>48</v>
      </c>
      <c r="D637" t="s">
        <v>15</v>
      </c>
      <c r="E637">
        <v>151.4</v>
      </c>
      <c r="F637">
        <v>45</v>
      </c>
      <c r="G637">
        <v>7323</v>
      </c>
      <c r="H637">
        <v>412</v>
      </c>
      <c r="I637">
        <v>4.7</v>
      </c>
      <c r="J637">
        <v>88</v>
      </c>
      <c r="K637" t="s">
        <v>24</v>
      </c>
      <c r="L637">
        <v>89</v>
      </c>
      <c r="M637">
        <v>2.4</v>
      </c>
      <c r="N637">
        <v>6</v>
      </c>
      <c r="O637" t="s">
        <v>21</v>
      </c>
      <c r="P637" cm="1">
        <f t="array" ref="P637">_xlfn.SWITCH(Table2[[#This Row],[mood]], "Tired", 3, "Neutral", 2, "Happy", 1)</f>
        <v>1</v>
      </c>
    </row>
    <row r="638" spans="1:16" x14ac:dyDescent="0.3">
      <c r="A638">
        <v>1860</v>
      </c>
      <c r="B638" s="1">
        <v>42641</v>
      </c>
      <c r="C638">
        <v>32</v>
      </c>
      <c r="D638" t="s">
        <v>20</v>
      </c>
      <c r="E638">
        <v>165</v>
      </c>
      <c r="F638">
        <v>65.5</v>
      </c>
      <c r="G638">
        <v>6937</v>
      </c>
      <c r="H638">
        <v>445.5</v>
      </c>
      <c r="I638">
        <v>8.1999999999999993</v>
      </c>
      <c r="J638">
        <v>83</v>
      </c>
      <c r="K638" t="s">
        <v>18</v>
      </c>
      <c r="L638">
        <v>40</v>
      </c>
      <c r="M638">
        <v>1.68</v>
      </c>
      <c r="N638">
        <v>1</v>
      </c>
      <c r="O638" t="s">
        <v>19</v>
      </c>
      <c r="P638" cm="1">
        <f t="array" ref="P638">_xlfn.SWITCH(Table2[[#This Row],[mood]], "Tired", 3, "Neutral", 2, "Happy", 1)</f>
        <v>2</v>
      </c>
    </row>
    <row r="639" spans="1:16" x14ac:dyDescent="0.3">
      <c r="A639">
        <v>1246</v>
      </c>
      <c r="B639" s="1">
        <v>42642</v>
      </c>
      <c r="C639">
        <v>21</v>
      </c>
      <c r="D639" t="s">
        <v>15</v>
      </c>
      <c r="E639">
        <v>175.6</v>
      </c>
      <c r="F639">
        <v>81.3</v>
      </c>
      <c r="G639">
        <v>18966</v>
      </c>
      <c r="H639">
        <v>900</v>
      </c>
      <c r="I639">
        <v>6.8</v>
      </c>
      <c r="J639">
        <v>78</v>
      </c>
      <c r="K639" t="s">
        <v>24</v>
      </c>
      <c r="L639">
        <v>80</v>
      </c>
      <c r="M639">
        <v>2.83</v>
      </c>
      <c r="N639">
        <v>10</v>
      </c>
      <c r="O639" t="s">
        <v>17</v>
      </c>
      <c r="P639" cm="1">
        <f t="array" ref="P639">_xlfn.SWITCH(Table2[[#This Row],[mood]], "Tired", 3, "Neutral", 2, "Happy", 1)</f>
        <v>3</v>
      </c>
    </row>
    <row r="640" spans="1:16" x14ac:dyDescent="0.3">
      <c r="A640">
        <v>1962</v>
      </c>
      <c r="B640" s="1">
        <v>42643</v>
      </c>
      <c r="C640">
        <v>57</v>
      </c>
      <c r="D640" t="s">
        <v>20</v>
      </c>
      <c r="E640">
        <v>153.9</v>
      </c>
      <c r="F640">
        <v>63.7</v>
      </c>
      <c r="G640">
        <v>12030</v>
      </c>
      <c r="H640">
        <v>724.6</v>
      </c>
      <c r="I640">
        <v>7.8</v>
      </c>
      <c r="J640">
        <v>76</v>
      </c>
      <c r="K640" t="s">
        <v>24</v>
      </c>
      <c r="L640">
        <v>33</v>
      </c>
      <c r="M640">
        <v>1.83</v>
      </c>
      <c r="N640">
        <v>9</v>
      </c>
      <c r="O640" t="s">
        <v>21</v>
      </c>
      <c r="P640" cm="1">
        <f t="array" ref="P640">_xlfn.SWITCH(Table2[[#This Row],[mood]], "Tired", 3, "Neutral", 2, "Happy", 1)</f>
        <v>1</v>
      </c>
    </row>
    <row r="641" spans="1:16" x14ac:dyDescent="0.3">
      <c r="A641">
        <v>1075</v>
      </c>
      <c r="B641" s="1">
        <v>42644</v>
      </c>
      <c r="C641">
        <v>26</v>
      </c>
      <c r="D641" t="s">
        <v>15</v>
      </c>
      <c r="E641">
        <v>160.69999999999999</v>
      </c>
      <c r="F641">
        <v>47.5</v>
      </c>
      <c r="G641">
        <v>18882</v>
      </c>
      <c r="H641">
        <v>900</v>
      </c>
      <c r="I641">
        <v>6.7</v>
      </c>
      <c r="J641">
        <v>65</v>
      </c>
      <c r="K641" t="s">
        <v>25</v>
      </c>
      <c r="L641">
        <v>41</v>
      </c>
      <c r="M641">
        <v>2.52</v>
      </c>
      <c r="N641">
        <v>9</v>
      </c>
      <c r="O641" t="s">
        <v>21</v>
      </c>
      <c r="P641" cm="1">
        <f t="array" ref="P641">_xlfn.SWITCH(Table2[[#This Row],[mood]], "Tired", 3, "Neutral", 2, "Happy", 1)</f>
        <v>1</v>
      </c>
    </row>
    <row r="642" spans="1:16" x14ac:dyDescent="0.3">
      <c r="A642">
        <v>1153</v>
      </c>
      <c r="B642" s="1">
        <v>42645</v>
      </c>
      <c r="C642">
        <v>26</v>
      </c>
      <c r="D642" t="s">
        <v>15</v>
      </c>
      <c r="E642">
        <v>159.1</v>
      </c>
      <c r="F642">
        <v>81.400000000000006</v>
      </c>
      <c r="G642">
        <v>14003</v>
      </c>
      <c r="H642">
        <v>829.8</v>
      </c>
      <c r="I642">
        <v>7.8</v>
      </c>
      <c r="J642">
        <v>83</v>
      </c>
      <c r="K642" t="s">
        <v>22</v>
      </c>
      <c r="L642">
        <v>51</v>
      </c>
      <c r="M642">
        <v>2.85</v>
      </c>
      <c r="N642">
        <v>7</v>
      </c>
      <c r="O642" t="s">
        <v>19</v>
      </c>
      <c r="P642" cm="1">
        <f t="array" ref="P642">_xlfn.SWITCH(Table2[[#This Row],[mood]], "Tired", 3, "Neutral", 2, "Happy", 1)</f>
        <v>2</v>
      </c>
    </row>
    <row r="643" spans="1:16" x14ac:dyDescent="0.3">
      <c r="A643">
        <v>1655</v>
      </c>
      <c r="B643" s="1">
        <v>42646</v>
      </c>
      <c r="C643">
        <v>43</v>
      </c>
      <c r="D643" t="s">
        <v>20</v>
      </c>
      <c r="E643">
        <v>166.9</v>
      </c>
      <c r="F643">
        <v>91.2</v>
      </c>
      <c r="G643">
        <v>11578</v>
      </c>
      <c r="H643">
        <v>629.70000000000005</v>
      </c>
      <c r="I643">
        <v>6.9</v>
      </c>
      <c r="J643">
        <v>89</v>
      </c>
      <c r="K643" t="s">
        <v>18</v>
      </c>
      <c r="L643">
        <v>60</v>
      </c>
      <c r="M643">
        <v>2.91</v>
      </c>
      <c r="N643">
        <v>9</v>
      </c>
      <c r="O643" t="s">
        <v>19</v>
      </c>
      <c r="P643" cm="1">
        <f t="array" ref="P643">_xlfn.SWITCH(Table2[[#This Row],[mood]], "Tired", 3, "Neutral", 2, "Happy", 1)</f>
        <v>2</v>
      </c>
    </row>
    <row r="644" spans="1:16" x14ac:dyDescent="0.3">
      <c r="A644">
        <v>1434</v>
      </c>
      <c r="B644" s="1">
        <v>42647</v>
      </c>
      <c r="C644">
        <v>21</v>
      </c>
      <c r="D644" t="s">
        <v>20</v>
      </c>
      <c r="E644">
        <v>184.2</v>
      </c>
      <c r="F644">
        <v>70.3</v>
      </c>
      <c r="G644">
        <v>13979</v>
      </c>
      <c r="H644">
        <v>744.7</v>
      </c>
      <c r="I644">
        <v>8.1</v>
      </c>
      <c r="J644">
        <v>72</v>
      </c>
      <c r="K644" t="s">
        <v>18</v>
      </c>
      <c r="L644">
        <v>51</v>
      </c>
      <c r="M644">
        <v>3.04</v>
      </c>
      <c r="N644">
        <v>1</v>
      </c>
      <c r="O644" t="s">
        <v>21</v>
      </c>
      <c r="P644" cm="1">
        <f t="array" ref="P644">_xlfn.SWITCH(Table2[[#This Row],[mood]], "Tired", 3, "Neutral", 2, "Happy", 1)</f>
        <v>1</v>
      </c>
    </row>
    <row r="645" spans="1:16" x14ac:dyDescent="0.3">
      <c r="A645">
        <v>1996</v>
      </c>
      <c r="B645" s="1">
        <v>42648</v>
      </c>
      <c r="C645">
        <v>34</v>
      </c>
      <c r="D645" t="s">
        <v>20</v>
      </c>
      <c r="E645">
        <v>170.2</v>
      </c>
      <c r="F645">
        <v>45.9</v>
      </c>
      <c r="G645">
        <v>3209</v>
      </c>
      <c r="H645">
        <v>266.39999999999998</v>
      </c>
      <c r="I645">
        <v>7.8</v>
      </c>
      <c r="J645">
        <v>75</v>
      </c>
      <c r="K645" t="s">
        <v>18</v>
      </c>
      <c r="L645">
        <v>61</v>
      </c>
      <c r="M645">
        <v>2.35</v>
      </c>
      <c r="N645">
        <v>3</v>
      </c>
      <c r="O645" t="s">
        <v>21</v>
      </c>
      <c r="P645" cm="1">
        <f t="array" ref="P645">_xlfn.SWITCH(Table2[[#This Row],[mood]], "Tired", 3, "Neutral", 2, "Happy", 1)</f>
        <v>1</v>
      </c>
    </row>
    <row r="646" spans="1:16" x14ac:dyDescent="0.3">
      <c r="A646">
        <v>1085</v>
      </c>
      <c r="B646" s="1">
        <v>42649</v>
      </c>
      <c r="C646">
        <v>33</v>
      </c>
      <c r="D646" t="s">
        <v>20</v>
      </c>
      <c r="E646">
        <v>165.4</v>
      </c>
      <c r="F646">
        <v>65.2</v>
      </c>
      <c r="G646">
        <v>13060</v>
      </c>
      <c r="H646">
        <v>794.6</v>
      </c>
      <c r="I646">
        <v>7.3</v>
      </c>
      <c r="J646">
        <v>67</v>
      </c>
      <c r="K646" t="s">
        <v>16</v>
      </c>
      <c r="L646">
        <v>0</v>
      </c>
      <c r="M646">
        <v>2.84</v>
      </c>
      <c r="N646">
        <v>8</v>
      </c>
      <c r="O646" t="s">
        <v>17</v>
      </c>
      <c r="P646" cm="1">
        <f t="array" ref="P646">_xlfn.SWITCH(Table2[[#This Row],[mood]], "Tired", 3, "Neutral", 2, "Happy", 1)</f>
        <v>3</v>
      </c>
    </row>
    <row r="647" spans="1:16" x14ac:dyDescent="0.3">
      <c r="A647">
        <v>1696</v>
      </c>
      <c r="B647" s="1">
        <v>42650</v>
      </c>
      <c r="C647">
        <v>32</v>
      </c>
      <c r="D647" t="s">
        <v>20</v>
      </c>
      <c r="E647">
        <v>150</v>
      </c>
      <c r="F647">
        <v>72.3</v>
      </c>
      <c r="G647">
        <v>8228</v>
      </c>
      <c r="H647">
        <v>608</v>
      </c>
      <c r="I647">
        <v>5.6</v>
      </c>
      <c r="J647">
        <v>72</v>
      </c>
      <c r="K647" t="s">
        <v>18</v>
      </c>
      <c r="L647">
        <v>73</v>
      </c>
      <c r="M647">
        <v>2.16</v>
      </c>
      <c r="N647">
        <v>3</v>
      </c>
      <c r="O647" t="s">
        <v>17</v>
      </c>
      <c r="P647" cm="1">
        <f t="array" ref="P647">_xlfn.SWITCH(Table2[[#This Row],[mood]], "Tired", 3, "Neutral", 2, "Happy", 1)</f>
        <v>3</v>
      </c>
    </row>
    <row r="648" spans="1:16" x14ac:dyDescent="0.3">
      <c r="A648">
        <v>1284</v>
      </c>
      <c r="B648" s="1">
        <v>42651</v>
      </c>
      <c r="C648">
        <v>52</v>
      </c>
      <c r="D648" t="s">
        <v>15</v>
      </c>
      <c r="E648">
        <v>174.7</v>
      </c>
      <c r="F648">
        <v>57.9</v>
      </c>
      <c r="G648">
        <v>10300</v>
      </c>
      <c r="H648">
        <v>605.4</v>
      </c>
      <c r="I648">
        <v>6.3</v>
      </c>
      <c r="J648">
        <v>62</v>
      </c>
      <c r="K648" t="s">
        <v>25</v>
      </c>
      <c r="L648">
        <v>81</v>
      </c>
      <c r="M648">
        <v>1.1200000000000001</v>
      </c>
      <c r="N648">
        <v>8</v>
      </c>
      <c r="O648" t="s">
        <v>17</v>
      </c>
      <c r="P648" cm="1">
        <f t="array" ref="P648">_xlfn.SWITCH(Table2[[#This Row],[mood]], "Tired", 3, "Neutral", 2, "Happy", 1)</f>
        <v>3</v>
      </c>
    </row>
    <row r="649" spans="1:16" x14ac:dyDescent="0.3">
      <c r="A649">
        <v>1973</v>
      </c>
      <c r="B649" s="1">
        <v>42652</v>
      </c>
      <c r="C649">
        <v>22</v>
      </c>
      <c r="D649" t="s">
        <v>15</v>
      </c>
      <c r="E649">
        <v>177.9</v>
      </c>
      <c r="F649">
        <v>78.8</v>
      </c>
      <c r="G649">
        <v>9681</v>
      </c>
      <c r="H649">
        <v>513.20000000000005</v>
      </c>
      <c r="I649">
        <v>5.8</v>
      </c>
      <c r="J649">
        <v>72</v>
      </c>
      <c r="K649" t="s">
        <v>22</v>
      </c>
      <c r="L649">
        <v>62</v>
      </c>
      <c r="M649">
        <v>2.87</v>
      </c>
      <c r="N649">
        <v>3</v>
      </c>
      <c r="O649" t="s">
        <v>17</v>
      </c>
      <c r="P649" cm="1">
        <f t="array" ref="P649">_xlfn.SWITCH(Table2[[#This Row],[mood]], "Tired", 3, "Neutral", 2, "Happy", 1)</f>
        <v>3</v>
      </c>
    </row>
    <row r="650" spans="1:16" x14ac:dyDescent="0.3">
      <c r="A650">
        <v>1219</v>
      </c>
      <c r="B650" s="1">
        <v>42653</v>
      </c>
      <c r="C650">
        <v>22</v>
      </c>
      <c r="D650" t="s">
        <v>15</v>
      </c>
      <c r="E650">
        <v>153</v>
      </c>
      <c r="F650">
        <v>56.4</v>
      </c>
      <c r="G650">
        <v>9196</v>
      </c>
      <c r="H650">
        <v>557.4</v>
      </c>
      <c r="I650">
        <v>9.1</v>
      </c>
      <c r="J650">
        <v>79</v>
      </c>
      <c r="K650" t="s">
        <v>16</v>
      </c>
      <c r="L650">
        <v>0</v>
      </c>
      <c r="M650">
        <v>2.71</v>
      </c>
      <c r="N650">
        <v>4</v>
      </c>
      <c r="O650" t="s">
        <v>17</v>
      </c>
      <c r="P650" cm="1">
        <f t="array" ref="P650">_xlfn.SWITCH(Table2[[#This Row],[mood]], "Tired", 3, "Neutral", 2, "Happy", 1)</f>
        <v>3</v>
      </c>
    </row>
    <row r="651" spans="1:16" x14ac:dyDescent="0.3">
      <c r="A651">
        <v>1068</v>
      </c>
      <c r="B651" s="1">
        <v>42654</v>
      </c>
      <c r="C651">
        <v>37</v>
      </c>
      <c r="D651" t="s">
        <v>15</v>
      </c>
      <c r="E651">
        <v>169.3</v>
      </c>
      <c r="F651">
        <v>70.400000000000006</v>
      </c>
      <c r="G651">
        <v>9267</v>
      </c>
      <c r="H651">
        <v>582.29999999999995</v>
      </c>
      <c r="I651">
        <v>8.1999999999999993</v>
      </c>
      <c r="J651">
        <v>78</v>
      </c>
      <c r="K651" t="s">
        <v>25</v>
      </c>
      <c r="L651">
        <v>57</v>
      </c>
      <c r="M651">
        <v>3.21</v>
      </c>
      <c r="N651">
        <v>4</v>
      </c>
      <c r="O651" t="s">
        <v>19</v>
      </c>
      <c r="P651" cm="1">
        <f t="array" ref="P651">_xlfn.SWITCH(Table2[[#This Row],[mood]], "Tired", 3, "Neutral", 2, "Happy", 1)</f>
        <v>2</v>
      </c>
    </row>
    <row r="652" spans="1:16" x14ac:dyDescent="0.3">
      <c r="A652">
        <v>1046</v>
      </c>
      <c r="B652" s="1">
        <v>42655</v>
      </c>
      <c r="C652">
        <v>32</v>
      </c>
      <c r="D652" t="s">
        <v>15</v>
      </c>
      <c r="E652">
        <v>171.9</v>
      </c>
      <c r="F652">
        <v>66.599999999999994</v>
      </c>
      <c r="G652">
        <v>6372</v>
      </c>
      <c r="H652">
        <v>423.1</v>
      </c>
      <c r="I652">
        <v>7.1</v>
      </c>
      <c r="J652">
        <v>78</v>
      </c>
      <c r="K652" t="s">
        <v>18</v>
      </c>
      <c r="L652">
        <v>58</v>
      </c>
      <c r="M652">
        <v>2.48</v>
      </c>
      <c r="N652">
        <v>5</v>
      </c>
      <c r="O652" t="s">
        <v>17</v>
      </c>
      <c r="P652" cm="1">
        <f t="array" ref="P652">_xlfn.SWITCH(Table2[[#This Row],[mood]], "Tired", 3, "Neutral", 2, "Happy", 1)</f>
        <v>3</v>
      </c>
    </row>
    <row r="653" spans="1:16" x14ac:dyDescent="0.3">
      <c r="A653">
        <v>1093</v>
      </c>
      <c r="B653" s="1">
        <v>42656</v>
      </c>
      <c r="C653">
        <v>35</v>
      </c>
      <c r="D653" t="s">
        <v>15</v>
      </c>
      <c r="E653">
        <v>179.6</v>
      </c>
      <c r="F653">
        <v>79.2</v>
      </c>
      <c r="G653">
        <v>7150</v>
      </c>
      <c r="H653">
        <v>603.5</v>
      </c>
      <c r="I653">
        <v>6.2</v>
      </c>
      <c r="J653">
        <v>51</v>
      </c>
      <c r="K653" t="s">
        <v>22</v>
      </c>
      <c r="L653">
        <v>89</v>
      </c>
      <c r="M653">
        <v>1.38</v>
      </c>
      <c r="N653">
        <v>10</v>
      </c>
      <c r="O653" t="s">
        <v>17</v>
      </c>
      <c r="P653" cm="1">
        <f t="array" ref="P653">_xlfn.SWITCH(Table2[[#This Row],[mood]], "Tired", 3, "Neutral", 2, "Happy", 1)</f>
        <v>3</v>
      </c>
    </row>
    <row r="654" spans="1:16" x14ac:dyDescent="0.3">
      <c r="A654">
        <v>1749</v>
      </c>
      <c r="B654" s="1">
        <v>42657</v>
      </c>
      <c r="C654">
        <v>19</v>
      </c>
      <c r="D654" t="s">
        <v>15</v>
      </c>
      <c r="E654">
        <v>162.80000000000001</v>
      </c>
      <c r="F654">
        <v>69.8</v>
      </c>
      <c r="G654">
        <v>11920</v>
      </c>
      <c r="H654">
        <v>768.1</v>
      </c>
      <c r="I654">
        <v>5.8</v>
      </c>
      <c r="J654">
        <v>75</v>
      </c>
      <c r="K654" t="s">
        <v>25</v>
      </c>
      <c r="L654">
        <v>64</v>
      </c>
      <c r="M654">
        <v>2.44</v>
      </c>
      <c r="N654">
        <v>10</v>
      </c>
      <c r="O654" t="s">
        <v>17</v>
      </c>
      <c r="P654" cm="1">
        <f t="array" ref="P654">_xlfn.SWITCH(Table2[[#This Row],[mood]], "Tired", 3, "Neutral", 2, "Happy", 1)</f>
        <v>3</v>
      </c>
    </row>
    <row r="655" spans="1:16" x14ac:dyDescent="0.3">
      <c r="A655">
        <v>1957</v>
      </c>
      <c r="B655" s="1">
        <v>42658</v>
      </c>
      <c r="C655">
        <v>46</v>
      </c>
      <c r="D655" t="s">
        <v>20</v>
      </c>
      <c r="E655">
        <v>161.19999999999999</v>
      </c>
      <c r="F655">
        <v>67.099999999999994</v>
      </c>
      <c r="G655">
        <v>17001</v>
      </c>
      <c r="H655">
        <v>792.6</v>
      </c>
      <c r="I655">
        <v>7.2</v>
      </c>
      <c r="J655">
        <v>81</v>
      </c>
      <c r="K655" t="s">
        <v>22</v>
      </c>
      <c r="L655">
        <v>65</v>
      </c>
      <c r="M655">
        <v>3.12</v>
      </c>
      <c r="N655">
        <v>4</v>
      </c>
      <c r="O655" t="s">
        <v>21</v>
      </c>
      <c r="P655" cm="1">
        <f t="array" ref="P655">_xlfn.SWITCH(Table2[[#This Row],[mood]], "Tired", 3, "Neutral", 2, "Happy", 1)</f>
        <v>1</v>
      </c>
    </row>
    <row r="656" spans="1:16" x14ac:dyDescent="0.3">
      <c r="A656">
        <v>1452</v>
      </c>
      <c r="B656" s="1">
        <v>42659</v>
      </c>
      <c r="C656">
        <v>30</v>
      </c>
      <c r="D656" t="s">
        <v>20</v>
      </c>
      <c r="E656">
        <v>165.4</v>
      </c>
      <c r="F656">
        <v>58</v>
      </c>
      <c r="G656">
        <v>17856</v>
      </c>
      <c r="H656">
        <v>856.5</v>
      </c>
      <c r="I656">
        <v>9.8000000000000007</v>
      </c>
      <c r="J656">
        <v>75</v>
      </c>
      <c r="K656" t="s">
        <v>16</v>
      </c>
      <c r="L656">
        <v>0</v>
      </c>
      <c r="M656">
        <v>2.83</v>
      </c>
      <c r="N656">
        <v>7</v>
      </c>
      <c r="O656" t="s">
        <v>17</v>
      </c>
      <c r="P656" cm="1">
        <f t="array" ref="P656">_xlfn.SWITCH(Table2[[#This Row],[mood]], "Tired", 3, "Neutral", 2, "Happy", 1)</f>
        <v>3</v>
      </c>
    </row>
    <row r="657" spans="1:16" x14ac:dyDescent="0.3">
      <c r="A657">
        <v>1203</v>
      </c>
      <c r="B657" s="1">
        <v>42660</v>
      </c>
      <c r="C657">
        <v>21</v>
      </c>
      <c r="D657" t="s">
        <v>15</v>
      </c>
      <c r="E657">
        <v>182.8</v>
      </c>
      <c r="F657">
        <v>70.5</v>
      </c>
      <c r="G657">
        <v>16147</v>
      </c>
      <c r="H657">
        <v>868.8</v>
      </c>
      <c r="I657">
        <v>7</v>
      </c>
      <c r="J657">
        <v>86</v>
      </c>
      <c r="K657" t="s">
        <v>25</v>
      </c>
      <c r="L657">
        <v>71</v>
      </c>
      <c r="M657">
        <v>2.4</v>
      </c>
      <c r="N657">
        <v>4</v>
      </c>
      <c r="O657" t="s">
        <v>19</v>
      </c>
      <c r="P657" cm="1">
        <f t="array" ref="P657">_xlfn.SWITCH(Table2[[#This Row],[mood]], "Tired", 3, "Neutral", 2, "Happy", 1)</f>
        <v>2</v>
      </c>
    </row>
    <row r="658" spans="1:16" x14ac:dyDescent="0.3">
      <c r="A658">
        <v>1911</v>
      </c>
      <c r="B658" s="1">
        <v>42661</v>
      </c>
      <c r="C658">
        <v>59</v>
      </c>
      <c r="D658" t="s">
        <v>15</v>
      </c>
      <c r="E658">
        <v>180.4</v>
      </c>
      <c r="F658">
        <v>66.099999999999994</v>
      </c>
      <c r="G658">
        <v>18221</v>
      </c>
      <c r="H658">
        <v>875.2</v>
      </c>
      <c r="I658">
        <v>8.8000000000000007</v>
      </c>
      <c r="J658">
        <v>74</v>
      </c>
      <c r="K658" t="s">
        <v>22</v>
      </c>
      <c r="L658">
        <v>28</v>
      </c>
      <c r="M658">
        <v>1.34</v>
      </c>
      <c r="N658">
        <v>1</v>
      </c>
      <c r="O658" t="s">
        <v>21</v>
      </c>
      <c r="P658" cm="1">
        <f t="array" ref="P658">_xlfn.SWITCH(Table2[[#This Row],[mood]], "Tired", 3, "Neutral", 2, "Happy", 1)</f>
        <v>1</v>
      </c>
    </row>
    <row r="659" spans="1:16" x14ac:dyDescent="0.3">
      <c r="A659">
        <v>1217</v>
      </c>
      <c r="B659" s="1">
        <v>42662</v>
      </c>
      <c r="C659">
        <v>27</v>
      </c>
      <c r="D659" t="s">
        <v>20</v>
      </c>
      <c r="E659">
        <v>169.8</v>
      </c>
      <c r="F659">
        <v>56.9</v>
      </c>
      <c r="G659">
        <v>2186</v>
      </c>
      <c r="H659">
        <v>296.60000000000002</v>
      </c>
      <c r="I659">
        <v>7.4</v>
      </c>
      <c r="J659">
        <v>79</v>
      </c>
      <c r="K659" t="s">
        <v>25</v>
      </c>
      <c r="L659">
        <v>76</v>
      </c>
      <c r="M659">
        <v>1.78</v>
      </c>
      <c r="N659">
        <v>5</v>
      </c>
      <c r="O659" t="s">
        <v>21</v>
      </c>
      <c r="P659" cm="1">
        <f t="array" ref="P659">_xlfn.SWITCH(Table2[[#This Row],[mood]], "Tired", 3, "Neutral", 2, "Happy", 1)</f>
        <v>1</v>
      </c>
    </row>
    <row r="660" spans="1:16" x14ac:dyDescent="0.3">
      <c r="A660">
        <v>1473</v>
      </c>
      <c r="B660" s="1">
        <v>42663</v>
      </c>
      <c r="C660">
        <v>48</v>
      </c>
      <c r="D660" t="s">
        <v>20</v>
      </c>
      <c r="E660">
        <v>180.2</v>
      </c>
      <c r="F660">
        <v>72.400000000000006</v>
      </c>
      <c r="G660">
        <v>7461</v>
      </c>
      <c r="H660">
        <v>499</v>
      </c>
      <c r="I660">
        <v>7.8</v>
      </c>
      <c r="J660">
        <v>65</v>
      </c>
      <c r="K660" t="s">
        <v>18</v>
      </c>
      <c r="L660">
        <v>88</v>
      </c>
      <c r="M660">
        <v>2.83</v>
      </c>
      <c r="N660">
        <v>8</v>
      </c>
      <c r="O660" t="s">
        <v>17</v>
      </c>
      <c r="P660" cm="1">
        <f t="array" ref="P660">_xlfn.SWITCH(Table2[[#This Row],[mood]], "Tired", 3, "Neutral", 2, "Happy", 1)</f>
        <v>3</v>
      </c>
    </row>
    <row r="661" spans="1:16" x14ac:dyDescent="0.3">
      <c r="A661">
        <v>1431</v>
      </c>
      <c r="B661" s="1">
        <v>42664</v>
      </c>
      <c r="C661">
        <v>58</v>
      </c>
      <c r="D661" t="s">
        <v>20</v>
      </c>
      <c r="E661">
        <v>150</v>
      </c>
      <c r="F661">
        <v>75.5</v>
      </c>
      <c r="G661">
        <v>18865</v>
      </c>
      <c r="H661">
        <v>900</v>
      </c>
      <c r="I661">
        <v>6.3</v>
      </c>
      <c r="J661">
        <v>81</v>
      </c>
      <c r="K661" t="s">
        <v>18</v>
      </c>
      <c r="L661">
        <v>62</v>
      </c>
      <c r="M661">
        <v>1.33</v>
      </c>
      <c r="N661">
        <v>6</v>
      </c>
      <c r="O661" t="s">
        <v>21</v>
      </c>
      <c r="P661" cm="1">
        <f t="array" ref="P661">_xlfn.SWITCH(Table2[[#This Row],[mood]], "Tired", 3, "Neutral", 2, "Happy", 1)</f>
        <v>1</v>
      </c>
    </row>
    <row r="662" spans="1:16" x14ac:dyDescent="0.3">
      <c r="A662">
        <v>1340</v>
      </c>
      <c r="B662" s="1">
        <v>42665</v>
      </c>
      <c r="C662">
        <v>25</v>
      </c>
      <c r="D662" t="s">
        <v>20</v>
      </c>
      <c r="E662">
        <v>177.9</v>
      </c>
      <c r="F662">
        <v>64.900000000000006</v>
      </c>
      <c r="G662">
        <v>12464</v>
      </c>
      <c r="H662">
        <v>749.5</v>
      </c>
      <c r="I662">
        <v>6.7</v>
      </c>
      <c r="J662">
        <v>83</v>
      </c>
      <c r="K662" t="s">
        <v>18</v>
      </c>
      <c r="L662">
        <v>26</v>
      </c>
      <c r="M662">
        <v>2.2799999999999998</v>
      </c>
      <c r="N662">
        <v>4</v>
      </c>
      <c r="O662" t="s">
        <v>17</v>
      </c>
      <c r="P662" cm="1">
        <f t="array" ref="P662">_xlfn.SWITCH(Table2[[#This Row],[mood]], "Tired", 3, "Neutral", 2, "Happy", 1)</f>
        <v>3</v>
      </c>
    </row>
    <row r="663" spans="1:16" x14ac:dyDescent="0.3">
      <c r="A663">
        <v>1550</v>
      </c>
      <c r="B663" s="1">
        <v>42666</v>
      </c>
      <c r="C663">
        <v>20</v>
      </c>
      <c r="D663" t="s">
        <v>15</v>
      </c>
      <c r="E663">
        <v>158.80000000000001</v>
      </c>
      <c r="F663">
        <v>84</v>
      </c>
      <c r="G663">
        <v>15052</v>
      </c>
      <c r="H663">
        <v>892.5</v>
      </c>
      <c r="I663">
        <v>5.8</v>
      </c>
      <c r="J663">
        <v>68</v>
      </c>
      <c r="K663" t="s">
        <v>16</v>
      </c>
      <c r="L663">
        <v>0</v>
      </c>
      <c r="M663">
        <v>2.5299999999999998</v>
      </c>
      <c r="N663">
        <v>4</v>
      </c>
      <c r="O663" t="s">
        <v>17</v>
      </c>
      <c r="P663" cm="1">
        <f t="array" ref="P663">_xlfn.SWITCH(Table2[[#This Row],[mood]], "Tired", 3, "Neutral", 2, "Happy", 1)</f>
        <v>3</v>
      </c>
    </row>
    <row r="664" spans="1:16" x14ac:dyDescent="0.3">
      <c r="A664">
        <v>1611</v>
      </c>
      <c r="B664" s="1">
        <v>42667</v>
      </c>
      <c r="C664">
        <v>26</v>
      </c>
      <c r="D664" t="s">
        <v>20</v>
      </c>
      <c r="E664">
        <v>187.7</v>
      </c>
      <c r="F664">
        <v>74</v>
      </c>
      <c r="G664">
        <v>8332</v>
      </c>
      <c r="H664">
        <v>553.1</v>
      </c>
      <c r="I664">
        <v>7.5</v>
      </c>
      <c r="J664">
        <v>61</v>
      </c>
      <c r="K664" t="s">
        <v>25</v>
      </c>
      <c r="L664">
        <v>63</v>
      </c>
      <c r="M664">
        <v>3.3</v>
      </c>
      <c r="N664">
        <v>1</v>
      </c>
      <c r="O664" t="s">
        <v>17</v>
      </c>
      <c r="P664" cm="1">
        <f t="array" ref="P664">_xlfn.SWITCH(Table2[[#This Row],[mood]], "Tired", 3, "Neutral", 2, "Happy", 1)</f>
        <v>3</v>
      </c>
    </row>
    <row r="665" spans="1:16" x14ac:dyDescent="0.3">
      <c r="A665">
        <v>1288</v>
      </c>
      <c r="B665" s="1">
        <v>42668</v>
      </c>
      <c r="C665">
        <v>47</v>
      </c>
      <c r="D665" t="s">
        <v>15</v>
      </c>
      <c r="E665">
        <v>159.4</v>
      </c>
      <c r="F665">
        <v>50.7</v>
      </c>
      <c r="G665">
        <v>17615</v>
      </c>
      <c r="H665">
        <v>844</v>
      </c>
      <c r="I665">
        <v>6.6</v>
      </c>
      <c r="J665">
        <v>70</v>
      </c>
      <c r="K665" t="s">
        <v>22</v>
      </c>
      <c r="L665">
        <v>87</v>
      </c>
      <c r="M665">
        <v>2.93</v>
      </c>
      <c r="N665">
        <v>10</v>
      </c>
      <c r="O665" t="s">
        <v>19</v>
      </c>
      <c r="P665" cm="1">
        <f t="array" ref="P665">_xlfn.SWITCH(Table2[[#This Row],[mood]], "Tired", 3, "Neutral", 2, "Happy", 1)</f>
        <v>2</v>
      </c>
    </row>
    <row r="666" spans="1:16" x14ac:dyDescent="0.3">
      <c r="A666">
        <v>1253</v>
      </c>
      <c r="B666" s="1">
        <v>42669</v>
      </c>
      <c r="C666">
        <v>28</v>
      </c>
      <c r="D666" t="s">
        <v>15</v>
      </c>
      <c r="E666">
        <v>161.5</v>
      </c>
      <c r="F666">
        <v>90.1</v>
      </c>
      <c r="G666">
        <v>1327</v>
      </c>
      <c r="H666">
        <v>260.3</v>
      </c>
      <c r="I666">
        <v>7.5</v>
      </c>
      <c r="J666">
        <v>65</v>
      </c>
      <c r="K666" t="s">
        <v>22</v>
      </c>
      <c r="L666">
        <v>63</v>
      </c>
      <c r="M666">
        <v>3.17</v>
      </c>
      <c r="N666">
        <v>1</v>
      </c>
      <c r="O666" t="s">
        <v>21</v>
      </c>
      <c r="P666" cm="1">
        <f t="array" ref="P666">_xlfn.SWITCH(Table2[[#This Row],[mood]], "Tired", 3, "Neutral", 2, "Happy", 1)</f>
        <v>1</v>
      </c>
    </row>
    <row r="667" spans="1:16" x14ac:dyDescent="0.3">
      <c r="A667">
        <v>1733</v>
      </c>
      <c r="B667" s="1">
        <v>42670</v>
      </c>
      <c r="C667">
        <v>52</v>
      </c>
      <c r="D667" t="s">
        <v>15</v>
      </c>
      <c r="E667">
        <v>175.6</v>
      </c>
      <c r="F667">
        <v>81.5</v>
      </c>
      <c r="G667">
        <v>6239</v>
      </c>
      <c r="H667">
        <v>420.4</v>
      </c>
      <c r="I667">
        <v>5.5</v>
      </c>
      <c r="J667">
        <v>81</v>
      </c>
      <c r="K667" t="s">
        <v>23</v>
      </c>
      <c r="L667">
        <v>59</v>
      </c>
      <c r="M667">
        <v>2.71</v>
      </c>
      <c r="N667">
        <v>3</v>
      </c>
      <c r="O667" t="s">
        <v>21</v>
      </c>
      <c r="P667" cm="1">
        <f t="array" ref="P667">_xlfn.SWITCH(Table2[[#This Row],[mood]], "Tired", 3, "Neutral", 2, "Happy", 1)</f>
        <v>1</v>
      </c>
    </row>
    <row r="668" spans="1:16" x14ac:dyDescent="0.3">
      <c r="A668">
        <v>1356</v>
      </c>
      <c r="B668" s="1">
        <v>42671</v>
      </c>
      <c r="C668">
        <v>54</v>
      </c>
      <c r="D668" t="s">
        <v>20</v>
      </c>
      <c r="E668">
        <v>176.6</v>
      </c>
      <c r="F668">
        <v>85</v>
      </c>
      <c r="G668">
        <v>18333</v>
      </c>
      <c r="H668">
        <v>900</v>
      </c>
      <c r="I668">
        <v>7.7</v>
      </c>
      <c r="J668">
        <v>70</v>
      </c>
      <c r="K668" t="s">
        <v>24</v>
      </c>
      <c r="L668">
        <v>62</v>
      </c>
      <c r="M668">
        <v>1.91</v>
      </c>
      <c r="N668">
        <v>4</v>
      </c>
      <c r="O668" t="s">
        <v>21</v>
      </c>
      <c r="P668" cm="1">
        <f t="array" ref="P668">_xlfn.SWITCH(Table2[[#This Row],[mood]], "Tired", 3, "Neutral", 2, "Happy", 1)</f>
        <v>1</v>
      </c>
    </row>
    <row r="669" spans="1:16" x14ac:dyDescent="0.3">
      <c r="A669">
        <v>1022</v>
      </c>
      <c r="B669" s="1">
        <v>42672</v>
      </c>
      <c r="C669">
        <v>59</v>
      </c>
      <c r="D669" t="s">
        <v>20</v>
      </c>
      <c r="E669">
        <v>165.5</v>
      </c>
      <c r="F669">
        <v>76</v>
      </c>
      <c r="G669">
        <v>11078</v>
      </c>
      <c r="H669">
        <v>677.8</v>
      </c>
      <c r="I669">
        <v>7.3</v>
      </c>
      <c r="J669">
        <v>82</v>
      </c>
      <c r="K669" t="s">
        <v>18</v>
      </c>
      <c r="L669">
        <v>81</v>
      </c>
      <c r="M669">
        <v>2.0699999999999998</v>
      </c>
      <c r="N669">
        <v>4</v>
      </c>
      <c r="O669" t="s">
        <v>21</v>
      </c>
      <c r="P669" cm="1">
        <f t="array" ref="P669">_xlfn.SWITCH(Table2[[#This Row],[mood]], "Tired", 3, "Neutral", 2, "Happy", 1)</f>
        <v>1</v>
      </c>
    </row>
    <row r="670" spans="1:16" x14ac:dyDescent="0.3">
      <c r="A670">
        <v>1761</v>
      </c>
      <c r="B670" s="1">
        <v>42673</v>
      </c>
      <c r="C670">
        <v>30</v>
      </c>
      <c r="D670" t="s">
        <v>15</v>
      </c>
      <c r="E670">
        <v>173.7</v>
      </c>
      <c r="F670">
        <v>45</v>
      </c>
      <c r="G670">
        <v>8038</v>
      </c>
      <c r="H670">
        <v>541.6</v>
      </c>
      <c r="I670">
        <v>7.2</v>
      </c>
      <c r="J670">
        <v>59</v>
      </c>
      <c r="K670" t="s">
        <v>18</v>
      </c>
      <c r="L670">
        <v>62</v>
      </c>
      <c r="M670">
        <v>1.85</v>
      </c>
      <c r="N670">
        <v>2</v>
      </c>
      <c r="O670" t="s">
        <v>21</v>
      </c>
      <c r="P670" cm="1">
        <f t="array" ref="P670">_xlfn.SWITCH(Table2[[#This Row],[mood]], "Tired", 3, "Neutral", 2, "Happy", 1)</f>
        <v>1</v>
      </c>
    </row>
    <row r="671" spans="1:16" x14ac:dyDescent="0.3">
      <c r="A671">
        <v>1521</v>
      </c>
      <c r="B671" s="1">
        <v>42674</v>
      </c>
      <c r="C671">
        <v>53</v>
      </c>
      <c r="D671" t="s">
        <v>15</v>
      </c>
      <c r="E671">
        <v>175</v>
      </c>
      <c r="F671">
        <v>86.4</v>
      </c>
      <c r="G671">
        <v>9048</v>
      </c>
      <c r="H671">
        <v>594.4</v>
      </c>
      <c r="I671">
        <v>7.6</v>
      </c>
      <c r="J671">
        <v>67</v>
      </c>
      <c r="K671" t="s">
        <v>18</v>
      </c>
      <c r="L671">
        <v>38</v>
      </c>
      <c r="M671">
        <v>2.91</v>
      </c>
      <c r="N671">
        <v>9</v>
      </c>
      <c r="O671" t="s">
        <v>17</v>
      </c>
      <c r="P671" cm="1">
        <f t="array" ref="P671">_xlfn.SWITCH(Table2[[#This Row],[mood]], "Tired", 3, "Neutral", 2, "Happy", 1)</f>
        <v>3</v>
      </c>
    </row>
    <row r="672" spans="1:16" x14ac:dyDescent="0.3">
      <c r="A672">
        <v>1757</v>
      </c>
      <c r="B672" s="1">
        <v>42675</v>
      </c>
      <c r="C672">
        <v>30</v>
      </c>
      <c r="D672" t="s">
        <v>15</v>
      </c>
      <c r="E672">
        <v>173.9</v>
      </c>
      <c r="F672">
        <v>70.900000000000006</v>
      </c>
      <c r="G672">
        <v>15954</v>
      </c>
      <c r="H672">
        <v>836.2</v>
      </c>
      <c r="I672">
        <v>6.6</v>
      </c>
      <c r="J672">
        <v>67</v>
      </c>
      <c r="K672" t="s">
        <v>23</v>
      </c>
      <c r="L672">
        <v>68</v>
      </c>
      <c r="M672">
        <v>2.0099999999999998</v>
      </c>
      <c r="N672">
        <v>8</v>
      </c>
      <c r="O672" t="s">
        <v>17</v>
      </c>
      <c r="P672" cm="1">
        <f t="array" ref="P672">_xlfn.SWITCH(Table2[[#This Row],[mood]], "Tired", 3, "Neutral", 2, "Happy", 1)</f>
        <v>3</v>
      </c>
    </row>
    <row r="673" spans="1:16" x14ac:dyDescent="0.3">
      <c r="A673">
        <v>1836</v>
      </c>
      <c r="B673" s="1">
        <v>42676</v>
      </c>
      <c r="C673">
        <v>29</v>
      </c>
      <c r="D673" t="s">
        <v>20</v>
      </c>
      <c r="E673">
        <v>166</v>
      </c>
      <c r="F673">
        <v>75.3</v>
      </c>
      <c r="G673">
        <v>3297</v>
      </c>
      <c r="H673">
        <v>394.5</v>
      </c>
      <c r="I673">
        <v>10</v>
      </c>
      <c r="J673">
        <v>78</v>
      </c>
      <c r="K673" t="s">
        <v>23</v>
      </c>
      <c r="L673">
        <v>84</v>
      </c>
      <c r="M673">
        <v>2.2200000000000002</v>
      </c>
      <c r="N673">
        <v>3</v>
      </c>
      <c r="O673" t="s">
        <v>17</v>
      </c>
      <c r="P673" cm="1">
        <f t="array" ref="P673">_xlfn.SWITCH(Table2[[#This Row],[mood]], "Tired", 3, "Neutral", 2, "Happy", 1)</f>
        <v>3</v>
      </c>
    </row>
    <row r="674" spans="1:16" x14ac:dyDescent="0.3">
      <c r="A674">
        <v>1099</v>
      </c>
      <c r="B674" s="1">
        <v>42677</v>
      </c>
      <c r="C674">
        <v>54</v>
      </c>
      <c r="D674" t="s">
        <v>15</v>
      </c>
      <c r="E674">
        <v>175.1</v>
      </c>
      <c r="F674">
        <v>78.099999999999994</v>
      </c>
      <c r="G674">
        <v>18691</v>
      </c>
      <c r="H674">
        <v>900</v>
      </c>
      <c r="I674">
        <v>7.7</v>
      </c>
      <c r="J674">
        <v>54</v>
      </c>
      <c r="K674" t="s">
        <v>23</v>
      </c>
      <c r="L674">
        <v>44</v>
      </c>
      <c r="M674">
        <v>2.52</v>
      </c>
      <c r="N674">
        <v>2</v>
      </c>
      <c r="O674" t="s">
        <v>19</v>
      </c>
      <c r="P674" cm="1">
        <f t="array" ref="P674">_xlfn.SWITCH(Table2[[#This Row],[mood]], "Tired", 3, "Neutral", 2, "Happy", 1)</f>
        <v>2</v>
      </c>
    </row>
    <row r="675" spans="1:16" x14ac:dyDescent="0.3">
      <c r="A675">
        <v>1801</v>
      </c>
      <c r="B675" s="1">
        <v>42678</v>
      </c>
      <c r="C675">
        <v>27</v>
      </c>
      <c r="D675" t="s">
        <v>20</v>
      </c>
      <c r="E675">
        <v>184.1</v>
      </c>
      <c r="F675">
        <v>99</v>
      </c>
      <c r="G675">
        <v>13703</v>
      </c>
      <c r="H675">
        <v>796.1</v>
      </c>
      <c r="I675">
        <v>7.2</v>
      </c>
      <c r="J675">
        <v>72</v>
      </c>
      <c r="K675" t="s">
        <v>18</v>
      </c>
      <c r="L675">
        <v>60</v>
      </c>
      <c r="M675">
        <v>3.65</v>
      </c>
      <c r="N675">
        <v>1</v>
      </c>
      <c r="O675" t="s">
        <v>19</v>
      </c>
      <c r="P675" cm="1">
        <f t="array" ref="P675">_xlfn.SWITCH(Table2[[#This Row],[mood]], "Tired", 3, "Neutral", 2, "Happy", 1)</f>
        <v>2</v>
      </c>
    </row>
    <row r="676" spans="1:16" x14ac:dyDescent="0.3">
      <c r="A676">
        <v>1179</v>
      </c>
      <c r="B676" s="1">
        <v>42679</v>
      </c>
      <c r="C676">
        <v>26</v>
      </c>
      <c r="D676" t="s">
        <v>15</v>
      </c>
      <c r="E676">
        <v>157.69999999999999</v>
      </c>
      <c r="F676">
        <v>61.8</v>
      </c>
      <c r="G676">
        <v>3779</v>
      </c>
      <c r="H676">
        <v>430.8</v>
      </c>
      <c r="I676">
        <v>8.1</v>
      </c>
      <c r="J676">
        <v>71</v>
      </c>
      <c r="K676" t="s">
        <v>22</v>
      </c>
      <c r="L676">
        <v>42</v>
      </c>
      <c r="M676">
        <v>2.96</v>
      </c>
      <c r="N676">
        <v>10</v>
      </c>
      <c r="O676" t="s">
        <v>19</v>
      </c>
      <c r="P676" cm="1">
        <f t="array" ref="P676">_xlfn.SWITCH(Table2[[#This Row],[mood]], "Tired", 3, "Neutral", 2, "Happy", 1)</f>
        <v>2</v>
      </c>
    </row>
    <row r="677" spans="1:16" x14ac:dyDescent="0.3">
      <c r="A677">
        <v>1222</v>
      </c>
      <c r="B677" s="1">
        <v>42680</v>
      </c>
      <c r="C677">
        <v>24</v>
      </c>
      <c r="D677" t="s">
        <v>15</v>
      </c>
      <c r="E677">
        <v>161.6</v>
      </c>
      <c r="F677">
        <v>62.2</v>
      </c>
      <c r="G677">
        <v>14706</v>
      </c>
      <c r="H677">
        <v>747.5</v>
      </c>
      <c r="I677">
        <v>6.2</v>
      </c>
      <c r="J677">
        <v>79</v>
      </c>
      <c r="K677" t="s">
        <v>18</v>
      </c>
      <c r="L677">
        <v>77</v>
      </c>
      <c r="M677">
        <v>1.96</v>
      </c>
      <c r="N677">
        <v>9</v>
      </c>
      <c r="O677" t="s">
        <v>19</v>
      </c>
      <c r="P677" cm="1">
        <f t="array" ref="P677">_xlfn.SWITCH(Table2[[#This Row],[mood]], "Tired", 3, "Neutral", 2, "Happy", 1)</f>
        <v>2</v>
      </c>
    </row>
    <row r="678" spans="1:16" x14ac:dyDescent="0.3">
      <c r="A678">
        <v>1905</v>
      </c>
      <c r="B678" s="1">
        <v>42681</v>
      </c>
      <c r="C678">
        <v>19</v>
      </c>
      <c r="D678" t="s">
        <v>15</v>
      </c>
      <c r="E678">
        <v>170.3</v>
      </c>
      <c r="F678">
        <v>57.2</v>
      </c>
      <c r="G678">
        <v>14225</v>
      </c>
      <c r="H678">
        <v>785.9</v>
      </c>
      <c r="I678">
        <v>6.2</v>
      </c>
      <c r="J678">
        <v>76</v>
      </c>
      <c r="K678" t="s">
        <v>23</v>
      </c>
      <c r="L678">
        <v>62</v>
      </c>
      <c r="M678">
        <v>2.61</v>
      </c>
      <c r="N678">
        <v>5</v>
      </c>
      <c r="O678" t="s">
        <v>21</v>
      </c>
      <c r="P678" cm="1">
        <f t="array" ref="P678">_xlfn.SWITCH(Table2[[#This Row],[mood]], "Tired", 3, "Neutral", 2, "Happy", 1)</f>
        <v>1</v>
      </c>
    </row>
    <row r="679" spans="1:16" x14ac:dyDescent="0.3">
      <c r="A679">
        <v>1761</v>
      </c>
      <c r="B679" s="1">
        <v>42682</v>
      </c>
      <c r="C679">
        <v>40</v>
      </c>
      <c r="D679" t="s">
        <v>20</v>
      </c>
      <c r="E679">
        <v>159.4</v>
      </c>
      <c r="F679">
        <v>54</v>
      </c>
      <c r="G679">
        <v>8318</v>
      </c>
      <c r="H679">
        <v>553.5</v>
      </c>
      <c r="I679">
        <v>8.1999999999999993</v>
      </c>
      <c r="J679">
        <v>65</v>
      </c>
      <c r="K679" t="s">
        <v>23</v>
      </c>
      <c r="L679">
        <v>59</v>
      </c>
      <c r="M679">
        <v>3.66</v>
      </c>
      <c r="N679">
        <v>8</v>
      </c>
      <c r="O679" t="s">
        <v>19</v>
      </c>
      <c r="P679" cm="1">
        <f t="array" ref="P679">_xlfn.SWITCH(Table2[[#This Row],[mood]], "Tired", 3, "Neutral", 2, "Happy", 1)</f>
        <v>2</v>
      </c>
    </row>
    <row r="680" spans="1:16" x14ac:dyDescent="0.3">
      <c r="A680">
        <v>1658</v>
      </c>
      <c r="B680" s="1">
        <v>42683</v>
      </c>
      <c r="C680">
        <v>56</v>
      </c>
      <c r="D680" t="s">
        <v>20</v>
      </c>
      <c r="E680">
        <v>152</v>
      </c>
      <c r="F680">
        <v>54.2</v>
      </c>
      <c r="G680">
        <v>14531</v>
      </c>
      <c r="H680">
        <v>727.5</v>
      </c>
      <c r="I680">
        <v>8.3000000000000007</v>
      </c>
      <c r="J680">
        <v>52</v>
      </c>
      <c r="K680" t="s">
        <v>24</v>
      </c>
      <c r="L680">
        <v>49</v>
      </c>
      <c r="M680">
        <v>2.93</v>
      </c>
      <c r="N680">
        <v>4</v>
      </c>
      <c r="O680" t="s">
        <v>21</v>
      </c>
      <c r="P680" cm="1">
        <f t="array" ref="P680">_xlfn.SWITCH(Table2[[#This Row],[mood]], "Tired", 3, "Neutral", 2, "Happy", 1)</f>
        <v>1</v>
      </c>
    </row>
    <row r="681" spans="1:16" x14ac:dyDescent="0.3">
      <c r="A681">
        <v>1441</v>
      </c>
      <c r="B681" s="1">
        <v>42684</v>
      </c>
      <c r="C681">
        <v>57</v>
      </c>
      <c r="D681" t="s">
        <v>15</v>
      </c>
      <c r="E681">
        <v>180.9</v>
      </c>
      <c r="F681">
        <v>45</v>
      </c>
      <c r="G681">
        <v>6335</v>
      </c>
      <c r="H681">
        <v>385</v>
      </c>
      <c r="I681">
        <v>8.8000000000000007</v>
      </c>
      <c r="J681">
        <v>67</v>
      </c>
      <c r="K681" t="s">
        <v>25</v>
      </c>
      <c r="L681">
        <v>53</v>
      </c>
      <c r="M681">
        <v>1.38</v>
      </c>
      <c r="N681">
        <v>2</v>
      </c>
      <c r="O681" t="s">
        <v>21</v>
      </c>
      <c r="P681" cm="1">
        <f t="array" ref="P681">_xlfn.SWITCH(Table2[[#This Row],[mood]], "Tired", 3, "Neutral", 2, "Happy", 1)</f>
        <v>1</v>
      </c>
    </row>
    <row r="682" spans="1:16" x14ac:dyDescent="0.3">
      <c r="A682">
        <v>1607</v>
      </c>
      <c r="B682" s="1">
        <v>42685</v>
      </c>
      <c r="C682">
        <v>56</v>
      </c>
      <c r="D682" t="s">
        <v>20</v>
      </c>
      <c r="E682">
        <v>150</v>
      </c>
      <c r="F682">
        <v>76.400000000000006</v>
      </c>
      <c r="G682">
        <v>10530</v>
      </c>
      <c r="H682">
        <v>575.4</v>
      </c>
      <c r="I682">
        <v>4.9000000000000004</v>
      </c>
      <c r="J682">
        <v>62</v>
      </c>
      <c r="K682" t="s">
        <v>24</v>
      </c>
      <c r="L682">
        <v>29</v>
      </c>
      <c r="M682">
        <v>1.86</v>
      </c>
      <c r="N682">
        <v>5</v>
      </c>
      <c r="O682" t="s">
        <v>21</v>
      </c>
      <c r="P682" cm="1">
        <f t="array" ref="P682">_xlfn.SWITCH(Table2[[#This Row],[mood]], "Tired", 3, "Neutral", 2, "Happy", 1)</f>
        <v>1</v>
      </c>
    </row>
    <row r="683" spans="1:16" x14ac:dyDescent="0.3">
      <c r="A683">
        <v>1768</v>
      </c>
      <c r="B683" s="1">
        <v>42686</v>
      </c>
      <c r="C683">
        <v>38</v>
      </c>
      <c r="D683" t="s">
        <v>15</v>
      </c>
      <c r="E683">
        <v>166</v>
      </c>
      <c r="F683">
        <v>99.8</v>
      </c>
      <c r="G683">
        <v>8502</v>
      </c>
      <c r="H683">
        <v>537.5</v>
      </c>
      <c r="I683">
        <v>6.8</v>
      </c>
      <c r="J683">
        <v>63</v>
      </c>
      <c r="K683" t="s">
        <v>24</v>
      </c>
      <c r="L683">
        <v>79</v>
      </c>
      <c r="M683">
        <v>1.81</v>
      </c>
      <c r="N683">
        <v>8</v>
      </c>
      <c r="O683" t="s">
        <v>17</v>
      </c>
      <c r="P683" cm="1">
        <f t="array" ref="P683">_xlfn.SWITCH(Table2[[#This Row],[mood]], "Tired", 3, "Neutral", 2, "Happy", 1)</f>
        <v>3</v>
      </c>
    </row>
    <row r="684" spans="1:16" x14ac:dyDescent="0.3">
      <c r="A684">
        <v>1324</v>
      </c>
      <c r="B684" s="1">
        <v>42687</v>
      </c>
      <c r="C684">
        <v>40</v>
      </c>
      <c r="D684" t="s">
        <v>20</v>
      </c>
      <c r="E684">
        <v>177.6</v>
      </c>
      <c r="F684">
        <v>100.8</v>
      </c>
      <c r="G684">
        <v>2649</v>
      </c>
      <c r="H684">
        <v>326.89999999999998</v>
      </c>
      <c r="I684">
        <v>7.5</v>
      </c>
      <c r="J684">
        <v>68</v>
      </c>
      <c r="K684" t="s">
        <v>18</v>
      </c>
      <c r="L684">
        <v>20</v>
      </c>
      <c r="M684">
        <v>3.51</v>
      </c>
      <c r="N684">
        <v>6</v>
      </c>
      <c r="O684" t="s">
        <v>17</v>
      </c>
      <c r="P684" cm="1">
        <f t="array" ref="P684">_xlfn.SWITCH(Table2[[#This Row],[mood]], "Tired", 3, "Neutral", 2, "Happy", 1)</f>
        <v>3</v>
      </c>
    </row>
    <row r="685" spans="1:16" x14ac:dyDescent="0.3">
      <c r="A685">
        <v>1515</v>
      </c>
      <c r="B685" s="1">
        <v>42688</v>
      </c>
      <c r="C685">
        <v>46</v>
      </c>
      <c r="D685" t="s">
        <v>20</v>
      </c>
      <c r="E685">
        <v>172.7</v>
      </c>
      <c r="F685">
        <v>57.2</v>
      </c>
      <c r="G685">
        <v>14472</v>
      </c>
      <c r="H685">
        <v>760.4</v>
      </c>
      <c r="I685">
        <v>8.1</v>
      </c>
      <c r="J685">
        <v>83</v>
      </c>
      <c r="K685" t="s">
        <v>25</v>
      </c>
      <c r="L685">
        <v>31</v>
      </c>
      <c r="M685">
        <v>3.38</v>
      </c>
      <c r="N685">
        <v>8</v>
      </c>
      <c r="O685" t="s">
        <v>21</v>
      </c>
      <c r="P685" cm="1">
        <f t="array" ref="P685">_xlfn.SWITCH(Table2[[#This Row],[mood]], "Tired", 3, "Neutral", 2, "Happy", 1)</f>
        <v>1</v>
      </c>
    </row>
    <row r="686" spans="1:16" x14ac:dyDescent="0.3">
      <c r="A686">
        <v>1015</v>
      </c>
      <c r="B686" s="1">
        <v>42689</v>
      </c>
      <c r="C686">
        <v>31</v>
      </c>
      <c r="D686" t="s">
        <v>20</v>
      </c>
      <c r="E686">
        <v>166.1</v>
      </c>
      <c r="F686">
        <v>65.900000000000006</v>
      </c>
      <c r="G686">
        <v>3862</v>
      </c>
      <c r="H686">
        <v>451</v>
      </c>
      <c r="I686">
        <v>7.8</v>
      </c>
      <c r="J686">
        <v>62</v>
      </c>
      <c r="K686" t="s">
        <v>25</v>
      </c>
      <c r="L686">
        <v>65</v>
      </c>
      <c r="M686">
        <v>2.06</v>
      </c>
      <c r="N686">
        <v>3</v>
      </c>
      <c r="O686" t="s">
        <v>19</v>
      </c>
      <c r="P686" cm="1">
        <f t="array" ref="P686">_xlfn.SWITCH(Table2[[#This Row],[mood]], "Tired", 3, "Neutral", 2, "Happy", 1)</f>
        <v>2</v>
      </c>
    </row>
    <row r="687" spans="1:16" x14ac:dyDescent="0.3">
      <c r="A687">
        <v>1791</v>
      </c>
      <c r="B687" s="1">
        <v>42690</v>
      </c>
      <c r="C687">
        <v>43</v>
      </c>
      <c r="D687" t="s">
        <v>15</v>
      </c>
      <c r="E687">
        <v>159</v>
      </c>
      <c r="F687">
        <v>88.5</v>
      </c>
      <c r="G687">
        <v>1917</v>
      </c>
      <c r="H687">
        <v>328</v>
      </c>
      <c r="I687">
        <v>5.7</v>
      </c>
      <c r="J687">
        <v>56</v>
      </c>
      <c r="K687" t="s">
        <v>18</v>
      </c>
      <c r="L687">
        <v>36</v>
      </c>
      <c r="M687">
        <v>2.0499999999999998</v>
      </c>
      <c r="N687">
        <v>5</v>
      </c>
      <c r="O687" t="s">
        <v>21</v>
      </c>
      <c r="P687" cm="1">
        <f t="array" ref="P687">_xlfn.SWITCH(Table2[[#This Row],[mood]], "Tired", 3, "Neutral", 2, "Happy", 1)</f>
        <v>1</v>
      </c>
    </row>
    <row r="688" spans="1:16" x14ac:dyDescent="0.3">
      <c r="A688">
        <v>1335</v>
      </c>
      <c r="B688" s="1">
        <v>42691</v>
      </c>
      <c r="C688">
        <v>22</v>
      </c>
      <c r="D688" t="s">
        <v>20</v>
      </c>
      <c r="E688">
        <v>173.4</v>
      </c>
      <c r="F688">
        <v>76.5</v>
      </c>
      <c r="G688">
        <v>13444</v>
      </c>
      <c r="H688">
        <v>760.4</v>
      </c>
      <c r="I688">
        <v>7.8</v>
      </c>
      <c r="J688">
        <v>69</v>
      </c>
      <c r="K688" t="s">
        <v>22</v>
      </c>
      <c r="L688">
        <v>77</v>
      </c>
      <c r="M688">
        <v>2.5299999999999998</v>
      </c>
      <c r="N688">
        <v>2</v>
      </c>
      <c r="O688" t="s">
        <v>17</v>
      </c>
      <c r="P688" cm="1">
        <f t="array" ref="P688">_xlfn.SWITCH(Table2[[#This Row],[mood]], "Tired", 3, "Neutral", 2, "Happy", 1)</f>
        <v>3</v>
      </c>
    </row>
    <row r="689" spans="1:16" x14ac:dyDescent="0.3">
      <c r="A689">
        <v>1758</v>
      </c>
      <c r="B689" s="1">
        <v>42692</v>
      </c>
      <c r="C689">
        <v>48</v>
      </c>
      <c r="D689" t="s">
        <v>20</v>
      </c>
      <c r="E689">
        <v>160.1</v>
      </c>
      <c r="F689">
        <v>72</v>
      </c>
      <c r="G689">
        <v>9353</v>
      </c>
      <c r="H689">
        <v>552.6</v>
      </c>
      <c r="I689">
        <v>7.5</v>
      </c>
      <c r="J689">
        <v>72</v>
      </c>
      <c r="K689" t="s">
        <v>16</v>
      </c>
      <c r="L689">
        <v>0</v>
      </c>
      <c r="M689">
        <v>2.5499999999999998</v>
      </c>
      <c r="N689">
        <v>3</v>
      </c>
      <c r="O689" t="s">
        <v>19</v>
      </c>
      <c r="P689" cm="1">
        <f t="array" ref="P689">_xlfn.SWITCH(Table2[[#This Row],[mood]], "Tired", 3, "Neutral", 2, "Happy", 1)</f>
        <v>2</v>
      </c>
    </row>
    <row r="690" spans="1:16" x14ac:dyDescent="0.3">
      <c r="A690">
        <v>1257</v>
      </c>
      <c r="B690" s="1">
        <v>42693</v>
      </c>
      <c r="C690">
        <v>42</v>
      </c>
      <c r="D690" t="s">
        <v>15</v>
      </c>
      <c r="E690">
        <v>172.7</v>
      </c>
      <c r="F690">
        <v>66.099999999999994</v>
      </c>
      <c r="G690">
        <v>6449</v>
      </c>
      <c r="H690">
        <v>461.5</v>
      </c>
      <c r="I690">
        <v>7.5</v>
      </c>
      <c r="J690">
        <v>72</v>
      </c>
      <c r="K690" t="s">
        <v>18</v>
      </c>
      <c r="L690">
        <v>25</v>
      </c>
      <c r="M690">
        <v>1.83</v>
      </c>
      <c r="N690">
        <v>7</v>
      </c>
      <c r="O690" t="s">
        <v>17</v>
      </c>
      <c r="P690" cm="1">
        <f t="array" ref="P690">_xlfn.SWITCH(Table2[[#This Row],[mood]], "Tired", 3, "Neutral", 2, "Happy", 1)</f>
        <v>3</v>
      </c>
    </row>
    <row r="691" spans="1:16" x14ac:dyDescent="0.3">
      <c r="A691">
        <v>1496</v>
      </c>
      <c r="B691" s="1">
        <v>42694</v>
      </c>
      <c r="C691">
        <v>48</v>
      </c>
      <c r="D691" t="s">
        <v>15</v>
      </c>
      <c r="E691">
        <v>171.4</v>
      </c>
      <c r="F691">
        <v>87.7</v>
      </c>
      <c r="G691">
        <v>3811</v>
      </c>
      <c r="H691">
        <v>407.5</v>
      </c>
      <c r="I691">
        <v>5.4</v>
      </c>
      <c r="J691">
        <v>68</v>
      </c>
      <c r="K691" t="s">
        <v>22</v>
      </c>
      <c r="L691">
        <v>81</v>
      </c>
      <c r="M691">
        <v>2.33</v>
      </c>
      <c r="N691">
        <v>1</v>
      </c>
      <c r="O691" t="s">
        <v>19</v>
      </c>
      <c r="P691" cm="1">
        <f t="array" ref="P691">_xlfn.SWITCH(Table2[[#This Row],[mood]], "Tired", 3, "Neutral", 2, "Happy", 1)</f>
        <v>2</v>
      </c>
    </row>
    <row r="692" spans="1:16" x14ac:dyDescent="0.3">
      <c r="A692">
        <v>1987</v>
      </c>
      <c r="B692" s="1">
        <v>42695</v>
      </c>
      <c r="C692">
        <v>37</v>
      </c>
      <c r="D692" t="s">
        <v>15</v>
      </c>
      <c r="E692">
        <v>171.5</v>
      </c>
      <c r="F692">
        <v>53.9</v>
      </c>
      <c r="G692">
        <v>4421</v>
      </c>
      <c r="H692">
        <v>422.8</v>
      </c>
      <c r="I692">
        <v>5.6</v>
      </c>
      <c r="J692">
        <v>73</v>
      </c>
      <c r="K692" t="s">
        <v>22</v>
      </c>
      <c r="L692">
        <v>29</v>
      </c>
      <c r="M692">
        <v>1.48</v>
      </c>
      <c r="N692">
        <v>8</v>
      </c>
      <c r="O692" t="s">
        <v>17</v>
      </c>
      <c r="P692" cm="1">
        <f t="array" ref="P692">_xlfn.SWITCH(Table2[[#This Row],[mood]], "Tired", 3, "Neutral", 2, "Happy", 1)</f>
        <v>3</v>
      </c>
    </row>
    <row r="693" spans="1:16" x14ac:dyDescent="0.3">
      <c r="A693">
        <v>1895</v>
      </c>
      <c r="B693" s="1">
        <v>42696</v>
      </c>
      <c r="C693">
        <v>34</v>
      </c>
      <c r="D693" t="s">
        <v>15</v>
      </c>
      <c r="E693">
        <v>163.6</v>
      </c>
      <c r="F693">
        <v>77.2</v>
      </c>
      <c r="G693">
        <v>10290</v>
      </c>
      <c r="H693">
        <v>657.1</v>
      </c>
      <c r="I693">
        <v>9.6999999999999993</v>
      </c>
      <c r="J693">
        <v>77</v>
      </c>
      <c r="K693" t="s">
        <v>25</v>
      </c>
      <c r="L693">
        <v>45</v>
      </c>
      <c r="M693">
        <v>3.39</v>
      </c>
      <c r="N693">
        <v>5</v>
      </c>
      <c r="O693" t="s">
        <v>21</v>
      </c>
      <c r="P693" cm="1">
        <f t="array" ref="P693">_xlfn.SWITCH(Table2[[#This Row],[mood]], "Tired", 3, "Neutral", 2, "Happy", 1)</f>
        <v>1</v>
      </c>
    </row>
    <row r="694" spans="1:16" x14ac:dyDescent="0.3">
      <c r="A694">
        <v>1159</v>
      </c>
      <c r="B694" s="1">
        <v>42697</v>
      </c>
      <c r="C694">
        <v>19</v>
      </c>
      <c r="D694" t="s">
        <v>20</v>
      </c>
      <c r="E694">
        <v>190.4</v>
      </c>
      <c r="F694">
        <v>75.2</v>
      </c>
      <c r="G694">
        <v>3721</v>
      </c>
      <c r="H694">
        <v>333.7</v>
      </c>
      <c r="I694">
        <v>8.5</v>
      </c>
      <c r="J694">
        <v>66</v>
      </c>
      <c r="K694" t="s">
        <v>18</v>
      </c>
      <c r="L694">
        <v>77</v>
      </c>
      <c r="M694">
        <v>1.27</v>
      </c>
      <c r="N694">
        <v>2</v>
      </c>
      <c r="O694" t="s">
        <v>17</v>
      </c>
      <c r="P694" cm="1">
        <f t="array" ref="P694">_xlfn.SWITCH(Table2[[#This Row],[mood]], "Tired", 3, "Neutral", 2, "Happy", 1)</f>
        <v>3</v>
      </c>
    </row>
    <row r="695" spans="1:16" x14ac:dyDescent="0.3">
      <c r="A695">
        <v>1474</v>
      </c>
      <c r="B695" s="1">
        <v>42698</v>
      </c>
      <c r="C695">
        <v>42</v>
      </c>
      <c r="D695" t="s">
        <v>20</v>
      </c>
      <c r="E695">
        <v>173.6</v>
      </c>
      <c r="F695">
        <v>70.7</v>
      </c>
      <c r="G695">
        <v>11892</v>
      </c>
      <c r="H695">
        <v>649.5</v>
      </c>
      <c r="I695">
        <v>6.9</v>
      </c>
      <c r="J695">
        <v>85</v>
      </c>
      <c r="K695" t="s">
        <v>18</v>
      </c>
      <c r="L695">
        <v>36</v>
      </c>
      <c r="M695">
        <v>1.26</v>
      </c>
      <c r="N695">
        <v>3</v>
      </c>
      <c r="O695" t="s">
        <v>19</v>
      </c>
      <c r="P695" cm="1">
        <f t="array" ref="P695">_xlfn.SWITCH(Table2[[#This Row],[mood]], "Tired", 3, "Neutral", 2, "Happy", 1)</f>
        <v>2</v>
      </c>
    </row>
    <row r="696" spans="1:16" x14ac:dyDescent="0.3">
      <c r="A696">
        <v>1851</v>
      </c>
      <c r="B696" s="1">
        <v>42699</v>
      </c>
      <c r="C696">
        <v>30</v>
      </c>
      <c r="D696" t="s">
        <v>20</v>
      </c>
      <c r="E696">
        <v>167.2</v>
      </c>
      <c r="F696">
        <v>81.8</v>
      </c>
      <c r="G696">
        <v>16256</v>
      </c>
      <c r="H696">
        <v>778.9</v>
      </c>
      <c r="I696">
        <v>6.9</v>
      </c>
      <c r="J696">
        <v>73</v>
      </c>
      <c r="K696" t="s">
        <v>25</v>
      </c>
      <c r="L696">
        <v>72</v>
      </c>
      <c r="M696">
        <v>2.8</v>
      </c>
      <c r="N696">
        <v>4</v>
      </c>
      <c r="O696" t="s">
        <v>17</v>
      </c>
      <c r="P696" cm="1">
        <f t="array" ref="P696">_xlfn.SWITCH(Table2[[#This Row],[mood]], "Tired", 3, "Neutral", 2, "Happy", 1)</f>
        <v>3</v>
      </c>
    </row>
    <row r="697" spans="1:16" x14ac:dyDescent="0.3">
      <c r="A697">
        <v>1663</v>
      </c>
      <c r="B697" s="1">
        <v>42700</v>
      </c>
      <c r="C697">
        <v>56</v>
      </c>
      <c r="D697" t="s">
        <v>20</v>
      </c>
      <c r="E697">
        <v>172.6</v>
      </c>
      <c r="F697">
        <v>70.5</v>
      </c>
      <c r="G697">
        <v>1788</v>
      </c>
      <c r="H697">
        <v>297.89999999999998</v>
      </c>
      <c r="I697">
        <v>10</v>
      </c>
      <c r="J697">
        <v>85</v>
      </c>
      <c r="K697" t="s">
        <v>24</v>
      </c>
      <c r="L697">
        <v>24</v>
      </c>
      <c r="M697">
        <v>1.63</v>
      </c>
      <c r="N697">
        <v>2</v>
      </c>
      <c r="O697" t="s">
        <v>19</v>
      </c>
      <c r="P697" cm="1">
        <f t="array" ref="P697">_xlfn.SWITCH(Table2[[#This Row],[mood]], "Tired", 3, "Neutral", 2, "Happy", 1)</f>
        <v>2</v>
      </c>
    </row>
    <row r="698" spans="1:16" x14ac:dyDescent="0.3">
      <c r="A698">
        <v>1907</v>
      </c>
      <c r="B698" s="1">
        <v>42701</v>
      </c>
      <c r="C698">
        <v>45</v>
      </c>
      <c r="D698" t="s">
        <v>20</v>
      </c>
      <c r="E698">
        <v>162.30000000000001</v>
      </c>
      <c r="F698">
        <v>62</v>
      </c>
      <c r="G698">
        <v>17640</v>
      </c>
      <c r="H698">
        <v>829.7</v>
      </c>
      <c r="I698">
        <v>7.1</v>
      </c>
      <c r="J698">
        <v>78</v>
      </c>
      <c r="K698" t="s">
        <v>18</v>
      </c>
      <c r="L698">
        <v>86</v>
      </c>
      <c r="M698">
        <v>2.15</v>
      </c>
      <c r="N698">
        <v>10</v>
      </c>
      <c r="O698" t="s">
        <v>17</v>
      </c>
      <c r="P698" cm="1">
        <f t="array" ref="P698">_xlfn.SWITCH(Table2[[#This Row],[mood]], "Tired", 3, "Neutral", 2, "Happy", 1)</f>
        <v>3</v>
      </c>
    </row>
    <row r="699" spans="1:16" x14ac:dyDescent="0.3">
      <c r="A699">
        <v>1689</v>
      </c>
      <c r="B699" s="1">
        <v>42702</v>
      </c>
      <c r="C699">
        <v>59</v>
      </c>
      <c r="D699" t="s">
        <v>15</v>
      </c>
      <c r="E699">
        <v>166.1</v>
      </c>
      <c r="F699">
        <v>71.400000000000006</v>
      </c>
      <c r="G699">
        <v>5025</v>
      </c>
      <c r="H699">
        <v>400.2</v>
      </c>
      <c r="I699">
        <v>6.8</v>
      </c>
      <c r="J699">
        <v>62</v>
      </c>
      <c r="K699" t="s">
        <v>16</v>
      </c>
      <c r="L699">
        <v>0</v>
      </c>
      <c r="M699">
        <v>2.54</v>
      </c>
      <c r="N699">
        <v>5</v>
      </c>
      <c r="O699" t="s">
        <v>17</v>
      </c>
      <c r="P699" cm="1">
        <f t="array" ref="P699">_xlfn.SWITCH(Table2[[#This Row],[mood]], "Tired", 3, "Neutral", 2, "Happy", 1)</f>
        <v>3</v>
      </c>
    </row>
    <row r="700" spans="1:16" x14ac:dyDescent="0.3">
      <c r="A700">
        <v>1674</v>
      </c>
      <c r="B700" s="1">
        <v>42703</v>
      </c>
      <c r="C700">
        <v>23</v>
      </c>
      <c r="D700" t="s">
        <v>20</v>
      </c>
      <c r="E700">
        <v>193.9</v>
      </c>
      <c r="F700">
        <v>46.1</v>
      </c>
      <c r="G700">
        <v>7741</v>
      </c>
      <c r="H700">
        <v>488.6</v>
      </c>
      <c r="I700">
        <v>5.8</v>
      </c>
      <c r="J700">
        <v>55</v>
      </c>
      <c r="K700" t="s">
        <v>16</v>
      </c>
      <c r="L700">
        <v>0</v>
      </c>
      <c r="M700">
        <v>2.97</v>
      </c>
      <c r="N700">
        <v>7</v>
      </c>
      <c r="O700" t="s">
        <v>21</v>
      </c>
      <c r="P700" cm="1">
        <f t="array" ref="P700">_xlfn.SWITCH(Table2[[#This Row],[mood]], "Tired", 3, "Neutral", 2, "Happy", 1)</f>
        <v>1</v>
      </c>
    </row>
    <row r="701" spans="1:16" x14ac:dyDescent="0.3">
      <c r="A701">
        <v>1379</v>
      </c>
      <c r="B701" s="1">
        <v>42704</v>
      </c>
      <c r="C701">
        <v>20</v>
      </c>
      <c r="D701" t="s">
        <v>20</v>
      </c>
      <c r="E701">
        <v>162.30000000000001</v>
      </c>
      <c r="F701">
        <v>79.2</v>
      </c>
      <c r="G701">
        <v>4654</v>
      </c>
      <c r="H701">
        <v>397.3</v>
      </c>
      <c r="I701">
        <v>6.6</v>
      </c>
      <c r="J701">
        <v>86</v>
      </c>
      <c r="K701" t="s">
        <v>23</v>
      </c>
      <c r="L701">
        <v>65</v>
      </c>
      <c r="M701">
        <v>2.35</v>
      </c>
      <c r="N701">
        <v>9</v>
      </c>
      <c r="O701" t="s">
        <v>19</v>
      </c>
      <c r="P701" cm="1">
        <f t="array" ref="P701">_xlfn.SWITCH(Table2[[#This Row],[mood]], "Tired", 3, "Neutral", 2, "Happy", 1)</f>
        <v>2</v>
      </c>
    </row>
    <row r="702" spans="1:16" x14ac:dyDescent="0.3">
      <c r="A702">
        <v>1544</v>
      </c>
      <c r="B702" s="1">
        <v>42705</v>
      </c>
      <c r="C702">
        <v>52</v>
      </c>
      <c r="D702" t="s">
        <v>20</v>
      </c>
      <c r="E702">
        <v>169.2</v>
      </c>
      <c r="F702">
        <v>83</v>
      </c>
      <c r="G702">
        <v>14580</v>
      </c>
      <c r="H702">
        <v>841.5</v>
      </c>
      <c r="I702">
        <v>4.5</v>
      </c>
      <c r="J702">
        <v>66</v>
      </c>
      <c r="K702" t="s">
        <v>23</v>
      </c>
      <c r="L702">
        <v>86</v>
      </c>
      <c r="M702">
        <v>3.75</v>
      </c>
      <c r="N702">
        <v>1</v>
      </c>
      <c r="O702" t="s">
        <v>19</v>
      </c>
      <c r="P702" cm="1">
        <f t="array" ref="P702">_xlfn.SWITCH(Table2[[#This Row],[mood]], "Tired", 3, "Neutral", 2, "Happy", 1)</f>
        <v>2</v>
      </c>
    </row>
    <row r="703" spans="1:16" x14ac:dyDescent="0.3">
      <c r="A703">
        <v>1928</v>
      </c>
      <c r="B703" s="1">
        <v>42706</v>
      </c>
      <c r="C703">
        <v>35</v>
      </c>
      <c r="D703" t="s">
        <v>15</v>
      </c>
      <c r="E703">
        <v>165.4</v>
      </c>
      <c r="F703">
        <v>60.2</v>
      </c>
      <c r="G703">
        <v>8660</v>
      </c>
      <c r="H703">
        <v>614.1</v>
      </c>
      <c r="I703">
        <v>7.8</v>
      </c>
      <c r="J703">
        <v>74</v>
      </c>
      <c r="K703" t="s">
        <v>18</v>
      </c>
      <c r="L703">
        <v>22</v>
      </c>
      <c r="M703">
        <v>2.5</v>
      </c>
      <c r="N703">
        <v>10</v>
      </c>
      <c r="O703" t="s">
        <v>21</v>
      </c>
      <c r="P703" cm="1">
        <f t="array" ref="P703">_xlfn.SWITCH(Table2[[#This Row],[mood]], "Tired", 3, "Neutral", 2, "Happy", 1)</f>
        <v>1</v>
      </c>
    </row>
    <row r="704" spans="1:16" x14ac:dyDescent="0.3">
      <c r="A704">
        <v>1956</v>
      </c>
      <c r="B704" s="1">
        <v>42707</v>
      </c>
      <c r="C704">
        <v>28</v>
      </c>
      <c r="D704" t="s">
        <v>15</v>
      </c>
      <c r="E704">
        <v>159.6</v>
      </c>
      <c r="F704">
        <v>56.6</v>
      </c>
      <c r="G704">
        <v>4251</v>
      </c>
      <c r="H704">
        <v>405.2</v>
      </c>
      <c r="I704">
        <v>8.9</v>
      </c>
      <c r="J704">
        <v>69</v>
      </c>
      <c r="K704" t="s">
        <v>22</v>
      </c>
      <c r="L704">
        <v>42</v>
      </c>
      <c r="M704">
        <v>3.33</v>
      </c>
      <c r="N704">
        <v>6</v>
      </c>
      <c r="O704" t="s">
        <v>17</v>
      </c>
      <c r="P704" cm="1">
        <f t="array" ref="P704">_xlfn.SWITCH(Table2[[#This Row],[mood]], "Tired", 3, "Neutral", 2, "Happy", 1)</f>
        <v>3</v>
      </c>
    </row>
    <row r="705" spans="1:16" x14ac:dyDescent="0.3">
      <c r="A705">
        <v>1690</v>
      </c>
      <c r="B705" s="1">
        <v>42708</v>
      </c>
      <c r="C705">
        <v>37</v>
      </c>
      <c r="D705" t="s">
        <v>20</v>
      </c>
      <c r="E705">
        <v>174.2</v>
      </c>
      <c r="F705">
        <v>60.7</v>
      </c>
      <c r="G705">
        <v>6268</v>
      </c>
      <c r="H705">
        <v>412.5</v>
      </c>
      <c r="I705">
        <v>8.9</v>
      </c>
      <c r="J705">
        <v>88</v>
      </c>
      <c r="K705" t="s">
        <v>16</v>
      </c>
      <c r="L705">
        <v>0</v>
      </c>
      <c r="M705">
        <v>2.69</v>
      </c>
      <c r="N705">
        <v>6</v>
      </c>
      <c r="O705" t="s">
        <v>19</v>
      </c>
      <c r="P705" cm="1">
        <f t="array" ref="P705">_xlfn.SWITCH(Table2[[#This Row],[mood]], "Tired", 3, "Neutral", 2, "Happy", 1)</f>
        <v>2</v>
      </c>
    </row>
    <row r="706" spans="1:16" x14ac:dyDescent="0.3">
      <c r="A706">
        <v>1426</v>
      </c>
      <c r="B706" s="1">
        <v>42709</v>
      </c>
      <c r="C706">
        <v>22</v>
      </c>
      <c r="D706" t="s">
        <v>15</v>
      </c>
      <c r="E706">
        <v>170.4</v>
      </c>
      <c r="F706">
        <v>69.099999999999994</v>
      </c>
      <c r="G706">
        <v>12781</v>
      </c>
      <c r="H706">
        <v>710.1</v>
      </c>
      <c r="I706">
        <v>5.9</v>
      </c>
      <c r="J706">
        <v>74</v>
      </c>
      <c r="K706" t="s">
        <v>16</v>
      </c>
      <c r="L706">
        <v>0</v>
      </c>
      <c r="M706">
        <v>3.99</v>
      </c>
      <c r="N706">
        <v>1</v>
      </c>
      <c r="O706" t="s">
        <v>19</v>
      </c>
      <c r="P706" cm="1">
        <f t="array" ref="P706">_xlfn.SWITCH(Table2[[#This Row],[mood]], "Tired", 3, "Neutral", 2, "Happy", 1)</f>
        <v>2</v>
      </c>
    </row>
    <row r="707" spans="1:16" x14ac:dyDescent="0.3">
      <c r="A707">
        <v>1612</v>
      </c>
      <c r="B707" s="1">
        <v>42710</v>
      </c>
      <c r="C707">
        <v>36</v>
      </c>
      <c r="D707" t="s">
        <v>15</v>
      </c>
      <c r="E707">
        <v>179.1</v>
      </c>
      <c r="F707">
        <v>73.2</v>
      </c>
      <c r="G707">
        <v>14489</v>
      </c>
      <c r="H707">
        <v>735.9</v>
      </c>
      <c r="I707">
        <v>3.6</v>
      </c>
      <c r="J707">
        <v>61</v>
      </c>
      <c r="K707" t="s">
        <v>25</v>
      </c>
      <c r="L707">
        <v>66</v>
      </c>
      <c r="M707">
        <v>3.24</v>
      </c>
      <c r="N707">
        <v>2</v>
      </c>
      <c r="O707" t="s">
        <v>19</v>
      </c>
      <c r="P707" cm="1">
        <f t="array" ref="P707">_xlfn.SWITCH(Table2[[#This Row],[mood]], "Tired", 3, "Neutral", 2, "Happy", 1)</f>
        <v>2</v>
      </c>
    </row>
    <row r="708" spans="1:16" x14ac:dyDescent="0.3">
      <c r="A708">
        <v>1267</v>
      </c>
      <c r="B708" s="1">
        <v>42711</v>
      </c>
      <c r="C708">
        <v>39</v>
      </c>
      <c r="D708" t="s">
        <v>15</v>
      </c>
      <c r="E708">
        <v>178.1</v>
      </c>
      <c r="F708">
        <v>94.2</v>
      </c>
      <c r="G708">
        <v>16131</v>
      </c>
      <c r="H708">
        <v>812.5</v>
      </c>
      <c r="I708">
        <v>7.5</v>
      </c>
      <c r="J708">
        <v>72</v>
      </c>
      <c r="K708" t="s">
        <v>16</v>
      </c>
      <c r="L708">
        <v>0</v>
      </c>
      <c r="M708">
        <v>2.5299999999999998</v>
      </c>
      <c r="N708">
        <v>8</v>
      </c>
      <c r="O708" t="s">
        <v>21</v>
      </c>
      <c r="P708" cm="1">
        <f t="array" ref="P708">_xlfn.SWITCH(Table2[[#This Row],[mood]], "Tired", 3, "Neutral", 2, "Happy", 1)</f>
        <v>1</v>
      </c>
    </row>
    <row r="709" spans="1:16" x14ac:dyDescent="0.3">
      <c r="A709">
        <v>1834</v>
      </c>
      <c r="B709" s="1">
        <v>42712</v>
      </c>
      <c r="C709">
        <v>36</v>
      </c>
      <c r="D709" t="s">
        <v>15</v>
      </c>
      <c r="E709">
        <v>179</v>
      </c>
      <c r="F709">
        <v>92.3</v>
      </c>
      <c r="G709">
        <v>8562</v>
      </c>
      <c r="H709">
        <v>566.6</v>
      </c>
      <c r="I709">
        <v>9</v>
      </c>
      <c r="J709">
        <v>86</v>
      </c>
      <c r="K709" t="s">
        <v>22</v>
      </c>
      <c r="L709">
        <v>63</v>
      </c>
      <c r="M709">
        <v>2.94</v>
      </c>
      <c r="N709">
        <v>6</v>
      </c>
      <c r="O709" t="s">
        <v>21</v>
      </c>
      <c r="P709" cm="1">
        <f t="array" ref="P709">_xlfn.SWITCH(Table2[[#This Row],[mood]], "Tired", 3, "Neutral", 2, "Happy", 1)</f>
        <v>1</v>
      </c>
    </row>
    <row r="710" spans="1:16" x14ac:dyDescent="0.3">
      <c r="A710">
        <v>1576</v>
      </c>
      <c r="B710" s="1">
        <v>42713</v>
      </c>
      <c r="C710">
        <v>33</v>
      </c>
      <c r="D710" t="s">
        <v>15</v>
      </c>
      <c r="E710">
        <v>160.80000000000001</v>
      </c>
      <c r="F710">
        <v>82.5</v>
      </c>
      <c r="G710">
        <v>16987</v>
      </c>
      <c r="H710">
        <v>830.8</v>
      </c>
      <c r="I710">
        <v>4.5999999999999996</v>
      </c>
      <c r="J710">
        <v>66</v>
      </c>
      <c r="K710" t="s">
        <v>23</v>
      </c>
      <c r="L710">
        <v>32</v>
      </c>
      <c r="M710">
        <v>2.3199999999999998</v>
      </c>
      <c r="N710">
        <v>1</v>
      </c>
      <c r="O710" t="s">
        <v>19</v>
      </c>
      <c r="P710" cm="1">
        <f t="array" ref="P710">_xlfn.SWITCH(Table2[[#This Row],[mood]], "Tired", 3, "Neutral", 2, "Happy", 1)</f>
        <v>2</v>
      </c>
    </row>
    <row r="711" spans="1:16" x14ac:dyDescent="0.3">
      <c r="A711">
        <v>1416</v>
      </c>
      <c r="B711" s="1">
        <v>42714</v>
      </c>
      <c r="C711">
        <v>41</v>
      </c>
      <c r="D711" t="s">
        <v>15</v>
      </c>
      <c r="E711">
        <v>176.4</v>
      </c>
      <c r="F711">
        <v>71.8</v>
      </c>
      <c r="G711">
        <v>15391</v>
      </c>
      <c r="H711">
        <v>792.9</v>
      </c>
      <c r="I711">
        <v>6.4</v>
      </c>
      <c r="J711">
        <v>59</v>
      </c>
      <c r="K711" t="s">
        <v>23</v>
      </c>
      <c r="L711">
        <v>27</v>
      </c>
      <c r="M711">
        <v>2.31</v>
      </c>
      <c r="N711">
        <v>10</v>
      </c>
      <c r="O711" t="s">
        <v>17</v>
      </c>
      <c r="P711" cm="1">
        <f t="array" ref="P711">_xlfn.SWITCH(Table2[[#This Row],[mood]], "Tired", 3, "Neutral", 2, "Happy", 1)</f>
        <v>3</v>
      </c>
    </row>
    <row r="712" spans="1:16" x14ac:dyDescent="0.3">
      <c r="A712">
        <v>1167</v>
      </c>
      <c r="B712" s="1">
        <v>42715</v>
      </c>
      <c r="C712">
        <v>58</v>
      </c>
      <c r="D712" t="s">
        <v>15</v>
      </c>
      <c r="E712">
        <v>176.7</v>
      </c>
      <c r="F712">
        <v>56.1</v>
      </c>
      <c r="G712">
        <v>3152</v>
      </c>
      <c r="H712">
        <v>272.60000000000002</v>
      </c>
      <c r="I712">
        <v>7.5</v>
      </c>
      <c r="J712">
        <v>82</v>
      </c>
      <c r="K712" t="s">
        <v>25</v>
      </c>
      <c r="L712">
        <v>82</v>
      </c>
      <c r="M712">
        <v>1.59</v>
      </c>
      <c r="N712">
        <v>10</v>
      </c>
      <c r="O712" t="s">
        <v>17</v>
      </c>
      <c r="P712" cm="1">
        <f t="array" ref="P712">_xlfn.SWITCH(Table2[[#This Row],[mood]], "Tired", 3, "Neutral", 2, "Happy", 1)</f>
        <v>3</v>
      </c>
    </row>
    <row r="713" spans="1:16" x14ac:dyDescent="0.3">
      <c r="A713">
        <v>1841</v>
      </c>
      <c r="B713" s="1">
        <v>42716</v>
      </c>
      <c r="C713">
        <v>21</v>
      </c>
      <c r="D713" t="s">
        <v>20</v>
      </c>
      <c r="E713">
        <v>159.80000000000001</v>
      </c>
      <c r="F713">
        <v>95.2</v>
      </c>
      <c r="G713">
        <v>9738</v>
      </c>
      <c r="H713">
        <v>622.4</v>
      </c>
      <c r="I713">
        <v>5.7</v>
      </c>
      <c r="J713">
        <v>65</v>
      </c>
      <c r="K713" t="s">
        <v>23</v>
      </c>
      <c r="L713">
        <v>41</v>
      </c>
      <c r="M713">
        <v>1.93</v>
      </c>
      <c r="N713">
        <v>6</v>
      </c>
      <c r="O713" t="s">
        <v>21</v>
      </c>
      <c r="P713" cm="1">
        <f t="array" ref="P713">_xlfn.SWITCH(Table2[[#This Row],[mood]], "Tired", 3, "Neutral", 2, "Happy", 1)</f>
        <v>1</v>
      </c>
    </row>
    <row r="714" spans="1:16" x14ac:dyDescent="0.3">
      <c r="A714">
        <v>1042</v>
      </c>
      <c r="B714" s="1">
        <v>42717</v>
      </c>
      <c r="C714">
        <v>32</v>
      </c>
      <c r="D714" t="s">
        <v>20</v>
      </c>
      <c r="E714">
        <v>166.8</v>
      </c>
      <c r="F714">
        <v>66.3</v>
      </c>
      <c r="G714">
        <v>8888</v>
      </c>
      <c r="H714">
        <v>537.5</v>
      </c>
      <c r="I714">
        <v>4.4000000000000004</v>
      </c>
      <c r="J714">
        <v>58</v>
      </c>
      <c r="K714" t="s">
        <v>24</v>
      </c>
      <c r="L714">
        <v>57</v>
      </c>
      <c r="M714">
        <v>3.94</v>
      </c>
      <c r="N714">
        <v>10</v>
      </c>
      <c r="O714" t="s">
        <v>17</v>
      </c>
      <c r="P714" cm="1">
        <f t="array" ref="P714">_xlfn.SWITCH(Table2[[#This Row],[mood]], "Tired", 3, "Neutral", 2, "Happy", 1)</f>
        <v>3</v>
      </c>
    </row>
    <row r="715" spans="1:16" x14ac:dyDescent="0.3">
      <c r="A715">
        <v>1555</v>
      </c>
      <c r="B715" s="1">
        <v>42718</v>
      </c>
      <c r="C715">
        <v>42</v>
      </c>
      <c r="D715" t="s">
        <v>15</v>
      </c>
      <c r="E715">
        <v>155.4</v>
      </c>
      <c r="F715">
        <v>74.2</v>
      </c>
      <c r="G715">
        <v>11096</v>
      </c>
      <c r="H715">
        <v>533</v>
      </c>
      <c r="I715">
        <v>5.9</v>
      </c>
      <c r="J715">
        <v>66</v>
      </c>
      <c r="K715" t="s">
        <v>23</v>
      </c>
      <c r="L715">
        <v>46</v>
      </c>
      <c r="M715">
        <v>1.66</v>
      </c>
      <c r="N715">
        <v>7</v>
      </c>
      <c r="O715" t="s">
        <v>21</v>
      </c>
      <c r="P715" cm="1">
        <f t="array" ref="P715">_xlfn.SWITCH(Table2[[#This Row],[mood]], "Tired", 3, "Neutral", 2, "Happy", 1)</f>
        <v>1</v>
      </c>
    </row>
    <row r="716" spans="1:16" x14ac:dyDescent="0.3">
      <c r="A716">
        <v>1284</v>
      </c>
      <c r="B716" s="1">
        <v>42719</v>
      </c>
      <c r="C716">
        <v>52</v>
      </c>
      <c r="D716" t="s">
        <v>20</v>
      </c>
      <c r="E716">
        <v>176.7</v>
      </c>
      <c r="F716">
        <v>79.400000000000006</v>
      </c>
      <c r="G716">
        <v>6474</v>
      </c>
      <c r="H716">
        <v>540.6</v>
      </c>
      <c r="I716">
        <v>6.1</v>
      </c>
      <c r="J716">
        <v>77</v>
      </c>
      <c r="K716" t="s">
        <v>16</v>
      </c>
      <c r="L716">
        <v>0</v>
      </c>
      <c r="M716">
        <v>2.04</v>
      </c>
      <c r="N716">
        <v>2</v>
      </c>
      <c r="O716" t="s">
        <v>19</v>
      </c>
      <c r="P716" cm="1">
        <f t="array" ref="P716">_xlfn.SWITCH(Table2[[#This Row],[mood]], "Tired", 3, "Neutral", 2, "Happy", 1)</f>
        <v>2</v>
      </c>
    </row>
    <row r="717" spans="1:16" x14ac:dyDescent="0.3">
      <c r="A717">
        <v>1396</v>
      </c>
      <c r="B717" s="1">
        <v>42720</v>
      </c>
      <c r="C717">
        <v>31</v>
      </c>
      <c r="D717" t="s">
        <v>20</v>
      </c>
      <c r="E717">
        <v>176.7</v>
      </c>
      <c r="F717">
        <v>70.900000000000006</v>
      </c>
      <c r="G717">
        <v>1488</v>
      </c>
      <c r="H717">
        <v>310.2</v>
      </c>
      <c r="I717">
        <v>4.2</v>
      </c>
      <c r="J717">
        <v>79</v>
      </c>
      <c r="K717" t="s">
        <v>22</v>
      </c>
      <c r="L717">
        <v>42</v>
      </c>
      <c r="M717">
        <v>2.4300000000000002</v>
      </c>
      <c r="N717">
        <v>4</v>
      </c>
      <c r="O717" t="s">
        <v>19</v>
      </c>
      <c r="P717" cm="1">
        <f t="array" ref="P717">_xlfn.SWITCH(Table2[[#This Row],[mood]], "Tired", 3, "Neutral", 2, "Happy", 1)</f>
        <v>2</v>
      </c>
    </row>
    <row r="718" spans="1:16" x14ac:dyDescent="0.3">
      <c r="A718">
        <v>1011</v>
      </c>
      <c r="B718" s="1">
        <v>42721</v>
      </c>
      <c r="C718">
        <v>36</v>
      </c>
      <c r="D718" t="s">
        <v>15</v>
      </c>
      <c r="E718">
        <v>184.3</v>
      </c>
      <c r="F718">
        <v>87.3</v>
      </c>
      <c r="G718">
        <v>19206</v>
      </c>
      <c r="H718">
        <v>867.5</v>
      </c>
      <c r="I718">
        <v>8.6</v>
      </c>
      <c r="J718">
        <v>78</v>
      </c>
      <c r="K718" t="s">
        <v>22</v>
      </c>
      <c r="L718">
        <v>84</v>
      </c>
      <c r="M718">
        <v>2.46</v>
      </c>
      <c r="N718">
        <v>7</v>
      </c>
      <c r="O718" t="s">
        <v>19</v>
      </c>
      <c r="P718" cm="1">
        <f t="array" ref="P718">_xlfn.SWITCH(Table2[[#This Row],[mood]], "Tired", 3, "Neutral", 2, "Happy", 1)</f>
        <v>2</v>
      </c>
    </row>
    <row r="719" spans="1:16" x14ac:dyDescent="0.3">
      <c r="A719">
        <v>1606</v>
      </c>
      <c r="B719" s="1">
        <v>42722</v>
      </c>
      <c r="C719">
        <v>55</v>
      </c>
      <c r="D719" t="s">
        <v>20</v>
      </c>
      <c r="E719">
        <v>167.7</v>
      </c>
      <c r="F719">
        <v>76.8</v>
      </c>
      <c r="G719">
        <v>6622</v>
      </c>
      <c r="H719">
        <v>501.6</v>
      </c>
      <c r="I719">
        <v>9.3000000000000007</v>
      </c>
      <c r="J719">
        <v>64</v>
      </c>
      <c r="K719" t="s">
        <v>24</v>
      </c>
      <c r="L719">
        <v>66</v>
      </c>
      <c r="M719">
        <v>2.77</v>
      </c>
      <c r="N719">
        <v>6</v>
      </c>
      <c r="O719" t="s">
        <v>21</v>
      </c>
      <c r="P719" cm="1">
        <f t="array" ref="P719">_xlfn.SWITCH(Table2[[#This Row],[mood]], "Tired", 3, "Neutral", 2, "Happy", 1)</f>
        <v>1</v>
      </c>
    </row>
    <row r="720" spans="1:16" x14ac:dyDescent="0.3">
      <c r="A720">
        <v>1301</v>
      </c>
      <c r="B720" s="1">
        <v>42723</v>
      </c>
      <c r="C720">
        <v>53</v>
      </c>
      <c r="D720" t="s">
        <v>15</v>
      </c>
      <c r="E720">
        <v>174.5</v>
      </c>
      <c r="F720">
        <v>84.8</v>
      </c>
      <c r="G720">
        <v>4774</v>
      </c>
      <c r="H720">
        <v>467.1</v>
      </c>
      <c r="I720">
        <v>7</v>
      </c>
      <c r="J720">
        <v>83</v>
      </c>
      <c r="K720" t="s">
        <v>22</v>
      </c>
      <c r="L720">
        <v>80</v>
      </c>
      <c r="M720">
        <v>2.17</v>
      </c>
      <c r="N720">
        <v>8</v>
      </c>
      <c r="O720" t="s">
        <v>17</v>
      </c>
      <c r="P720" cm="1">
        <f t="array" ref="P720">_xlfn.SWITCH(Table2[[#This Row],[mood]], "Tired", 3, "Neutral", 2, "Happy", 1)</f>
        <v>3</v>
      </c>
    </row>
    <row r="721" spans="1:16" x14ac:dyDescent="0.3">
      <c r="A721">
        <v>1897</v>
      </c>
      <c r="B721" s="1">
        <v>42724</v>
      </c>
      <c r="C721">
        <v>24</v>
      </c>
      <c r="D721" t="s">
        <v>15</v>
      </c>
      <c r="E721">
        <v>179.9</v>
      </c>
      <c r="F721">
        <v>76.7</v>
      </c>
      <c r="G721">
        <v>7446</v>
      </c>
      <c r="H721">
        <v>488.5</v>
      </c>
      <c r="I721">
        <v>8.1</v>
      </c>
      <c r="J721">
        <v>82</v>
      </c>
      <c r="K721" t="s">
        <v>22</v>
      </c>
      <c r="L721">
        <v>65</v>
      </c>
      <c r="M721">
        <v>2.81</v>
      </c>
      <c r="N721">
        <v>6</v>
      </c>
      <c r="O721" t="s">
        <v>19</v>
      </c>
      <c r="P721" cm="1">
        <f t="array" ref="P721">_xlfn.SWITCH(Table2[[#This Row],[mood]], "Tired", 3, "Neutral", 2, "Happy", 1)</f>
        <v>2</v>
      </c>
    </row>
    <row r="722" spans="1:16" x14ac:dyDescent="0.3">
      <c r="A722">
        <v>1252</v>
      </c>
      <c r="B722" s="1">
        <v>42725</v>
      </c>
      <c r="C722">
        <v>47</v>
      </c>
      <c r="D722" t="s">
        <v>15</v>
      </c>
      <c r="E722">
        <v>162.5</v>
      </c>
      <c r="F722">
        <v>69.400000000000006</v>
      </c>
      <c r="G722">
        <v>9572</v>
      </c>
      <c r="H722">
        <v>590.29999999999995</v>
      </c>
      <c r="I722">
        <v>4.8</v>
      </c>
      <c r="J722">
        <v>79</v>
      </c>
      <c r="K722" t="s">
        <v>22</v>
      </c>
      <c r="L722">
        <v>23</v>
      </c>
      <c r="M722">
        <v>3.3</v>
      </c>
      <c r="N722">
        <v>2</v>
      </c>
      <c r="O722" t="s">
        <v>17</v>
      </c>
      <c r="P722" cm="1">
        <f t="array" ref="P722">_xlfn.SWITCH(Table2[[#This Row],[mood]], "Tired", 3, "Neutral", 2, "Happy", 1)</f>
        <v>3</v>
      </c>
    </row>
    <row r="723" spans="1:16" x14ac:dyDescent="0.3">
      <c r="A723">
        <v>1498</v>
      </c>
      <c r="B723" s="1">
        <v>42726</v>
      </c>
      <c r="C723">
        <v>36</v>
      </c>
      <c r="D723" t="s">
        <v>20</v>
      </c>
      <c r="E723">
        <v>160.9</v>
      </c>
      <c r="F723">
        <v>71.099999999999994</v>
      </c>
      <c r="G723">
        <v>8833</v>
      </c>
      <c r="H723">
        <v>537.4</v>
      </c>
      <c r="I723">
        <v>6.8</v>
      </c>
      <c r="J723">
        <v>64</v>
      </c>
      <c r="K723" t="s">
        <v>18</v>
      </c>
      <c r="L723">
        <v>50</v>
      </c>
      <c r="M723">
        <v>3.39</v>
      </c>
      <c r="N723">
        <v>1</v>
      </c>
      <c r="O723" t="s">
        <v>17</v>
      </c>
      <c r="P723" cm="1">
        <f t="array" ref="P723">_xlfn.SWITCH(Table2[[#This Row],[mood]], "Tired", 3, "Neutral", 2, "Happy", 1)</f>
        <v>3</v>
      </c>
    </row>
    <row r="724" spans="1:16" x14ac:dyDescent="0.3">
      <c r="A724">
        <v>1753</v>
      </c>
      <c r="B724" s="1">
        <v>42727</v>
      </c>
      <c r="C724">
        <v>42</v>
      </c>
      <c r="D724" t="s">
        <v>20</v>
      </c>
      <c r="E724">
        <v>162.80000000000001</v>
      </c>
      <c r="F724">
        <v>69.099999999999994</v>
      </c>
      <c r="G724">
        <v>11258</v>
      </c>
      <c r="H724">
        <v>676.3</v>
      </c>
      <c r="I724">
        <v>6.1</v>
      </c>
      <c r="J724">
        <v>68</v>
      </c>
      <c r="K724" t="s">
        <v>24</v>
      </c>
      <c r="L724">
        <v>23</v>
      </c>
      <c r="M724">
        <v>2.31</v>
      </c>
      <c r="N724">
        <v>5</v>
      </c>
      <c r="O724" t="s">
        <v>21</v>
      </c>
      <c r="P724" cm="1">
        <f t="array" ref="P724">_xlfn.SWITCH(Table2[[#This Row],[mood]], "Tired", 3, "Neutral", 2, "Happy", 1)</f>
        <v>1</v>
      </c>
    </row>
    <row r="725" spans="1:16" x14ac:dyDescent="0.3">
      <c r="A725">
        <v>1034</v>
      </c>
      <c r="B725" s="1">
        <v>42728</v>
      </c>
      <c r="C725">
        <v>33</v>
      </c>
      <c r="D725" t="s">
        <v>20</v>
      </c>
      <c r="E725">
        <v>166.5</v>
      </c>
      <c r="F725">
        <v>50.7</v>
      </c>
      <c r="G725">
        <v>13416</v>
      </c>
      <c r="H725">
        <v>788.3</v>
      </c>
      <c r="I725">
        <v>7.6</v>
      </c>
      <c r="J725">
        <v>78</v>
      </c>
      <c r="K725" t="s">
        <v>24</v>
      </c>
      <c r="L725">
        <v>48</v>
      </c>
      <c r="M725">
        <v>2.93</v>
      </c>
      <c r="N725">
        <v>10</v>
      </c>
      <c r="O725" t="s">
        <v>21</v>
      </c>
      <c r="P725" cm="1">
        <f t="array" ref="P725">_xlfn.SWITCH(Table2[[#This Row],[mood]], "Tired", 3, "Neutral", 2, "Happy", 1)</f>
        <v>1</v>
      </c>
    </row>
    <row r="726" spans="1:16" x14ac:dyDescent="0.3">
      <c r="A726">
        <v>1726</v>
      </c>
      <c r="B726" s="1">
        <v>42729</v>
      </c>
      <c r="C726">
        <v>57</v>
      </c>
      <c r="D726" t="s">
        <v>20</v>
      </c>
      <c r="E726">
        <v>161.30000000000001</v>
      </c>
      <c r="F726">
        <v>55</v>
      </c>
      <c r="G726">
        <v>5887</v>
      </c>
      <c r="H726">
        <v>375.9</v>
      </c>
      <c r="I726">
        <v>3</v>
      </c>
      <c r="J726">
        <v>80</v>
      </c>
      <c r="K726" t="s">
        <v>23</v>
      </c>
      <c r="L726">
        <v>63</v>
      </c>
      <c r="M726">
        <v>1.7</v>
      </c>
      <c r="N726">
        <v>10</v>
      </c>
      <c r="O726" t="s">
        <v>17</v>
      </c>
      <c r="P726" cm="1">
        <f t="array" ref="P726">_xlfn.SWITCH(Table2[[#This Row],[mood]], "Tired", 3, "Neutral", 2, "Happy", 1)</f>
        <v>3</v>
      </c>
    </row>
    <row r="727" spans="1:16" x14ac:dyDescent="0.3">
      <c r="A727">
        <v>1848</v>
      </c>
      <c r="B727" s="1">
        <v>42730</v>
      </c>
      <c r="C727">
        <v>25</v>
      </c>
      <c r="D727" t="s">
        <v>15</v>
      </c>
      <c r="E727">
        <v>163.19999999999999</v>
      </c>
      <c r="F727">
        <v>81.099999999999994</v>
      </c>
      <c r="G727">
        <v>17605</v>
      </c>
      <c r="H727">
        <v>868.9</v>
      </c>
      <c r="I727">
        <v>6.5</v>
      </c>
      <c r="J727">
        <v>65</v>
      </c>
      <c r="K727" t="s">
        <v>16</v>
      </c>
      <c r="L727">
        <v>0</v>
      </c>
      <c r="M727">
        <v>1.99</v>
      </c>
      <c r="N727">
        <v>9</v>
      </c>
      <c r="O727" t="s">
        <v>17</v>
      </c>
      <c r="P727" cm="1">
        <f t="array" ref="P727">_xlfn.SWITCH(Table2[[#This Row],[mood]], "Tired", 3, "Neutral", 2, "Happy", 1)</f>
        <v>3</v>
      </c>
    </row>
    <row r="728" spans="1:16" x14ac:dyDescent="0.3">
      <c r="A728">
        <v>1089</v>
      </c>
      <c r="B728" s="1">
        <v>42731</v>
      </c>
      <c r="C728">
        <v>35</v>
      </c>
      <c r="D728" t="s">
        <v>15</v>
      </c>
      <c r="E728">
        <v>178.8</v>
      </c>
      <c r="F728">
        <v>51.1</v>
      </c>
      <c r="G728">
        <v>16684</v>
      </c>
      <c r="H728">
        <v>872.4</v>
      </c>
      <c r="I728">
        <v>7.9</v>
      </c>
      <c r="J728">
        <v>92</v>
      </c>
      <c r="K728" t="s">
        <v>24</v>
      </c>
      <c r="L728">
        <v>78</v>
      </c>
      <c r="M728">
        <v>1.68</v>
      </c>
      <c r="N728">
        <v>2</v>
      </c>
      <c r="O728" t="s">
        <v>19</v>
      </c>
      <c r="P728" cm="1">
        <f t="array" ref="P728">_xlfn.SWITCH(Table2[[#This Row],[mood]], "Tired", 3, "Neutral", 2, "Happy", 1)</f>
        <v>2</v>
      </c>
    </row>
    <row r="729" spans="1:16" x14ac:dyDescent="0.3">
      <c r="A729">
        <v>1775</v>
      </c>
      <c r="B729" s="1">
        <v>42732</v>
      </c>
      <c r="C729">
        <v>45</v>
      </c>
      <c r="D729" t="s">
        <v>20</v>
      </c>
      <c r="E729">
        <v>169</v>
      </c>
      <c r="F729">
        <v>63.9</v>
      </c>
      <c r="G729">
        <v>1617</v>
      </c>
      <c r="H729">
        <v>280.2</v>
      </c>
      <c r="I729">
        <v>7.4</v>
      </c>
      <c r="J729">
        <v>73</v>
      </c>
      <c r="K729" t="s">
        <v>25</v>
      </c>
      <c r="L729">
        <v>72</v>
      </c>
      <c r="M729">
        <v>2.4700000000000002</v>
      </c>
      <c r="N729">
        <v>7</v>
      </c>
      <c r="O729" t="s">
        <v>19</v>
      </c>
      <c r="P729" cm="1">
        <f t="array" ref="P729">_xlfn.SWITCH(Table2[[#This Row],[mood]], "Tired", 3, "Neutral", 2, "Happy", 1)</f>
        <v>2</v>
      </c>
    </row>
    <row r="730" spans="1:16" x14ac:dyDescent="0.3">
      <c r="A730">
        <v>1604</v>
      </c>
      <c r="B730" s="1">
        <v>42733</v>
      </c>
      <c r="C730">
        <v>33</v>
      </c>
      <c r="D730" t="s">
        <v>15</v>
      </c>
      <c r="E730">
        <v>173.1</v>
      </c>
      <c r="F730">
        <v>54.2</v>
      </c>
      <c r="G730">
        <v>14636</v>
      </c>
      <c r="H730">
        <v>805.8</v>
      </c>
      <c r="I730">
        <v>8.1999999999999993</v>
      </c>
      <c r="J730">
        <v>84</v>
      </c>
      <c r="K730" t="s">
        <v>24</v>
      </c>
      <c r="L730">
        <v>30</v>
      </c>
      <c r="M730">
        <v>1.9</v>
      </c>
      <c r="N730">
        <v>9</v>
      </c>
      <c r="O730" t="s">
        <v>19</v>
      </c>
      <c r="P730" cm="1">
        <f t="array" ref="P730">_xlfn.SWITCH(Table2[[#This Row],[mood]], "Tired", 3, "Neutral", 2, "Happy", 1)</f>
        <v>2</v>
      </c>
    </row>
    <row r="731" spans="1:16" x14ac:dyDescent="0.3">
      <c r="A731">
        <v>1921</v>
      </c>
      <c r="B731" s="1">
        <v>42734</v>
      </c>
      <c r="C731">
        <v>36</v>
      </c>
      <c r="D731" t="s">
        <v>15</v>
      </c>
      <c r="E731">
        <v>164.5</v>
      </c>
      <c r="F731">
        <v>63.1</v>
      </c>
      <c r="G731">
        <v>3570</v>
      </c>
      <c r="H731">
        <v>333.2</v>
      </c>
      <c r="I731">
        <v>6.1</v>
      </c>
      <c r="J731">
        <v>62</v>
      </c>
      <c r="K731" t="s">
        <v>25</v>
      </c>
      <c r="L731">
        <v>25</v>
      </c>
      <c r="M731">
        <v>1.44</v>
      </c>
      <c r="N731">
        <v>4</v>
      </c>
      <c r="O731" t="s">
        <v>17</v>
      </c>
      <c r="P731" cm="1">
        <f t="array" ref="P731">_xlfn.SWITCH(Table2[[#This Row],[mood]], "Tired", 3, "Neutral", 2, "Happy", 1)</f>
        <v>3</v>
      </c>
    </row>
    <row r="732" spans="1:16" x14ac:dyDescent="0.3">
      <c r="A732">
        <v>1969</v>
      </c>
      <c r="B732" s="1">
        <v>42735</v>
      </c>
      <c r="C732">
        <v>59</v>
      </c>
      <c r="D732" t="s">
        <v>20</v>
      </c>
      <c r="E732">
        <v>163.80000000000001</v>
      </c>
      <c r="F732">
        <v>67.7</v>
      </c>
      <c r="G732">
        <v>7309</v>
      </c>
      <c r="H732">
        <v>448.3</v>
      </c>
      <c r="I732">
        <v>3</v>
      </c>
      <c r="J732">
        <v>77</v>
      </c>
      <c r="K732" t="s">
        <v>22</v>
      </c>
      <c r="L732">
        <v>66</v>
      </c>
      <c r="M732">
        <v>2.23</v>
      </c>
      <c r="N732">
        <v>4</v>
      </c>
      <c r="O732" t="s">
        <v>21</v>
      </c>
      <c r="P732" cm="1">
        <f t="array" ref="P732">_xlfn.SWITCH(Table2[[#This Row],[mood]], "Tired", 3, "Neutral", 2, "Happy", 1)</f>
        <v>1</v>
      </c>
    </row>
    <row r="733" spans="1:16" x14ac:dyDescent="0.3">
      <c r="A733">
        <v>1601</v>
      </c>
      <c r="B733" s="1">
        <v>42736</v>
      </c>
      <c r="C733">
        <v>34</v>
      </c>
      <c r="D733" t="s">
        <v>15</v>
      </c>
      <c r="E733">
        <v>172.9</v>
      </c>
      <c r="F733">
        <v>63.9</v>
      </c>
      <c r="G733">
        <v>3790</v>
      </c>
      <c r="H733">
        <v>400.9</v>
      </c>
      <c r="I733">
        <v>8.6</v>
      </c>
      <c r="J733">
        <v>62</v>
      </c>
      <c r="K733" t="s">
        <v>16</v>
      </c>
      <c r="L733">
        <v>0</v>
      </c>
      <c r="M733">
        <v>1.29</v>
      </c>
      <c r="N733">
        <v>10</v>
      </c>
      <c r="O733" t="s">
        <v>17</v>
      </c>
      <c r="P733" cm="1">
        <f t="array" ref="P733">_xlfn.SWITCH(Table2[[#This Row],[mood]], "Tired", 3, "Neutral", 2, "Happy", 1)</f>
        <v>3</v>
      </c>
    </row>
    <row r="734" spans="1:16" x14ac:dyDescent="0.3">
      <c r="A734">
        <v>1417</v>
      </c>
      <c r="B734" s="1">
        <v>42737</v>
      </c>
      <c r="C734">
        <v>30</v>
      </c>
      <c r="D734" t="s">
        <v>20</v>
      </c>
      <c r="E734">
        <v>171.3</v>
      </c>
      <c r="F734">
        <v>48.6</v>
      </c>
      <c r="G734">
        <v>8826</v>
      </c>
      <c r="H734">
        <v>492</v>
      </c>
      <c r="I734">
        <v>8.1</v>
      </c>
      <c r="J734">
        <v>76</v>
      </c>
      <c r="K734" t="s">
        <v>25</v>
      </c>
      <c r="L734">
        <v>87</v>
      </c>
      <c r="M734">
        <v>3.43</v>
      </c>
      <c r="N734">
        <v>5</v>
      </c>
      <c r="O734" t="s">
        <v>19</v>
      </c>
      <c r="P734" cm="1">
        <f t="array" ref="P734">_xlfn.SWITCH(Table2[[#This Row],[mood]], "Tired", 3, "Neutral", 2, "Happy", 1)</f>
        <v>2</v>
      </c>
    </row>
    <row r="735" spans="1:16" x14ac:dyDescent="0.3">
      <c r="A735">
        <v>1114</v>
      </c>
      <c r="B735" s="1">
        <v>42738</v>
      </c>
      <c r="C735">
        <v>24</v>
      </c>
      <c r="D735" t="s">
        <v>15</v>
      </c>
      <c r="E735">
        <v>177.8</v>
      </c>
      <c r="F735">
        <v>67.2</v>
      </c>
      <c r="G735">
        <v>13134</v>
      </c>
      <c r="H735">
        <v>700.7</v>
      </c>
      <c r="I735">
        <v>9.4</v>
      </c>
      <c r="J735">
        <v>79</v>
      </c>
      <c r="K735" t="s">
        <v>16</v>
      </c>
      <c r="L735">
        <v>0</v>
      </c>
      <c r="M735">
        <v>2.11</v>
      </c>
      <c r="N735">
        <v>6</v>
      </c>
      <c r="O735" t="s">
        <v>19</v>
      </c>
      <c r="P735" cm="1">
        <f t="array" ref="P735">_xlfn.SWITCH(Table2[[#This Row],[mood]], "Tired", 3, "Neutral", 2, "Happy", 1)</f>
        <v>2</v>
      </c>
    </row>
    <row r="736" spans="1:16" x14ac:dyDescent="0.3">
      <c r="A736">
        <v>1616</v>
      </c>
      <c r="B736" s="1">
        <v>42739</v>
      </c>
      <c r="C736">
        <v>44</v>
      </c>
      <c r="D736" t="s">
        <v>20</v>
      </c>
      <c r="E736">
        <v>183</v>
      </c>
      <c r="F736">
        <v>55.6</v>
      </c>
      <c r="G736">
        <v>5054</v>
      </c>
      <c r="H736">
        <v>403.1</v>
      </c>
      <c r="I736">
        <v>7.1</v>
      </c>
      <c r="J736">
        <v>80</v>
      </c>
      <c r="K736" t="s">
        <v>16</v>
      </c>
      <c r="L736">
        <v>0</v>
      </c>
      <c r="M736">
        <v>3.19</v>
      </c>
      <c r="N736">
        <v>7</v>
      </c>
      <c r="O736" t="s">
        <v>21</v>
      </c>
      <c r="P736" cm="1">
        <f t="array" ref="P736">_xlfn.SWITCH(Table2[[#This Row],[mood]], "Tired", 3, "Neutral", 2, "Happy", 1)</f>
        <v>1</v>
      </c>
    </row>
    <row r="737" spans="1:16" x14ac:dyDescent="0.3">
      <c r="A737">
        <v>1902</v>
      </c>
      <c r="B737" s="1">
        <v>42740</v>
      </c>
      <c r="C737">
        <v>27</v>
      </c>
      <c r="D737" t="s">
        <v>15</v>
      </c>
      <c r="E737">
        <v>163.1</v>
      </c>
      <c r="F737">
        <v>60.5</v>
      </c>
      <c r="G737">
        <v>17090</v>
      </c>
      <c r="H737">
        <v>900</v>
      </c>
      <c r="I737">
        <v>7.6</v>
      </c>
      <c r="J737">
        <v>67</v>
      </c>
      <c r="K737" t="s">
        <v>18</v>
      </c>
      <c r="L737">
        <v>62</v>
      </c>
      <c r="M737">
        <v>2.16</v>
      </c>
      <c r="N737">
        <v>9</v>
      </c>
      <c r="O737" t="s">
        <v>17</v>
      </c>
      <c r="P737" cm="1">
        <f t="array" ref="P737">_xlfn.SWITCH(Table2[[#This Row],[mood]], "Tired", 3, "Neutral", 2, "Happy", 1)</f>
        <v>3</v>
      </c>
    </row>
    <row r="738" spans="1:16" x14ac:dyDescent="0.3">
      <c r="A738">
        <v>1195</v>
      </c>
      <c r="B738" s="1">
        <v>42741</v>
      </c>
      <c r="C738">
        <v>51</v>
      </c>
      <c r="D738" t="s">
        <v>15</v>
      </c>
      <c r="E738">
        <v>178.6</v>
      </c>
      <c r="F738">
        <v>81.099999999999994</v>
      </c>
      <c r="G738">
        <v>8681</v>
      </c>
      <c r="H738">
        <v>532.6</v>
      </c>
      <c r="I738">
        <v>10</v>
      </c>
      <c r="J738">
        <v>57</v>
      </c>
      <c r="K738" t="s">
        <v>16</v>
      </c>
      <c r="L738">
        <v>0</v>
      </c>
      <c r="M738">
        <v>1.66</v>
      </c>
      <c r="N738">
        <v>6</v>
      </c>
      <c r="O738" t="s">
        <v>19</v>
      </c>
      <c r="P738" cm="1">
        <f t="array" ref="P738">_xlfn.SWITCH(Table2[[#This Row],[mood]], "Tired", 3, "Neutral", 2, "Happy", 1)</f>
        <v>2</v>
      </c>
    </row>
    <row r="739" spans="1:16" x14ac:dyDescent="0.3">
      <c r="A739">
        <v>1825</v>
      </c>
      <c r="B739" s="1">
        <v>42742</v>
      </c>
      <c r="C739">
        <v>53</v>
      </c>
      <c r="D739" t="s">
        <v>20</v>
      </c>
      <c r="E739">
        <v>159.19999999999999</v>
      </c>
      <c r="F739">
        <v>84.3</v>
      </c>
      <c r="G739">
        <v>16569</v>
      </c>
      <c r="H739">
        <v>900</v>
      </c>
      <c r="I739">
        <v>4.2</v>
      </c>
      <c r="J739">
        <v>78</v>
      </c>
      <c r="K739" t="s">
        <v>22</v>
      </c>
      <c r="L739">
        <v>48</v>
      </c>
      <c r="M739">
        <v>3.32</v>
      </c>
      <c r="N739">
        <v>3</v>
      </c>
      <c r="O739" t="s">
        <v>21</v>
      </c>
      <c r="P739" cm="1">
        <f t="array" ref="P739">_xlfn.SWITCH(Table2[[#This Row],[mood]], "Tired", 3, "Neutral", 2, "Happy", 1)</f>
        <v>1</v>
      </c>
    </row>
    <row r="740" spans="1:16" x14ac:dyDescent="0.3">
      <c r="A740">
        <v>1500</v>
      </c>
      <c r="B740" s="1">
        <v>42743</v>
      </c>
      <c r="C740">
        <v>42</v>
      </c>
      <c r="D740" t="s">
        <v>20</v>
      </c>
      <c r="E740">
        <v>190.7</v>
      </c>
      <c r="F740">
        <v>50.3</v>
      </c>
      <c r="G740">
        <v>7508</v>
      </c>
      <c r="H740">
        <v>562.9</v>
      </c>
      <c r="I740">
        <v>7.7</v>
      </c>
      <c r="J740">
        <v>71</v>
      </c>
      <c r="K740" t="s">
        <v>25</v>
      </c>
      <c r="L740">
        <v>37</v>
      </c>
      <c r="M740">
        <v>2.56</v>
      </c>
      <c r="N740">
        <v>2</v>
      </c>
      <c r="O740" t="s">
        <v>19</v>
      </c>
      <c r="P740" cm="1">
        <f t="array" ref="P740">_xlfn.SWITCH(Table2[[#This Row],[mood]], "Tired", 3, "Neutral", 2, "Happy", 1)</f>
        <v>2</v>
      </c>
    </row>
    <row r="741" spans="1:16" x14ac:dyDescent="0.3">
      <c r="A741">
        <v>1625</v>
      </c>
      <c r="B741" s="1">
        <v>42744</v>
      </c>
      <c r="C741">
        <v>23</v>
      </c>
      <c r="D741" t="s">
        <v>20</v>
      </c>
      <c r="E741">
        <v>162.1</v>
      </c>
      <c r="F741">
        <v>93.5</v>
      </c>
      <c r="G741">
        <v>17608</v>
      </c>
      <c r="H741">
        <v>873.2</v>
      </c>
      <c r="I741">
        <v>8.8000000000000007</v>
      </c>
      <c r="J741">
        <v>71</v>
      </c>
      <c r="K741" t="s">
        <v>16</v>
      </c>
      <c r="L741">
        <v>0</v>
      </c>
      <c r="M741">
        <v>3.82</v>
      </c>
      <c r="N741">
        <v>6</v>
      </c>
      <c r="O741" t="s">
        <v>21</v>
      </c>
      <c r="P741" cm="1">
        <f t="array" ref="P741">_xlfn.SWITCH(Table2[[#This Row],[mood]], "Tired", 3, "Neutral", 2, "Happy", 1)</f>
        <v>1</v>
      </c>
    </row>
    <row r="742" spans="1:16" x14ac:dyDescent="0.3">
      <c r="A742">
        <v>1492</v>
      </c>
      <c r="B742" s="1">
        <v>42745</v>
      </c>
      <c r="C742">
        <v>41</v>
      </c>
      <c r="D742" t="s">
        <v>20</v>
      </c>
      <c r="E742">
        <v>176.9</v>
      </c>
      <c r="F742">
        <v>62.3</v>
      </c>
      <c r="G742">
        <v>11433</v>
      </c>
      <c r="H742">
        <v>676.9</v>
      </c>
      <c r="I742">
        <v>7.3</v>
      </c>
      <c r="J742">
        <v>65</v>
      </c>
      <c r="K742" t="s">
        <v>22</v>
      </c>
      <c r="L742">
        <v>25</v>
      </c>
      <c r="M742">
        <v>2.17</v>
      </c>
      <c r="N742">
        <v>9</v>
      </c>
      <c r="O742" t="s">
        <v>17</v>
      </c>
      <c r="P742" cm="1">
        <f t="array" ref="P742">_xlfn.SWITCH(Table2[[#This Row],[mood]], "Tired", 3, "Neutral", 2, "Happy", 1)</f>
        <v>3</v>
      </c>
    </row>
    <row r="743" spans="1:16" x14ac:dyDescent="0.3">
      <c r="A743">
        <v>1074</v>
      </c>
      <c r="B743" s="1">
        <v>42746</v>
      </c>
      <c r="C743">
        <v>35</v>
      </c>
      <c r="D743" t="s">
        <v>15</v>
      </c>
      <c r="E743">
        <v>159.1</v>
      </c>
      <c r="F743">
        <v>61</v>
      </c>
      <c r="G743">
        <v>13344</v>
      </c>
      <c r="H743">
        <v>746.1</v>
      </c>
      <c r="I743">
        <v>7.1</v>
      </c>
      <c r="J743">
        <v>74</v>
      </c>
      <c r="K743" t="s">
        <v>18</v>
      </c>
      <c r="L743">
        <v>35</v>
      </c>
      <c r="M743">
        <v>2.19</v>
      </c>
      <c r="N743">
        <v>3</v>
      </c>
      <c r="O743" t="s">
        <v>21</v>
      </c>
      <c r="P743" cm="1">
        <f t="array" ref="P743">_xlfn.SWITCH(Table2[[#This Row],[mood]], "Tired", 3, "Neutral", 2, "Happy", 1)</f>
        <v>1</v>
      </c>
    </row>
    <row r="744" spans="1:16" x14ac:dyDescent="0.3">
      <c r="A744">
        <v>1412</v>
      </c>
      <c r="B744" s="1">
        <v>42747</v>
      </c>
      <c r="C744">
        <v>40</v>
      </c>
      <c r="D744" t="s">
        <v>15</v>
      </c>
      <c r="E744">
        <v>168.5</v>
      </c>
      <c r="F744">
        <v>56.6</v>
      </c>
      <c r="G744">
        <v>12888</v>
      </c>
      <c r="H744">
        <v>698.5</v>
      </c>
      <c r="I744">
        <v>4.8</v>
      </c>
      <c r="J744">
        <v>75</v>
      </c>
      <c r="K744" t="s">
        <v>22</v>
      </c>
      <c r="L744">
        <v>20</v>
      </c>
      <c r="M744">
        <v>3.2</v>
      </c>
      <c r="N744">
        <v>4</v>
      </c>
      <c r="O744" t="s">
        <v>17</v>
      </c>
      <c r="P744" cm="1">
        <f t="array" ref="P744">_xlfn.SWITCH(Table2[[#This Row],[mood]], "Tired", 3, "Neutral", 2, "Happy", 1)</f>
        <v>3</v>
      </c>
    </row>
    <row r="745" spans="1:16" x14ac:dyDescent="0.3">
      <c r="A745">
        <v>1375</v>
      </c>
      <c r="B745" s="1">
        <v>42748</v>
      </c>
      <c r="C745">
        <v>23</v>
      </c>
      <c r="D745" t="s">
        <v>20</v>
      </c>
      <c r="E745">
        <v>185.5</v>
      </c>
      <c r="F745">
        <v>70.8</v>
      </c>
      <c r="G745">
        <v>4827</v>
      </c>
      <c r="H745">
        <v>297.8</v>
      </c>
      <c r="I745">
        <v>9.1999999999999993</v>
      </c>
      <c r="J745">
        <v>85</v>
      </c>
      <c r="K745" t="s">
        <v>22</v>
      </c>
      <c r="L745">
        <v>41</v>
      </c>
      <c r="M745">
        <v>3.21</v>
      </c>
      <c r="N745">
        <v>3</v>
      </c>
      <c r="O745" t="s">
        <v>17</v>
      </c>
      <c r="P745" cm="1">
        <f t="array" ref="P745">_xlfn.SWITCH(Table2[[#This Row],[mood]], "Tired", 3, "Neutral", 2, "Happy", 1)</f>
        <v>3</v>
      </c>
    </row>
    <row r="746" spans="1:16" x14ac:dyDescent="0.3">
      <c r="A746">
        <v>1419</v>
      </c>
      <c r="B746" s="1">
        <v>42749</v>
      </c>
      <c r="C746">
        <v>46</v>
      </c>
      <c r="D746" t="s">
        <v>15</v>
      </c>
      <c r="E746">
        <v>161.80000000000001</v>
      </c>
      <c r="F746">
        <v>99.7</v>
      </c>
      <c r="G746">
        <v>18787</v>
      </c>
      <c r="H746">
        <v>900</v>
      </c>
      <c r="I746">
        <v>8.6</v>
      </c>
      <c r="J746">
        <v>55</v>
      </c>
      <c r="K746" t="s">
        <v>24</v>
      </c>
      <c r="L746">
        <v>65</v>
      </c>
      <c r="M746">
        <v>2.61</v>
      </c>
      <c r="N746">
        <v>7</v>
      </c>
      <c r="O746" t="s">
        <v>19</v>
      </c>
      <c r="P746" cm="1">
        <f t="array" ref="P746">_xlfn.SWITCH(Table2[[#This Row],[mood]], "Tired", 3, "Neutral", 2, "Happy", 1)</f>
        <v>2</v>
      </c>
    </row>
    <row r="747" spans="1:16" x14ac:dyDescent="0.3">
      <c r="A747">
        <v>1728</v>
      </c>
      <c r="B747" s="1">
        <v>42750</v>
      </c>
      <c r="C747">
        <v>42</v>
      </c>
      <c r="D747" t="s">
        <v>20</v>
      </c>
      <c r="E747">
        <v>192</v>
      </c>
      <c r="F747">
        <v>46.9</v>
      </c>
      <c r="G747">
        <v>17257</v>
      </c>
      <c r="H747">
        <v>900</v>
      </c>
      <c r="I747">
        <v>8.9</v>
      </c>
      <c r="J747">
        <v>61</v>
      </c>
      <c r="K747" t="s">
        <v>23</v>
      </c>
      <c r="L747">
        <v>81</v>
      </c>
      <c r="M747">
        <v>4.83</v>
      </c>
      <c r="N747">
        <v>4</v>
      </c>
      <c r="O747" t="s">
        <v>17</v>
      </c>
      <c r="P747" cm="1">
        <f t="array" ref="P747">_xlfn.SWITCH(Table2[[#This Row],[mood]], "Tired", 3, "Neutral", 2, "Happy", 1)</f>
        <v>3</v>
      </c>
    </row>
    <row r="748" spans="1:16" x14ac:dyDescent="0.3">
      <c r="A748">
        <v>1276</v>
      </c>
      <c r="B748" s="1">
        <v>42751</v>
      </c>
      <c r="C748">
        <v>34</v>
      </c>
      <c r="D748" t="s">
        <v>20</v>
      </c>
      <c r="E748">
        <v>169.9</v>
      </c>
      <c r="F748">
        <v>45</v>
      </c>
      <c r="G748">
        <v>17793</v>
      </c>
      <c r="H748">
        <v>900</v>
      </c>
      <c r="I748">
        <v>7</v>
      </c>
      <c r="J748">
        <v>79</v>
      </c>
      <c r="K748" t="s">
        <v>25</v>
      </c>
      <c r="L748">
        <v>42</v>
      </c>
      <c r="M748">
        <v>2.2999999999999998</v>
      </c>
      <c r="N748">
        <v>6</v>
      </c>
      <c r="O748" t="s">
        <v>19</v>
      </c>
      <c r="P748" cm="1">
        <f t="array" ref="P748">_xlfn.SWITCH(Table2[[#This Row],[mood]], "Tired", 3, "Neutral", 2, "Happy", 1)</f>
        <v>2</v>
      </c>
    </row>
    <row r="749" spans="1:16" x14ac:dyDescent="0.3">
      <c r="A749">
        <v>1760</v>
      </c>
      <c r="B749" s="1">
        <v>42752</v>
      </c>
      <c r="C749">
        <v>41</v>
      </c>
      <c r="D749" t="s">
        <v>15</v>
      </c>
      <c r="E749">
        <v>179.8</v>
      </c>
      <c r="F749">
        <v>74</v>
      </c>
      <c r="G749">
        <v>2916</v>
      </c>
      <c r="H749">
        <v>299.89999999999998</v>
      </c>
      <c r="I749">
        <v>6.5</v>
      </c>
      <c r="J749">
        <v>53</v>
      </c>
      <c r="K749" t="s">
        <v>23</v>
      </c>
      <c r="L749">
        <v>40</v>
      </c>
      <c r="M749">
        <v>1.61</v>
      </c>
      <c r="N749">
        <v>6</v>
      </c>
      <c r="O749" t="s">
        <v>19</v>
      </c>
      <c r="P749" cm="1">
        <f t="array" ref="P749">_xlfn.SWITCH(Table2[[#This Row],[mood]], "Tired", 3, "Neutral", 2, "Happy", 1)</f>
        <v>2</v>
      </c>
    </row>
    <row r="750" spans="1:16" x14ac:dyDescent="0.3">
      <c r="A750">
        <v>1675</v>
      </c>
      <c r="B750" s="1">
        <v>42753</v>
      </c>
      <c r="C750">
        <v>28</v>
      </c>
      <c r="D750" t="s">
        <v>15</v>
      </c>
      <c r="E750">
        <v>174</v>
      </c>
      <c r="F750">
        <v>78.5</v>
      </c>
      <c r="G750">
        <v>3859</v>
      </c>
      <c r="H750">
        <v>321</v>
      </c>
      <c r="I750">
        <v>7</v>
      </c>
      <c r="J750">
        <v>67</v>
      </c>
      <c r="K750" t="s">
        <v>18</v>
      </c>
      <c r="L750">
        <v>70</v>
      </c>
      <c r="M750">
        <v>1.8</v>
      </c>
      <c r="N750">
        <v>9</v>
      </c>
      <c r="O750" t="s">
        <v>17</v>
      </c>
      <c r="P750" cm="1">
        <f t="array" ref="P750">_xlfn.SWITCH(Table2[[#This Row],[mood]], "Tired", 3, "Neutral", 2, "Happy", 1)</f>
        <v>3</v>
      </c>
    </row>
    <row r="751" spans="1:16" x14ac:dyDescent="0.3">
      <c r="A751">
        <v>1393</v>
      </c>
      <c r="B751" s="1">
        <v>42754</v>
      </c>
      <c r="C751">
        <v>43</v>
      </c>
      <c r="D751" t="s">
        <v>20</v>
      </c>
      <c r="E751">
        <v>174.6</v>
      </c>
      <c r="F751">
        <v>70.8</v>
      </c>
      <c r="G751">
        <v>8072</v>
      </c>
      <c r="H751">
        <v>477.2</v>
      </c>
      <c r="I751">
        <v>9.5</v>
      </c>
      <c r="J751">
        <v>98</v>
      </c>
      <c r="K751" t="s">
        <v>18</v>
      </c>
      <c r="L751">
        <v>57</v>
      </c>
      <c r="M751">
        <v>2.31</v>
      </c>
      <c r="N751">
        <v>5</v>
      </c>
      <c r="O751" t="s">
        <v>21</v>
      </c>
      <c r="P751" cm="1">
        <f t="array" ref="P751">_xlfn.SWITCH(Table2[[#This Row],[mood]], "Tired", 3, "Neutral", 2, "Happy", 1)</f>
        <v>1</v>
      </c>
    </row>
    <row r="752" spans="1:16" x14ac:dyDescent="0.3">
      <c r="A752">
        <v>1868</v>
      </c>
      <c r="B752" s="1">
        <v>42755</v>
      </c>
      <c r="C752">
        <v>51</v>
      </c>
      <c r="D752" t="s">
        <v>20</v>
      </c>
      <c r="E752">
        <v>155.69999999999999</v>
      </c>
      <c r="F752">
        <v>78.900000000000006</v>
      </c>
      <c r="G752">
        <v>16523</v>
      </c>
      <c r="H752">
        <v>711</v>
      </c>
      <c r="I752">
        <v>6.6</v>
      </c>
      <c r="J752">
        <v>72</v>
      </c>
      <c r="K752" t="s">
        <v>22</v>
      </c>
      <c r="L752">
        <v>47</v>
      </c>
      <c r="M752">
        <v>3.56</v>
      </c>
      <c r="N752">
        <v>7</v>
      </c>
      <c r="O752" t="s">
        <v>17</v>
      </c>
      <c r="P752" cm="1">
        <f t="array" ref="P752">_xlfn.SWITCH(Table2[[#This Row],[mood]], "Tired", 3, "Neutral", 2, "Happy", 1)</f>
        <v>3</v>
      </c>
    </row>
    <row r="753" spans="1:16" x14ac:dyDescent="0.3">
      <c r="A753">
        <v>1456</v>
      </c>
      <c r="B753" s="1">
        <v>42756</v>
      </c>
      <c r="C753">
        <v>45</v>
      </c>
      <c r="D753" t="s">
        <v>20</v>
      </c>
      <c r="E753">
        <v>165.3</v>
      </c>
      <c r="F753">
        <v>53</v>
      </c>
      <c r="G753">
        <v>3051</v>
      </c>
      <c r="H753">
        <v>301.8</v>
      </c>
      <c r="I753">
        <v>9.1999999999999993</v>
      </c>
      <c r="J753">
        <v>82</v>
      </c>
      <c r="K753" t="s">
        <v>23</v>
      </c>
      <c r="L753">
        <v>63</v>
      </c>
      <c r="M753">
        <v>2.37</v>
      </c>
      <c r="N753">
        <v>1</v>
      </c>
      <c r="O753" t="s">
        <v>17</v>
      </c>
      <c r="P753" cm="1">
        <f t="array" ref="P753">_xlfn.SWITCH(Table2[[#This Row],[mood]], "Tired", 3, "Neutral", 2, "Happy", 1)</f>
        <v>3</v>
      </c>
    </row>
    <row r="754" spans="1:16" x14ac:dyDescent="0.3">
      <c r="A754">
        <v>1919</v>
      </c>
      <c r="B754" s="1">
        <v>42757</v>
      </c>
      <c r="C754">
        <v>20</v>
      </c>
      <c r="D754" t="s">
        <v>15</v>
      </c>
      <c r="E754">
        <v>182</v>
      </c>
      <c r="F754">
        <v>55.8</v>
      </c>
      <c r="G754">
        <v>9214</v>
      </c>
      <c r="H754">
        <v>706.9</v>
      </c>
      <c r="I754">
        <v>6.8</v>
      </c>
      <c r="J754">
        <v>58</v>
      </c>
      <c r="K754" t="s">
        <v>25</v>
      </c>
      <c r="L754">
        <v>58</v>
      </c>
      <c r="M754">
        <v>3.6</v>
      </c>
      <c r="N754">
        <v>8</v>
      </c>
      <c r="O754" t="s">
        <v>21</v>
      </c>
      <c r="P754" cm="1">
        <f t="array" ref="P754">_xlfn.SWITCH(Table2[[#This Row],[mood]], "Tired", 3, "Neutral", 2, "Happy", 1)</f>
        <v>1</v>
      </c>
    </row>
    <row r="755" spans="1:16" x14ac:dyDescent="0.3">
      <c r="A755">
        <v>1191</v>
      </c>
      <c r="B755" s="1">
        <v>42758</v>
      </c>
      <c r="C755">
        <v>28</v>
      </c>
      <c r="D755" t="s">
        <v>15</v>
      </c>
      <c r="E755">
        <v>166.6</v>
      </c>
      <c r="F755">
        <v>71.900000000000006</v>
      </c>
      <c r="G755">
        <v>3968</v>
      </c>
      <c r="H755">
        <v>422.3</v>
      </c>
      <c r="I755">
        <v>5.7</v>
      </c>
      <c r="J755">
        <v>82</v>
      </c>
      <c r="K755" t="s">
        <v>25</v>
      </c>
      <c r="L755">
        <v>61</v>
      </c>
      <c r="M755">
        <v>2.8</v>
      </c>
      <c r="N755">
        <v>2</v>
      </c>
      <c r="O755" t="s">
        <v>19</v>
      </c>
      <c r="P755" cm="1">
        <f t="array" ref="P755">_xlfn.SWITCH(Table2[[#This Row],[mood]], "Tired", 3, "Neutral", 2, "Happy", 1)</f>
        <v>2</v>
      </c>
    </row>
    <row r="756" spans="1:16" x14ac:dyDescent="0.3">
      <c r="A756">
        <v>1738</v>
      </c>
      <c r="B756" s="1">
        <v>42759</v>
      </c>
      <c r="C756">
        <v>55</v>
      </c>
      <c r="D756" t="s">
        <v>15</v>
      </c>
      <c r="E756">
        <v>171.4</v>
      </c>
      <c r="F756">
        <v>96.4</v>
      </c>
      <c r="G756">
        <v>9936</v>
      </c>
      <c r="H756">
        <v>547.79999999999995</v>
      </c>
      <c r="I756">
        <v>3.9</v>
      </c>
      <c r="J756">
        <v>71</v>
      </c>
      <c r="K756" t="s">
        <v>22</v>
      </c>
      <c r="L756">
        <v>61</v>
      </c>
      <c r="M756">
        <v>3.26</v>
      </c>
      <c r="N756">
        <v>4</v>
      </c>
      <c r="O756" t="s">
        <v>19</v>
      </c>
      <c r="P756" cm="1">
        <f t="array" ref="P756">_xlfn.SWITCH(Table2[[#This Row],[mood]], "Tired", 3, "Neutral", 2, "Happy", 1)</f>
        <v>2</v>
      </c>
    </row>
    <row r="757" spans="1:16" x14ac:dyDescent="0.3">
      <c r="A757">
        <v>1688</v>
      </c>
      <c r="B757" s="1">
        <v>42760</v>
      </c>
      <c r="C757">
        <v>31</v>
      </c>
      <c r="D757" t="s">
        <v>15</v>
      </c>
      <c r="E757">
        <v>154.5</v>
      </c>
      <c r="F757">
        <v>78.400000000000006</v>
      </c>
      <c r="G757">
        <v>1601</v>
      </c>
      <c r="H757">
        <v>238.3</v>
      </c>
      <c r="I757">
        <v>7.9</v>
      </c>
      <c r="J757">
        <v>78</v>
      </c>
      <c r="K757" t="s">
        <v>25</v>
      </c>
      <c r="L757">
        <v>79</v>
      </c>
      <c r="M757">
        <v>2.77</v>
      </c>
      <c r="N757">
        <v>10</v>
      </c>
      <c r="O757" t="s">
        <v>17</v>
      </c>
      <c r="P757" cm="1">
        <f t="array" ref="P757">_xlfn.SWITCH(Table2[[#This Row],[mood]], "Tired", 3, "Neutral", 2, "Happy", 1)</f>
        <v>3</v>
      </c>
    </row>
    <row r="758" spans="1:16" x14ac:dyDescent="0.3">
      <c r="A758">
        <v>1098</v>
      </c>
      <c r="B758" s="1">
        <v>42761</v>
      </c>
      <c r="C758">
        <v>43</v>
      </c>
      <c r="D758" t="s">
        <v>20</v>
      </c>
      <c r="E758">
        <v>164.6</v>
      </c>
      <c r="F758">
        <v>79.099999999999994</v>
      </c>
      <c r="G758">
        <v>16451</v>
      </c>
      <c r="H758">
        <v>832</v>
      </c>
      <c r="I758">
        <v>8.1999999999999993</v>
      </c>
      <c r="J758">
        <v>80</v>
      </c>
      <c r="K758" t="s">
        <v>24</v>
      </c>
      <c r="L758">
        <v>76</v>
      </c>
      <c r="M758">
        <v>2.77</v>
      </c>
      <c r="N758">
        <v>7</v>
      </c>
      <c r="O758" t="s">
        <v>21</v>
      </c>
      <c r="P758" cm="1">
        <f t="array" ref="P758">_xlfn.SWITCH(Table2[[#This Row],[mood]], "Tired", 3, "Neutral", 2, "Happy", 1)</f>
        <v>1</v>
      </c>
    </row>
    <row r="759" spans="1:16" x14ac:dyDescent="0.3">
      <c r="A759">
        <v>1547</v>
      </c>
      <c r="B759" s="1">
        <v>42762</v>
      </c>
      <c r="C759">
        <v>38</v>
      </c>
      <c r="D759" t="s">
        <v>20</v>
      </c>
      <c r="E759">
        <v>181.2</v>
      </c>
      <c r="F759">
        <v>53.9</v>
      </c>
      <c r="G759">
        <v>14257</v>
      </c>
      <c r="H759">
        <v>840.2</v>
      </c>
      <c r="I759">
        <v>5.3</v>
      </c>
      <c r="J759">
        <v>70</v>
      </c>
      <c r="K759" t="s">
        <v>23</v>
      </c>
      <c r="L759">
        <v>26</v>
      </c>
      <c r="M759">
        <v>3.03</v>
      </c>
      <c r="N759">
        <v>6</v>
      </c>
      <c r="O759" t="s">
        <v>21</v>
      </c>
      <c r="P759" cm="1">
        <f t="array" ref="P759">_xlfn.SWITCH(Table2[[#This Row],[mood]], "Tired", 3, "Neutral", 2, "Happy", 1)</f>
        <v>1</v>
      </c>
    </row>
    <row r="760" spans="1:16" x14ac:dyDescent="0.3">
      <c r="A760">
        <v>1977</v>
      </c>
      <c r="B760" s="1">
        <v>42763</v>
      </c>
      <c r="C760">
        <v>56</v>
      </c>
      <c r="D760" t="s">
        <v>20</v>
      </c>
      <c r="E760">
        <v>157.19999999999999</v>
      </c>
      <c r="F760">
        <v>76.3</v>
      </c>
      <c r="G760">
        <v>6274</v>
      </c>
      <c r="H760">
        <v>562.20000000000005</v>
      </c>
      <c r="I760">
        <v>9.1999999999999993</v>
      </c>
      <c r="J760">
        <v>80</v>
      </c>
      <c r="K760" t="s">
        <v>18</v>
      </c>
      <c r="L760">
        <v>70</v>
      </c>
      <c r="M760">
        <v>2.1</v>
      </c>
      <c r="N760">
        <v>4</v>
      </c>
      <c r="O760" t="s">
        <v>21</v>
      </c>
      <c r="P760" cm="1">
        <f t="array" ref="P760">_xlfn.SWITCH(Table2[[#This Row],[mood]], "Tired", 3, "Neutral", 2, "Happy", 1)</f>
        <v>1</v>
      </c>
    </row>
    <row r="761" spans="1:16" x14ac:dyDescent="0.3">
      <c r="A761">
        <v>1998</v>
      </c>
      <c r="B761" s="1">
        <v>42764</v>
      </c>
      <c r="C761">
        <v>47</v>
      </c>
      <c r="D761" t="s">
        <v>20</v>
      </c>
      <c r="E761">
        <v>177.2</v>
      </c>
      <c r="F761">
        <v>52.3</v>
      </c>
      <c r="G761">
        <v>19226</v>
      </c>
      <c r="H761">
        <v>900</v>
      </c>
      <c r="I761">
        <v>4.9000000000000004</v>
      </c>
      <c r="J761">
        <v>63</v>
      </c>
      <c r="K761" t="s">
        <v>25</v>
      </c>
      <c r="L761">
        <v>51</v>
      </c>
      <c r="M761">
        <v>2.11</v>
      </c>
      <c r="N761">
        <v>8</v>
      </c>
      <c r="O761" t="s">
        <v>21</v>
      </c>
      <c r="P761" cm="1">
        <f t="array" ref="P761">_xlfn.SWITCH(Table2[[#This Row],[mood]], "Tired", 3, "Neutral", 2, "Happy", 1)</f>
        <v>1</v>
      </c>
    </row>
    <row r="762" spans="1:16" x14ac:dyDescent="0.3">
      <c r="A762">
        <v>1095</v>
      </c>
      <c r="B762" s="1">
        <v>42765</v>
      </c>
      <c r="C762">
        <v>25</v>
      </c>
      <c r="D762" t="s">
        <v>20</v>
      </c>
      <c r="E762">
        <v>171.8</v>
      </c>
      <c r="F762">
        <v>96.5</v>
      </c>
      <c r="G762">
        <v>11866</v>
      </c>
      <c r="H762">
        <v>687.8</v>
      </c>
      <c r="I762">
        <v>8.1</v>
      </c>
      <c r="J762">
        <v>75</v>
      </c>
      <c r="K762" t="s">
        <v>25</v>
      </c>
      <c r="L762">
        <v>26</v>
      </c>
      <c r="M762">
        <v>2.74</v>
      </c>
      <c r="N762">
        <v>7</v>
      </c>
      <c r="O762" t="s">
        <v>17</v>
      </c>
      <c r="P762" cm="1">
        <f t="array" ref="P762">_xlfn.SWITCH(Table2[[#This Row],[mood]], "Tired", 3, "Neutral", 2, "Happy", 1)</f>
        <v>3</v>
      </c>
    </row>
    <row r="763" spans="1:16" x14ac:dyDescent="0.3">
      <c r="A763">
        <v>1663</v>
      </c>
      <c r="B763" s="1">
        <v>42766</v>
      </c>
      <c r="C763">
        <v>37</v>
      </c>
      <c r="D763" t="s">
        <v>20</v>
      </c>
      <c r="E763">
        <v>167.6</v>
      </c>
      <c r="F763">
        <v>54.8</v>
      </c>
      <c r="G763">
        <v>13368</v>
      </c>
      <c r="H763">
        <v>760.7</v>
      </c>
      <c r="I763">
        <v>8.1</v>
      </c>
      <c r="J763">
        <v>80</v>
      </c>
      <c r="K763" t="s">
        <v>25</v>
      </c>
      <c r="L763">
        <v>59</v>
      </c>
      <c r="M763">
        <v>3.86</v>
      </c>
      <c r="N763">
        <v>6</v>
      </c>
      <c r="O763" t="s">
        <v>17</v>
      </c>
      <c r="P763" cm="1">
        <f t="array" ref="P763">_xlfn.SWITCH(Table2[[#This Row],[mood]], "Tired", 3, "Neutral", 2, "Happy", 1)</f>
        <v>3</v>
      </c>
    </row>
    <row r="764" spans="1:16" x14ac:dyDescent="0.3">
      <c r="A764">
        <v>1662</v>
      </c>
      <c r="B764" s="1">
        <v>42767</v>
      </c>
      <c r="C764">
        <v>49</v>
      </c>
      <c r="D764" t="s">
        <v>15</v>
      </c>
      <c r="E764">
        <v>167.2</v>
      </c>
      <c r="F764">
        <v>58.1</v>
      </c>
      <c r="G764">
        <v>9674</v>
      </c>
      <c r="H764">
        <v>586.20000000000005</v>
      </c>
      <c r="I764">
        <v>8.6</v>
      </c>
      <c r="J764">
        <v>69</v>
      </c>
      <c r="K764" t="s">
        <v>22</v>
      </c>
      <c r="L764">
        <v>34</v>
      </c>
      <c r="M764">
        <v>1.42</v>
      </c>
      <c r="N764">
        <v>5</v>
      </c>
      <c r="O764" t="s">
        <v>19</v>
      </c>
      <c r="P764" cm="1">
        <f t="array" ref="P764">_xlfn.SWITCH(Table2[[#This Row],[mood]], "Tired", 3, "Neutral", 2, "Happy", 1)</f>
        <v>2</v>
      </c>
    </row>
    <row r="765" spans="1:16" x14ac:dyDescent="0.3">
      <c r="A765">
        <v>1189</v>
      </c>
      <c r="B765" s="1">
        <v>42768</v>
      </c>
      <c r="C765">
        <v>39</v>
      </c>
      <c r="D765" t="s">
        <v>15</v>
      </c>
      <c r="E765">
        <v>165.1</v>
      </c>
      <c r="F765">
        <v>47.9</v>
      </c>
      <c r="G765">
        <v>16462</v>
      </c>
      <c r="H765">
        <v>872.6</v>
      </c>
      <c r="I765">
        <v>4</v>
      </c>
      <c r="J765">
        <v>65</v>
      </c>
      <c r="K765" t="s">
        <v>18</v>
      </c>
      <c r="L765">
        <v>78</v>
      </c>
      <c r="M765">
        <v>1.08</v>
      </c>
      <c r="N765">
        <v>5</v>
      </c>
      <c r="O765" t="s">
        <v>21</v>
      </c>
      <c r="P765" cm="1">
        <f t="array" ref="P765">_xlfn.SWITCH(Table2[[#This Row],[mood]], "Tired", 3, "Neutral", 2, "Happy", 1)</f>
        <v>1</v>
      </c>
    </row>
    <row r="766" spans="1:16" x14ac:dyDescent="0.3">
      <c r="A766">
        <v>1735</v>
      </c>
      <c r="B766" s="1">
        <v>42769</v>
      </c>
      <c r="C766">
        <v>24</v>
      </c>
      <c r="D766" t="s">
        <v>20</v>
      </c>
      <c r="E766">
        <v>166</v>
      </c>
      <c r="F766">
        <v>71.3</v>
      </c>
      <c r="G766">
        <v>12503</v>
      </c>
      <c r="H766">
        <v>702.5</v>
      </c>
      <c r="I766">
        <v>8.6</v>
      </c>
      <c r="J766">
        <v>70</v>
      </c>
      <c r="K766" t="s">
        <v>23</v>
      </c>
      <c r="L766">
        <v>31</v>
      </c>
      <c r="M766">
        <v>2.3199999999999998</v>
      </c>
      <c r="N766">
        <v>7</v>
      </c>
      <c r="O766" t="s">
        <v>17</v>
      </c>
      <c r="P766" cm="1">
        <f t="array" ref="P766">_xlfn.SWITCH(Table2[[#This Row],[mood]], "Tired", 3, "Neutral", 2, "Happy", 1)</f>
        <v>3</v>
      </c>
    </row>
    <row r="767" spans="1:16" x14ac:dyDescent="0.3">
      <c r="A767">
        <v>1036</v>
      </c>
      <c r="B767" s="1">
        <v>42770</v>
      </c>
      <c r="C767">
        <v>26</v>
      </c>
      <c r="D767" t="s">
        <v>20</v>
      </c>
      <c r="E767">
        <v>179.3</v>
      </c>
      <c r="F767">
        <v>70.7</v>
      </c>
      <c r="G767">
        <v>16624</v>
      </c>
      <c r="H767">
        <v>888.9</v>
      </c>
      <c r="I767">
        <v>6.8</v>
      </c>
      <c r="J767">
        <v>86</v>
      </c>
      <c r="K767" t="s">
        <v>25</v>
      </c>
      <c r="L767">
        <v>61</v>
      </c>
      <c r="M767">
        <v>3.22</v>
      </c>
      <c r="N767">
        <v>6</v>
      </c>
      <c r="O767" t="s">
        <v>17</v>
      </c>
      <c r="P767" cm="1">
        <f t="array" ref="P767">_xlfn.SWITCH(Table2[[#This Row],[mood]], "Tired", 3, "Neutral", 2, "Happy", 1)</f>
        <v>3</v>
      </c>
    </row>
    <row r="768" spans="1:16" x14ac:dyDescent="0.3">
      <c r="A768">
        <v>1779</v>
      </c>
      <c r="B768" s="1">
        <v>42771</v>
      </c>
      <c r="C768">
        <v>18</v>
      </c>
      <c r="D768" t="s">
        <v>15</v>
      </c>
      <c r="E768">
        <v>165.7</v>
      </c>
      <c r="F768">
        <v>92.7</v>
      </c>
      <c r="G768">
        <v>15370</v>
      </c>
      <c r="H768">
        <v>714.7</v>
      </c>
      <c r="I768">
        <v>6.5</v>
      </c>
      <c r="J768">
        <v>84</v>
      </c>
      <c r="K768" t="s">
        <v>24</v>
      </c>
      <c r="L768">
        <v>58</v>
      </c>
      <c r="M768">
        <v>2.54</v>
      </c>
      <c r="N768">
        <v>4</v>
      </c>
      <c r="O768" t="s">
        <v>21</v>
      </c>
      <c r="P768" cm="1">
        <f t="array" ref="P768">_xlfn.SWITCH(Table2[[#This Row],[mood]], "Tired", 3, "Neutral", 2, "Happy", 1)</f>
        <v>1</v>
      </c>
    </row>
    <row r="769" spans="1:16" x14ac:dyDescent="0.3">
      <c r="A769">
        <v>1368</v>
      </c>
      <c r="B769" s="1">
        <v>42772</v>
      </c>
      <c r="C769">
        <v>46</v>
      </c>
      <c r="D769" t="s">
        <v>15</v>
      </c>
      <c r="E769">
        <v>188.1</v>
      </c>
      <c r="F769">
        <v>81.599999999999994</v>
      </c>
      <c r="G769">
        <v>6368</v>
      </c>
      <c r="H769">
        <v>430.7</v>
      </c>
      <c r="I769">
        <v>8.1999999999999993</v>
      </c>
      <c r="J769">
        <v>82</v>
      </c>
      <c r="K769" t="s">
        <v>16</v>
      </c>
      <c r="L769">
        <v>0</v>
      </c>
      <c r="M769">
        <v>1.68</v>
      </c>
      <c r="N769">
        <v>7</v>
      </c>
      <c r="O769" t="s">
        <v>21</v>
      </c>
      <c r="P769" cm="1">
        <f t="array" ref="P769">_xlfn.SWITCH(Table2[[#This Row],[mood]], "Tired", 3, "Neutral", 2, "Happy", 1)</f>
        <v>1</v>
      </c>
    </row>
    <row r="770" spans="1:16" x14ac:dyDescent="0.3">
      <c r="A770">
        <v>1694</v>
      </c>
      <c r="B770" s="1">
        <v>42773</v>
      </c>
      <c r="C770">
        <v>25</v>
      </c>
      <c r="D770" t="s">
        <v>15</v>
      </c>
      <c r="E770">
        <v>173</v>
      </c>
      <c r="F770">
        <v>58.1</v>
      </c>
      <c r="G770">
        <v>13567</v>
      </c>
      <c r="H770">
        <v>683.5</v>
      </c>
      <c r="I770">
        <v>8.4</v>
      </c>
      <c r="J770">
        <v>90</v>
      </c>
      <c r="K770" t="s">
        <v>22</v>
      </c>
      <c r="L770">
        <v>21</v>
      </c>
      <c r="M770">
        <v>2.56</v>
      </c>
      <c r="N770">
        <v>5</v>
      </c>
      <c r="O770" t="s">
        <v>19</v>
      </c>
      <c r="P770" cm="1">
        <f t="array" ref="P770">_xlfn.SWITCH(Table2[[#This Row],[mood]], "Tired", 3, "Neutral", 2, "Happy", 1)</f>
        <v>2</v>
      </c>
    </row>
    <row r="771" spans="1:16" x14ac:dyDescent="0.3">
      <c r="A771">
        <v>1524</v>
      </c>
      <c r="B771" s="1">
        <v>42774</v>
      </c>
      <c r="C771">
        <v>21</v>
      </c>
      <c r="D771" t="s">
        <v>15</v>
      </c>
      <c r="E771">
        <v>164.2</v>
      </c>
      <c r="F771">
        <v>83.1</v>
      </c>
      <c r="G771">
        <v>4825</v>
      </c>
      <c r="H771">
        <v>427.5</v>
      </c>
      <c r="I771">
        <v>4</v>
      </c>
      <c r="J771">
        <v>75</v>
      </c>
      <c r="K771" t="s">
        <v>23</v>
      </c>
      <c r="L771">
        <v>48</v>
      </c>
      <c r="M771">
        <v>1.29</v>
      </c>
      <c r="N771">
        <v>7</v>
      </c>
      <c r="O771" t="s">
        <v>21</v>
      </c>
      <c r="P771" cm="1">
        <f t="array" ref="P771">_xlfn.SWITCH(Table2[[#This Row],[mood]], "Tired", 3, "Neutral", 2, "Happy", 1)</f>
        <v>1</v>
      </c>
    </row>
    <row r="772" spans="1:16" x14ac:dyDescent="0.3">
      <c r="A772">
        <v>1278</v>
      </c>
      <c r="B772" s="1">
        <v>42775</v>
      </c>
      <c r="C772">
        <v>52</v>
      </c>
      <c r="D772" t="s">
        <v>20</v>
      </c>
      <c r="E772">
        <v>179.7</v>
      </c>
      <c r="F772">
        <v>51.3</v>
      </c>
      <c r="G772">
        <v>11391</v>
      </c>
      <c r="H772">
        <v>616.4</v>
      </c>
      <c r="I772">
        <v>5.0999999999999996</v>
      </c>
      <c r="J772">
        <v>77</v>
      </c>
      <c r="K772" t="s">
        <v>25</v>
      </c>
      <c r="L772">
        <v>80</v>
      </c>
      <c r="M772">
        <v>2.94</v>
      </c>
      <c r="N772">
        <v>7</v>
      </c>
      <c r="O772" t="s">
        <v>19</v>
      </c>
      <c r="P772" cm="1">
        <f t="array" ref="P772">_xlfn.SWITCH(Table2[[#This Row],[mood]], "Tired", 3, "Neutral", 2, "Happy", 1)</f>
        <v>2</v>
      </c>
    </row>
    <row r="773" spans="1:16" x14ac:dyDescent="0.3">
      <c r="A773">
        <v>1216</v>
      </c>
      <c r="B773" s="1">
        <v>42776</v>
      </c>
      <c r="C773">
        <v>20</v>
      </c>
      <c r="D773" t="s">
        <v>20</v>
      </c>
      <c r="E773">
        <v>176.2</v>
      </c>
      <c r="F773">
        <v>59.2</v>
      </c>
      <c r="G773">
        <v>10874</v>
      </c>
      <c r="H773">
        <v>556.70000000000005</v>
      </c>
      <c r="I773">
        <v>8.8000000000000007</v>
      </c>
      <c r="J773">
        <v>55</v>
      </c>
      <c r="K773" t="s">
        <v>23</v>
      </c>
      <c r="L773">
        <v>48</v>
      </c>
      <c r="M773">
        <v>2.2799999999999998</v>
      </c>
      <c r="N773">
        <v>2</v>
      </c>
      <c r="O773" t="s">
        <v>19</v>
      </c>
      <c r="P773" cm="1">
        <f t="array" ref="P773">_xlfn.SWITCH(Table2[[#This Row],[mood]], "Tired", 3, "Neutral", 2, "Happy", 1)</f>
        <v>2</v>
      </c>
    </row>
    <row r="774" spans="1:16" x14ac:dyDescent="0.3">
      <c r="A774">
        <v>1866</v>
      </c>
      <c r="B774" s="1">
        <v>42777</v>
      </c>
      <c r="C774">
        <v>57</v>
      </c>
      <c r="D774" t="s">
        <v>20</v>
      </c>
      <c r="E774">
        <v>153.5</v>
      </c>
      <c r="F774">
        <v>71.8</v>
      </c>
      <c r="G774">
        <v>4608</v>
      </c>
      <c r="H774">
        <v>294.89999999999998</v>
      </c>
      <c r="I774">
        <v>7.7</v>
      </c>
      <c r="J774">
        <v>66</v>
      </c>
      <c r="K774" t="s">
        <v>22</v>
      </c>
      <c r="L774">
        <v>57</v>
      </c>
      <c r="M774">
        <v>2.44</v>
      </c>
      <c r="N774">
        <v>4</v>
      </c>
      <c r="O774" t="s">
        <v>21</v>
      </c>
      <c r="P774" cm="1">
        <f t="array" ref="P774">_xlfn.SWITCH(Table2[[#This Row],[mood]], "Tired", 3, "Neutral", 2, "Happy", 1)</f>
        <v>1</v>
      </c>
    </row>
    <row r="775" spans="1:16" x14ac:dyDescent="0.3">
      <c r="A775">
        <v>1872</v>
      </c>
      <c r="B775" s="1">
        <v>42778</v>
      </c>
      <c r="C775">
        <v>24</v>
      </c>
      <c r="D775" t="s">
        <v>20</v>
      </c>
      <c r="E775">
        <v>159.69999999999999</v>
      </c>
      <c r="F775">
        <v>53</v>
      </c>
      <c r="G775">
        <v>7878</v>
      </c>
      <c r="H775">
        <v>537.6</v>
      </c>
      <c r="I775">
        <v>7.3</v>
      </c>
      <c r="J775">
        <v>80</v>
      </c>
      <c r="K775" t="s">
        <v>16</v>
      </c>
      <c r="L775">
        <v>0</v>
      </c>
      <c r="M775">
        <v>2.8</v>
      </c>
      <c r="N775">
        <v>10</v>
      </c>
      <c r="O775" t="s">
        <v>21</v>
      </c>
      <c r="P775" cm="1">
        <f t="array" ref="P775">_xlfn.SWITCH(Table2[[#This Row],[mood]], "Tired", 3, "Neutral", 2, "Happy", 1)</f>
        <v>1</v>
      </c>
    </row>
    <row r="776" spans="1:16" x14ac:dyDescent="0.3">
      <c r="A776">
        <v>1797</v>
      </c>
      <c r="B776" s="1">
        <v>42779</v>
      </c>
      <c r="C776">
        <v>44</v>
      </c>
      <c r="D776" t="s">
        <v>20</v>
      </c>
      <c r="E776">
        <v>168.8</v>
      </c>
      <c r="F776">
        <v>86</v>
      </c>
      <c r="G776">
        <v>2018</v>
      </c>
      <c r="H776">
        <v>234.3</v>
      </c>
      <c r="I776">
        <v>5.5</v>
      </c>
      <c r="J776">
        <v>84</v>
      </c>
      <c r="K776" t="s">
        <v>24</v>
      </c>
      <c r="L776">
        <v>49</v>
      </c>
      <c r="M776">
        <v>2.64</v>
      </c>
      <c r="N776">
        <v>4</v>
      </c>
      <c r="O776" t="s">
        <v>17</v>
      </c>
      <c r="P776" cm="1">
        <f t="array" ref="P776">_xlfn.SWITCH(Table2[[#This Row],[mood]], "Tired", 3, "Neutral", 2, "Happy", 1)</f>
        <v>3</v>
      </c>
    </row>
    <row r="777" spans="1:16" x14ac:dyDescent="0.3">
      <c r="A777">
        <v>1272</v>
      </c>
      <c r="B777" s="1">
        <v>42780</v>
      </c>
      <c r="C777">
        <v>18</v>
      </c>
      <c r="D777" t="s">
        <v>15</v>
      </c>
      <c r="E777">
        <v>154.19999999999999</v>
      </c>
      <c r="F777">
        <v>104.2</v>
      </c>
      <c r="G777">
        <v>18695</v>
      </c>
      <c r="H777">
        <v>900</v>
      </c>
      <c r="I777">
        <v>7.7</v>
      </c>
      <c r="J777">
        <v>62</v>
      </c>
      <c r="K777" t="s">
        <v>25</v>
      </c>
      <c r="L777">
        <v>75</v>
      </c>
      <c r="M777">
        <v>2.12</v>
      </c>
      <c r="N777">
        <v>7</v>
      </c>
      <c r="O777" t="s">
        <v>21</v>
      </c>
      <c r="P777" cm="1">
        <f t="array" ref="P777">_xlfn.SWITCH(Table2[[#This Row],[mood]], "Tired", 3, "Neutral", 2, "Happy", 1)</f>
        <v>1</v>
      </c>
    </row>
    <row r="778" spans="1:16" x14ac:dyDescent="0.3">
      <c r="A778">
        <v>1880</v>
      </c>
      <c r="B778" s="1">
        <v>42781</v>
      </c>
      <c r="C778">
        <v>44</v>
      </c>
      <c r="D778" t="s">
        <v>20</v>
      </c>
      <c r="E778">
        <v>190.9</v>
      </c>
      <c r="F778">
        <v>65.599999999999994</v>
      </c>
      <c r="G778">
        <v>10610</v>
      </c>
      <c r="H778">
        <v>703.5</v>
      </c>
      <c r="I778">
        <v>8.8000000000000007</v>
      </c>
      <c r="J778">
        <v>74</v>
      </c>
      <c r="K778" t="s">
        <v>24</v>
      </c>
      <c r="L778">
        <v>55</v>
      </c>
      <c r="M778">
        <v>3.22</v>
      </c>
      <c r="N778">
        <v>8</v>
      </c>
      <c r="O778" t="s">
        <v>21</v>
      </c>
      <c r="P778" cm="1">
        <f t="array" ref="P778">_xlfn.SWITCH(Table2[[#This Row],[mood]], "Tired", 3, "Neutral", 2, "Happy", 1)</f>
        <v>1</v>
      </c>
    </row>
    <row r="779" spans="1:16" x14ac:dyDescent="0.3">
      <c r="A779">
        <v>1061</v>
      </c>
      <c r="B779" s="1">
        <v>42782</v>
      </c>
      <c r="C779">
        <v>33</v>
      </c>
      <c r="D779" t="s">
        <v>15</v>
      </c>
      <c r="E779">
        <v>178.2</v>
      </c>
      <c r="F779">
        <v>60.2</v>
      </c>
      <c r="G779">
        <v>3500</v>
      </c>
      <c r="H779">
        <v>358.8</v>
      </c>
      <c r="I779">
        <v>10</v>
      </c>
      <c r="J779">
        <v>97</v>
      </c>
      <c r="K779" t="s">
        <v>22</v>
      </c>
      <c r="L779">
        <v>61</v>
      </c>
      <c r="M779">
        <v>3.06</v>
      </c>
      <c r="N779">
        <v>1</v>
      </c>
      <c r="O779" t="s">
        <v>19</v>
      </c>
      <c r="P779" cm="1">
        <f t="array" ref="P779">_xlfn.SWITCH(Table2[[#This Row],[mood]], "Tired", 3, "Neutral", 2, "Happy", 1)</f>
        <v>2</v>
      </c>
    </row>
    <row r="780" spans="1:16" x14ac:dyDescent="0.3">
      <c r="A780">
        <v>1595</v>
      </c>
      <c r="B780" s="1">
        <v>42783</v>
      </c>
      <c r="C780">
        <v>55</v>
      </c>
      <c r="D780" t="s">
        <v>20</v>
      </c>
      <c r="E780">
        <v>169.9</v>
      </c>
      <c r="F780">
        <v>68.099999999999994</v>
      </c>
      <c r="G780">
        <v>3667</v>
      </c>
      <c r="H780">
        <v>321.2</v>
      </c>
      <c r="I780">
        <v>6.5</v>
      </c>
      <c r="J780">
        <v>74</v>
      </c>
      <c r="K780" t="s">
        <v>24</v>
      </c>
      <c r="L780">
        <v>23</v>
      </c>
      <c r="M780">
        <v>1.26</v>
      </c>
      <c r="N780">
        <v>7</v>
      </c>
      <c r="O780" t="s">
        <v>21</v>
      </c>
      <c r="P780" cm="1">
        <f t="array" ref="P780">_xlfn.SWITCH(Table2[[#This Row],[mood]], "Tired", 3, "Neutral", 2, "Happy", 1)</f>
        <v>1</v>
      </c>
    </row>
    <row r="781" spans="1:16" x14ac:dyDescent="0.3">
      <c r="A781">
        <v>1879</v>
      </c>
      <c r="B781" s="1">
        <v>42784</v>
      </c>
      <c r="C781">
        <v>24</v>
      </c>
      <c r="D781" t="s">
        <v>20</v>
      </c>
      <c r="E781">
        <v>166.6</v>
      </c>
      <c r="F781">
        <v>61.6</v>
      </c>
      <c r="G781">
        <v>10578</v>
      </c>
      <c r="H781">
        <v>564.4</v>
      </c>
      <c r="I781">
        <v>8.3000000000000007</v>
      </c>
      <c r="J781">
        <v>89</v>
      </c>
      <c r="K781" t="s">
        <v>22</v>
      </c>
      <c r="L781">
        <v>24</v>
      </c>
      <c r="M781">
        <v>2.34</v>
      </c>
      <c r="N781">
        <v>6</v>
      </c>
      <c r="O781" t="s">
        <v>17</v>
      </c>
      <c r="P781" cm="1">
        <f t="array" ref="P781">_xlfn.SWITCH(Table2[[#This Row],[mood]], "Tired", 3, "Neutral", 2, "Happy", 1)</f>
        <v>3</v>
      </c>
    </row>
    <row r="782" spans="1:16" x14ac:dyDescent="0.3">
      <c r="A782">
        <v>1728</v>
      </c>
      <c r="B782" s="1">
        <v>42785</v>
      </c>
      <c r="C782">
        <v>40</v>
      </c>
      <c r="D782" t="s">
        <v>20</v>
      </c>
      <c r="E782">
        <v>164</v>
      </c>
      <c r="F782">
        <v>73.900000000000006</v>
      </c>
      <c r="G782">
        <v>6230</v>
      </c>
      <c r="H782">
        <v>470.9</v>
      </c>
      <c r="I782">
        <v>9.8000000000000007</v>
      </c>
      <c r="J782">
        <v>78</v>
      </c>
      <c r="K782" t="s">
        <v>16</v>
      </c>
      <c r="L782">
        <v>0</v>
      </c>
      <c r="M782">
        <v>1.74</v>
      </c>
      <c r="N782">
        <v>10</v>
      </c>
      <c r="O782" t="s">
        <v>17</v>
      </c>
      <c r="P782" cm="1">
        <f t="array" ref="P782">_xlfn.SWITCH(Table2[[#This Row],[mood]], "Tired", 3, "Neutral", 2, "Happy", 1)</f>
        <v>3</v>
      </c>
    </row>
    <row r="783" spans="1:16" x14ac:dyDescent="0.3">
      <c r="A783">
        <v>1341</v>
      </c>
      <c r="B783" s="1">
        <v>42786</v>
      </c>
      <c r="C783">
        <v>58</v>
      </c>
      <c r="D783" t="s">
        <v>20</v>
      </c>
      <c r="E783">
        <v>150.4</v>
      </c>
      <c r="F783">
        <v>50.2</v>
      </c>
      <c r="G783">
        <v>11255</v>
      </c>
      <c r="H783">
        <v>643.70000000000005</v>
      </c>
      <c r="I783">
        <v>4.8</v>
      </c>
      <c r="J783">
        <v>81</v>
      </c>
      <c r="K783" t="s">
        <v>24</v>
      </c>
      <c r="L783">
        <v>21</v>
      </c>
      <c r="M783">
        <v>1.61</v>
      </c>
      <c r="N783">
        <v>1</v>
      </c>
      <c r="O783" t="s">
        <v>21</v>
      </c>
      <c r="P783" cm="1">
        <f t="array" ref="P783">_xlfn.SWITCH(Table2[[#This Row],[mood]], "Tired", 3, "Neutral", 2, "Happy", 1)</f>
        <v>1</v>
      </c>
    </row>
    <row r="784" spans="1:16" x14ac:dyDescent="0.3">
      <c r="A784">
        <v>1396</v>
      </c>
      <c r="B784" s="1">
        <v>42787</v>
      </c>
      <c r="C784">
        <v>28</v>
      </c>
      <c r="D784" t="s">
        <v>20</v>
      </c>
      <c r="E784">
        <v>152.69999999999999</v>
      </c>
      <c r="F784">
        <v>74.8</v>
      </c>
      <c r="G784">
        <v>5834</v>
      </c>
      <c r="H784">
        <v>462.3</v>
      </c>
      <c r="I784">
        <v>9.6999999999999993</v>
      </c>
      <c r="J784">
        <v>66</v>
      </c>
      <c r="K784" t="s">
        <v>23</v>
      </c>
      <c r="L784">
        <v>73</v>
      </c>
      <c r="M784">
        <v>2.87</v>
      </c>
      <c r="N784">
        <v>8</v>
      </c>
      <c r="O784" t="s">
        <v>21</v>
      </c>
      <c r="P784" cm="1">
        <f t="array" ref="P784">_xlfn.SWITCH(Table2[[#This Row],[mood]], "Tired", 3, "Neutral", 2, "Happy", 1)</f>
        <v>1</v>
      </c>
    </row>
    <row r="785" spans="1:16" x14ac:dyDescent="0.3">
      <c r="A785">
        <v>1698</v>
      </c>
      <c r="B785" s="1">
        <v>42788</v>
      </c>
      <c r="C785">
        <v>59</v>
      </c>
      <c r="D785" t="s">
        <v>15</v>
      </c>
      <c r="E785">
        <v>189</v>
      </c>
      <c r="F785">
        <v>98.7</v>
      </c>
      <c r="G785">
        <v>2546</v>
      </c>
      <c r="H785">
        <v>182.7</v>
      </c>
      <c r="I785">
        <v>7.3</v>
      </c>
      <c r="J785">
        <v>59</v>
      </c>
      <c r="K785" t="s">
        <v>23</v>
      </c>
      <c r="L785">
        <v>78</v>
      </c>
      <c r="M785">
        <v>2.21</v>
      </c>
      <c r="N785">
        <v>5</v>
      </c>
      <c r="O785" t="s">
        <v>19</v>
      </c>
      <c r="P785" cm="1">
        <f t="array" ref="P785">_xlfn.SWITCH(Table2[[#This Row],[mood]], "Tired", 3, "Neutral", 2, "Happy", 1)</f>
        <v>2</v>
      </c>
    </row>
    <row r="786" spans="1:16" x14ac:dyDescent="0.3">
      <c r="A786">
        <v>1018</v>
      </c>
      <c r="B786" s="1">
        <v>42789</v>
      </c>
      <c r="C786">
        <v>50</v>
      </c>
      <c r="D786" t="s">
        <v>15</v>
      </c>
      <c r="E786">
        <v>185.7</v>
      </c>
      <c r="F786">
        <v>45</v>
      </c>
      <c r="G786">
        <v>16050</v>
      </c>
      <c r="H786">
        <v>898.9</v>
      </c>
      <c r="I786">
        <v>7.1</v>
      </c>
      <c r="J786">
        <v>82</v>
      </c>
      <c r="K786" t="s">
        <v>22</v>
      </c>
      <c r="L786">
        <v>52</v>
      </c>
      <c r="M786">
        <v>2.4</v>
      </c>
      <c r="N786">
        <v>7</v>
      </c>
      <c r="O786" t="s">
        <v>21</v>
      </c>
      <c r="P786" cm="1">
        <f t="array" ref="P786">_xlfn.SWITCH(Table2[[#This Row],[mood]], "Tired", 3, "Neutral", 2, "Happy", 1)</f>
        <v>1</v>
      </c>
    </row>
    <row r="787" spans="1:16" x14ac:dyDescent="0.3">
      <c r="A787">
        <v>1176</v>
      </c>
      <c r="B787" s="1">
        <v>42790</v>
      </c>
      <c r="C787">
        <v>53</v>
      </c>
      <c r="D787" t="s">
        <v>15</v>
      </c>
      <c r="E787">
        <v>164.2</v>
      </c>
      <c r="F787">
        <v>52.5</v>
      </c>
      <c r="G787">
        <v>16049</v>
      </c>
      <c r="H787">
        <v>756.3</v>
      </c>
      <c r="I787">
        <v>6.2</v>
      </c>
      <c r="J787">
        <v>78</v>
      </c>
      <c r="K787" t="s">
        <v>23</v>
      </c>
      <c r="L787">
        <v>41</v>
      </c>
      <c r="M787">
        <v>2.0299999999999998</v>
      </c>
      <c r="N787">
        <v>8</v>
      </c>
      <c r="O787" t="s">
        <v>19</v>
      </c>
      <c r="P787" cm="1">
        <f t="array" ref="P787">_xlfn.SWITCH(Table2[[#This Row],[mood]], "Tired", 3, "Neutral", 2, "Happy", 1)</f>
        <v>2</v>
      </c>
    </row>
    <row r="788" spans="1:16" x14ac:dyDescent="0.3">
      <c r="A788">
        <v>1611</v>
      </c>
      <c r="B788" s="1">
        <v>42791</v>
      </c>
      <c r="C788">
        <v>54</v>
      </c>
      <c r="D788" t="s">
        <v>20</v>
      </c>
      <c r="E788">
        <v>179.1</v>
      </c>
      <c r="F788">
        <v>63.3</v>
      </c>
      <c r="G788">
        <v>19529</v>
      </c>
      <c r="H788">
        <v>900</v>
      </c>
      <c r="I788">
        <v>6.5</v>
      </c>
      <c r="J788">
        <v>76</v>
      </c>
      <c r="K788" t="s">
        <v>16</v>
      </c>
      <c r="L788">
        <v>0</v>
      </c>
      <c r="M788">
        <v>2.76</v>
      </c>
      <c r="N788">
        <v>7</v>
      </c>
      <c r="O788" t="s">
        <v>21</v>
      </c>
      <c r="P788" cm="1">
        <f t="array" ref="P788">_xlfn.SWITCH(Table2[[#This Row],[mood]], "Tired", 3, "Neutral", 2, "Happy", 1)</f>
        <v>1</v>
      </c>
    </row>
    <row r="789" spans="1:16" x14ac:dyDescent="0.3">
      <c r="A789">
        <v>1395</v>
      </c>
      <c r="B789" s="1">
        <v>42792</v>
      </c>
      <c r="C789">
        <v>58</v>
      </c>
      <c r="D789" t="s">
        <v>20</v>
      </c>
      <c r="E789">
        <v>175.1</v>
      </c>
      <c r="F789">
        <v>78.099999999999994</v>
      </c>
      <c r="G789">
        <v>19547</v>
      </c>
      <c r="H789">
        <v>900</v>
      </c>
      <c r="I789">
        <v>5.9</v>
      </c>
      <c r="J789">
        <v>62</v>
      </c>
      <c r="K789" t="s">
        <v>24</v>
      </c>
      <c r="L789">
        <v>25</v>
      </c>
      <c r="M789">
        <v>2.97</v>
      </c>
      <c r="N789">
        <v>10</v>
      </c>
      <c r="O789" t="s">
        <v>19</v>
      </c>
      <c r="P789" cm="1">
        <f t="array" ref="P789">_xlfn.SWITCH(Table2[[#This Row],[mood]], "Tired", 3, "Neutral", 2, "Happy", 1)</f>
        <v>2</v>
      </c>
    </row>
    <row r="790" spans="1:16" x14ac:dyDescent="0.3">
      <c r="A790">
        <v>1444</v>
      </c>
      <c r="B790" s="1">
        <v>42793</v>
      </c>
      <c r="C790">
        <v>34</v>
      </c>
      <c r="D790" t="s">
        <v>15</v>
      </c>
      <c r="E790">
        <v>176.2</v>
      </c>
      <c r="F790">
        <v>83.4</v>
      </c>
      <c r="G790">
        <v>16640</v>
      </c>
      <c r="H790">
        <v>753.9</v>
      </c>
      <c r="I790">
        <v>5.6</v>
      </c>
      <c r="J790">
        <v>71</v>
      </c>
      <c r="K790" t="s">
        <v>24</v>
      </c>
      <c r="L790">
        <v>43</v>
      </c>
      <c r="M790">
        <v>4.0199999999999996</v>
      </c>
      <c r="N790">
        <v>1</v>
      </c>
      <c r="O790" t="s">
        <v>17</v>
      </c>
      <c r="P790" cm="1">
        <f t="array" ref="P790">_xlfn.SWITCH(Table2[[#This Row],[mood]], "Tired", 3, "Neutral", 2, "Happy", 1)</f>
        <v>3</v>
      </c>
    </row>
    <row r="791" spans="1:16" x14ac:dyDescent="0.3">
      <c r="A791">
        <v>1232</v>
      </c>
      <c r="B791" s="1">
        <v>42794</v>
      </c>
      <c r="C791">
        <v>52</v>
      </c>
      <c r="D791" t="s">
        <v>20</v>
      </c>
      <c r="E791">
        <v>155.69999999999999</v>
      </c>
      <c r="F791">
        <v>82.1</v>
      </c>
      <c r="G791">
        <v>15284</v>
      </c>
      <c r="H791">
        <v>807</v>
      </c>
      <c r="I791">
        <v>7.7</v>
      </c>
      <c r="J791">
        <v>69</v>
      </c>
      <c r="K791" t="s">
        <v>25</v>
      </c>
      <c r="L791">
        <v>68</v>
      </c>
      <c r="M791">
        <v>2.37</v>
      </c>
      <c r="N791">
        <v>6</v>
      </c>
      <c r="O791" t="s">
        <v>21</v>
      </c>
      <c r="P791" cm="1">
        <f t="array" ref="P791">_xlfn.SWITCH(Table2[[#This Row],[mood]], "Tired", 3, "Neutral", 2, "Happy", 1)</f>
        <v>1</v>
      </c>
    </row>
    <row r="792" spans="1:16" x14ac:dyDescent="0.3">
      <c r="A792">
        <v>1914</v>
      </c>
      <c r="B792" s="1">
        <v>42795</v>
      </c>
      <c r="C792">
        <v>22</v>
      </c>
      <c r="D792" t="s">
        <v>20</v>
      </c>
      <c r="E792">
        <v>151.9</v>
      </c>
      <c r="F792">
        <v>45</v>
      </c>
      <c r="G792">
        <v>4423</v>
      </c>
      <c r="H792">
        <v>363.2</v>
      </c>
      <c r="I792">
        <v>8.6999999999999993</v>
      </c>
      <c r="J792">
        <v>70</v>
      </c>
      <c r="K792" t="s">
        <v>22</v>
      </c>
      <c r="L792">
        <v>70</v>
      </c>
      <c r="M792">
        <v>1.49</v>
      </c>
      <c r="N792">
        <v>1</v>
      </c>
      <c r="O792" t="s">
        <v>21</v>
      </c>
      <c r="P792" cm="1">
        <f t="array" ref="P792">_xlfn.SWITCH(Table2[[#This Row],[mood]], "Tired", 3, "Neutral", 2, "Happy", 1)</f>
        <v>1</v>
      </c>
    </row>
    <row r="793" spans="1:16" x14ac:dyDescent="0.3">
      <c r="A793">
        <v>1075</v>
      </c>
      <c r="B793" s="1">
        <v>42796</v>
      </c>
      <c r="C793">
        <v>49</v>
      </c>
      <c r="D793" t="s">
        <v>15</v>
      </c>
      <c r="E793">
        <v>181.8</v>
      </c>
      <c r="F793">
        <v>59.9</v>
      </c>
      <c r="G793">
        <v>3332</v>
      </c>
      <c r="H793">
        <v>331.8</v>
      </c>
      <c r="I793">
        <v>5.4</v>
      </c>
      <c r="J793">
        <v>77</v>
      </c>
      <c r="K793" t="s">
        <v>23</v>
      </c>
      <c r="L793">
        <v>60</v>
      </c>
      <c r="M793">
        <v>2.15</v>
      </c>
      <c r="N793">
        <v>4</v>
      </c>
      <c r="O793" t="s">
        <v>19</v>
      </c>
      <c r="P793" cm="1">
        <f t="array" ref="P793">_xlfn.SWITCH(Table2[[#This Row],[mood]], "Tired", 3, "Neutral", 2, "Happy", 1)</f>
        <v>2</v>
      </c>
    </row>
    <row r="794" spans="1:16" x14ac:dyDescent="0.3">
      <c r="A794">
        <v>1264</v>
      </c>
      <c r="B794" s="1">
        <v>42797</v>
      </c>
      <c r="C794">
        <v>20</v>
      </c>
      <c r="D794" t="s">
        <v>20</v>
      </c>
      <c r="E794">
        <v>150.19999999999999</v>
      </c>
      <c r="F794">
        <v>56.5</v>
      </c>
      <c r="G794">
        <v>7066</v>
      </c>
      <c r="H794">
        <v>500.5</v>
      </c>
      <c r="I794">
        <v>6</v>
      </c>
      <c r="J794">
        <v>82</v>
      </c>
      <c r="K794" t="s">
        <v>16</v>
      </c>
      <c r="L794">
        <v>0</v>
      </c>
      <c r="M794">
        <v>3.09</v>
      </c>
      <c r="N794">
        <v>4</v>
      </c>
      <c r="O794" t="s">
        <v>19</v>
      </c>
      <c r="P794" cm="1">
        <f t="array" ref="P794">_xlfn.SWITCH(Table2[[#This Row],[mood]], "Tired", 3, "Neutral", 2, "Happy", 1)</f>
        <v>2</v>
      </c>
    </row>
    <row r="795" spans="1:16" x14ac:dyDescent="0.3">
      <c r="A795">
        <v>1454</v>
      </c>
      <c r="B795" s="1">
        <v>42798</v>
      </c>
      <c r="C795">
        <v>52</v>
      </c>
      <c r="D795" t="s">
        <v>15</v>
      </c>
      <c r="E795">
        <v>168.5</v>
      </c>
      <c r="F795">
        <v>69</v>
      </c>
      <c r="G795">
        <v>19040</v>
      </c>
      <c r="H795">
        <v>900</v>
      </c>
      <c r="I795">
        <v>7.4</v>
      </c>
      <c r="J795">
        <v>78</v>
      </c>
      <c r="K795" t="s">
        <v>22</v>
      </c>
      <c r="L795">
        <v>21</v>
      </c>
      <c r="M795">
        <v>1.96</v>
      </c>
      <c r="N795">
        <v>8</v>
      </c>
      <c r="O795" t="s">
        <v>21</v>
      </c>
      <c r="P795" cm="1">
        <f t="array" ref="P795">_xlfn.SWITCH(Table2[[#This Row],[mood]], "Tired", 3, "Neutral", 2, "Happy", 1)</f>
        <v>1</v>
      </c>
    </row>
    <row r="796" spans="1:16" x14ac:dyDescent="0.3">
      <c r="A796">
        <v>1795</v>
      </c>
      <c r="B796" s="1">
        <v>42799</v>
      </c>
      <c r="C796">
        <v>31</v>
      </c>
      <c r="D796" t="s">
        <v>20</v>
      </c>
      <c r="E796">
        <v>166.3</v>
      </c>
      <c r="F796">
        <v>70.3</v>
      </c>
      <c r="G796">
        <v>7038</v>
      </c>
      <c r="H796">
        <v>414.5</v>
      </c>
      <c r="I796">
        <v>5.3</v>
      </c>
      <c r="J796">
        <v>77</v>
      </c>
      <c r="K796" t="s">
        <v>23</v>
      </c>
      <c r="L796">
        <v>62</v>
      </c>
      <c r="M796">
        <v>1.46</v>
      </c>
      <c r="N796">
        <v>6</v>
      </c>
      <c r="O796" t="s">
        <v>19</v>
      </c>
      <c r="P796" cm="1">
        <f t="array" ref="P796">_xlfn.SWITCH(Table2[[#This Row],[mood]], "Tired", 3, "Neutral", 2, "Happy", 1)</f>
        <v>2</v>
      </c>
    </row>
    <row r="797" spans="1:16" x14ac:dyDescent="0.3">
      <c r="A797">
        <v>1717</v>
      </c>
      <c r="B797" s="1">
        <v>42800</v>
      </c>
      <c r="C797">
        <v>48</v>
      </c>
      <c r="D797" t="s">
        <v>15</v>
      </c>
      <c r="E797">
        <v>165.4</v>
      </c>
      <c r="F797">
        <v>49.5</v>
      </c>
      <c r="G797">
        <v>9583</v>
      </c>
      <c r="H797">
        <v>588.20000000000005</v>
      </c>
      <c r="I797">
        <v>7.4</v>
      </c>
      <c r="J797">
        <v>76</v>
      </c>
      <c r="K797" t="s">
        <v>25</v>
      </c>
      <c r="L797">
        <v>51</v>
      </c>
      <c r="M797">
        <v>1.97</v>
      </c>
      <c r="N797">
        <v>7</v>
      </c>
      <c r="O797" t="s">
        <v>21</v>
      </c>
      <c r="P797" cm="1">
        <f t="array" ref="P797">_xlfn.SWITCH(Table2[[#This Row],[mood]], "Tired", 3, "Neutral", 2, "Happy", 1)</f>
        <v>1</v>
      </c>
    </row>
    <row r="798" spans="1:16" x14ac:dyDescent="0.3">
      <c r="A798">
        <v>1734</v>
      </c>
      <c r="B798" s="1">
        <v>42801</v>
      </c>
      <c r="C798">
        <v>48</v>
      </c>
      <c r="D798" t="s">
        <v>20</v>
      </c>
      <c r="E798">
        <v>173.1</v>
      </c>
      <c r="F798">
        <v>63.4</v>
      </c>
      <c r="G798">
        <v>6289</v>
      </c>
      <c r="H798">
        <v>450.6</v>
      </c>
      <c r="I798">
        <v>6.6</v>
      </c>
      <c r="J798">
        <v>73</v>
      </c>
      <c r="K798" t="s">
        <v>24</v>
      </c>
      <c r="L798">
        <v>31</v>
      </c>
      <c r="M798">
        <v>2.13</v>
      </c>
      <c r="N798">
        <v>10</v>
      </c>
      <c r="O798" t="s">
        <v>17</v>
      </c>
      <c r="P798" cm="1">
        <f t="array" ref="P798">_xlfn.SWITCH(Table2[[#This Row],[mood]], "Tired", 3, "Neutral", 2, "Happy", 1)</f>
        <v>3</v>
      </c>
    </row>
    <row r="799" spans="1:16" x14ac:dyDescent="0.3">
      <c r="A799">
        <v>1383</v>
      </c>
      <c r="B799" s="1">
        <v>42802</v>
      </c>
      <c r="C799">
        <v>34</v>
      </c>
      <c r="D799" t="s">
        <v>20</v>
      </c>
      <c r="E799">
        <v>163.19999999999999</v>
      </c>
      <c r="F799">
        <v>78.7</v>
      </c>
      <c r="G799">
        <v>1296</v>
      </c>
      <c r="H799">
        <v>248.8</v>
      </c>
      <c r="I799">
        <v>4.5</v>
      </c>
      <c r="J799">
        <v>67</v>
      </c>
      <c r="K799" t="s">
        <v>24</v>
      </c>
      <c r="L799">
        <v>42</v>
      </c>
      <c r="M799">
        <v>1.74</v>
      </c>
      <c r="N799">
        <v>7</v>
      </c>
      <c r="O799" t="s">
        <v>19</v>
      </c>
      <c r="P799" cm="1">
        <f t="array" ref="P799">_xlfn.SWITCH(Table2[[#This Row],[mood]], "Tired", 3, "Neutral", 2, "Happy", 1)</f>
        <v>2</v>
      </c>
    </row>
    <row r="800" spans="1:16" x14ac:dyDescent="0.3">
      <c r="A800">
        <v>1563</v>
      </c>
      <c r="B800" s="1">
        <v>42803</v>
      </c>
      <c r="C800">
        <v>41</v>
      </c>
      <c r="D800" t="s">
        <v>15</v>
      </c>
      <c r="E800">
        <v>174</v>
      </c>
      <c r="F800">
        <v>60.6</v>
      </c>
      <c r="G800">
        <v>18470</v>
      </c>
      <c r="H800">
        <v>900</v>
      </c>
      <c r="I800">
        <v>7.7</v>
      </c>
      <c r="J800">
        <v>75</v>
      </c>
      <c r="K800" t="s">
        <v>16</v>
      </c>
      <c r="L800">
        <v>0</v>
      </c>
      <c r="M800">
        <v>2.65</v>
      </c>
      <c r="N800">
        <v>7</v>
      </c>
      <c r="O800" t="s">
        <v>21</v>
      </c>
      <c r="P800" cm="1">
        <f t="array" ref="P800">_xlfn.SWITCH(Table2[[#This Row],[mood]], "Tired", 3, "Neutral", 2, "Happy", 1)</f>
        <v>1</v>
      </c>
    </row>
    <row r="801" spans="1:16" x14ac:dyDescent="0.3">
      <c r="A801">
        <v>1850</v>
      </c>
      <c r="B801" s="1">
        <v>42804</v>
      </c>
      <c r="C801">
        <v>40</v>
      </c>
      <c r="D801" t="s">
        <v>20</v>
      </c>
      <c r="E801">
        <v>171.4</v>
      </c>
      <c r="F801">
        <v>67</v>
      </c>
      <c r="G801">
        <v>6194</v>
      </c>
      <c r="H801">
        <v>514.6</v>
      </c>
      <c r="I801">
        <v>6.2</v>
      </c>
      <c r="J801">
        <v>82</v>
      </c>
      <c r="K801" t="s">
        <v>18</v>
      </c>
      <c r="L801">
        <v>63</v>
      </c>
      <c r="M801">
        <v>2.44</v>
      </c>
      <c r="N801">
        <v>10</v>
      </c>
      <c r="O801" t="s">
        <v>17</v>
      </c>
      <c r="P801" cm="1">
        <f t="array" ref="P801">_xlfn.SWITCH(Table2[[#This Row],[mood]], "Tired", 3, "Neutral", 2, "Happy", 1)</f>
        <v>3</v>
      </c>
    </row>
    <row r="802" spans="1:16" x14ac:dyDescent="0.3">
      <c r="A802">
        <v>1505</v>
      </c>
      <c r="B802" s="1">
        <v>42805</v>
      </c>
      <c r="C802">
        <v>35</v>
      </c>
      <c r="D802" t="s">
        <v>20</v>
      </c>
      <c r="E802">
        <v>191</v>
      </c>
      <c r="F802">
        <v>95.5</v>
      </c>
      <c r="G802">
        <v>6805</v>
      </c>
      <c r="H802">
        <v>563.6</v>
      </c>
      <c r="I802">
        <v>8.5</v>
      </c>
      <c r="J802">
        <v>74</v>
      </c>
      <c r="K802" t="s">
        <v>22</v>
      </c>
      <c r="L802">
        <v>21</v>
      </c>
      <c r="M802">
        <v>3.05</v>
      </c>
      <c r="N802">
        <v>2</v>
      </c>
      <c r="O802" t="s">
        <v>21</v>
      </c>
      <c r="P802" cm="1">
        <f t="array" ref="P802">_xlfn.SWITCH(Table2[[#This Row],[mood]], "Tired", 3, "Neutral", 2, "Happy", 1)</f>
        <v>1</v>
      </c>
    </row>
    <row r="803" spans="1:16" x14ac:dyDescent="0.3">
      <c r="A803">
        <v>1366</v>
      </c>
      <c r="B803" s="1">
        <v>42806</v>
      </c>
      <c r="C803">
        <v>31</v>
      </c>
      <c r="D803" t="s">
        <v>15</v>
      </c>
      <c r="E803">
        <v>156.1</v>
      </c>
      <c r="F803">
        <v>99.9</v>
      </c>
      <c r="G803">
        <v>13797</v>
      </c>
      <c r="H803">
        <v>769.1</v>
      </c>
      <c r="I803">
        <v>6.7</v>
      </c>
      <c r="J803">
        <v>66</v>
      </c>
      <c r="K803" t="s">
        <v>23</v>
      </c>
      <c r="L803">
        <v>26</v>
      </c>
      <c r="M803">
        <v>2.19</v>
      </c>
      <c r="N803">
        <v>6</v>
      </c>
      <c r="O803" t="s">
        <v>21</v>
      </c>
      <c r="P803" cm="1">
        <f t="array" ref="P803">_xlfn.SWITCH(Table2[[#This Row],[mood]], "Tired", 3, "Neutral", 2, "Happy", 1)</f>
        <v>1</v>
      </c>
    </row>
    <row r="804" spans="1:16" x14ac:dyDescent="0.3">
      <c r="A804">
        <v>1143</v>
      </c>
      <c r="B804" s="1">
        <v>42807</v>
      </c>
      <c r="C804">
        <v>32</v>
      </c>
      <c r="D804" t="s">
        <v>20</v>
      </c>
      <c r="E804">
        <v>170.3</v>
      </c>
      <c r="F804">
        <v>45</v>
      </c>
      <c r="G804">
        <v>17879</v>
      </c>
      <c r="H804">
        <v>900</v>
      </c>
      <c r="I804">
        <v>5.9</v>
      </c>
      <c r="J804">
        <v>63</v>
      </c>
      <c r="K804" t="s">
        <v>18</v>
      </c>
      <c r="L804">
        <v>40</v>
      </c>
      <c r="M804">
        <v>2.89</v>
      </c>
      <c r="N804">
        <v>8</v>
      </c>
      <c r="O804" t="s">
        <v>17</v>
      </c>
      <c r="P804" cm="1">
        <f t="array" ref="P804">_xlfn.SWITCH(Table2[[#This Row],[mood]], "Tired", 3, "Neutral", 2, "Happy", 1)</f>
        <v>3</v>
      </c>
    </row>
    <row r="805" spans="1:16" x14ac:dyDescent="0.3">
      <c r="A805">
        <v>1884</v>
      </c>
      <c r="B805" s="1">
        <v>42808</v>
      </c>
      <c r="C805">
        <v>32</v>
      </c>
      <c r="D805" t="s">
        <v>15</v>
      </c>
      <c r="E805">
        <v>174.3</v>
      </c>
      <c r="F805">
        <v>71.7</v>
      </c>
      <c r="G805">
        <v>3995</v>
      </c>
      <c r="H805">
        <v>317</v>
      </c>
      <c r="I805">
        <v>7</v>
      </c>
      <c r="J805">
        <v>65</v>
      </c>
      <c r="K805" t="s">
        <v>22</v>
      </c>
      <c r="L805">
        <v>77</v>
      </c>
      <c r="M805">
        <v>2.16</v>
      </c>
      <c r="N805">
        <v>8</v>
      </c>
      <c r="O805" t="s">
        <v>19</v>
      </c>
      <c r="P805" cm="1">
        <f t="array" ref="P805">_xlfn.SWITCH(Table2[[#This Row],[mood]], "Tired", 3, "Neutral", 2, "Happy", 1)</f>
        <v>2</v>
      </c>
    </row>
    <row r="806" spans="1:16" x14ac:dyDescent="0.3">
      <c r="A806">
        <v>1068</v>
      </c>
      <c r="B806" s="1">
        <v>42809</v>
      </c>
      <c r="C806">
        <v>23</v>
      </c>
      <c r="D806" t="s">
        <v>20</v>
      </c>
      <c r="E806">
        <v>167.4</v>
      </c>
      <c r="F806">
        <v>113.8</v>
      </c>
      <c r="G806">
        <v>17477</v>
      </c>
      <c r="H806">
        <v>881.1</v>
      </c>
      <c r="I806">
        <v>8.9</v>
      </c>
      <c r="J806">
        <v>64</v>
      </c>
      <c r="K806" t="s">
        <v>23</v>
      </c>
      <c r="L806">
        <v>42</v>
      </c>
      <c r="M806">
        <v>1.71</v>
      </c>
      <c r="N806">
        <v>4</v>
      </c>
      <c r="O806" t="s">
        <v>17</v>
      </c>
      <c r="P806" cm="1">
        <f t="array" ref="P806">_xlfn.SWITCH(Table2[[#This Row],[mood]], "Tired", 3, "Neutral", 2, "Happy", 1)</f>
        <v>3</v>
      </c>
    </row>
    <row r="807" spans="1:16" x14ac:dyDescent="0.3">
      <c r="A807">
        <v>1098</v>
      </c>
      <c r="B807" s="1">
        <v>42810</v>
      </c>
      <c r="C807">
        <v>44</v>
      </c>
      <c r="D807" t="s">
        <v>20</v>
      </c>
      <c r="E807">
        <v>156.6</v>
      </c>
      <c r="F807">
        <v>77.2</v>
      </c>
      <c r="G807">
        <v>13912</v>
      </c>
      <c r="H807">
        <v>727.5</v>
      </c>
      <c r="I807">
        <v>9.8000000000000007</v>
      </c>
      <c r="J807">
        <v>104</v>
      </c>
      <c r="K807" t="s">
        <v>25</v>
      </c>
      <c r="L807">
        <v>79</v>
      </c>
      <c r="M807">
        <v>2.12</v>
      </c>
      <c r="N807">
        <v>7</v>
      </c>
      <c r="O807" t="s">
        <v>21</v>
      </c>
      <c r="P807" cm="1">
        <f t="array" ref="P807">_xlfn.SWITCH(Table2[[#This Row],[mood]], "Tired", 3, "Neutral", 2, "Happy", 1)</f>
        <v>1</v>
      </c>
    </row>
    <row r="808" spans="1:16" x14ac:dyDescent="0.3">
      <c r="A808">
        <v>1395</v>
      </c>
      <c r="B808" s="1">
        <v>42811</v>
      </c>
      <c r="C808">
        <v>32</v>
      </c>
      <c r="D808" t="s">
        <v>20</v>
      </c>
      <c r="E808">
        <v>182.6</v>
      </c>
      <c r="F808">
        <v>70.3</v>
      </c>
      <c r="G808">
        <v>7393</v>
      </c>
      <c r="H808">
        <v>470.9</v>
      </c>
      <c r="I808">
        <v>7.9</v>
      </c>
      <c r="J808">
        <v>66</v>
      </c>
      <c r="K808" t="s">
        <v>22</v>
      </c>
      <c r="L808">
        <v>44</v>
      </c>
      <c r="M808">
        <v>1.37</v>
      </c>
      <c r="N808">
        <v>9</v>
      </c>
      <c r="O808" t="s">
        <v>17</v>
      </c>
      <c r="P808" cm="1">
        <f t="array" ref="P808">_xlfn.SWITCH(Table2[[#This Row],[mood]], "Tired", 3, "Neutral", 2, "Happy", 1)</f>
        <v>3</v>
      </c>
    </row>
    <row r="809" spans="1:16" x14ac:dyDescent="0.3">
      <c r="A809">
        <v>1024</v>
      </c>
      <c r="B809" s="1">
        <v>42812</v>
      </c>
      <c r="C809">
        <v>53</v>
      </c>
      <c r="D809" t="s">
        <v>20</v>
      </c>
      <c r="E809">
        <v>173.4</v>
      </c>
      <c r="F809">
        <v>89.7</v>
      </c>
      <c r="G809">
        <v>1720</v>
      </c>
      <c r="H809">
        <v>270.89999999999998</v>
      </c>
      <c r="I809">
        <v>6.1</v>
      </c>
      <c r="J809">
        <v>75</v>
      </c>
      <c r="K809" t="s">
        <v>23</v>
      </c>
      <c r="L809">
        <v>54</v>
      </c>
      <c r="M809">
        <v>3.75</v>
      </c>
      <c r="N809">
        <v>8</v>
      </c>
      <c r="O809" t="s">
        <v>21</v>
      </c>
      <c r="P809" cm="1">
        <f t="array" ref="P809">_xlfn.SWITCH(Table2[[#This Row],[mood]], "Tired", 3, "Neutral", 2, "Happy", 1)</f>
        <v>1</v>
      </c>
    </row>
    <row r="810" spans="1:16" x14ac:dyDescent="0.3">
      <c r="A810">
        <v>1947</v>
      </c>
      <c r="B810" s="1">
        <v>42813</v>
      </c>
      <c r="C810">
        <v>25</v>
      </c>
      <c r="D810" t="s">
        <v>15</v>
      </c>
      <c r="E810">
        <v>157.30000000000001</v>
      </c>
      <c r="F810">
        <v>73.3</v>
      </c>
      <c r="G810">
        <v>7325</v>
      </c>
      <c r="H810">
        <v>503.2</v>
      </c>
      <c r="I810">
        <v>7</v>
      </c>
      <c r="J810">
        <v>74</v>
      </c>
      <c r="K810" t="s">
        <v>24</v>
      </c>
      <c r="L810">
        <v>64</v>
      </c>
      <c r="M810">
        <v>2.6</v>
      </c>
      <c r="N810">
        <v>2</v>
      </c>
      <c r="O810" t="s">
        <v>17</v>
      </c>
      <c r="P810" cm="1">
        <f t="array" ref="P810">_xlfn.SWITCH(Table2[[#This Row],[mood]], "Tired", 3, "Neutral", 2, "Happy", 1)</f>
        <v>3</v>
      </c>
    </row>
    <row r="811" spans="1:16" x14ac:dyDescent="0.3">
      <c r="A811">
        <v>1890</v>
      </c>
      <c r="B811" s="1">
        <v>42814</v>
      </c>
      <c r="C811">
        <v>32</v>
      </c>
      <c r="D811" t="s">
        <v>20</v>
      </c>
      <c r="E811">
        <v>174.4</v>
      </c>
      <c r="F811">
        <v>80.599999999999994</v>
      </c>
      <c r="G811">
        <v>13554</v>
      </c>
      <c r="H811">
        <v>763.7</v>
      </c>
      <c r="I811">
        <v>6.9</v>
      </c>
      <c r="J811">
        <v>89</v>
      </c>
      <c r="K811" t="s">
        <v>22</v>
      </c>
      <c r="L811">
        <v>26</v>
      </c>
      <c r="M811">
        <v>1.94</v>
      </c>
      <c r="N811">
        <v>8</v>
      </c>
      <c r="O811" t="s">
        <v>19</v>
      </c>
      <c r="P811" cm="1">
        <f t="array" ref="P811">_xlfn.SWITCH(Table2[[#This Row],[mood]], "Tired", 3, "Neutral", 2, "Happy", 1)</f>
        <v>2</v>
      </c>
    </row>
    <row r="812" spans="1:16" x14ac:dyDescent="0.3">
      <c r="A812">
        <v>1468</v>
      </c>
      <c r="B812" s="1">
        <v>42815</v>
      </c>
      <c r="C812">
        <v>20</v>
      </c>
      <c r="D812" t="s">
        <v>15</v>
      </c>
      <c r="E812">
        <v>187</v>
      </c>
      <c r="F812">
        <v>66.8</v>
      </c>
      <c r="G812">
        <v>6099</v>
      </c>
      <c r="H812">
        <v>531.20000000000005</v>
      </c>
      <c r="I812">
        <v>6.8</v>
      </c>
      <c r="J812">
        <v>79</v>
      </c>
      <c r="K812" t="s">
        <v>23</v>
      </c>
      <c r="L812">
        <v>88</v>
      </c>
      <c r="M812">
        <v>2.2400000000000002</v>
      </c>
      <c r="N812">
        <v>3</v>
      </c>
      <c r="O812" t="s">
        <v>17</v>
      </c>
      <c r="P812" cm="1">
        <f t="array" ref="P812">_xlfn.SWITCH(Table2[[#This Row],[mood]], "Tired", 3, "Neutral", 2, "Happy", 1)</f>
        <v>3</v>
      </c>
    </row>
    <row r="813" spans="1:16" x14ac:dyDescent="0.3">
      <c r="A813">
        <v>1483</v>
      </c>
      <c r="B813" s="1">
        <v>42816</v>
      </c>
      <c r="C813">
        <v>30</v>
      </c>
      <c r="D813" t="s">
        <v>20</v>
      </c>
      <c r="E813">
        <v>169.6</v>
      </c>
      <c r="F813">
        <v>73.099999999999994</v>
      </c>
      <c r="G813">
        <v>13568</v>
      </c>
      <c r="H813">
        <v>666.5</v>
      </c>
      <c r="I813">
        <v>6.6</v>
      </c>
      <c r="J813">
        <v>79</v>
      </c>
      <c r="K813" t="s">
        <v>16</v>
      </c>
      <c r="L813">
        <v>0</v>
      </c>
      <c r="M813">
        <v>0.78</v>
      </c>
      <c r="N813">
        <v>4</v>
      </c>
      <c r="O813" t="s">
        <v>17</v>
      </c>
      <c r="P813" cm="1">
        <f t="array" ref="P813">_xlfn.SWITCH(Table2[[#This Row],[mood]], "Tired", 3, "Neutral", 2, "Happy", 1)</f>
        <v>3</v>
      </c>
    </row>
    <row r="814" spans="1:16" x14ac:dyDescent="0.3">
      <c r="A814">
        <v>1564</v>
      </c>
      <c r="B814" s="1">
        <v>42817</v>
      </c>
      <c r="C814">
        <v>58</v>
      </c>
      <c r="D814" t="s">
        <v>20</v>
      </c>
      <c r="E814">
        <v>170</v>
      </c>
      <c r="F814">
        <v>76.400000000000006</v>
      </c>
      <c r="G814">
        <v>5026</v>
      </c>
      <c r="H814">
        <v>340.8</v>
      </c>
      <c r="I814">
        <v>5.6</v>
      </c>
      <c r="J814">
        <v>77</v>
      </c>
      <c r="K814" t="s">
        <v>24</v>
      </c>
      <c r="L814">
        <v>72</v>
      </c>
      <c r="M814">
        <v>3.5</v>
      </c>
      <c r="N814">
        <v>3</v>
      </c>
      <c r="O814" t="s">
        <v>19</v>
      </c>
      <c r="P814" cm="1">
        <f t="array" ref="P814">_xlfn.SWITCH(Table2[[#This Row],[mood]], "Tired", 3, "Neutral", 2, "Happy", 1)</f>
        <v>2</v>
      </c>
    </row>
    <row r="815" spans="1:16" x14ac:dyDescent="0.3">
      <c r="A815">
        <v>1150</v>
      </c>
      <c r="B815" s="1">
        <v>42818</v>
      </c>
      <c r="C815">
        <v>51</v>
      </c>
      <c r="D815" t="s">
        <v>20</v>
      </c>
      <c r="E815">
        <v>185.7</v>
      </c>
      <c r="F815">
        <v>83</v>
      </c>
      <c r="G815">
        <v>13247</v>
      </c>
      <c r="H815">
        <v>607.79999999999995</v>
      </c>
      <c r="I815">
        <v>8.5</v>
      </c>
      <c r="J815">
        <v>78</v>
      </c>
      <c r="K815" t="s">
        <v>24</v>
      </c>
      <c r="L815">
        <v>88</v>
      </c>
      <c r="M815">
        <v>3.44</v>
      </c>
      <c r="N815">
        <v>8</v>
      </c>
      <c r="O815" t="s">
        <v>21</v>
      </c>
      <c r="P815" cm="1">
        <f t="array" ref="P815">_xlfn.SWITCH(Table2[[#This Row],[mood]], "Tired", 3, "Neutral", 2, "Happy", 1)</f>
        <v>1</v>
      </c>
    </row>
    <row r="816" spans="1:16" x14ac:dyDescent="0.3">
      <c r="A816">
        <v>1143</v>
      </c>
      <c r="B816" s="1">
        <v>42819</v>
      </c>
      <c r="C816">
        <v>41</v>
      </c>
      <c r="D816" t="s">
        <v>20</v>
      </c>
      <c r="E816">
        <v>160.30000000000001</v>
      </c>
      <c r="F816">
        <v>63.5</v>
      </c>
      <c r="G816">
        <v>6057</v>
      </c>
      <c r="H816">
        <v>400.2</v>
      </c>
      <c r="I816">
        <v>8.3000000000000007</v>
      </c>
      <c r="J816">
        <v>78</v>
      </c>
      <c r="K816" t="s">
        <v>18</v>
      </c>
      <c r="L816">
        <v>44</v>
      </c>
      <c r="M816">
        <v>2.58</v>
      </c>
      <c r="N816">
        <v>4</v>
      </c>
      <c r="O816" t="s">
        <v>17</v>
      </c>
      <c r="P816" cm="1">
        <f t="array" ref="P816">_xlfn.SWITCH(Table2[[#This Row],[mood]], "Tired", 3, "Neutral", 2, "Happy", 1)</f>
        <v>3</v>
      </c>
    </row>
    <row r="817" spans="1:16" x14ac:dyDescent="0.3">
      <c r="A817">
        <v>1568</v>
      </c>
      <c r="B817" s="1">
        <v>42820</v>
      </c>
      <c r="C817">
        <v>57</v>
      </c>
      <c r="D817" t="s">
        <v>15</v>
      </c>
      <c r="E817">
        <v>187.3</v>
      </c>
      <c r="F817">
        <v>63.1</v>
      </c>
      <c r="G817">
        <v>18490</v>
      </c>
      <c r="H817">
        <v>900</v>
      </c>
      <c r="I817">
        <v>7</v>
      </c>
      <c r="J817">
        <v>69</v>
      </c>
      <c r="K817" t="s">
        <v>23</v>
      </c>
      <c r="L817">
        <v>21</v>
      </c>
      <c r="M817">
        <v>2.72</v>
      </c>
      <c r="N817">
        <v>1</v>
      </c>
      <c r="O817" t="s">
        <v>21</v>
      </c>
      <c r="P817" cm="1">
        <f t="array" ref="P817">_xlfn.SWITCH(Table2[[#This Row],[mood]], "Tired", 3, "Neutral", 2, "Happy", 1)</f>
        <v>1</v>
      </c>
    </row>
    <row r="818" spans="1:16" x14ac:dyDescent="0.3">
      <c r="A818">
        <v>1038</v>
      </c>
      <c r="B818" s="1">
        <v>42821</v>
      </c>
      <c r="C818">
        <v>49</v>
      </c>
      <c r="D818" t="s">
        <v>15</v>
      </c>
      <c r="E818">
        <v>179.7</v>
      </c>
      <c r="F818">
        <v>45</v>
      </c>
      <c r="G818">
        <v>6305</v>
      </c>
      <c r="H818">
        <v>417.3</v>
      </c>
      <c r="I818">
        <v>8.9</v>
      </c>
      <c r="J818">
        <v>66</v>
      </c>
      <c r="K818" t="s">
        <v>18</v>
      </c>
      <c r="L818">
        <v>80</v>
      </c>
      <c r="M818">
        <v>1.61</v>
      </c>
      <c r="N818">
        <v>9</v>
      </c>
      <c r="O818" t="s">
        <v>17</v>
      </c>
      <c r="P818" cm="1">
        <f t="array" ref="P818">_xlfn.SWITCH(Table2[[#This Row],[mood]], "Tired", 3, "Neutral", 2, "Happy", 1)</f>
        <v>3</v>
      </c>
    </row>
    <row r="819" spans="1:16" x14ac:dyDescent="0.3">
      <c r="A819">
        <v>1108</v>
      </c>
      <c r="B819" s="1">
        <v>42822</v>
      </c>
      <c r="C819">
        <v>49</v>
      </c>
      <c r="D819" t="s">
        <v>15</v>
      </c>
      <c r="E819">
        <v>160.80000000000001</v>
      </c>
      <c r="F819">
        <v>64.2</v>
      </c>
      <c r="G819">
        <v>12914</v>
      </c>
      <c r="H819">
        <v>659.6</v>
      </c>
      <c r="I819">
        <v>7.9</v>
      </c>
      <c r="J819">
        <v>76</v>
      </c>
      <c r="K819" t="s">
        <v>16</v>
      </c>
      <c r="L819">
        <v>0</v>
      </c>
      <c r="M819">
        <v>1.66</v>
      </c>
      <c r="N819">
        <v>9</v>
      </c>
      <c r="O819" t="s">
        <v>19</v>
      </c>
      <c r="P819" cm="1">
        <f t="array" ref="P819">_xlfn.SWITCH(Table2[[#This Row],[mood]], "Tired", 3, "Neutral", 2, "Happy", 1)</f>
        <v>2</v>
      </c>
    </row>
    <row r="820" spans="1:16" x14ac:dyDescent="0.3">
      <c r="A820">
        <v>1692</v>
      </c>
      <c r="B820" s="1">
        <v>42823</v>
      </c>
      <c r="C820">
        <v>47</v>
      </c>
      <c r="D820" t="s">
        <v>15</v>
      </c>
      <c r="E820">
        <v>163.30000000000001</v>
      </c>
      <c r="F820">
        <v>84.3</v>
      </c>
      <c r="G820">
        <v>7674</v>
      </c>
      <c r="H820">
        <v>511.4</v>
      </c>
      <c r="I820">
        <v>5.3</v>
      </c>
      <c r="J820">
        <v>70</v>
      </c>
      <c r="K820" t="s">
        <v>18</v>
      </c>
      <c r="L820">
        <v>70</v>
      </c>
      <c r="M820">
        <v>1.31</v>
      </c>
      <c r="N820">
        <v>1</v>
      </c>
      <c r="O820" t="s">
        <v>17</v>
      </c>
      <c r="P820" cm="1">
        <f t="array" ref="P820">_xlfn.SWITCH(Table2[[#This Row],[mood]], "Tired", 3, "Neutral", 2, "Happy", 1)</f>
        <v>3</v>
      </c>
    </row>
    <row r="821" spans="1:16" x14ac:dyDescent="0.3">
      <c r="A821">
        <v>1041</v>
      </c>
      <c r="B821" s="1">
        <v>42824</v>
      </c>
      <c r="C821">
        <v>30</v>
      </c>
      <c r="D821" t="s">
        <v>20</v>
      </c>
      <c r="E821">
        <v>164.8</v>
      </c>
      <c r="F821">
        <v>76.900000000000006</v>
      </c>
      <c r="G821">
        <v>10563</v>
      </c>
      <c r="H821">
        <v>603.20000000000005</v>
      </c>
      <c r="I821">
        <v>6.5</v>
      </c>
      <c r="J821">
        <v>77</v>
      </c>
      <c r="K821" t="s">
        <v>25</v>
      </c>
      <c r="L821">
        <v>21</v>
      </c>
      <c r="M821">
        <v>2.39</v>
      </c>
      <c r="N821">
        <v>8</v>
      </c>
      <c r="O821" t="s">
        <v>21</v>
      </c>
      <c r="P821" cm="1">
        <f t="array" ref="P821">_xlfn.SWITCH(Table2[[#This Row],[mood]], "Tired", 3, "Neutral", 2, "Happy", 1)</f>
        <v>1</v>
      </c>
    </row>
    <row r="822" spans="1:16" x14ac:dyDescent="0.3">
      <c r="A822">
        <v>1185</v>
      </c>
      <c r="B822" s="1">
        <v>42825</v>
      </c>
      <c r="C822">
        <v>18</v>
      </c>
      <c r="D822" t="s">
        <v>15</v>
      </c>
      <c r="E822">
        <v>151.69999999999999</v>
      </c>
      <c r="F822">
        <v>55</v>
      </c>
      <c r="G822">
        <v>16316</v>
      </c>
      <c r="H822">
        <v>808.4</v>
      </c>
      <c r="I822">
        <v>9.1999999999999993</v>
      </c>
      <c r="J822">
        <v>64</v>
      </c>
      <c r="K822" t="s">
        <v>18</v>
      </c>
      <c r="L822">
        <v>64</v>
      </c>
      <c r="M822">
        <v>3.24</v>
      </c>
      <c r="N822">
        <v>2</v>
      </c>
      <c r="O822" t="s">
        <v>21</v>
      </c>
      <c r="P822" cm="1">
        <f t="array" ref="P822">_xlfn.SWITCH(Table2[[#This Row],[mood]], "Tired", 3, "Neutral", 2, "Happy", 1)</f>
        <v>1</v>
      </c>
    </row>
    <row r="823" spans="1:16" x14ac:dyDescent="0.3">
      <c r="A823">
        <v>1934</v>
      </c>
      <c r="B823" s="1">
        <v>42826</v>
      </c>
      <c r="C823">
        <v>51</v>
      </c>
      <c r="D823" t="s">
        <v>15</v>
      </c>
      <c r="E823">
        <v>172.6</v>
      </c>
      <c r="F823">
        <v>45</v>
      </c>
      <c r="G823">
        <v>17217</v>
      </c>
      <c r="H823">
        <v>896.2</v>
      </c>
      <c r="I823">
        <v>6.5</v>
      </c>
      <c r="J823">
        <v>60</v>
      </c>
      <c r="K823" t="s">
        <v>18</v>
      </c>
      <c r="L823">
        <v>51</v>
      </c>
      <c r="M823">
        <v>2.23</v>
      </c>
      <c r="N823">
        <v>7</v>
      </c>
      <c r="O823" t="s">
        <v>19</v>
      </c>
      <c r="P823" cm="1">
        <f t="array" ref="P823">_xlfn.SWITCH(Table2[[#This Row],[mood]], "Tired", 3, "Neutral", 2, "Happy", 1)</f>
        <v>2</v>
      </c>
    </row>
    <row r="824" spans="1:16" x14ac:dyDescent="0.3">
      <c r="A824">
        <v>1397</v>
      </c>
      <c r="B824" s="1">
        <v>42827</v>
      </c>
      <c r="C824">
        <v>32</v>
      </c>
      <c r="D824" t="s">
        <v>20</v>
      </c>
      <c r="E824">
        <v>161.19999999999999</v>
      </c>
      <c r="F824">
        <v>67.900000000000006</v>
      </c>
      <c r="G824">
        <v>3005</v>
      </c>
      <c r="H824">
        <v>291.5</v>
      </c>
      <c r="I824">
        <v>6</v>
      </c>
      <c r="J824">
        <v>62</v>
      </c>
      <c r="K824" t="s">
        <v>25</v>
      </c>
      <c r="L824">
        <v>51</v>
      </c>
      <c r="M824">
        <v>2.74</v>
      </c>
      <c r="N824">
        <v>1</v>
      </c>
      <c r="O824" t="s">
        <v>21</v>
      </c>
      <c r="P824" cm="1">
        <f t="array" ref="P824">_xlfn.SWITCH(Table2[[#This Row],[mood]], "Tired", 3, "Neutral", 2, "Happy", 1)</f>
        <v>1</v>
      </c>
    </row>
    <row r="825" spans="1:16" x14ac:dyDescent="0.3">
      <c r="A825">
        <v>1222</v>
      </c>
      <c r="B825" s="1">
        <v>42828</v>
      </c>
      <c r="C825">
        <v>31</v>
      </c>
      <c r="D825" t="s">
        <v>20</v>
      </c>
      <c r="E825">
        <v>173</v>
      </c>
      <c r="F825">
        <v>83.9</v>
      </c>
      <c r="G825">
        <v>13741</v>
      </c>
      <c r="H825">
        <v>807.5</v>
      </c>
      <c r="I825">
        <v>8.1</v>
      </c>
      <c r="J825">
        <v>74</v>
      </c>
      <c r="K825" t="s">
        <v>25</v>
      </c>
      <c r="L825">
        <v>27</v>
      </c>
      <c r="M825">
        <v>3.19</v>
      </c>
      <c r="N825">
        <v>6</v>
      </c>
      <c r="O825" t="s">
        <v>19</v>
      </c>
      <c r="P825" cm="1">
        <f t="array" ref="P825">_xlfn.SWITCH(Table2[[#This Row],[mood]], "Tired", 3, "Neutral", 2, "Happy", 1)</f>
        <v>2</v>
      </c>
    </row>
    <row r="826" spans="1:16" x14ac:dyDescent="0.3">
      <c r="A826">
        <v>1633</v>
      </c>
      <c r="B826" s="1">
        <v>42829</v>
      </c>
      <c r="C826">
        <v>46</v>
      </c>
      <c r="D826" t="s">
        <v>20</v>
      </c>
      <c r="E826">
        <v>157.1</v>
      </c>
      <c r="F826">
        <v>62.8</v>
      </c>
      <c r="G826">
        <v>15602</v>
      </c>
      <c r="H826">
        <v>815.9</v>
      </c>
      <c r="I826">
        <v>6.6</v>
      </c>
      <c r="J826">
        <v>59</v>
      </c>
      <c r="K826" t="s">
        <v>22</v>
      </c>
      <c r="L826">
        <v>39</v>
      </c>
      <c r="M826">
        <v>1.36</v>
      </c>
      <c r="N826">
        <v>10</v>
      </c>
      <c r="O826" t="s">
        <v>19</v>
      </c>
      <c r="P826" cm="1">
        <f t="array" ref="P826">_xlfn.SWITCH(Table2[[#This Row],[mood]], "Tired", 3, "Neutral", 2, "Happy", 1)</f>
        <v>2</v>
      </c>
    </row>
    <row r="827" spans="1:16" x14ac:dyDescent="0.3">
      <c r="A827">
        <v>1132</v>
      </c>
      <c r="B827" s="1">
        <v>42830</v>
      </c>
      <c r="C827">
        <v>51</v>
      </c>
      <c r="D827" t="s">
        <v>20</v>
      </c>
      <c r="E827">
        <v>179.2</v>
      </c>
      <c r="F827">
        <v>48.3</v>
      </c>
      <c r="G827">
        <v>13603</v>
      </c>
      <c r="H827">
        <v>726.6</v>
      </c>
      <c r="I827">
        <v>7.8</v>
      </c>
      <c r="J827">
        <v>94</v>
      </c>
      <c r="K827" t="s">
        <v>18</v>
      </c>
      <c r="L827">
        <v>84</v>
      </c>
      <c r="M827">
        <v>3.79</v>
      </c>
      <c r="N827">
        <v>10</v>
      </c>
      <c r="O827" t="s">
        <v>21</v>
      </c>
      <c r="P827" cm="1">
        <f t="array" ref="P827">_xlfn.SWITCH(Table2[[#This Row],[mood]], "Tired", 3, "Neutral", 2, "Happy", 1)</f>
        <v>1</v>
      </c>
    </row>
    <row r="828" spans="1:16" x14ac:dyDescent="0.3">
      <c r="A828">
        <v>1162</v>
      </c>
      <c r="B828" s="1">
        <v>42831</v>
      </c>
      <c r="C828">
        <v>35</v>
      </c>
      <c r="D828" t="s">
        <v>15</v>
      </c>
      <c r="E828">
        <v>177.4</v>
      </c>
      <c r="F828">
        <v>61.2</v>
      </c>
      <c r="G828">
        <v>14987</v>
      </c>
      <c r="H828">
        <v>812.6</v>
      </c>
      <c r="I828">
        <v>6.9</v>
      </c>
      <c r="J828">
        <v>95</v>
      </c>
      <c r="K828" t="s">
        <v>24</v>
      </c>
      <c r="L828">
        <v>40</v>
      </c>
      <c r="M828">
        <v>3.31</v>
      </c>
      <c r="N828">
        <v>8</v>
      </c>
      <c r="O828" t="s">
        <v>21</v>
      </c>
      <c r="P828" cm="1">
        <f t="array" ref="P828">_xlfn.SWITCH(Table2[[#This Row],[mood]], "Tired", 3, "Neutral", 2, "Happy", 1)</f>
        <v>1</v>
      </c>
    </row>
    <row r="829" spans="1:16" x14ac:dyDescent="0.3">
      <c r="A829">
        <v>1214</v>
      </c>
      <c r="B829" s="1">
        <v>42832</v>
      </c>
      <c r="C829">
        <v>24</v>
      </c>
      <c r="D829" t="s">
        <v>15</v>
      </c>
      <c r="E829">
        <v>162.9</v>
      </c>
      <c r="F829">
        <v>74.900000000000006</v>
      </c>
      <c r="G829">
        <v>18147</v>
      </c>
      <c r="H829">
        <v>825.6</v>
      </c>
      <c r="I829">
        <v>5.8</v>
      </c>
      <c r="J829">
        <v>84</v>
      </c>
      <c r="K829" t="s">
        <v>25</v>
      </c>
      <c r="L829">
        <v>26</v>
      </c>
      <c r="M829">
        <v>2.86</v>
      </c>
      <c r="N829">
        <v>6</v>
      </c>
      <c r="O829" t="s">
        <v>19</v>
      </c>
      <c r="P829" cm="1">
        <f t="array" ref="P829">_xlfn.SWITCH(Table2[[#This Row],[mood]], "Tired", 3, "Neutral", 2, "Happy", 1)</f>
        <v>2</v>
      </c>
    </row>
    <row r="830" spans="1:16" x14ac:dyDescent="0.3">
      <c r="A830">
        <v>1732</v>
      </c>
      <c r="B830" s="1">
        <v>42833</v>
      </c>
      <c r="C830">
        <v>46</v>
      </c>
      <c r="D830" t="s">
        <v>20</v>
      </c>
      <c r="E830">
        <v>173.6</v>
      </c>
      <c r="F830">
        <v>88.6</v>
      </c>
      <c r="G830">
        <v>14543</v>
      </c>
      <c r="H830">
        <v>842.4</v>
      </c>
      <c r="I830">
        <v>6</v>
      </c>
      <c r="J830">
        <v>71</v>
      </c>
      <c r="K830" t="s">
        <v>23</v>
      </c>
      <c r="L830">
        <v>28</v>
      </c>
      <c r="M830">
        <v>3.15</v>
      </c>
      <c r="N830">
        <v>9</v>
      </c>
      <c r="O830" t="s">
        <v>21</v>
      </c>
      <c r="P830" cm="1">
        <f t="array" ref="P830">_xlfn.SWITCH(Table2[[#This Row],[mood]], "Tired", 3, "Neutral", 2, "Happy", 1)</f>
        <v>1</v>
      </c>
    </row>
    <row r="831" spans="1:16" x14ac:dyDescent="0.3">
      <c r="A831">
        <v>1234</v>
      </c>
      <c r="B831" s="1">
        <v>42834</v>
      </c>
      <c r="C831">
        <v>48</v>
      </c>
      <c r="D831" t="s">
        <v>20</v>
      </c>
      <c r="E831">
        <v>170.8</v>
      </c>
      <c r="F831">
        <v>66.099999999999994</v>
      </c>
      <c r="G831">
        <v>10144</v>
      </c>
      <c r="H831">
        <v>645</v>
      </c>
      <c r="I831">
        <v>4.5</v>
      </c>
      <c r="J831">
        <v>70</v>
      </c>
      <c r="K831" t="s">
        <v>22</v>
      </c>
      <c r="L831">
        <v>21</v>
      </c>
      <c r="M831">
        <v>3.18</v>
      </c>
      <c r="N831">
        <v>1</v>
      </c>
      <c r="O831" t="s">
        <v>19</v>
      </c>
      <c r="P831" cm="1">
        <f t="array" ref="P831">_xlfn.SWITCH(Table2[[#This Row],[mood]], "Tired", 3, "Neutral", 2, "Happy", 1)</f>
        <v>2</v>
      </c>
    </row>
    <row r="832" spans="1:16" x14ac:dyDescent="0.3">
      <c r="A832">
        <v>1842</v>
      </c>
      <c r="B832" s="1">
        <v>42835</v>
      </c>
      <c r="C832">
        <v>42</v>
      </c>
      <c r="D832" t="s">
        <v>20</v>
      </c>
      <c r="E832">
        <v>184.8</v>
      </c>
      <c r="F832">
        <v>85.8</v>
      </c>
      <c r="G832">
        <v>12114</v>
      </c>
      <c r="H832">
        <v>644.9</v>
      </c>
      <c r="I832">
        <v>5.3</v>
      </c>
      <c r="J832">
        <v>78</v>
      </c>
      <c r="K832" t="s">
        <v>22</v>
      </c>
      <c r="L832">
        <v>38</v>
      </c>
      <c r="M832">
        <v>2.7</v>
      </c>
      <c r="N832">
        <v>9</v>
      </c>
      <c r="O832" t="s">
        <v>17</v>
      </c>
      <c r="P832" cm="1">
        <f t="array" ref="P832">_xlfn.SWITCH(Table2[[#This Row],[mood]], "Tired", 3, "Neutral", 2, "Happy", 1)</f>
        <v>3</v>
      </c>
    </row>
    <row r="833" spans="1:16" x14ac:dyDescent="0.3">
      <c r="A833">
        <v>1657</v>
      </c>
      <c r="B833" s="1">
        <v>42836</v>
      </c>
      <c r="C833">
        <v>55</v>
      </c>
      <c r="D833" t="s">
        <v>15</v>
      </c>
      <c r="E833">
        <v>159.69999999999999</v>
      </c>
      <c r="F833">
        <v>84.2</v>
      </c>
      <c r="G833">
        <v>6691</v>
      </c>
      <c r="H833">
        <v>411.1</v>
      </c>
      <c r="I833">
        <v>7.9</v>
      </c>
      <c r="J833">
        <v>81</v>
      </c>
      <c r="K833" t="s">
        <v>18</v>
      </c>
      <c r="L833">
        <v>79</v>
      </c>
      <c r="M833">
        <v>3.5</v>
      </c>
      <c r="N833">
        <v>3</v>
      </c>
      <c r="O833" t="s">
        <v>21</v>
      </c>
      <c r="P833" cm="1">
        <f t="array" ref="P833">_xlfn.SWITCH(Table2[[#This Row],[mood]], "Tired", 3, "Neutral", 2, "Happy", 1)</f>
        <v>1</v>
      </c>
    </row>
    <row r="834" spans="1:16" x14ac:dyDescent="0.3">
      <c r="A834">
        <v>1750</v>
      </c>
      <c r="B834" s="1">
        <v>42837</v>
      </c>
      <c r="C834">
        <v>31</v>
      </c>
      <c r="D834" t="s">
        <v>15</v>
      </c>
      <c r="E834">
        <v>168.5</v>
      </c>
      <c r="F834">
        <v>52.4</v>
      </c>
      <c r="G834">
        <v>8059</v>
      </c>
      <c r="H834">
        <v>471.9</v>
      </c>
      <c r="I834">
        <v>8.8000000000000007</v>
      </c>
      <c r="J834">
        <v>78</v>
      </c>
      <c r="K834" t="s">
        <v>16</v>
      </c>
      <c r="L834">
        <v>0</v>
      </c>
      <c r="M834">
        <v>2.1800000000000002</v>
      </c>
      <c r="N834">
        <v>2</v>
      </c>
      <c r="O834" t="s">
        <v>21</v>
      </c>
      <c r="P834" cm="1">
        <f t="array" ref="P834">_xlfn.SWITCH(Table2[[#This Row],[mood]], "Tired", 3, "Neutral", 2, "Happy", 1)</f>
        <v>1</v>
      </c>
    </row>
    <row r="835" spans="1:16" x14ac:dyDescent="0.3">
      <c r="A835">
        <v>1587</v>
      </c>
      <c r="B835" s="1">
        <v>42838</v>
      </c>
      <c r="C835">
        <v>25</v>
      </c>
      <c r="D835" t="s">
        <v>20</v>
      </c>
      <c r="E835">
        <v>163.6</v>
      </c>
      <c r="F835">
        <v>88.8</v>
      </c>
      <c r="G835">
        <v>5479</v>
      </c>
      <c r="H835">
        <v>348.7</v>
      </c>
      <c r="I835">
        <v>6.1</v>
      </c>
      <c r="J835">
        <v>62</v>
      </c>
      <c r="K835" t="s">
        <v>24</v>
      </c>
      <c r="L835">
        <v>78</v>
      </c>
      <c r="M835">
        <v>2.82</v>
      </c>
      <c r="N835">
        <v>8</v>
      </c>
      <c r="O835" t="s">
        <v>19</v>
      </c>
      <c r="P835" cm="1">
        <f t="array" ref="P835">_xlfn.SWITCH(Table2[[#This Row],[mood]], "Tired", 3, "Neutral", 2, "Happy", 1)</f>
        <v>2</v>
      </c>
    </row>
    <row r="836" spans="1:16" x14ac:dyDescent="0.3">
      <c r="A836">
        <v>1008</v>
      </c>
      <c r="B836" s="1">
        <v>42839</v>
      </c>
      <c r="C836">
        <v>44</v>
      </c>
      <c r="D836" t="s">
        <v>20</v>
      </c>
      <c r="E836">
        <v>170.4</v>
      </c>
      <c r="F836">
        <v>74.400000000000006</v>
      </c>
      <c r="G836">
        <v>5198</v>
      </c>
      <c r="H836">
        <v>323.10000000000002</v>
      </c>
      <c r="I836">
        <v>4.9000000000000004</v>
      </c>
      <c r="J836">
        <v>73</v>
      </c>
      <c r="K836" t="s">
        <v>16</v>
      </c>
      <c r="L836">
        <v>0</v>
      </c>
      <c r="M836">
        <v>3.43</v>
      </c>
      <c r="N836">
        <v>10</v>
      </c>
      <c r="O836" t="s">
        <v>17</v>
      </c>
      <c r="P836" cm="1">
        <f t="array" ref="P836">_xlfn.SWITCH(Table2[[#This Row],[mood]], "Tired", 3, "Neutral", 2, "Happy", 1)</f>
        <v>3</v>
      </c>
    </row>
    <row r="837" spans="1:16" x14ac:dyDescent="0.3">
      <c r="A837">
        <v>1073</v>
      </c>
      <c r="B837" s="1">
        <v>42840</v>
      </c>
      <c r="C837">
        <v>19</v>
      </c>
      <c r="D837" t="s">
        <v>15</v>
      </c>
      <c r="E837">
        <v>175.3</v>
      </c>
      <c r="F837">
        <v>51.9</v>
      </c>
      <c r="G837">
        <v>10091</v>
      </c>
      <c r="H837">
        <v>531.5</v>
      </c>
      <c r="I837">
        <v>8.6999999999999993</v>
      </c>
      <c r="J837">
        <v>80</v>
      </c>
      <c r="K837" t="s">
        <v>16</v>
      </c>
      <c r="L837">
        <v>0</v>
      </c>
      <c r="M837">
        <v>0.62</v>
      </c>
      <c r="N837">
        <v>5</v>
      </c>
      <c r="O837" t="s">
        <v>17</v>
      </c>
      <c r="P837" cm="1">
        <f t="array" ref="P837">_xlfn.SWITCH(Table2[[#This Row],[mood]], "Tired", 3, "Neutral", 2, "Happy", 1)</f>
        <v>3</v>
      </c>
    </row>
    <row r="838" spans="1:16" x14ac:dyDescent="0.3">
      <c r="A838">
        <v>1953</v>
      </c>
      <c r="B838" s="1">
        <v>42841</v>
      </c>
      <c r="C838">
        <v>34</v>
      </c>
      <c r="D838" t="s">
        <v>20</v>
      </c>
      <c r="E838">
        <v>163.5</v>
      </c>
      <c r="F838">
        <v>96.4</v>
      </c>
      <c r="G838">
        <v>16068</v>
      </c>
      <c r="H838">
        <v>710.4</v>
      </c>
      <c r="I838">
        <v>8.8000000000000007</v>
      </c>
      <c r="J838">
        <v>51</v>
      </c>
      <c r="K838" t="s">
        <v>25</v>
      </c>
      <c r="L838">
        <v>81</v>
      </c>
      <c r="M838">
        <v>2.81</v>
      </c>
      <c r="N838">
        <v>1</v>
      </c>
      <c r="O838" t="s">
        <v>21</v>
      </c>
      <c r="P838" cm="1">
        <f t="array" ref="P838">_xlfn.SWITCH(Table2[[#This Row],[mood]], "Tired", 3, "Neutral", 2, "Happy", 1)</f>
        <v>1</v>
      </c>
    </row>
    <row r="839" spans="1:16" x14ac:dyDescent="0.3">
      <c r="A839">
        <v>1491</v>
      </c>
      <c r="B839" s="1">
        <v>42842</v>
      </c>
      <c r="C839">
        <v>54</v>
      </c>
      <c r="D839" t="s">
        <v>20</v>
      </c>
      <c r="E839">
        <v>166.4</v>
      </c>
      <c r="F839">
        <v>68.099999999999994</v>
      </c>
      <c r="G839">
        <v>5205</v>
      </c>
      <c r="H839">
        <v>390</v>
      </c>
      <c r="I839">
        <v>8.1</v>
      </c>
      <c r="J839">
        <v>64</v>
      </c>
      <c r="K839" t="s">
        <v>23</v>
      </c>
      <c r="L839">
        <v>29</v>
      </c>
      <c r="M839">
        <v>3.01</v>
      </c>
      <c r="N839">
        <v>1</v>
      </c>
      <c r="O839" t="s">
        <v>19</v>
      </c>
      <c r="P839" cm="1">
        <f t="array" ref="P839">_xlfn.SWITCH(Table2[[#This Row],[mood]], "Tired", 3, "Neutral", 2, "Happy", 1)</f>
        <v>2</v>
      </c>
    </row>
    <row r="840" spans="1:16" x14ac:dyDescent="0.3">
      <c r="A840">
        <v>1912</v>
      </c>
      <c r="B840" s="1">
        <v>42843</v>
      </c>
      <c r="C840">
        <v>31</v>
      </c>
      <c r="D840" t="s">
        <v>15</v>
      </c>
      <c r="E840">
        <v>179.7</v>
      </c>
      <c r="F840">
        <v>45</v>
      </c>
      <c r="G840">
        <v>4641</v>
      </c>
      <c r="H840">
        <v>378.8</v>
      </c>
      <c r="I840">
        <v>4.8</v>
      </c>
      <c r="J840">
        <v>80</v>
      </c>
      <c r="K840" t="s">
        <v>18</v>
      </c>
      <c r="L840">
        <v>84</v>
      </c>
      <c r="M840">
        <v>1.3</v>
      </c>
      <c r="N840">
        <v>2</v>
      </c>
      <c r="O840" t="s">
        <v>19</v>
      </c>
      <c r="P840" cm="1">
        <f t="array" ref="P840">_xlfn.SWITCH(Table2[[#This Row],[mood]], "Tired", 3, "Neutral", 2, "Happy", 1)</f>
        <v>2</v>
      </c>
    </row>
    <row r="841" spans="1:16" x14ac:dyDescent="0.3">
      <c r="A841">
        <v>1252</v>
      </c>
      <c r="B841" s="1">
        <v>42844</v>
      </c>
      <c r="C841">
        <v>42</v>
      </c>
      <c r="D841" t="s">
        <v>20</v>
      </c>
      <c r="E841">
        <v>183.6</v>
      </c>
      <c r="F841">
        <v>59.4</v>
      </c>
      <c r="G841">
        <v>4543</v>
      </c>
      <c r="H841">
        <v>445.8</v>
      </c>
      <c r="I841">
        <v>7.8</v>
      </c>
      <c r="J841">
        <v>72</v>
      </c>
      <c r="K841" t="s">
        <v>24</v>
      </c>
      <c r="L841">
        <v>45</v>
      </c>
      <c r="M841">
        <v>2.7</v>
      </c>
      <c r="N841">
        <v>7</v>
      </c>
      <c r="O841" t="s">
        <v>21</v>
      </c>
      <c r="P841" cm="1">
        <f t="array" ref="P841">_xlfn.SWITCH(Table2[[#This Row],[mood]], "Tired", 3, "Neutral", 2, "Happy", 1)</f>
        <v>1</v>
      </c>
    </row>
    <row r="842" spans="1:16" x14ac:dyDescent="0.3">
      <c r="A842">
        <v>1229</v>
      </c>
      <c r="B842" s="1">
        <v>42845</v>
      </c>
      <c r="C842">
        <v>47</v>
      </c>
      <c r="D842" t="s">
        <v>15</v>
      </c>
      <c r="E842">
        <v>174.9</v>
      </c>
      <c r="F842">
        <v>55.7</v>
      </c>
      <c r="G842">
        <v>16424</v>
      </c>
      <c r="H842">
        <v>900</v>
      </c>
      <c r="I842">
        <v>7.8</v>
      </c>
      <c r="J842">
        <v>72</v>
      </c>
      <c r="K842" t="s">
        <v>18</v>
      </c>
      <c r="L842">
        <v>79</v>
      </c>
      <c r="M842">
        <v>1.94</v>
      </c>
      <c r="N842">
        <v>2</v>
      </c>
      <c r="O842" t="s">
        <v>17</v>
      </c>
      <c r="P842" cm="1">
        <f t="array" ref="P842">_xlfn.SWITCH(Table2[[#This Row],[mood]], "Tired", 3, "Neutral", 2, "Happy", 1)</f>
        <v>3</v>
      </c>
    </row>
    <row r="843" spans="1:16" x14ac:dyDescent="0.3">
      <c r="A843">
        <v>1518</v>
      </c>
      <c r="B843" s="1">
        <v>42846</v>
      </c>
      <c r="C843">
        <v>46</v>
      </c>
      <c r="D843" t="s">
        <v>20</v>
      </c>
      <c r="E843">
        <v>168.6</v>
      </c>
      <c r="F843">
        <v>59.8</v>
      </c>
      <c r="G843">
        <v>6591</v>
      </c>
      <c r="H843">
        <v>426.9</v>
      </c>
      <c r="I843">
        <v>8.4</v>
      </c>
      <c r="J843">
        <v>86</v>
      </c>
      <c r="K843" t="s">
        <v>18</v>
      </c>
      <c r="L843">
        <v>37</v>
      </c>
      <c r="M843">
        <v>2.78</v>
      </c>
      <c r="N843">
        <v>9</v>
      </c>
      <c r="O843" t="s">
        <v>19</v>
      </c>
      <c r="P843" cm="1">
        <f t="array" ref="P843">_xlfn.SWITCH(Table2[[#This Row],[mood]], "Tired", 3, "Neutral", 2, "Happy", 1)</f>
        <v>2</v>
      </c>
    </row>
    <row r="844" spans="1:16" x14ac:dyDescent="0.3">
      <c r="A844">
        <v>1173</v>
      </c>
      <c r="B844" s="1">
        <v>42847</v>
      </c>
      <c r="C844">
        <v>37</v>
      </c>
      <c r="D844" t="s">
        <v>20</v>
      </c>
      <c r="E844">
        <v>167.7</v>
      </c>
      <c r="F844">
        <v>63.3</v>
      </c>
      <c r="G844">
        <v>12833</v>
      </c>
      <c r="H844">
        <v>700.9</v>
      </c>
      <c r="I844">
        <v>7.2</v>
      </c>
      <c r="J844">
        <v>74</v>
      </c>
      <c r="K844" t="s">
        <v>22</v>
      </c>
      <c r="L844">
        <v>78</v>
      </c>
      <c r="M844">
        <v>2.4300000000000002</v>
      </c>
      <c r="N844">
        <v>6</v>
      </c>
      <c r="O844" t="s">
        <v>19</v>
      </c>
      <c r="P844" cm="1">
        <f t="array" ref="P844">_xlfn.SWITCH(Table2[[#This Row],[mood]], "Tired", 3, "Neutral", 2, "Happy", 1)</f>
        <v>2</v>
      </c>
    </row>
    <row r="845" spans="1:16" x14ac:dyDescent="0.3">
      <c r="A845">
        <v>1652</v>
      </c>
      <c r="B845" s="1">
        <v>42848</v>
      </c>
      <c r="C845">
        <v>38</v>
      </c>
      <c r="D845" t="s">
        <v>15</v>
      </c>
      <c r="E845">
        <v>175.5</v>
      </c>
      <c r="F845">
        <v>66.099999999999994</v>
      </c>
      <c r="G845">
        <v>7116</v>
      </c>
      <c r="H845">
        <v>539.79999999999995</v>
      </c>
      <c r="I845">
        <v>5.9</v>
      </c>
      <c r="J845">
        <v>70</v>
      </c>
      <c r="K845" t="s">
        <v>16</v>
      </c>
      <c r="L845">
        <v>0</v>
      </c>
      <c r="M845">
        <v>1.84</v>
      </c>
      <c r="N845">
        <v>4</v>
      </c>
      <c r="O845" t="s">
        <v>21</v>
      </c>
      <c r="P845" cm="1">
        <f t="array" ref="P845">_xlfn.SWITCH(Table2[[#This Row],[mood]], "Tired", 3, "Neutral", 2, "Happy", 1)</f>
        <v>1</v>
      </c>
    </row>
    <row r="846" spans="1:16" x14ac:dyDescent="0.3">
      <c r="A846">
        <v>1167</v>
      </c>
      <c r="B846" s="1">
        <v>42849</v>
      </c>
      <c r="C846">
        <v>39</v>
      </c>
      <c r="D846" t="s">
        <v>15</v>
      </c>
      <c r="E846">
        <v>172.3</v>
      </c>
      <c r="F846">
        <v>65.599999999999994</v>
      </c>
      <c r="G846">
        <v>1761</v>
      </c>
      <c r="H846">
        <v>248</v>
      </c>
      <c r="I846">
        <v>6.4</v>
      </c>
      <c r="J846">
        <v>72</v>
      </c>
      <c r="K846" t="s">
        <v>23</v>
      </c>
      <c r="L846">
        <v>65</v>
      </c>
      <c r="M846">
        <v>3.28</v>
      </c>
      <c r="N846">
        <v>4</v>
      </c>
      <c r="O846" t="s">
        <v>21</v>
      </c>
      <c r="P846" cm="1">
        <f t="array" ref="P846">_xlfn.SWITCH(Table2[[#This Row],[mood]], "Tired", 3, "Neutral", 2, "Happy", 1)</f>
        <v>1</v>
      </c>
    </row>
    <row r="847" spans="1:16" x14ac:dyDescent="0.3">
      <c r="A847">
        <v>1169</v>
      </c>
      <c r="B847" s="1">
        <v>42850</v>
      </c>
      <c r="C847">
        <v>52</v>
      </c>
      <c r="D847" t="s">
        <v>20</v>
      </c>
      <c r="E847">
        <v>153.5</v>
      </c>
      <c r="F847">
        <v>68.5</v>
      </c>
      <c r="G847">
        <v>3407</v>
      </c>
      <c r="H847">
        <v>344.8</v>
      </c>
      <c r="I847">
        <v>8.8000000000000007</v>
      </c>
      <c r="J847">
        <v>72</v>
      </c>
      <c r="K847" t="s">
        <v>23</v>
      </c>
      <c r="L847">
        <v>31</v>
      </c>
      <c r="M847">
        <v>2.21</v>
      </c>
      <c r="N847">
        <v>3</v>
      </c>
      <c r="O847" t="s">
        <v>17</v>
      </c>
      <c r="P847" cm="1">
        <f t="array" ref="P847">_xlfn.SWITCH(Table2[[#This Row],[mood]], "Tired", 3, "Neutral", 2, "Happy", 1)</f>
        <v>3</v>
      </c>
    </row>
    <row r="848" spans="1:16" x14ac:dyDescent="0.3">
      <c r="A848">
        <v>1392</v>
      </c>
      <c r="B848" s="1">
        <v>42851</v>
      </c>
      <c r="C848">
        <v>54</v>
      </c>
      <c r="D848" t="s">
        <v>15</v>
      </c>
      <c r="E848">
        <v>175.7</v>
      </c>
      <c r="F848">
        <v>78.8</v>
      </c>
      <c r="G848">
        <v>1885</v>
      </c>
      <c r="H848">
        <v>245.1</v>
      </c>
      <c r="I848">
        <v>7.6</v>
      </c>
      <c r="J848">
        <v>67</v>
      </c>
      <c r="K848" t="s">
        <v>23</v>
      </c>
      <c r="L848">
        <v>51</v>
      </c>
      <c r="M848">
        <v>2.69</v>
      </c>
      <c r="N848">
        <v>9</v>
      </c>
      <c r="O848" t="s">
        <v>17</v>
      </c>
      <c r="P848" cm="1">
        <f t="array" ref="P848">_xlfn.SWITCH(Table2[[#This Row],[mood]], "Tired", 3, "Neutral", 2, "Happy", 1)</f>
        <v>3</v>
      </c>
    </row>
    <row r="849" spans="1:16" x14ac:dyDescent="0.3">
      <c r="A849">
        <v>1945</v>
      </c>
      <c r="B849" s="1">
        <v>42852</v>
      </c>
      <c r="C849">
        <v>33</v>
      </c>
      <c r="D849" t="s">
        <v>20</v>
      </c>
      <c r="E849">
        <v>161.4</v>
      </c>
      <c r="F849">
        <v>58.8</v>
      </c>
      <c r="G849">
        <v>3643</v>
      </c>
      <c r="H849">
        <v>347.7</v>
      </c>
      <c r="I849">
        <v>5</v>
      </c>
      <c r="J849">
        <v>73</v>
      </c>
      <c r="K849" t="s">
        <v>23</v>
      </c>
      <c r="L849">
        <v>58</v>
      </c>
      <c r="M849">
        <v>3.42</v>
      </c>
      <c r="N849">
        <v>2</v>
      </c>
      <c r="O849" t="s">
        <v>19</v>
      </c>
      <c r="P849" cm="1">
        <f t="array" ref="P849">_xlfn.SWITCH(Table2[[#This Row],[mood]], "Tired", 3, "Neutral", 2, "Happy", 1)</f>
        <v>2</v>
      </c>
    </row>
    <row r="850" spans="1:16" x14ac:dyDescent="0.3">
      <c r="A850">
        <v>1794</v>
      </c>
      <c r="B850" s="1">
        <v>42853</v>
      </c>
      <c r="C850">
        <v>34</v>
      </c>
      <c r="D850" t="s">
        <v>20</v>
      </c>
      <c r="E850">
        <v>155.80000000000001</v>
      </c>
      <c r="F850">
        <v>87.7</v>
      </c>
      <c r="G850">
        <v>12125</v>
      </c>
      <c r="H850">
        <v>689.2</v>
      </c>
      <c r="I850">
        <v>9.6</v>
      </c>
      <c r="J850">
        <v>64</v>
      </c>
      <c r="K850" t="s">
        <v>25</v>
      </c>
      <c r="L850">
        <v>74</v>
      </c>
      <c r="M850">
        <v>1.86</v>
      </c>
      <c r="N850">
        <v>9</v>
      </c>
      <c r="O850" t="s">
        <v>21</v>
      </c>
      <c r="P850" cm="1">
        <f t="array" ref="P850">_xlfn.SWITCH(Table2[[#This Row],[mood]], "Tired", 3, "Neutral", 2, "Happy", 1)</f>
        <v>1</v>
      </c>
    </row>
    <row r="851" spans="1:16" x14ac:dyDescent="0.3">
      <c r="A851">
        <v>1633</v>
      </c>
      <c r="B851" s="1">
        <v>42854</v>
      </c>
      <c r="C851">
        <v>33</v>
      </c>
      <c r="D851" t="s">
        <v>15</v>
      </c>
      <c r="E851">
        <v>153.30000000000001</v>
      </c>
      <c r="F851">
        <v>51.6</v>
      </c>
      <c r="G851">
        <v>2468</v>
      </c>
      <c r="H851">
        <v>281.3</v>
      </c>
      <c r="I851">
        <v>8.6999999999999993</v>
      </c>
      <c r="J851">
        <v>72</v>
      </c>
      <c r="K851" t="s">
        <v>25</v>
      </c>
      <c r="L851">
        <v>74</v>
      </c>
      <c r="M851">
        <v>2.5099999999999998</v>
      </c>
      <c r="N851">
        <v>3</v>
      </c>
      <c r="O851" t="s">
        <v>21</v>
      </c>
      <c r="P851" cm="1">
        <f t="array" ref="P851">_xlfn.SWITCH(Table2[[#This Row],[mood]], "Tired", 3, "Neutral", 2, "Happy", 1)</f>
        <v>1</v>
      </c>
    </row>
    <row r="852" spans="1:16" x14ac:dyDescent="0.3">
      <c r="A852">
        <v>1193</v>
      </c>
      <c r="B852" s="1">
        <v>42855</v>
      </c>
      <c r="C852">
        <v>19</v>
      </c>
      <c r="D852" t="s">
        <v>20</v>
      </c>
      <c r="E852">
        <v>167.8</v>
      </c>
      <c r="F852">
        <v>79.2</v>
      </c>
      <c r="G852">
        <v>14366</v>
      </c>
      <c r="H852">
        <v>827.9</v>
      </c>
      <c r="I852">
        <v>9.5</v>
      </c>
      <c r="J852">
        <v>70</v>
      </c>
      <c r="K852" t="s">
        <v>23</v>
      </c>
      <c r="L852">
        <v>29</v>
      </c>
      <c r="M852">
        <v>2.15</v>
      </c>
      <c r="N852">
        <v>4</v>
      </c>
      <c r="O852" t="s">
        <v>21</v>
      </c>
      <c r="P852" cm="1">
        <f t="array" ref="P852">_xlfn.SWITCH(Table2[[#This Row],[mood]], "Tired", 3, "Neutral", 2, "Happy", 1)</f>
        <v>1</v>
      </c>
    </row>
    <row r="853" spans="1:16" x14ac:dyDescent="0.3">
      <c r="A853">
        <v>1516</v>
      </c>
      <c r="B853" s="1">
        <v>42856</v>
      </c>
      <c r="C853">
        <v>21</v>
      </c>
      <c r="D853" t="s">
        <v>20</v>
      </c>
      <c r="E853">
        <v>159.80000000000001</v>
      </c>
      <c r="F853">
        <v>94.6</v>
      </c>
      <c r="G853">
        <v>8015</v>
      </c>
      <c r="H853">
        <v>477.4</v>
      </c>
      <c r="I853">
        <v>8.6999999999999993</v>
      </c>
      <c r="J853">
        <v>77</v>
      </c>
      <c r="K853" t="s">
        <v>24</v>
      </c>
      <c r="L853">
        <v>54</v>
      </c>
      <c r="M853">
        <v>2.31</v>
      </c>
      <c r="N853">
        <v>9</v>
      </c>
      <c r="O853" t="s">
        <v>17</v>
      </c>
      <c r="P853" cm="1">
        <f t="array" ref="P853">_xlfn.SWITCH(Table2[[#This Row],[mood]], "Tired", 3, "Neutral", 2, "Happy", 1)</f>
        <v>3</v>
      </c>
    </row>
    <row r="854" spans="1:16" x14ac:dyDescent="0.3">
      <c r="A854">
        <v>1028</v>
      </c>
      <c r="B854" s="1">
        <v>42857</v>
      </c>
      <c r="C854">
        <v>38</v>
      </c>
      <c r="D854" t="s">
        <v>15</v>
      </c>
      <c r="E854">
        <v>150</v>
      </c>
      <c r="F854">
        <v>67.3</v>
      </c>
      <c r="G854">
        <v>7323</v>
      </c>
      <c r="H854">
        <v>498.7</v>
      </c>
      <c r="I854">
        <v>5.6</v>
      </c>
      <c r="J854">
        <v>90</v>
      </c>
      <c r="K854" t="s">
        <v>25</v>
      </c>
      <c r="L854">
        <v>25</v>
      </c>
      <c r="M854">
        <v>4.01</v>
      </c>
      <c r="N854">
        <v>3</v>
      </c>
      <c r="O854" t="s">
        <v>17</v>
      </c>
      <c r="P854" cm="1">
        <f t="array" ref="P854">_xlfn.SWITCH(Table2[[#This Row],[mood]], "Tired", 3, "Neutral", 2, "Happy", 1)</f>
        <v>3</v>
      </c>
    </row>
    <row r="855" spans="1:16" x14ac:dyDescent="0.3">
      <c r="A855">
        <v>1164</v>
      </c>
      <c r="B855" s="1">
        <v>42858</v>
      </c>
      <c r="C855">
        <v>56</v>
      </c>
      <c r="D855" t="s">
        <v>15</v>
      </c>
      <c r="E855">
        <v>166.4</v>
      </c>
      <c r="F855">
        <v>72.900000000000006</v>
      </c>
      <c r="G855">
        <v>9935</v>
      </c>
      <c r="H855">
        <v>686.6</v>
      </c>
      <c r="I855">
        <v>7.5</v>
      </c>
      <c r="J855">
        <v>78</v>
      </c>
      <c r="K855" t="s">
        <v>25</v>
      </c>
      <c r="L855">
        <v>87</v>
      </c>
      <c r="M855">
        <v>2.82</v>
      </c>
      <c r="N855">
        <v>6</v>
      </c>
      <c r="O855" t="s">
        <v>19</v>
      </c>
      <c r="P855" cm="1">
        <f t="array" ref="P855">_xlfn.SWITCH(Table2[[#This Row],[mood]], "Tired", 3, "Neutral", 2, "Happy", 1)</f>
        <v>2</v>
      </c>
    </row>
    <row r="856" spans="1:16" x14ac:dyDescent="0.3">
      <c r="A856">
        <v>1421</v>
      </c>
      <c r="B856" s="1">
        <v>42859</v>
      </c>
      <c r="C856">
        <v>51</v>
      </c>
      <c r="D856" t="s">
        <v>20</v>
      </c>
      <c r="E856">
        <v>165.1</v>
      </c>
      <c r="F856">
        <v>55.5</v>
      </c>
      <c r="G856">
        <v>3428</v>
      </c>
      <c r="H856">
        <v>352.7</v>
      </c>
      <c r="I856">
        <v>7.9</v>
      </c>
      <c r="J856">
        <v>76</v>
      </c>
      <c r="K856" t="s">
        <v>24</v>
      </c>
      <c r="L856">
        <v>81</v>
      </c>
      <c r="M856">
        <v>2.72</v>
      </c>
      <c r="N856">
        <v>5</v>
      </c>
      <c r="O856" t="s">
        <v>21</v>
      </c>
      <c r="P856" cm="1">
        <f t="array" ref="P856">_xlfn.SWITCH(Table2[[#This Row],[mood]], "Tired", 3, "Neutral", 2, "Happy", 1)</f>
        <v>1</v>
      </c>
    </row>
    <row r="857" spans="1:16" x14ac:dyDescent="0.3">
      <c r="A857">
        <v>1338</v>
      </c>
      <c r="B857" s="1">
        <v>42860</v>
      </c>
      <c r="C857">
        <v>47</v>
      </c>
      <c r="D857" t="s">
        <v>15</v>
      </c>
      <c r="E857">
        <v>168.5</v>
      </c>
      <c r="F857">
        <v>62.3</v>
      </c>
      <c r="G857">
        <v>12685</v>
      </c>
      <c r="H857">
        <v>667.6</v>
      </c>
      <c r="I857">
        <v>5</v>
      </c>
      <c r="J857">
        <v>77</v>
      </c>
      <c r="K857" t="s">
        <v>23</v>
      </c>
      <c r="L857">
        <v>28</v>
      </c>
      <c r="M857">
        <v>2.87</v>
      </c>
      <c r="N857">
        <v>6</v>
      </c>
      <c r="O857" t="s">
        <v>17</v>
      </c>
      <c r="P857" cm="1">
        <f t="array" ref="P857">_xlfn.SWITCH(Table2[[#This Row],[mood]], "Tired", 3, "Neutral", 2, "Happy", 1)</f>
        <v>3</v>
      </c>
    </row>
    <row r="858" spans="1:16" x14ac:dyDescent="0.3">
      <c r="A858">
        <v>1647</v>
      </c>
      <c r="B858" s="1">
        <v>42861</v>
      </c>
      <c r="C858">
        <v>23</v>
      </c>
      <c r="D858" t="s">
        <v>15</v>
      </c>
      <c r="E858">
        <v>163.69999999999999</v>
      </c>
      <c r="F858">
        <v>93.5</v>
      </c>
      <c r="G858">
        <v>13738</v>
      </c>
      <c r="H858">
        <v>766.9</v>
      </c>
      <c r="I858">
        <v>5.2</v>
      </c>
      <c r="J858">
        <v>66</v>
      </c>
      <c r="K858" t="s">
        <v>18</v>
      </c>
      <c r="L858">
        <v>48</v>
      </c>
      <c r="M858">
        <v>2.8</v>
      </c>
      <c r="N858">
        <v>5</v>
      </c>
      <c r="O858" t="s">
        <v>21</v>
      </c>
      <c r="P858" cm="1">
        <f t="array" ref="P858">_xlfn.SWITCH(Table2[[#This Row],[mood]], "Tired", 3, "Neutral", 2, "Happy", 1)</f>
        <v>1</v>
      </c>
    </row>
    <row r="859" spans="1:16" x14ac:dyDescent="0.3">
      <c r="A859">
        <v>1495</v>
      </c>
      <c r="B859" s="1">
        <v>42862</v>
      </c>
      <c r="C859">
        <v>34</v>
      </c>
      <c r="D859" t="s">
        <v>15</v>
      </c>
      <c r="E859">
        <v>188.3</v>
      </c>
      <c r="F859">
        <v>81.2</v>
      </c>
      <c r="G859">
        <v>10308</v>
      </c>
      <c r="H859">
        <v>733.9</v>
      </c>
      <c r="I859">
        <v>8.1</v>
      </c>
      <c r="J859">
        <v>82</v>
      </c>
      <c r="K859" t="s">
        <v>25</v>
      </c>
      <c r="L859">
        <v>25</v>
      </c>
      <c r="M859">
        <v>1.22</v>
      </c>
      <c r="N859">
        <v>3</v>
      </c>
      <c r="O859" t="s">
        <v>17</v>
      </c>
      <c r="P859" cm="1">
        <f t="array" ref="P859">_xlfn.SWITCH(Table2[[#This Row],[mood]], "Tired", 3, "Neutral", 2, "Happy", 1)</f>
        <v>3</v>
      </c>
    </row>
    <row r="860" spans="1:16" x14ac:dyDescent="0.3">
      <c r="A860">
        <v>1364</v>
      </c>
      <c r="B860" s="1">
        <v>42863</v>
      </c>
      <c r="C860">
        <v>56</v>
      </c>
      <c r="D860" t="s">
        <v>15</v>
      </c>
      <c r="E860">
        <v>175.2</v>
      </c>
      <c r="F860">
        <v>76.3</v>
      </c>
      <c r="G860">
        <v>16879</v>
      </c>
      <c r="H860">
        <v>877.1</v>
      </c>
      <c r="I860">
        <v>8.1999999999999993</v>
      </c>
      <c r="J860">
        <v>79</v>
      </c>
      <c r="K860" t="s">
        <v>18</v>
      </c>
      <c r="L860">
        <v>63</v>
      </c>
      <c r="M860">
        <v>4.1100000000000003</v>
      </c>
      <c r="N860">
        <v>2</v>
      </c>
      <c r="O860" t="s">
        <v>21</v>
      </c>
      <c r="P860" cm="1">
        <f t="array" ref="P860">_xlfn.SWITCH(Table2[[#This Row],[mood]], "Tired", 3, "Neutral", 2, "Happy", 1)</f>
        <v>1</v>
      </c>
    </row>
    <row r="861" spans="1:16" x14ac:dyDescent="0.3">
      <c r="A861">
        <v>1832</v>
      </c>
      <c r="B861" s="1">
        <v>42864</v>
      </c>
      <c r="C861">
        <v>42</v>
      </c>
      <c r="D861" t="s">
        <v>20</v>
      </c>
      <c r="E861">
        <v>165</v>
      </c>
      <c r="F861">
        <v>45</v>
      </c>
      <c r="G861">
        <v>16772</v>
      </c>
      <c r="H861">
        <v>900</v>
      </c>
      <c r="I861">
        <v>10</v>
      </c>
      <c r="J861">
        <v>75</v>
      </c>
      <c r="K861" t="s">
        <v>18</v>
      </c>
      <c r="L861">
        <v>83</v>
      </c>
      <c r="M861">
        <v>1.47</v>
      </c>
      <c r="N861">
        <v>10</v>
      </c>
      <c r="O861" t="s">
        <v>19</v>
      </c>
      <c r="P861" cm="1">
        <f t="array" ref="P861">_xlfn.SWITCH(Table2[[#This Row],[mood]], "Tired", 3, "Neutral", 2, "Happy", 1)</f>
        <v>2</v>
      </c>
    </row>
    <row r="862" spans="1:16" x14ac:dyDescent="0.3">
      <c r="A862">
        <v>1341</v>
      </c>
      <c r="B862" s="1">
        <v>42865</v>
      </c>
      <c r="C862">
        <v>22</v>
      </c>
      <c r="D862" t="s">
        <v>20</v>
      </c>
      <c r="E862">
        <v>169.4</v>
      </c>
      <c r="F862">
        <v>59.3</v>
      </c>
      <c r="G862">
        <v>11633</v>
      </c>
      <c r="H862">
        <v>665.6</v>
      </c>
      <c r="I862">
        <v>6.6</v>
      </c>
      <c r="J862">
        <v>79</v>
      </c>
      <c r="K862" t="s">
        <v>24</v>
      </c>
      <c r="L862">
        <v>86</v>
      </c>
      <c r="M862">
        <v>3.71</v>
      </c>
      <c r="N862">
        <v>9</v>
      </c>
      <c r="O862" t="s">
        <v>17</v>
      </c>
      <c r="P862" cm="1">
        <f t="array" ref="P862">_xlfn.SWITCH(Table2[[#This Row],[mood]], "Tired", 3, "Neutral", 2, "Happy", 1)</f>
        <v>3</v>
      </c>
    </row>
    <row r="863" spans="1:16" x14ac:dyDescent="0.3">
      <c r="A863">
        <v>1499</v>
      </c>
      <c r="B863" s="1">
        <v>42866</v>
      </c>
      <c r="C863">
        <v>22</v>
      </c>
      <c r="D863" t="s">
        <v>20</v>
      </c>
      <c r="E863">
        <v>184.1</v>
      </c>
      <c r="F863">
        <v>96.1</v>
      </c>
      <c r="G863">
        <v>18738</v>
      </c>
      <c r="H863">
        <v>900</v>
      </c>
      <c r="I863">
        <v>4.5</v>
      </c>
      <c r="J863">
        <v>78</v>
      </c>
      <c r="K863" t="s">
        <v>23</v>
      </c>
      <c r="L863">
        <v>63</v>
      </c>
      <c r="M863">
        <v>2.93</v>
      </c>
      <c r="N863">
        <v>4</v>
      </c>
      <c r="O863" t="s">
        <v>17</v>
      </c>
      <c r="P863" cm="1">
        <f t="array" ref="P863">_xlfn.SWITCH(Table2[[#This Row],[mood]], "Tired", 3, "Neutral", 2, "Happy", 1)</f>
        <v>3</v>
      </c>
    </row>
    <row r="864" spans="1:16" x14ac:dyDescent="0.3">
      <c r="A864">
        <v>1656</v>
      </c>
      <c r="B864" s="1">
        <v>42867</v>
      </c>
      <c r="C864">
        <v>37</v>
      </c>
      <c r="D864" t="s">
        <v>15</v>
      </c>
      <c r="E864">
        <v>179.6</v>
      </c>
      <c r="F864">
        <v>76.2</v>
      </c>
      <c r="G864">
        <v>19864</v>
      </c>
      <c r="H864">
        <v>900</v>
      </c>
      <c r="I864">
        <v>6.8</v>
      </c>
      <c r="J864">
        <v>78</v>
      </c>
      <c r="K864" t="s">
        <v>16</v>
      </c>
      <c r="L864">
        <v>0</v>
      </c>
      <c r="M864">
        <v>2.63</v>
      </c>
      <c r="N864">
        <v>10</v>
      </c>
      <c r="O864" t="s">
        <v>19</v>
      </c>
      <c r="P864" cm="1">
        <f t="array" ref="P864">_xlfn.SWITCH(Table2[[#This Row],[mood]], "Tired", 3, "Neutral", 2, "Happy", 1)</f>
        <v>2</v>
      </c>
    </row>
    <row r="865" spans="1:16" x14ac:dyDescent="0.3">
      <c r="A865">
        <v>1510</v>
      </c>
      <c r="B865" s="1">
        <v>42868</v>
      </c>
      <c r="C865">
        <v>33</v>
      </c>
      <c r="D865" t="s">
        <v>15</v>
      </c>
      <c r="E865">
        <v>156</v>
      </c>
      <c r="F865">
        <v>78</v>
      </c>
      <c r="G865">
        <v>12193</v>
      </c>
      <c r="H865">
        <v>636.79999999999995</v>
      </c>
      <c r="I865">
        <v>8.3000000000000007</v>
      </c>
      <c r="J865">
        <v>85</v>
      </c>
      <c r="K865" t="s">
        <v>18</v>
      </c>
      <c r="L865">
        <v>28</v>
      </c>
      <c r="M865">
        <v>2.29</v>
      </c>
      <c r="N865">
        <v>6</v>
      </c>
      <c r="O865" t="s">
        <v>19</v>
      </c>
      <c r="P865" cm="1">
        <f t="array" ref="P865">_xlfn.SWITCH(Table2[[#This Row],[mood]], "Tired", 3, "Neutral", 2, "Happy", 1)</f>
        <v>2</v>
      </c>
    </row>
    <row r="866" spans="1:16" x14ac:dyDescent="0.3">
      <c r="A866">
        <v>1326</v>
      </c>
      <c r="B866" s="1">
        <v>42869</v>
      </c>
      <c r="C866">
        <v>58</v>
      </c>
      <c r="D866" t="s">
        <v>15</v>
      </c>
      <c r="E866">
        <v>160.30000000000001</v>
      </c>
      <c r="F866">
        <v>72.599999999999994</v>
      </c>
      <c r="G866">
        <v>18570</v>
      </c>
      <c r="H866">
        <v>900</v>
      </c>
      <c r="I866">
        <v>6.5</v>
      </c>
      <c r="J866">
        <v>67</v>
      </c>
      <c r="K866" t="s">
        <v>23</v>
      </c>
      <c r="L866">
        <v>42</v>
      </c>
      <c r="M866">
        <v>4.32</v>
      </c>
      <c r="N866">
        <v>9</v>
      </c>
      <c r="O866" t="s">
        <v>21</v>
      </c>
      <c r="P866" cm="1">
        <f t="array" ref="P866">_xlfn.SWITCH(Table2[[#This Row],[mood]], "Tired", 3, "Neutral", 2, "Happy", 1)</f>
        <v>1</v>
      </c>
    </row>
    <row r="867" spans="1:16" x14ac:dyDescent="0.3">
      <c r="A867">
        <v>1216</v>
      </c>
      <c r="B867" s="1">
        <v>42870</v>
      </c>
      <c r="C867">
        <v>54</v>
      </c>
      <c r="D867" t="s">
        <v>15</v>
      </c>
      <c r="E867">
        <v>162.19999999999999</v>
      </c>
      <c r="F867">
        <v>60.8</v>
      </c>
      <c r="G867">
        <v>16281</v>
      </c>
      <c r="H867">
        <v>790.1</v>
      </c>
      <c r="I867">
        <v>7.2</v>
      </c>
      <c r="J867">
        <v>88</v>
      </c>
      <c r="K867" t="s">
        <v>22</v>
      </c>
      <c r="L867">
        <v>76</v>
      </c>
      <c r="M867">
        <v>2.92</v>
      </c>
      <c r="N867">
        <v>5</v>
      </c>
      <c r="O867" t="s">
        <v>17</v>
      </c>
      <c r="P867" cm="1">
        <f t="array" ref="P867">_xlfn.SWITCH(Table2[[#This Row],[mood]], "Tired", 3, "Neutral", 2, "Happy", 1)</f>
        <v>3</v>
      </c>
    </row>
    <row r="868" spans="1:16" x14ac:dyDescent="0.3">
      <c r="A868">
        <v>1300</v>
      </c>
      <c r="B868" s="1">
        <v>42871</v>
      </c>
      <c r="C868">
        <v>57</v>
      </c>
      <c r="D868" t="s">
        <v>15</v>
      </c>
      <c r="E868">
        <v>165.6</v>
      </c>
      <c r="F868">
        <v>75</v>
      </c>
      <c r="G868">
        <v>5087</v>
      </c>
      <c r="H868">
        <v>387.9</v>
      </c>
      <c r="I868">
        <v>6</v>
      </c>
      <c r="J868">
        <v>59</v>
      </c>
      <c r="K868" t="s">
        <v>16</v>
      </c>
      <c r="L868">
        <v>0</v>
      </c>
      <c r="M868">
        <v>2.5099999999999998</v>
      </c>
      <c r="N868">
        <v>7</v>
      </c>
      <c r="O868" t="s">
        <v>21</v>
      </c>
      <c r="P868" cm="1">
        <f t="array" ref="P868">_xlfn.SWITCH(Table2[[#This Row],[mood]], "Tired", 3, "Neutral", 2, "Happy", 1)</f>
        <v>1</v>
      </c>
    </row>
    <row r="869" spans="1:16" x14ac:dyDescent="0.3">
      <c r="A869">
        <v>1131</v>
      </c>
      <c r="B869" s="1">
        <v>42872</v>
      </c>
      <c r="C869">
        <v>26</v>
      </c>
      <c r="D869" t="s">
        <v>15</v>
      </c>
      <c r="E869">
        <v>164</v>
      </c>
      <c r="F869">
        <v>47</v>
      </c>
      <c r="G869">
        <v>7228</v>
      </c>
      <c r="H869">
        <v>584.70000000000005</v>
      </c>
      <c r="I869">
        <v>8.8000000000000007</v>
      </c>
      <c r="J869">
        <v>82</v>
      </c>
      <c r="K869" t="s">
        <v>16</v>
      </c>
      <c r="L869">
        <v>0</v>
      </c>
      <c r="M869">
        <v>2.13</v>
      </c>
      <c r="N869">
        <v>5</v>
      </c>
      <c r="O869" t="s">
        <v>21</v>
      </c>
      <c r="P869" cm="1">
        <f t="array" ref="P869">_xlfn.SWITCH(Table2[[#This Row],[mood]], "Tired", 3, "Neutral", 2, "Happy", 1)</f>
        <v>1</v>
      </c>
    </row>
    <row r="870" spans="1:16" x14ac:dyDescent="0.3">
      <c r="A870">
        <v>1803</v>
      </c>
      <c r="B870" s="1">
        <v>42873</v>
      </c>
      <c r="C870">
        <v>22</v>
      </c>
      <c r="D870" t="s">
        <v>15</v>
      </c>
      <c r="E870">
        <v>170.3</v>
      </c>
      <c r="F870">
        <v>45.9</v>
      </c>
      <c r="G870">
        <v>3831</v>
      </c>
      <c r="H870">
        <v>349.6</v>
      </c>
      <c r="I870">
        <v>8.1</v>
      </c>
      <c r="J870">
        <v>77</v>
      </c>
      <c r="K870" t="s">
        <v>16</v>
      </c>
      <c r="L870">
        <v>0</v>
      </c>
      <c r="M870">
        <v>2.04</v>
      </c>
      <c r="N870">
        <v>9</v>
      </c>
      <c r="O870" t="s">
        <v>21</v>
      </c>
      <c r="P870" cm="1">
        <f t="array" ref="P870">_xlfn.SWITCH(Table2[[#This Row],[mood]], "Tired", 3, "Neutral", 2, "Happy", 1)</f>
        <v>1</v>
      </c>
    </row>
    <row r="871" spans="1:16" x14ac:dyDescent="0.3">
      <c r="A871">
        <v>1069</v>
      </c>
      <c r="B871" s="1">
        <v>42874</v>
      </c>
      <c r="C871">
        <v>59</v>
      </c>
      <c r="D871" t="s">
        <v>20</v>
      </c>
      <c r="E871">
        <v>177.4</v>
      </c>
      <c r="F871">
        <v>59</v>
      </c>
      <c r="G871">
        <v>19132</v>
      </c>
      <c r="H871">
        <v>900</v>
      </c>
      <c r="I871">
        <v>5.8</v>
      </c>
      <c r="J871">
        <v>65</v>
      </c>
      <c r="K871" t="s">
        <v>23</v>
      </c>
      <c r="L871">
        <v>26</v>
      </c>
      <c r="M871">
        <v>2.54</v>
      </c>
      <c r="N871">
        <v>2</v>
      </c>
      <c r="O871" t="s">
        <v>17</v>
      </c>
      <c r="P871" cm="1">
        <f t="array" ref="P871">_xlfn.SWITCH(Table2[[#This Row],[mood]], "Tired", 3, "Neutral", 2, "Happy", 1)</f>
        <v>3</v>
      </c>
    </row>
    <row r="872" spans="1:16" x14ac:dyDescent="0.3">
      <c r="A872">
        <v>1251</v>
      </c>
      <c r="B872" s="1">
        <v>42875</v>
      </c>
      <c r="C872">
        <v>19</v>
      </c>
      <c r="D872" t="s">
        <v>20</v>
      </c>
      <c r="E872">
        <v>179</v>
      </c>
      <c r="F872">
        <v>72.900000000000006</v>
      </c>
      <c r="G872">
        <v>12055</v>
      </c>
      <c r="H872">
        <v>694.2</v>
      </c>
      <c r="I872">
        <v>6.2</v>
      </c>
      <c r="J872">
        <v>85</v>
      </c>
      <c r="K872" t="s">
        <v>24</v>
      </c>
      <c r="L872">
        <v>39</v>
      </c>
      <c r="M872">
        <v>1.85</v>
      </c>
      <c r="N872">
        <v>3</v>
      </c>
      <c r="O872" t="s">
        <v>19</v>
      </c>
      <c r="P872" cm="1">
        <f t="array" ref="P872">_xlfn.SWITCH(Table2[[#This Row],[mood]], "Tired", 3, "Neutral", 2, "Happy", 1)</f>
        <v>2</v>
      </c>
    </row>
    <row r="873" spans="1:16" x14ac:dyDescent="0.3">
      <c r="A873">
        <v>1414</v>
      </c>
      <c r="B873" s="1">
        <v>42876</v>
      </c>
      <c r="C873">
        <v>26</v>
      </c>
      <c r="D873" t="s">
        <v>15</v>
      </c>
      <c r="E873">
        <v>166.7</v>
      </c>
      <c r="F873">
        <v>46.5</v>
      </c>
      <c r="G873">
        <v>14795</v>
      </c>
      <c r="H873">
        <v>764.1</v>
      </c>
      <c r="I873">
        <v>6</v>
      </c>
      <c r="J873">
        <v>57</v>
      </c>
      <c r="K873" t="s">
        <v>24</v>
      </c>
      <c r="L873">
        <v>83</v>
      </c>
      <c r="M873">
        <v>2.98</v>
      </c>
      <c r="N873">
        <v>5</v>
      </c>
      <c r="O873" t="s">
        <v>21</v>
      </c>
      <c r="P873" cm="1">
        <f t="array" ref="P873">_xlfn.SWITCH(Table2[[#This Row],[mood]], "Tired", 3, "Neutral", 2, "Happy", 1)</f>
        <v>1</v>
      </c>
    </row>
    <row r="874" spans="1:16" x14ac:dyDescent="0.3">
      <c r="A874">
        <v>1786</v>
      </c>
      <c r="B874" s="1">
        <v>42877</v>
      </c>
      <c r="C874">
        <v>53</v>
      </c>
      <c r="D874" t="s">
        <v>15</v>
      </c>
      <c r="E874">
        <v>153.69999999999999</v>
      </c>
      <c r="F874">
        <v>71.900000000000006</v>
      </c>
      <c r="G874">
        <v>8552</v>
      </c>
      <c r="H874">
        <v>547.5</v>
      </c>
      <c r="I874">
        <v>4.2</v>
      </c>
      <c r="J874">
        <v>91</v>
      </c>
      <c r="K874" t="s">
        <v>22</v>
      </c>
      <c r="L874">
        <v>38</v>
      </c>
      <c r="M874">
        <v>2.0499999999999998</v>
      </c>
      <c r="N874">
        <v>2</v>
      </c>
      <c r="O874" t="s">
        <v>17</v>
      </c>
      <c r="P874" cm="1">
        <f t="array" ref="P874">_xlfn.SWITCH(Table2[[#This Row],[mood]], "Tired", 3, "Neutral", 2, "Happy", 1)</f>
        <v>3</v>
      </c>
    </row>
    <row r="875" spans="1:16" x14ac:dyDescent="0.3">
      <c r="A875">
        <v>1444</v>
      </c>
      <c r="B875" s="1">
        <v>42878</v>
      </c>
      <c r="C875">
        <v>39</v>
      </c>
      <c r="D875" t="s">
        <v>15</v>
      </c>
      <c r="E875">
        <v>159.6</v>
      </c>
      <c r="F875">
        <v>55.1</v>
      </c>
      <c r="G875">
        <v>15605</v>
      </c>
      <c r="H875">
        <v>765.4</v>
      </c>
      <c r="I875">
        <v>5.9</v>
      </c>
      <c r="J875">
        <v>98</v>
      </c>
      <c r="K875" t="s">
        <v>24</v>
      </c>
      <c r="L875">
        <v>25</v>
      </c>
      <c r="M875">
        <v>3.2</v>
      </c>
      <c r="N875">
        <v>6</v>
      </c>
      <c r="O875" t="s">
        <v>21</v>
      </c>
      <c r="P875" cm="1">
        <f t="array" ref="P875">_xlfn.SWITCH(Table2[[#This Row],[mood]], "Tired", 3, "Neutral", 2, "Happy", 1)</f>
        <v>1</v>
      </c>
    </row>
    <row r="876" spans="1:16" x14ac:dyDescent="0.3">
      <c r="A876">
        <v>1875</v>
      </c>
      <c r="B876" s="1">
        <v>42879</v>
      </c>
      <c r="C876">
        <v>39</v>
      </c>
      <c r="D876" t="s">
        <v>20</v>
      </c>
      <c r="E876">
        <v>164.8</v>
      </c>
      <c r="F876">
        <v>57.1</v>
      </c>
      <c r="G876">
        <v>12282</v>
      </c>
      <c r="H876">
        <v>730.3</v>
      </c>
      <c r="I876">
        <v>4.3</v>
      </c>
      <c r="J876">
        <v>73</v>
      </c>
      <c r="K876" t="s">
        <v>23</v>
      </c>
      <c r="L876">
        <v>70</v>
      </c>
      <c r="M876">
        <v>3.19</v>
      </c>
      <c r="N876">
        <v>10</v>
      </c>
      <c r="O876" t="s">
        <v>19</v>
      </c>
      <c r="P876" cm="1">
        <f t="array" ref="P876">_xlfn.SWITCH(Table2[[#This Row],[mood]], "Tired", 3, "Neutral", 2, "Happy", 1)</f>
        <v>2</v>
      </c>
    </row>
    <row r="877" spans="1:16" x14ac:dyDescent="0.3">
      <c r="A877">
        <v>1181</v>
      </c>
      <c r="B877" s="1">
        <v>42880</v>
      </c>
      <c r="C877">
        <v>39</v>
      </c>
      <c r="D877" t="s">
        <v>20</v>
      </c>
      <c r="E877">
        <v>157.5</v>
      </c>
      <c r="F877">
        <v>89.5</v>
      </c>
      <c r="G877">
        <v>2063</v>
      </c>
      <c r="H877">
        <v>288.8</v>
      </c>
      <c r="I877">
        <v>8.4</v>
      </c>
      <c r="J877">
        <v>65</v>
      </c>
      <c r="K877" t="s">
        <v>16</v>
      </c>
      <c r="L877">
        <v>0</v>
      </c>
      <c r="M877">
        <v>2.46</v>
      </c>
      <c r="N877">
        <v>3</v>
      </c>
      <c r="O877" t="s">
        <v>19</v>
      </c>
      <c r="P877" cm="1">
        <f t="array" ref="P877">_xlfn.SWITCH(Table2[[#This Row],[mood]], "Tired", 3, "Neutral", 2, "Happy", 1)</f>
        <v>2</v>
      </c>
    </row>
    <row r="878" spans="1:16" x14ac:dyDescent="0.3">
      <c r="A878">
        <v>1166</v>
      </c>
      <c r="B878" s="1">
        <v>42881</v>
      </c>
      <c r="C878">
        <v>51</v>
      </c>
      <c r="D878" t="s">
        <v>15</v>
      </c>
      <c r="E878">
        <v>181.4</v>
      </c>
      <c r="F878">
        <v>70.599999999999994</v>
      </c>
      <c r="G878">
        <v>14344</v>
      </c>
      <c r="H878">
        <v>723.7</v>
      </c>
      <c r="I878">
        <v>8.5</v>
      </c>
      <c r="J878">
        <v>69</v>
      </c>
      <c r="K878" t="s">
        <v>23</v>
      </c>
      <c r="L878">
        <v>84</v>
      </c>
      <c r="M878">
        <v>2.91</v>
      </c>
      <c r="N878">
        <v>5</v>
      </c>
      <c r="O878" t="s">
        <v>17</v>
      </c>
      <c r="P878" cm="1">
        <f t="array" ref="P878">_xlfn.SWITCH(Table2[[#This Row],[mood]], "Tired", 3, "Neutral", 2, "Happy", 1)</f>
        <v>3</v>
      </c>
    </row>
    <row r="879" spans="1:16" x14ac:dyDescent="0.3">
      <c r="A879">
        <v>1090</v>
      </c>
      <c r="B879" s="1">
        <v>42882</v>
      </c>
      <c r="C879">
        <v>46</v>
      </c>
      <c r="D879" t="s">
        <v>15</v>
      </c>
      <c r="E879">
        <v>158.19999999999999</v>
      </c>
      <c r="F879">
        <v>56.4</v>
      </c>
      <c r="G879">
        <v>16898</v>
      </c>
      <c r="H879">
        <v>893.9</v>
      </c>
      <c r="I879">
        <v>6.6</v>
      </c>
      <c r="J879">
        <v>85</v>
      </c>
      <c r="K879" t="s">
        <v>16</v>
      </c>
      <c r="L879">
        <v>0</v>
      </c>
      <c r="M879">
        <v>2.94</v>
      </c>
      <c r="N879">
        <v>5</v>
      </c>
      <c r="O879" t="s">
        <v>17</v>
      </c>
      <c r="P879" cm="1">
        <f t="array" ref="P879">_xlfn.SWITCH(Table2[[#This Row],[mood]], "Tired", 3, "Neutral", 2, "Happy", 1)</f>
        <v>3</v>
      </c>
    </row>
    <row r="880" spans="1:16" x14ac:dyDescent="0.3">
      <c r="A880">
        <v>1713</v>
      </c>
      <c r="B880" s="1">
        <v>42883</v>
      </c>
      <c r="C880">
        <v>55</v>
      </c>
      <c r="D880" t="s">
        <v>20</v>
      </c>
      <c r="E880">
        <v>176.2</v>
      </c>
      <c r="F880">
        <v>72.8</v>
      </c>
      <c r="G880">
        <v>3732</v>
      </c>
      <c r="H880">
        <v>446</v>
      </c>
      <c r="I880">
        <v>7.3</v>
      </c>
      <c r="J880">
        <v>72</v>
      </c>
      <c r="K880" t="s">
        <v>23</v>
      </c>
      <c r="L880">
        <v>42</v>
      </c>
      <c r="M880">
        <v>1.48</v>
      </c>
      <c r="N880">
        <v>10</v>
      </c>
      <c r="O880" t="s">
        <v>19</v>
      </c>
      <c r="P880" cm="1">
        <f t="array" ref="P880">_xlfn.SWITCH(Table2[[#This Row],[mood]], "Tired", 3, "Neutral", 2, "Happy", 1)</f>
        <v>2</v>
      </c>
    </row>
    <row r="881" spans="1:16" x14ac:dyDescent="0.3">
      <c r="A881">
        <v>1857</v>
      </c>
      <c r="B881" s="1">
        <v>42884</v>
      </c>
      <c r="C881">
        <v>50</v>
      </c>
      <c r="D881" t="s">
        <v>20</v>
      </c>
      <c r="E881">
        <v>153.19999999999999</v>
      </c>
      <c r="F881">
        <v>48</v>
      </c>
      <c r="G881">
        <v>2872</v>
      </c>
      <c r="H881">
        <v>275.10000000000002</v>
      </c>
      <c r="I881">
        <v>8.6</v>
      </c>
      <c r="J881">
        <v>50</v>
      </c>
      <c r="K881" t="s">
        <v>24</v>
      </c>
      <c r="L881">
        <v>77</v>
      </c>
      <c r="M881">
        <v>3.71</v>
      </c>
      <c r="N881">
        <v>8</v>
      </c>
      <c r="O881" t="s">
        <v>17</v>
      </c>
      <c r="P881" cm="1">
        <f t="array" ref="P881">_xlfn.SWITCH(Table2[[#This Row],[mood]], "Tired", 3, "Neutral", 2, "Happy", 1)</f>
        <v>3</v>
      </c>
    </row>
    <row r="882" spans="1:16" x14ac:dyDescent="0.3">
      <c r="A882">
        <v>1530</v>
      </c>
      <c r="B882" s="1">
        <v>42885</v>
      </c>
      <c r="C882">
        <v>35</v>
      </c>
      <c r="D882" t="s">
        <v>20</v>
      </c>
      <c r="E882">
        <v>176.6</v>
      </c>
      <c r="F882">
        <v>75.7</v>
      </c>
      <c r="G882">
        <v>5720</v>
      </c>
      <c r="H882">
        <v>466.7</v>
      </c>
      <c r="I882">
        <v>8.1999999999999993</v>
      </c>
      <c r="J882">
        <v>79</v>
      </c>
      <c r="K882" t="s">
        <v>23</v>
      </c>
      <c r="L882">
        <v>30</v>
      </c>
      <c r="M882">
        <v>2.3199999999999998</v>
      </c>
      <c r="N882">
        <v>9</v>
      </c>
      <c r="O882" t="s">
        <v>19</v>
      </c>
      <c r="P882" cm="1">
        <f t="array" ref="P882">_xlfn.SWITCH(Table2[[#This Row],[mood]], "Tired", 3, "Neutral", 2, "Happy", 1)</f>
        <v>2</v>
      </c>
    </row>
    <row r="883" spans="1:16" x14ac:dyDescent="0.3">
      <c r="A883">
        <v>1038</v>
      </c>
      <c r="B883" s="1">
        <v>42886</v>
      </c>
      <c r="C883">
        <v>24</v>
      </c>
      <c r="D883" t="s">
        <v>20</v>
      </c>
      <c r="E883">
        <v>168.6</v>
      </c>
      <c r="F883">
        <v>86.6</v>
      </c>
      <c r="G883">
        <v>2969</v>
      </c>
      <c r="H883">
        <v>339.7</v>
      </c>
      <c r="I883">
        <v>10</v>
      </c>
      <c r="J883">
        <v>84</v>
      </c>
      <c r="K883" t="s">
        <v>25</v>
      </c>
      <c r="L883">
        <v>53</v>
      </c>
      <c r="M883">
        <v>2.99</v>
      </c>
      <c r="N883">
        <v>4</v>
      </c>
      <c r="O883" t="s">
        <v>21</v>
      </c>
      <c r="P883" cm="1">
        <f t="array" ref="P883">_xlfn.SWITCH(Table2[[#This Row],[mood]], "Tired", 3, "Neutral", 2, "Happy", 1)</f>
        <v>1</v>
      </c>
    </row>
    <row r="884" spans="1:16" x14ac:dyDescent="0.3">
      <c r="A884">
        <v>1125</v>
      </c>
      <c r="B884" s="1">
        <v>42887</v>
      </c>
      <c r="C884">
        <v>18</v>
      </c>
      <c r="D884" t="s">
        <v>15</v>
      </c>
      <c r="E884">
        <v>185.1</v>
      </c>
      <c r="F884">
        <v>79.900000000000006</v>
      </c>
      <c r="G884">
        <v>13155</v>
      </c>
      <c r="H884">
        <v>746.4</v>
      </c>
      <c r="I884">
        <v>7.4</v>
      </c>
      <c r="J884">
        <v>80</v>
      </c>
      <c r="K884" t="s">
        <v>16</v>
      </c>
      <c r="L884">
        <v>0</v>
      </c>
      <c r="M884">
        <v>3.01</v>
      </c>
      <c r="N884">
        <v>10</v>
      </c>
      <c r="O884" t="s">
        <v>19</v>
      </c>
      <c r="P884" cm="1">
        <f t="array" ref="P884">_xlfn.SWITCH(Table2[[#This Row],[mood]], "Tired", 3, "Neutral", 2, "Happy", 1)</f>
        <v>2</v>
      </c>
    </row>
    <row r="885" spans="1:16" x14ac:dyDescent="0.3">
      <c r="A885">
        <v>1450</v>
      </c>
      <c r="B885" s="1">
        <v>42888</v>
      </c>
      <c r="C885">
        <v>50</v>
      </c>
      <c r="D885" t="s">
        <v>20</v>
      </c>
      <c r="E885">
        <v>158.69999999999999</v>
      </c>
      <c r="F885">
        <v>102.4</v>
      </c>
      <c r="G885">
        <v>12870</v>
      </c>
      <c r="H885">
        <v>759.8</v>
      </c>
      <c r="I885">
        <v>9.1999999999999993</v>
      </c>
      <c r="J885">
        <v>82</v>
      </c>
      <c r="K885" t="s">
        <v>16</v>
      </c>
      <c r="L885">
        <v>0</v>
      </c>
      <c r="M885">
        <v>0.76</v>
      </c>
      <c r="N885">
        <v>1</v>
      </c>
      <c r="O885" t="s">
        <v>21</v>
      </c>
      <c r="P885" cm="1">
        <f t="array" ref="P885">_xlfn.SWITCH(Table2[[#This Row],[mood]], "Tired", 3, "Neutral", 2, "Happy", 1)</f>
        <v>1</v>
      </c>
    </row>
    <row r="886" spans="1:16" x14ac:dyDescent="0.3">
      <c r="A886">
        <v>1172</v>
      </c>
      <c r="B886" s="1">
        <v>42889</v>
      </c>
      <c r="C886">
        <v>18</v>
      </c>
      <c r="D886" t="s">
        <v>20</v>
      </c>
      <c r="E886">
        <v>164.4</v>
      </c>
      <c r="F886">
        <v>45</v>
      </c>
      <c r="G886">
        <v>17702</v>
      </c>
      <c r="H886">
        <v>894.2</v>
      </c>
      <c r="I886">
        <v>7.1</v>
      </c>
      <c r="J886">
        <v>91</v>
      </c>
      <c r="K886" t="s">
        <v>22</v>
      </c>
      <c r="L886">
        <v>65</v>
      </c>
      <c r="M886">
        <v>2.04</v>
      </c>
      <c r="N886">
        <v>5</v>
      </c>
      <c r="O886" t="s">
        <v>17</v>
      </c>
      <c r="P886" cm="1">
        <f t="array" ref="P886">_xlfn.SWITCH(Table2[[#This Row],[mood]], "Tired", 3, "Neutral", 2, "Happy", 1)</f>
        <v>3</v>
      </c>
    </row>
    <row r="887" spans="1:16" x14ac:dyDescent="0.3">
      <c r="A887">
        <v>1652</v>
      </c>
      <c r="B887" s="1">
        <v>42890</v>
      </c>
      <c r="C887">
        <v>41</v>
      </c>
      <c r="D887" t="s">
        <v>15</v>
      </c>
      <c r="E887">
        <v>166.3</v>
      </c>
      <c r="F887">
        <v>71.900000000000006</v>
      </c>
      <c r="G887">
        <v>4717</v>
      </c>
      <c r="H887">
        <v>396.3</v>
      </c>
      <c r="I887">
        <v>6.8</v>
      </c>
      <c r="J887">
        <v>73</v>
      </c>
      <c r="K887" t="s">
        <v>25</v>
      </c>
      <c r="L887">
        <v>31</v>
      </c>
      <c r="M887">
        <v>3.09</v>
      </c>
      <c r="N887">
        <v>4</v>
      </c>
      <c r="O887" t="s">
        <v>21</v>
      </c>
      <c r="P887" cm="1">
        <f t="array" ref="P887">_xlfn.SWITCH(Table2[[#This Row],[mood]], "Tired", 3, "Neutral", 2, "Happy", 1)</f>
        <v>1</v>
      </c>
    </row>
    <row r="888" spans="1:16" x14ac:dyDescent="0.3">
      <c r="A888">
        <v>1753</v>
      </c>
      <c r="B888" s="1">
        <v>42891</v>
      </c>
      <c r="C888">
        <v>21</v>
      </c>
      <c r="D888" t="s">
        <v>20</v>
      </c>
      <c r="E888">
        <v>168.5</v>
      </c>
      <c r="F888">
        <v>49.8</v>
      </c>
      <c r="G888">
        <v>2374</v>
      </c>
      <c r="H888">
        <v>299.89999999999998</v>
      </c>
      <c r="I888">
        <v>8</v>
      </c>
      <c r="J888">
        <v>92</v>
      </c>
      <c r="K888" t="s">
        <v>23</v>
      </c>
      <c r="L888">
        <v>28</v>
      </c>
      <c r="M888">
        <v>2.54</v>
      </c>
      <c r="N888">
        <v>5</v>
      </c>
      <c r="O888" t="s">
        <v>19</v>
      </c>
      <c r="P888" cm="1">
        <f t="array" ref="P888">_xlfn.SWITCH(Table2[[#This Row],[mood]], "Tired", 3, "Neutral", 2, "Happy", 1)</f>
        <v>2</v>
      </c>
    </row>
    <row r="889" spans="1:16" x14ac:dyDescent="0.3">
      <c r="A889">
        <v>1219</v>
      </c>
      <c r="B889" s="1">
        <v>42892</v>
      </c>
      <c r="C889">
        <v>21</v>
      </c>
      <c r="D889" t="s">
        <v>20</v>
      </c>
      <c r="E889">
        <v>166.5</v>
      </c>
      <c r="F889">
        <v>67.400000000000006</v>
      </c>
      <c r="G889">
        <v>9679</v>
      </c>
      <c r="H889">
        <v>544.4</v>
      </c>
      <c r="I889">
        <v>7.8</v>
      </c>
      <c r="J889">
        <v>73</v>
      </c>
      <c r="K889" t="s">
        <v>24</v>
      </c>
      <c r="L889">
        <v>32</v>
      </c>
      <c r="M889">
        <v>2.98</v>
      </c>
      <c r="N889">
        <v>9</v>
      </c>
      <c r="O889" t="s">
        <v>17</v>
      </c>
      <c r="P889" cm="1">
        <f t="array" ref="P889">_xlfn.SWITCH(Table2[[#This Row],[mood]], "Tired", 3, "Neutral", 2, "Happy", 1)</f>
        <v>3</v>
      </c>
    </row>
    <row r="890" spans="1:16" x14ac:dyDescent="0.3">
      <c r="A890">
        <v>1637</v>
      </c>
      <c r="B890" s="1">
        <v>42893</v>
      </c>
      <c r="C890">
        <v>35</v>
      </c>
      <c r="D890" t="s">
        <v>20</v>
      </c>
      <c r="E890">
        <v>166.7</v>
      </c>
      <c r="F890">
        <v>70</v>
      </c>
      <c r="G890">
        <v>17834</v>
      </c>
      <c r="H890">
        <v>900</v>
      </c>
      <c r="I890">
        <v>6.1</v>
      </c>
      <c r="J890">
        <v>86</v>
      </c>
      <c r="K890" t="s">
        <v>22</v>
      </c>
      <c r="L890">
        <v>83</v>
      </c>
      <c r="M890">
        <v>2.56</v>
      </c>
      <c r="N890">
        <v>8</v>
      </c>
      <c r="O890" t="s">
        <v>17</v>
      </c>
      <c r="P890" cm="1">
        <f t="array" ref="P890">_xlfn.SWITCH(Table2[[#This Row],[mood]], "Tired", 3, "Neutral", 2, "Happy", 1)</f>
        <v>3</v>
      </c>
    </row>
    <row r="891" spans="1:16" x14ac:dyDescent="0.3">
      <c r="A891">
        <v>1057</v>
      </c>
      <c r="B891" s="1">
        <v>42894</v>
      </c>
      <c r="C891">
        <v>44</v>
      </c>
      <c r="D891" t="s">
        <v>15</v>
      </c>
      <c r="E891">
        <v>166.6</v>
      </c>
      <c r="F891">
        <v>104.2</v>
      </c>
      <c r="G891">
        <v>14427</v>
      </c>
      <c r="H891">
        <v>759</v>
      </c>
      <c r="I891">
        <v>5.8</v>
      </c>
      <c r="J891">
        <v>74</v>
      </c>
      <c r="K891" t="s">
        <v>25</v>
      </c>
      <c r="L891">
        <v>39</v>
      </c>
      <c r="M891">
        <v>3.36</v>
      </c>
      <c r="N891">
        <v>8</v>
      </c>
      <c r="O891" t="s">
        <v>19</v>
      </c>
      <c r="P891" cm="1">
        <f t="array" ref="P891">_xlfn.SWITCH(Table2[[#This Row],[mood]], "Tired", 3, "Neutral", 2, "Happy", 1)</f>
        <v>2</v>
      </c>
    </row>
    <row r="892" spans="1:16" x14ac:dyDescent="0.3">
      <c r="A892">
        <v>1659</v>
      </c>
      <c r="B892" s="1">
        <v>42895</v>
      </c>
      <c r="C892">
        <v>49</v>
      </c>
      <c r="D892" t="s">
        <v>20</v>
      </c>
      <c r="E892">
        <v>150</v>
      </c>
      <c r="F892">
        <v>69.099999999999994</v>
      </c>
      <c r="G892">
        <v>2940</v>
      </c>
      <c r="H892">
        <v>409.1</v>
      </c>
      <c r="I892">
        <v>7.1</v>
      </c>
      <c r="J892">
        <v>95</v>
      </c>
      <c r="K892" t="s">
        <v>23</v>
      </c>
      <c r="L892">
        <v>78</v>
      </c>
      <c r="M892">
        <v>2.58</v>
      </c>
      <c r="N892">
        <v>8</v>
      </c>
      <c r="O892" t="s">
        <v>17</v>
      </c>
      <c r="P892" cm="1">
        <f t="array" ref="P892">_xlfn.SWITCH(Table2[[#This Row],[mood]], "Tired", 3, "Neutral", 2, "Happy", 1)</f>
        <v>3</v>
      </c>
    </row>
    <row r="893" spans="1:16" x14ac:dyDescent="0.3">
      <c r="A893">
        <v>1475</v>
      </c>
      <c r="B893" s="1">
        <v>42896</v>
      </c>
      <c r="C893">
        <v>50</v>
      </c>
      <c r="D893" t="s">
        <v>15</v>
      </c>
      <c r="E893">
        <v>179.9</v>
      </c>
      <c r="F893">
        <v>68.8</v>
      </c>
      <c r="G893">
        <v>3367</v>
      </c>
      <c r="H893">
        <v>309.3</v>
      </c>
      <c r="I893">
        <v>4.2</v>
      </c>
      <c r="J893">
        <v>81</v>
      </c>
      <c r="K893" t="s">
        <v>24</v>
      </c>
      <c r="L893">
        <v>41</v>
      </c>
      <c r="M893">
        <v>3.5</v>
      </c>
      <c r="N893">
        <v>1</v>
      </c>
      <c r="O893" t="s">
        <v>19</v>
      </c>
      <c r="P893" cm="1">
        <f t="array" ref="P893">_xlfn.SWITCH(Table2[[#This Row],[mood]], "Tired", 3, "Neutral", 2, "Happy", 1)</f>
        <v>2</v>
      </c>
    </row>
    <row r="894" spans="1:16" x14ac:dyDescent="0.3">
      <c r="A894">
        <v>1455</v>
      </c>
      <c r="B894" s="1">
        <v>42897</v>
      </c>
      <c r="C894">
        <v>45</v>
      </c>
      <c r="D894" t="s">
        <v>15</v>
      </c>
      <c r="E894">
        <v>198.6</v>
      </c>
      <c r="F894">
        <v>85.1</v>
      </c>
      <c r="G894">
        <v>12428</v>
      </c>
      <c r="H894">
        <v>631.1</v>
      </c>
      <c r="I894">
        <v>6.5</v>
      </c>
      <c r="J894">
        <v>74</v>
      </c>
      <c r="K894" t="s">
        <v>23</v>
      </c>
      <c r="L894">
        <v>84</v>
      </c>
      <c r="M894">
        <v>1.81</v>
      </c>
      <c r="N894">
        <v>7</v>
      </c>
      <c r="O894" t="s">
        <v>21</v>
      </c>
      <c r="P894" cm="1">
        <f t="array" ref="P894">_xlfn.SWITCH(Table2[[#This Row],[mood]], "Tired", 3, "Neutral", 2, "Happy", 1)</f>
        <v>1</v>
      </c>
    </row>
    <row r="895" spans="1:16" x14ac:dyDescent="0.3">
      <c r="A895">
        <v>1828</v>
      </c>
      <c r="B895" s="1">
        <v>42898</v>
      </c>
      <c r="C895">
        <v>59</v>
      </c>
      <c r="D895" t="s">
        <v>20</v>
      </c>
      <c r="E895">
        <v>173</v>
      </c>
      <c r="F895">
        <v>69.2</v>
      </c>
      <c r="G895">
        <v>17631</v>
      </c>
      <c r="H895">
        <v>900</v>
      </c>
      <c r="I895">
        <v>5.5</v>
      </c>
      <c r="J895">
        <v>63</v>
      </c>
      <c r="K895" t="s">
        <v>16</v>
      </c>
      <c r="L895">
        <v>0</v>
      </c>
      <c r="M895">
        <v>2.41</v>
      </c>
      <c r="N895">
        <v>4</v>
      </c>
      <c r="O895" t="s">
        <v>21</v>
      </c>
      <c r="P895" cm="1">
        <f t="array" ref="P895">_xlfn.SWITCH(Table2[[#This Row],[mood]], "Tired", 3, "Neutral", 2, "Happy", 1)</f>
        <v>1</v>
      </c>
    </row>
    <row r="896" spans="1:16" x14ac:dyDescent="0.3">
      <c r="A896">
        <v>1894</v>
      </c>
      <c r="B896" s="1">
        <v>42899</v>
      </c>
      <c r="C896">
        <v>58</v>
      </c>
      <c r="D896" t="s">
        <v>20</v>
      </c>
      <c r="E896">
        <v>158.6</v>
      </c>
      <c r="F896">
        <v>97.5</v>
      </c>
      <c r="G896">
        <v>17862</v>
      </c>
      <c r="H896">
        <v>877.3</v>
      </c>
      <c r="I896">
        <v>6.1</v>
      </c>
      <c r="J896">
        <v>77</v>
      </c>
      <c r="K896" t="s">
        <v>25</v>
      </c>
      <c r="L896">
        <v>60</v>
      </c>
      <c r="M896">
        <v>2.08</v>
      </c>
      <c r="N896">
        <v>6</v>
      </c>
      <c r="O896" t="s">
        <v>17</v>
      </c>
      <c r="P896" cm="1">
        <f t="array" ref="P896">_xlfn.SWITCH(Table2[[#This Row],[mood]], "Tired", 3, "Neutral", 2, "Happy", 1)</f>
        <v>3</v>
      </c>
    </row>
    <row r="897" spans="1:16" x14ac:dyDescent="0.3">
      <c r="A897">
        <v>1360</v>
      </c>
      <c r="B897" s="1">
        <v>42900</v>
      </c>
      <c r="C897">
        <v>53</v>
      </c>
      <c r="D897" t="s">
        <v>20</v>
      </c>
      <c r="E897">
        <v>159.69999999999999</v>
      </c>
      <c r="F897">
        <v>80</v>
      </c>
      <c r="G897">
        <v>13655</v>
      </c>
      <c r="H897">
        <v>685.5</v>
      </c>
      <c r="I897">
        <v>5.8</v>
      </c>
      <c r="J897">
        <v>67</v>
      </c>
      <c r="K897" t="s">
        <v>25</v>
      </c>
      <c r="L897">
        <v>64</v>
      </c>
      <c r="M897">
        <v>2.77</v>
      </c>
      <c r="N897">
        <v>4</v>
      </c>
      <c r="O897" t="s">
        <v>19</v>
      </c>
      <c r="P897" cm="1">
        <f t="array" ref="P897">_xlfn.SWITCH(Table2[[#This Row],[mood]], "Tired", 3, "Neutral", 2, "Happy", 1)</f>
        <v>2</v>
      </c>
    </row>
    <row r="898" spans="1:16" x14ac:dyDescent="0.3">
      <c r="A898">
        <v>1934</v>
      </c>
      <c r="B898" s="1">
        <v>42901</v>
      </c>
      <c r="C898">
        <v>23</v>
      </c>
      <c r="D898" t="s">
        <v>20</v>
      </c>
      <c r="E898">
        <v>176.1</v>
      </c>
      <c r="F898">
        <v>82.4</v>
      </c>
      <c r="G898">
        <v>8968</v>
      </c>
      <c r="H898">
        <v>578.1</v>
      </c>
      <c r="I898">
        <v>8.1999999999999993</v>
      </c>
      <c r="J898">
        <v>79</v>
      </c>
      <c r="K898" t="s">
        <v>22</v>
      </c>
      <c r="L898">
        <v>23</v>
      </c>
      <c r="M898">
        <v>2.2999999999999998</v>
      </c>
      <c r="N898">
        <v>5</v>
      </c>
      <c r="O898" t="s">
        <v>19</v>
      </c>
      <c r="P898" cm="1">
        <f t="array" ref="P898">_xlfn.SWITCH(Table2[[#This Row],[mood]], "Tired", 3, "Neutral", 2, "Happy", 1)</f>
        <v>2</v>
      </c>
    </row>
    <row r="899" spans="1:16" x14ac:dyDescent="0.3">
      <c r="A899">
        <v>1000</v>
      </c>
      <c r="B899" s="1">
        <v>42902</v>
      </c>
      <c r="C899">
        <v>33</v>
      </c>
      <c r="D899" t="s">
        <v>15</v>
      </c>
      <c r="E899">
        <v>173.9</v>
      </c>
      <c r="F899">
        <v>45</v>
      </c>
      <c r="G899">
        <v>17292</v>
      </c>
      <c r="H899">
        <v>900</v>
      </c>
      <c r="I899">
        <v>7.7</v>
      </c>
      <c r="J899">
        <v>82</v>
      </c>
      <c r="K899" t="s">
        <v>24</v>
      </c>
      <c r="L899">
        <v>89</v>
      </c>
      <c r="M899">
        <v>2.34</v>
      </c>
      <c r="N899">
        <v>5</v>
      </c>
      <c r="O899" t="s">
        <v>21</v>
      </c>
      <c r="P899" cm="1">
        <f t="array" ref="P899">_xlfn.SWITCH(Table2[[#This Row],[mood]], "Tired", 3, "Neutral", 2, "Happy", 1)</f>
        <v>1</v>
      </c>
    </row>
    <row r="900" spans="1:16" x14ac:dyDescent="0.3">
      <c r="A900">
        <v>1386</v>
      </c>
      <c r="B900" s="1">
        <v>42903</v>
      </c>
      <c r="C900">
        <v>51</v>
      </c>
      <c r="D900" t="s">
        <v>20</v>
      </c>
      <c r="E900">
        <v>167.2</v>
      </c>
      <c r="F900">
        <v>99.8</v>
      </c>
      <c r="G900">
        <v>15743</v>
      </c>
      <c r="H900">
        <v>866.6</v>
      </c>
      <c r="I900">
        <v>7.1</v>
      </c>
      <c r="J900">
        <v>85</v>
      </c>
      <c r="K900" t="s">
        <v>18</v>
      </c>
      <c r="L900">
        <v>64</v>
      </c>
      <c r="M900">
        <v>2.0099999999999998</v>
      </c>
      <c r="N900">
        <v>1</v>
      </c>
      <c r="O900" t="s">
        <v>21</v>
      </c>
      <c r="P900" cm="1">
        <f t="array" ref="P900">_xlfn.SWITCH(Table2[[#This Row],[mood]], "Tired", 3, "Neutral", 2, "Happy", 1)</f>
        <v>1</v>
      </c>
    </row>
    <row r="901" spans="1:16" x14ac:dyDescent="0.3">
      <c r="A901">
        <v>1972</v>
      </c>
      <c r="B901" s="1">
        <v>42904</v>
      </c>
      <c r="C901">
        <v>40</v>
      </c>
      <c r="D901" t="s">
        <v>20</v>
      </c>
      <c r="E901">
        <v>177.5</v>
      </c>
      <c r="F901">
        <v>60.2</v>
      </c>
      <c r="G901">
        <v>2368</v>
      </c>
      <c r="H901">
        <v>266.10000000000002</v>
      </c>
      <c r="I901">
        <v>6.4</v>
      </c>
      <c r="J901">
        <v>80</v>
      </c>
      <c r="K901" t="s">
        <v>23</v>
      </c>
      <c r="L901">
        <v>77</v>
      </c>
      <c r="M901">
        <v>2.1800000000000002</v>
      </c>
      <c r="N901">
        <v>6</v>
      </c>
      <c r="O901" t="s">
        <v>17</v>
      </c>
      <c r="P901" cm="1">
        <f t="array" ref="P901">_xlfn.SWITCH(Table2[[#This Row],[mood]], "Tired", 3, "Neutral", 2, "Happy", 1)</f>
        <v>3</v>
      </c>
    </row>
    <row r="902" spans="1:16" x14ac:dyDescent="0.3">
      <c r="A902">
        <v>1347</v>
      </c>
      <c r="B902" s="1">
        <v>42905</v>
      </c>
      <c r="C902">
        <v>59</v>
      </c>
      <c r="D902" t="s">
        <v>20</v>
      </c>
      <c r="E902">
        <v>150</v>
      </c>
      <c r="F902">
        <v>69.900000000000006</v>
      </c>
      <c r="G902">
        <v>3226</v>
      </c>
      <c r="H902">
        <v>335.5</v>
      </c>
      <c r="I902">
        <v>8.6</v>
      </c>
      <c r="J902">
        <v>76</v>
      </c>
      <c r="K902" t="s">
        <v>24</v>
      </c>
      <c r="L902">
        <v>42</v>
      </c>
      <c r="M902">
        <v>2.4900000000000002</v>
      </c>
      <c r="N902">
        <v>10</v>
      </c>
      <c r="O902" t="s">
        <v>19</v>
      </c>
      <c r="P902" cm="1">
        <f t="array" ref="P902">_xlfn.SWITCH(Table2[[#This Row],[mood]], "Tired", 3, "Neutral", 2, "Happy", 1)</f>
        <v>2</v>
      </c>
    </row>
    <row r="903" spans="1:16" x14ac:dyDescent="0.3">
      <c r="A903">
        <v>1189</v>
      </c>
      <c r="B903" s="1">
        <v>42906</v>
      </c>
      <c r="C903">
        <v>41</v>
      </c>
      <c r="D903" t="s">
        <v>15</v>
      </c>
      <c r="E903">
        <v>177.5</v>
      </c>
      <c r="F903">
        <v>60.2</v>
      </c>
      <c r="G903">
        <v>12688</v>
      </c>
      <c r="H903">
        <v>693.2</v>
      </c>
      <c r="I903">
        <v>8.4</v>
      </c>
      <c r="J903">
        <v>88</v>
      </c>
      <c r="K903" t="s">
        <v>18</v>
      </c>
      <c r="L903">
        <v>51</v>
      </c>
      <c r="M903">
        <v>1.0900000000000001</v>
      </c>
      <c r="N903">
        <v>8</v>
      </c>
      <c r="O903" t="s">
        <v>17</v>
      </c>
      <c r="P903" cm="1">
        <f t="array" ref="P903">_xlfn.SWITCH(Table2[[#This Row],[mood]], "Tired", 3, "Neutral", 2, "Happy", 1)</f>
        <v>3</v>
      </c>
    </row>
    <row r="904" spans="1:16" x14ac:dyDescent="0.3">
      <c r="A904">
        <v>1504</v>
      </c>
      <c r="B904" s="1">
        <v>42907</v>
      </c>
      <c r="C904">
        <v>30</v>
      </c>
      <c r="D904" t="s">
        <v>20</v>
      </c>
      <c r="E904">
        <v>172.4</v>
      </c>
      <c r="F904">
        <v>54.6</v>
      </c>
      <c r="G904">
        <v>4612</v>
      </c>
      <c r="H904">
        <v>467.5</v>
      </c>
      <c r="I904">
        <v>6.8</v>
      </c>
      <c r="J904">
        <v>89</v>
      </c>
      <c r="K904" t="s">
        <v>24</v>
      </c>
      <c r="L904">
        <v>82</v>
      </c>
      <c r="M904">
        <v>0.89</v>
      </c>
      <c r="N904">
        <v>5</v>
      </c>
      <c r="O904" t="s">
        <v>17</v>
      </c>
      <c r="P904" cm="1">
        <f t="array" ref="P904">_xlfn.SWITCH(Table2[[#This Row],[mood]], "Tired", 3, "Neutral", 2, "Happy", 1)</f>
        <v>3</v>
      </c>
    </row>
    <row r="905" spans="1:16" x14ac:dyDescent="0.3">
      <c r="A905">
        <v>1190</v>
      </c>
      <c r="B905" s="1">
        <v>42908</v>
      </c>
      <c r="C905">
        <v>35</v>
      </c>
      <c r="D905" t="s">
        <v>20</v>
      </c>
      <c r="E905">
        <v>160</v>
      </c>
      <c r="F905">
        <v>52</v>
      </c>
      <c r="G905">
        <v>13199</v>
      </c>
      <c r="H905">
        <v>706.1</v>
      </c>
      <c r="I905">
        <v>9</v>
      </c>
      <c r="J905">
        <v>64</v>
      </c>
      <c r="K905" t="s">
        <v>23</v>
      </c>
      <c r="L905">
        <v>27</v>
      </c>
      <c r="M905">
        <v>2.54</v>
      </c>
      <c r="N905">
        <v>10</v>
      </c>
      <c r="O905" t="s">
        <v>17</v>
      </c>
      <c r="P905" cm="1">
        <f t="array" ref="P905">_xlfn.SWITCH(Table2[[#This Row],[mood]], "Tired", 3, "Neutral", 2, "Happy", 1)</f>
        <v>3</v>
      </c>
    </row>
    <row r="906" spans="1:16" x14ac:dyDescent="0.3">
      <c r="A906">
        <v>1507</v>
      </c>
      <c r="B906" s="1">
        <v>42909</v>
      </c>
      <c r="C906">
        <v>30</v>
      </c>
      <c r="D906" t="s">
        <v>15</v>
      </c>
      <c r="E906">
        <v>155.69999999999999</v>
      </c>
      <c r="F906">
        <v>71.5</v>
      </c>
      <c r="G906">
        <v>11034</v>
      </c>
      <c r="H906">
        <v>646.29999999999995</v>
      </c>
      <c r="I906">
        <v>6.7</v>
      </c>
      <c r="J906">
        <v>93</v>
      </c>
      <c r="K906" t="s">
        <v>23</v>
      </c>
      <c r="L906">
        <v>44</v>
      </c>
      <c r="M906">
        <v>0.56000000000000005</v>
      </c>
      <c r="N906">
        <v>6</v>
      </c>
      <c r="O906" t="s">
        <v>19</v>
      </c>
      <c r="P906" cm="1">
        <f t="array" ref="P906">_xlfn.SWITCH(Table2[[#This Row],[mood]], "Tired", 3, "Neutral", 2, "Happy", 1)</f>
        <v>2</v>
      </c>
    </row>
    <row r="907" spans="1:16" x14ac:dyDescent="0.3">
      <c r="A907">
        <v>1368</v>
      </c>
      <c r="B907" s="1">
        <v>42910</v>
      </c>
      <c r="C907">
        <v>54</v>
      </c>
      <c r="D907" t="s">
        <v>15</v>
      </c>
      <c r="E907">
        <v>171.2</v>
      </c>
      <c r="F907">
        <v>45</v>
      </c>
      <c r="G907">
        <v>12569</v>
      </c>
      <c r="H907">
        <v>711.2</v>
      </c>
      <c r="I907">
        <v>7.3</v>
      </c>
      <c r="J907">
        <v>87</v>
      </c>
      <c r="K907" t="s">
        <v>22</v>
      </c>
      <c r="L907">
        <v>52</v>
      </c>
      <c r="M907">
        <v>2.36</v>
      </c>
      <c r="N907">
        <v>5</v>
      </c>
      <c r="O907" t="s">
        <v>21</v>
      </c>
      <c r="P907" cm="1">
        <f t="array" ref="P907">_xlfn.SWITCH(Table2[[#This Row],[mood]], "Tired", 3, "Neutral", 2, "Happy", 1)</f>
        <v>1</v>
      </c>
    </row>
    <row r="908" spans="1:16" x14ac:dyDescent="0.3">
      <c r="A908">
        <v>1408</v>
      </c>
      <c r="B908" s="1">
        <v>42911</v>
      </c>
      <c r="C908">
        <v>56</v>
      </c>
      <c r="D908" t="s">
        <v>20</v>
      </c>
      <c r="E908">
        <v>184.1</v>
      </c>
      <c r="F908">
        <v>66.400000000000006</v>
      </c>
      <c r="G908">
        <v>2059</v>
      </c>
      <c r="H908">
        <v>224.3</v>
      </c>
      <c r="I908">
        <v>6.1</v>
      </c>
      <c r="J908">
        <v>66</v>
      </c>
      <c r="K908" t="s">
        <v>25</v>
      </c>
      <c r="L908">
        <v>85</v>
      </c>
      <c r="M908">
        <v>2.2400000000000002</v>
      </c>
      <c r="N908">
        <v>1</v>
      </c>
      <c r="O908" t="s">
        <v>19</v>
      </c>
      <c r="P908" cm="1">
        <f t="array" ref="P908">_xlfn.SWITCH(Table2[[#This Row],[mood]], "Tired", 3, "Neutral", 2, "Happy", 1)</f>
        <v>2</v>
      </c>
    </row>
    <row r="909" spans="1:16" x14ac:dyDescent="0.3">
      <c r="A909">
        <v>1823</v>
      </c>
      <c r="B909" s="1">
        <v>42912</v>
      </c>
      <c r="C909">
        <v>59</v>
      </c>
      <c r="D909" t="s">
        <v>20</v>
      </c>
      <c r="E909">
        <v>167.7</v>
      </c>
      <c r="F909">
        <v>85.9</v>
      </c>
      <c r="G909">
        <v>19028</v>
      </c>
      <c r="H909">
        <v>900</v>
      </c>
      <c r="I909">
        <v>6.4</v>
      </c>
      <c r="J909">
        <v>56</v>
      </c>
      <c r="K909" t="s">
        <v>25</v>
      </c>
      <c r="L909">
        <v>35</v>
      </c>
      <c r="M909">
        <v>2.88</v>
      </c>
      <c r="N909">
        <v>5</v>
      </c>
      <c r="O909" t="s">
        <v>19</v>
      </c>
      <c r="P909" cm="1">
        <f t="array" ref="P909">_xlfn.SWITCH(Table2[[#This Row],[mood]], "Tired", 3, "Neutral", 2, "Happy", 1)</f>
        <v>2</v>
      </c>
    </row>
    <row r="910" spans="1:16" x14ac:dyDescent="0.3">
      <c r="A910">
        <v>1928</v>
      </c>
      <c r="B910" s="1">
        <v>42913</v>
      </c>
      <c r="C910">
        <v>34</v>
      </c>
      <c r="D910" t="s">
        <v>20</v>
      </c>
      <c r="E910">
        <v>161.5</v>
      </c>
      <c r="F910">
        <v>79.5</v>
      </c>
      <c r="G910">
        <v>14115</v>
      </c>
      <c r="H910">
        <v>755.8</v>
      </c>
      <c r="I910">
        <v>6.1</v>
      </c>
      <c r="J910">
        <v>87</v>
      </c>
      <c r="K910" t="s">
        <v>25</v>
      </c>
      <c r="L910">
        <v>74</v>
      </c>
      <c r="M910">
        <v>2.0299999999999998</v>
      </c>
      <c r="N910">
        <v>2</v>
      </c>
      <c r="O910" t="s">
        <v>19</v>
      </c>
      <c r="P910" cm="1">
        <f t="array" ref="P910">_xlfn.SWITCH(Table2[[#This Row],[mood]], "Tired", 3, "Neutral", 2, "Happy", 1)</f>
        <v>2</v>
      </c>
    </row>
    <row r="911" spans="1:16" x14ac:dyDescent="0.3">
      <c r="A911">
        <v>1933</v>
      </c>
      <c r="B911" s="1">
        <v>42914</v>
      </c>
      <c r="C911">
        <v>32</v>
      </c>
      <c r="D911" t="s">
        <v>20</v>
      </c>
      <c r="E911">
        <v>171.9</v>
      </c>
      <c r="F911">
        <v>76.5</v>
      </c>
      <c r="G911">
        <v>19195</v>
      </c>
      <c r="H911">
        <v>900</v>
      </c>
      <c r="I911">
        <v>8</v>
      </c>
      <c r="J911">
        <v>77</v>
      </c>
      <c r="K911" t="s">
        <v>22</v>
      </c>
      <c r="L911">
        <v>55</v>
      </c>
      <c r="M911">
        <v>3.6</v>
      </c>
      <c r="N911">
        <v>4</v>
      </c>
      <c r="O911" t="s">
        <v>17</v>
      </c>
      <c r="P911" cm="1">
        <f t="array" ref="P911">_xlfn.SWITCH(Table2[[#This Row],[mood]], "Tired", 3, "Neutral", 2, "Happy", 1)</f>
        <v>3</v>
      </c>
    </row>
    <row r="912" spans="1:16" x14ac:dyDescent="0.3">
      <c r="A912">
        <v>1116</v>
      </c>
      <c r="B912" s="1">
        <v>42915</v>
      </c>
      <c r="C912">
        <v>35</v>
      </c>
      <c r="D912" t="s">
        <v>20</v>
      </c>
      <c r="E912">
        <v>188.2</v>
      </c>
      <c r="F912">
        <v>56.6</v>
      </c>
      <c r="G912">
        <v>3193</v>
      </c>
      <c r="H912">
        <v>337.5</v>
      </c>
      <c r="I912">
        <v>7.6</v>
      </c>
      <c r="J912">
        <v>70</v>
      </c>
      <c r="K912" t="s">
        <v>25</v>
      </c>
      <c r="L912">
        <v>26</v>
      </c>
      <c r="M912">
        <v>3.09</v>
      </c>
      <c r="N912">
        <v>2</v>
      </c>
      <c r="O912" t="s">
        <v>17</v>
      </c>
      <c r="P912" cm="1">
        <f t="array" ref="P912">_xlfn.SWITCH(Table2[[#This Row],[mood]], "Tired", 3, "Neutral", 2, "Happy", 1)</f>
        <v>3</v>
      </c>
    </row>
    <row r="913" spans="1:16" x14ac:dyDescent="0.3">
      <c r="A913">
        <v>1133</v>
      </c>
      <c r="B913" s="1">
        <v>42916</v>
      </c>
      <c r="C913">
        <v>40</v>
      </c>
      <c r="D913" t="s">
        <v>15</v>
      </c>
      <c r="E913">
        <v>174.3</v>
      </c>
      <c r="F913">
        <v>46.2</v>
      </c>
      <c r="G913">
        <v>17551</v>
      </c>
      <c r="H913">
        <v>883.1</v>
      </c>
      <c r="I913">
        <v>5.4</v>
      </c>
      <c r="J913">
        <v>78</v>
      </c>
      <c r="K913" t="s">
        <v>24</v>
      </c>
      <c r="L913">
        <v>88</v>
      </c>
      <c r="M913">
        <v>1.44</v>
      </c>
      <c r="N913">
        <v>8</v>
      </c>
      <c r="O913" t="s">
        <v>19</v>
      </c>
      <c r="P913" cm="1">
        <f t="array" ref="P913">_xlfn.SWITCH(Table2[[#This Row],[mood]], "Tired", 3, "Neutral", 2, "Happy", 1)</f>
        <v>2</v>
      </c>
    </row>
    <row r="914" spans="1:16" x14ac:dyDescent="0.3">
      <c r="A914">
        <v>1057</v>
      </c>
      <c r="B914" s="1">
        <v>42917</v>
      </c>
      <c r="C914">
        <v>47</v>
      </c>
      <c r="D914" t="s">
        <v>15</v>
      </c>
      <c r="E914">
        <v>175.4</v>
      </c>
      <c r="F914">
        <v>85.6</v>
      </c>
      <c r="G914">
        <v>17128</v>
      </c>
      <c r="H914">
        <v>877.9</v>
      </c>
      <c r="I914">
        <v>7.8</v>
      </c>
      <c r="J914">
        <v>87</v>
      </c>
      <c r="K914" t="s">
        <v>25</v>
      </c>
      <c r="L914">
        <v>27</v>
      </c>
      <c r="M914">
        <v>2.2999999999999998</v>
      </c>
      <c r="N914">
        <v>7</v>
      </c>
      <c r="O914" t="s">
        <v>17</v>
      </c>
      <c r="P914" cm="1">
        <f t="array" ref="P914">_xlfn.SWITCH(Table2[[#This Row],[mood]], "Tired", 3, "Neutral", 2, "Happy", 1)</f>
        <v>3</v>
      </c>
    </row>
    <row r="915" spans="1:16" x14ac:dyDescent="0.3">
      <c r="A915">
        <v>1555</v>
      </c>
      <c r="B915" s="1">
        <v>42918</v>
      </c>
      <c r="C915">
        <v>51</v>
      </c>
      <c r="D915" t="s">
        <v>20</v>
      </c>
      <c r="E915">
        <v>182.2</v>
      </c>
      <c r="F915">
        <v>63.3</v>
      </c>
      <c r="G915">
        <v>5182</v>
      </c>
      <c r="H915">
        <v>403.9</v>
      </c>
      <c r="I915">
        <v>9.6999999999999993</v>
      </c>
      <c r="J915">
        <v>55</v>
      </c>
      <c r="K915" t="s">
        <v>25</v>
      </c>
      <c r="L915">
        <v>22</v>
      </c>
      <c r="M915">
        <v>3.57</v>
      </c>
      <c r="N915">
        <v>9</v>
      </c>
      <c r="O915" t="s">
        <v>17</v>
      </c>
      <c r="P915" cm="1">
        <f t="array" ref="P915">_xlfn.SWITCH(Table2[[#This Row],[mood]], "Tired", 3, "Neutral", 2, "Happy", 1)</f>
        <v>3</v>
      </c>
    </row>
    <row r="916" spans="1:16" x14ac:dyDescent="0.3">
      <c r="A916">
        <v>1684</v>
      </c>
      <c r="B916" s="1">
        <v>42919</v>
      </c>
      <c r="C916">
        <v>21</v>
      </c>
      <c r="D916" t="s">
        <v>20</v>
      </c>
      <c r="E916">
        <v>174.7</v>
      </c>
      <c r="F916">
        <v>68.8</v>
      </c>
      <c r="G916">
        <v>19928</v>
      </c>
      <c r="H916">
        <v>900</v>
      </c>
      <c r="I916">
        <v>6</v>
      </c>
      <c r="J916">
        <v>76</v>
      </c>
      <c r="K916" t="s">
        <v>16</v>
      </c>
      <c r="L916">
        <v>0</v>
      </c>
      <c r="M916">
        <v>2.0099999999999998</v>
      </c>
      <c r="N916">
        <v>4</v>
      </c>
      <c r="O916" t="s">
        <v>21</v>
      </c>
      <c r="P916" cm="1">
        <f t="array" ref="P916">_xlfn.SWITCH(Table2[[#This Row],[mood]], "Tired", 3, "Neutral", 2, "Happy", 1)</f>
        <v>1</v>
      </c>
    </row>
    <row r="917" spans="1:16" x14ac:dyDescent="0.3">
      <c r="A917">
        <v>1671</v>
      </c>
      <c r="B917" s="1">
        <v>42920</v>
      </c>
      <c r="C917">
        <v>20</v>
      </c>
      <c r="D917" t="s">
        <v>15</v>
      </c>
      <c r="E917">
        <v>162.19999999999999</v>
      </c>
      <c r="F917">
        <v>67</v>
      </c>
      <c r="G917">
        <v>4868</v>
      </c>
      <c r="H917">
        <v>441.1</v>
      </c>
      <c r="I917">
        <v>5.9</v>
      </c>
      <c r="J917">
        <v>76</v>
      </c>
      <c r="K917" t="s">
        <v>23</v>
      </c>
      <c r="L917">
        <v>55</v>
      </c>
      <c r="M917">
        <v>2.46</v>
      </c>
      <c r="N917">
        <v>5</v>
      </c>
      <c r="O917" t="s">
        <v>19</v>
      </c>
      <c r="P917" cm="1">
        <f t="array" ref="P917">_xlfn.SWITCH(Table2[[#This Row],[mood]], "Tired", 3, "Neutral", 2, "Happy", 1)</f>
        <v>2</v>
      </c>
    </row>
    <row r="918" spans="1:16" x14ac:dyDescent="0.3">
      <c r="A918">
        <v>1172</v>
      </c>
      <c r="B918" s="1">
        <v>42921</v>
      </c>
      <c r="C918">
        <v>24</v>
      </c>
      <c r="D918" t="s">
        <v>20</v>
      </c>
      <c r="E918">
        <v>152.6</v>
      </c>
      <c r="F918">
        <v>80.099999999999994</v>
      </c>
      <c r="G918">
        <v>9506</v>
      </c>
      <c r="H918">
        <v>629.20000000000005</v>
      </c>
      <c r="I918">
        <v>7</v>
      </c>
      <c r="J918">
        <v>90</v>
      </c>
      <c r="K918" t="s">
        <v>22</v>
      </c>
      <c r="L918">
        <v>49</v>
      </c>
      <c r="M918">
        <v>3.48</v>
      </c>
      <c r="N918">
        <v>9</v>
      </c>
      <c r="O918" t="s">
        <v>19</v>
      </c>
      <c r="P918" cm="1">
        <f t="array" ref="P918">_xlfn.SWITCH(Table2[[#This Row],[mood]], "Tired", 3, "Neutral", 2, "Happy", 1)</f>
        <v>2</v>
      </c>
    </row>
    <row r="919" spans="1:16" x14ac:dyDescent="0.3">
      <c r="A919">
        <v>1828</v>
      </c>
      <c r="B919" s="1">
        <v>42922</v>
      </c>
      <c r="C919">
        <v>35</v>
      </c>
      <c r="D919" t="s">
        <v>20</v>
      </c>
      <c r="E919">
        <v>160.80000000000001</v>
      </c>
      <c r="F919">
        <v>97.6</v>
      </c>
      <c r="G919">
        <v>6950</v>
      </c>
      <c r="H919">
        <v>428.5</v>
      </c>
      <c r="I919">
        <v>9.1</v>
      </c>
      <c r="J919">
        <v>83</v>
      </c>
      <c r="K919" t="s">
        <v>22</v>
      </c>
      <c r="L919">
        <v>34</v>
      </c>
      <c r="M919">
        <v>2.12</v>
      </c>
      <c r="N919">
        <v>9</v>
      </c>
      <c r="O919" t="s">
        <v>17</v>
      </c>
      <c r="P919" cm="1">
        <f t="array" ref="P919">_xlfn.SWITCH(Table2[[#This Row],[mood]], "Tired", 3, "Neutral", 2, "Happy", 1)</f>
        <v>3</v>
      </c>
    </row>
    <row r="920" spans="1:16" x14ac:dyDescent="0.3">
      <c r="A920">
        <v>1814</v>
      </c>
      <c r="B920" s="1">
        <v>42923</v>
      </c>
      <c r="C920">
        <v>59</v>
      </c>
      <c r="D920" t="s">
        <v>20</v>
      </c>
      <c r="E920">
        <v>159</v>
      </c>
      <c r="F920">
        <v>91.9</v>
      </c>
      <c r="G920">
        <v>9914</v>
      </c>
      <c r="H920">
        <v>650</v>
      </c>
      <c r="I920">
        <v>6.3</v>
      </c>
      <c r="J920">
        <v>83</v>
      </c>
      <c r="K920" t="s">
        <v>25</v>
      </c>
      <c r="L920">
        <v>87</v>
      </c>
      <c r="M920">
        <v>3.29</v>
      </c>
      <c r="N920">
        <v>2</v>
      </c>
      <c r="O920" t="s">
        <v>19</v>
      </c>
      <c r="P920" cm="1">
        <f t="array" ref="P920">_xlfn.SWITCH(Table2[[#This Row],[mood]], "Tired", 3, "Neutral", 2, "Happy", 1)</f>
        <v>2</v>
      </c>
    </row>
    <row r="921" spans="1:16" x14ac:dyDescent="0.3">
      <c r="A921">
        <v>1148</v>
      </c>
      <c r="B921" s="1">
        <v>42924</v>
      </c>
      <c r="C921">
        <v>24</v>
      </c>
      <c r="D921" t="s">
        <v>20</v>
      </c>
      <c r="E921">
        <v>176.6</v>
      </c>
      <c r="F921">
        <v>45</v>
      </c>
      <c r="G921">
        <v>15141</v>
      </c>
      <c r="H921">
        <v>843.2</v>
      </c>
      <c r="I921">
        <v>9.8000000000000007</v>
      </c>
      <c r="J921">
        <v>71</v>
      </c>
      <c r="K921" t="s">
        <v>16</v>
      </c>
      <c r="L921">
        <v>0</v>
      </c>
      <c r="M921">
        <v>1.86</v>
      </c>
      <c r="N921">
        <v>1</v>
      </c>
      <c r="O921" t="s">
        <v>19</v>
      </c>
      <c r="P921" cm="1">
        <f t="array" ref="P921">_xlfn.SWITCH(Table2[[#This Row],[mood]], "Tired", 3, "Neutral", 2, "Happy", 1)</f>
        <v>2</v>
      </c>
    </row>
    <row r="922" spans="1:16" x14ac:dyDescent="0.3">
      <c r="A922">
        <v>1079</v>
      </c>
      <c r="B922" s="1">
        <v>42925</v>
      </c>
      <c r="C922">
        <v>57</v>
      </c>
      <c r="D922" t="s">
        <v>20</v>
      </c>
      <c r="E922">
        <v>178</v>
      </c>
      <c r="F922">
        <v>65.400000000000006</v>
      </c>
      <c r="G922">
        <v>12537</v>
      </c>
      <c r="H922">
        <v>698.8</v>
      </c>
      <c r="I922">
        <v>5.4</v>
      </c>
      <c r="J922">
        <v>82</v>
      </c>
      <c r="K922" t="s">
        <v>18</v>
      </c>
      <c r="L922">
        <v>47</v>
      </c>
      <c r="M922">
        <v>0.5</v>
      </c>
      <c r="N922">
        <v>3</v>
      </c>
      <c r="O922" t="s">
        <v>19</v>
      </c>
      <c r="P922" cm="1">
        <f t="array" ref="P922">_xlfn.SWITCH(Table2[[#This Row],[mood]], "Tired", 3, "Neutral", 2, "Happy", 1)</f>
        <v>2</v>
      </c>
    </row>
    <row r="923" spans="1:16" x14ac:dyDescent="0.3">
      <c r="A923">
        <v>1885</v>
      </c>
      <c r="B923" s="1">
        <v>42926</v>
      </c>
      <c r="C923">
        <v>23</v>
      </c>
      <c r="D923" t="s">
        <v>15</v>
      </c>
      <c r="E923">
        <v>171.8</v>
      </c>
      <c r="F923">
        <v>49.8</v>
      </c>
      <c r="G923">
        <v>17154</v>
      </c>
      <c r="H923">
        <v>812.5</v>
      </c>
      <c r="I923">
        <v>7.3</v>
      </c>
      <c r="J923">
        <v>70</v>
      </c>
      <c r="K923" t="s">
        <v>23</v>
      </c>
      <c r="L923">
        <v>61</v>
      </c>
      <c r="M923">
        <v>3.36</v>
      </c>
      <c r="N923">
        <v>10</v>
      </c>
      <c r="O923" t="s">
        <v>19</v>
      </c>
      <c r="P923" cm="1">
        <f t="array" ref="P923">_xlfn.SWITCH(Table2[[#This Row],[mood]], "Tired", 3, "Neutral", 2, "Happy", 1)</f>
        <v>2</v>
      </c>
    </row>
    <row r="924" spans="1:16" x14ac:dyDescent="0.3">
      <c r="A924">
        <v>1212</v>
      </c>
      <c r="B924" s="1">
        <v>42927</v>
      </c>
      <c r="C924">
        <v>39</v>
      </c>
      <c r="D924" t="s">
        <v>20</v>
      </c>
      <c r="E924">
        <v>157.30000000000001</v>
      </c>
      <c r="F924">
        <v>84.1</v>
      </c>
      <c r="G924">
        <v>3309</v>
      </c>
      <c r="H924">
        <v>343</v>
      </c>
      <c r="I924">
        <v>4.4000000000000004</v>
      </c>
      <c r="J924">
        <v>74</v>
      </c>
      <c r="K924" t="s">
        <v>25</v>
      </c>
      <c r="L924">
        <v>37</v>
      </c>
      <c r="M924">
        <v>2.81</v>
      </c>
      <c r="N924">
        <v>1</v>
      </c>
      <c r="O924" t="s">
        <v>17</v>
      </c>
      <c r="P924" cm="1">
        <f t="array" ref="P924">_xlfn.SWITCH(Table2[[#This Row],[mood]], "Tired", 3, "Neutral", 2, "Happy", 1)</f>
        <v>3</v>
      </c>
    </row>
    <row r="925" spans="1:16" x14ac:dyDescent="0.3">
      <c r="A925">
        <v>1202</v>
      </c>
      <c r="B925" s="1">
        <v>42928</v>
      </c>
      <c r="C925">
        <v>18</v>
      </c>
      <c r="D925" t="s">
        <v>20</v>
      </c>
      <c r="E925">
        <v>187.9</v>
      </c>
      <c r="F925">
        <v>70.099999999999994</v>
      </c>
      <c r="G925">
        <v>7630</v>
      </c>
      <c r="H925">
        <v>487.5</v>
      </c>
      <c r="I925">
        <v>5.6</v>
      </c>
      <c r="J925">
        <v>81</v>
      </c>
      <c r="K925" t="s">
        <v>18</v>
      </c>
      <c r="L925">
        <v>24</v>
      </c>
      <c r="M925">
        <v>2.85</v>
      </c>
      <c r="N925">
        <v>6</v>
      </c>
      <c r="O925" t="s">
        <v>21</v>
      </c>
      <c r="P925" cm="1">
        <f t="array" ref="P925">_xlfn.SWITCH(Table2[[#This Row],[mood]], "Tired", 3, "Neutral", 2, "Happy", 1)</f>
        <v>1</v>
      </c>
    </row>
    <row r="926" spans="1:16" x14ac:dyDescent="0.3">
      <c r="A926">
        <v>1763</v>
      </c>
      <c r="B926" s="1">
        <v>42929</v>
      </c>
      <c r="C926">
        <v>21</v>
      </c>
      <c r="D926" t="s">
        <v>20</v>
      </c>
      <c r="E926">
        <v>165.8</v>
      </c>
      <c r="F926">
        <v>79.099999999999994</v>
      </c>
      <c r="G926">
        <v>11693</v>
      </c>
      <c r="H926">
        <v>695.5</v>
      </c>
      <c r="I926">
        <v>6.7</v>
      </c>
      <c r="J926">
        <v>76</v>
      </c>
      <c r="K926" t="s">
        <v>24</v>
      </c>
      <c r="L926">
        <v>28</v>
      </c>
      <c r="M926">
        <v>1.73</v>
      </c>
      <c r="N926">
        <v>8</v>
      </c>
      <c r="O926" t="s">
        <v>17</v>
      </c>
      <c r="P926" cm="1">
        <f t="array" ref="P926">_xlfn.SWITCH(Table2[[#This Row],[mood]], "Tired", 3, "Neutral", 2, "Happy", 1)</f>
        <v>3</v>
      </c>
    </row>
    <row r="927" spans="1:16" x14ac:dyDescent="0.3">
      <c r="A927">
        <v>1228</v>
      </c>
      <c r="B927" s="1">
        <v>42930</v>
      </c>
      <c r="C927">
        <v>46</v>
      </c>
      <c r="D927" t="s">
        <v>15</v>
      </c>
      <c r="E927">
        <v>176</v>
      </c>
      <c r="F927">
        <v>64.099999999999994</v>
      </c>
      <c r="G927">
        <v>15778</v>
      </c>
      <c r="H927">
        <v>863.5</v>
      </c>
      <c r="I927">
        <v>7.4</v>
      </c>
      <c r="J927">
        <v>78</v>
      </c>
      <c r="K927" t="s">
        <v>16</v>
      </c>
      <c r="L927">
        <v>0</v>
      </c>
      <c r="M927">
        <v>1.79</v>
      </c>
      <c r="N927">
        <v>4</v>
      </c>
      <c r="O927" t="s">
        <v>21</v>
      </c>
      <c r="P927" cm="1">
        <f t="array" ref="P927">_xlfn.SWITCH(Table2[[#This Row],[mood]], "Tired", 3, "Neutral", 2, "Happy", 1)</f>
        <v>1</v>
      </c>
    </row>
    <row r="928" spans="1:16" x14ac:dyDescent="0.3">
      <c r="A928">
        <v>1675</v>
      </c>
      <c r="B928" s="1">
        <v>42931</v>
      </c>
      <c r="C928">
        <v>38</v>
      </c>
      <c r="D928" t="s">
        <v>15</v>
      </c>
      <c r="E928">
        <v>170.5</v>
      </c>
      <c r="F928">
        <v>54.4</v>
      </c>
      <c r="G928">
        <v>12525</v>
      </c>
      <c r="H928">
        <v>767</v>
      </c>
      <c r="I928">
        <v>8.9</v>
      </c>
      <c r="J928">
        <v>88</v>
      </c>
      <c r="K928" t="s">
        <v>16</v>
      </c>
      <c r="L928">
        <v>0</v>
      </c>
      <c r="M928">
        <v>3.31</v>
      </c>
      <c r="N928">
        <v>4</v>
      </c>
      <c r="O928" t="s">
        <v>19</v>
      </c>
      <c r="P928" cm="1">
        <f t="array" ref="P928">_xlfn.SWITCH(Table2[[#This Row],[mood]], "Tired", 3, "Neutral", 2, "Happy", 1)</f>
        <v>2</v>
      </c>
    </row>
    <row r="929" spans="1:16" x14ac:dyDescent="0.3">
      <c r="A929">
        <v>1226</v>
      </c>
      <c r="B929" s="1">
        <v>42932</v>
      </c>
      <c r="C929">
        <v>43</v>
      </c>
      <c r="D929" t="s">
        <v>15</v>
      </c>
      <c r="E929">
        <v>172.1</v>
      </c>
      <c r="F929">
        <v>57</v>
      </c>
      <c r="G929">
        <v>14416</v>
      </c>
      <c r="H929">
        <v>723.6</v>
      </c>
      <c r="I929">
        <v>6</v>
      </c>
      <c r="J929">
        <v>71</v>
      </c>
      <c r="K929" t="s">
        <v>23</v>
      </c>
      <c r="L929">
        <v>75</v>
      </c>
      <c r="M929">
        <v>2.67</v>
      </c>
      <c r="N929">
        <v>10</v>
      </c>
      <c r="O929" t="s">
        <v>19</v>
      </c>
      <c r="P929" cm="1">
        <f t="array" ref="P929">_xlfn.SWITCH(Table2[[#This Row],[mood]], "Tired", 3, "Neutral", 2, "Happy", 1)</f>
        <v>2</v>
      </c>
    </row>
    <row r="930" spans="1:16" x14ac:dyDescent="0.3">
      <c r="A930">
        <v>1658</v>
      </c>
      <c r="B930" s="1">
        <v>42933</v>
      </c>
      <c r="C930">
        <v>31</v>
      </c>
      <c r="D930" t="s">
        <v>15</v>
      </c>
      <c r="E930">
        <v>175.7</v>
      </c>
      <c r="F930">
        <v>47</v>
      </c>
      <c r="G930">
        <v>19407</v>
      </c>
      <c r="H930">
        <v>900</v>
      </c>
      <c r="I930">
        <v>7.6</v>
      </c>
      <c r="J930">
        <v>65</v>
      </c>
      <c r="K930" t="s">
        <v>16</v>
      </c>
      <c r="L930">
        <v>0</v>
      </c>
      <c r="M930">
        <v>2.42</v>
      </c>
      <c r="N930">
        <v>1</v>
      </c>
      <c r="O930" t="s">
        <v>19</v>
      </c>
      <c r="P930" cm="1">
        <f t="array" ref="P930">_xlfn.SWITCH(Table2[[#This Row],[mood]], "Tired", 3, "Neutral", 2, "Happy", 1)</f>
        <v>2</v>
      </c>
    </row>
    <row r="931" spans="1:16" x14ac:dyDescent="0.3">
      <c r="A931">
        <v>1531</v>
      </c>
      <c r="B931" s="1">
        <v>42934</v>
      </c>
      <c r="C931">
        <v>26</v>
      </c>
      <c r="D931" t="s">
        <v>20</v>
      </c>
      <c r="E931">
        <v>163</v>
      </c>
      <c r="F931">
        <v>51</v>
      </c>
      <c r="G931">
        <v>17733</v>
      </c>
      <c r="H931">
        <v>900</v>
      </c>
      <c r="I931">
        <v>5</v>
      </c>
      <c r="J931">
        <v>66</v>
      </c>
      <c r="K931" t="s">
        <v>22</v>
      </c>
      <c r="L931">
        <v>81</v>
      </c>
      <c r="M931">
        <v>2.65</v>
      </c>
      <c r="N931">
        <v>9</v>
      </c>
      <c r="O931" t="s">
        <v>19</v>
      </c>
      <c r="P931" cm="1">
        <f t="array" ref="P931">_xlfn.SWITCH(Table2[[#This Row],[mood]], "Tired", 3, "Neutral", 2, "Happy", 1)</f>
        <v>2</v>
      </c>
    </row>
    <row r="932" spans="1:16" x14ac:dyDescent="0.3">
      <c r="A932">
        <v>1440</v>
      </c>
      <c r="B932" s="1">
        <v>42935</v>
      </c>
      <c r="C932">
        <v>29</v>
      </c>
      <c r="D932" t="s">
        <v>15</v>
      </c>
      <c r="E932">
        <v>183.1</v>
      </c>
      <c r="F932">
        <v>47.9</v>
      </c>
      <c r="G932">
        <v>9629</v>
      </c>
      <c r="H932">
        <v>620.9</v>
      </c>
      <c r="I932">
        <v>8.5</v>
      </c>
      <c r="J932">
        <v>64</v>
      </c>
      <c r="K932" t="s">
        <v>18</v>
      </c>
      <c r="L932">
        <v>54</v>
      </c>
      <c r="M932">
        <v>3.56</v>
      </c>
      <c r="N932">
        <v>10</v>
      </c>
      <c r="O932" t="s">
        <v>19</v>
      </c>
      <c r="P932" cm="1">
        <f t="array" ref="P932">_xlfn.SWITCH(Table2[[#This Row],[mood]], "Tired", 3, "Neutral", 2, "Happy", 1)</f>
        <v>2</v>
      </c>
    </row>
    <row r="933" spans="1:16" x14ac:dyDescent="0.3">
      <c r="A933">
        <v>1401</v>
      </c>
      <c r="B933" s="1">
        <v>42936</v>
      </c>
      <c r="C933">
        <v>59</v>
      </c>
      <c r="D933" t="s">
        <v>20</v>
      </c>
      <c r="E933">
        <v>154.19999999999999</v>
      </c>
      <c r="F933">
        <v>54.5</v>
      </c>
      <c r="G933">
        <v>9360</v>
      </c>
      <c r="H933">
        <v>670.2</v>
      </c>
      <c r="I933">
        <v>9</v>
      </c>
      <c r="J933">
        <v>91</v>
      </c>
      <c r="K933" t="s">
        <v>25</v>
      </c>
      <c r="L933">
        <v>59</v>
      </c>
      <c r="M933">
        <v>3.01</v>
      </c>
      <c r="N933">
        <v>8</v>
      </c>
      <c r="O933" t="s">
        <v>19</v>
      </c>
      <c r="P933" cm="1">
        <f t="array" ref="P933">_xlfn.SWITCH(Table2[[#This Row],[mood]], "Tired", 3, "Neutral", 2, "Happy", 1)</f>
        <v>2</v>
      </c>
    </row>
    <row r="934" spans="1:16" x14ac:dyDescent="0.3">
      <c r="A934">
        <v>1046</v>
      </c>
      <c r="B934" s="1">
        <v>42937</v>
      </c>
      <c r="C934">
        <v>23</v>
      </c>
      <c r="D934" t="s">
        <v>20</v>
      </c>
      <c r="E934">
        <v>159.6</v>
      </c>
      <c r="F934">
        <v>53.6</v>
      </c>
      <c r="G934">
        <v>13011</v>
      </c>
      <c r="H934">
        <v>736.3</v>
      </c>
      <c r="I934">
        <v>8.6</v>
      </c>
      <c r="J934">
        <v>82</v>
      </c>
      <c r="K934" t="s">
        <v>18</v>
      </c>
      <c r="L934">
        <v>70</v>
      </c>
      <c r="M934">
        <v>2.17</v>
      </c>
      <c r="N934">
        <v>3</v>
      </c>
      <c r="O934" t="s">
        <v>19</v>
      </c>
      <c r="P934" cm="1">
        <f t="array" ref="P934">_xlfn.SWITCH(Table2[[#This Row],[mood]], "Tired", 3, "Neutral", 2, "Happy", 1)</f>
        <v>2</v>
      </c>
    </row>
    <row r="935" spans="1:16" x14ac:dyDescent="0.3">
      <c r="A935">
        <v>1232</v>
      </c>
      <c r="B935" s="1">
        <v>42938</v>
      </c>
      <c r="C935">
        <v>37</v>
      </c>
      <c r="D935" t="s">
        <v>15</v>
      </c>
      <c r="E935">
        <v>182.9</v>
      </c>
      <c r="F935">
        <v>75.900000000000006</v>
      </c>
      <c r="G935">
        <v>8953</v>
      </c>
      <c r="H935">
        <v>609.79999999999995</v>
      </c>
      <c r="I935">
        <v>8.6</v>
      </c>
      <c r="J935">
        <v>86</v>
      </c>
      <c r="K935" t="s">
        <v>22</v>
      </c>
      <c r="L935">
        <v>79</v>
      </c>
      <c r="M935">
        <v>1.52</v>
      </c>
      <c r="N935">
        <v>3</v>
      </c>
      <c r="O935" t="s">
        <v>21</v>
      </c>
      <c r="P935" cm="1">
        <f t="array" ref="P935">_xlfn.SWITCH(Table2[[#This Row],[mood]], "Tired", 3, "Neutral", 2, "Happy", 1)</f>
        <v>1</v>
      </c>
    </row>
    <row r="936" spans="1:16" x14ac:dyDescent="0.3">
      <c r="A936">
        <v>1304</v>
      </c>
      <c r="B936" s="1">
        <v>42939</v>
      </c>
      <c r="C936">
        <v>41</v>
      </c>
      <c r="D936" t="s">
        <v>15</v>
      </c>
      <c r="E936">
        <v>175.9</v>
      </c>
      <c r="F936">
        <v>75.3</v>
      </c>
      <c r="G936">
        <v>4301</v>
      </c>
      <c r="H936">
        <v>380.5</v>
      </c>
      <c r="I936">
        <v>6.9</v>
      </c>
      <c r="J936">
        <v>84</v>
      </c>
      <c r="K936" t="s">
        <v>24</v>
      </c>
      <c r="L936">
        <v>75</v>
      </c>
      <c r="M936">
        <v>2.91</v>
      </c>
      <c r="N936">
        <v>10</v>
      </c>
      <c r="O936" t="s">
        <v>17</v>
      </c>
      <c r="P936" cm="1">
        <f t="array" ref="P936">_xlfn.SWITCH(Table2[[#This Row],[mood]], "Tired", 3, "Neutral", 2, "Happy", 1)</f>
        <v>3</v>
      </c>
    </row>
    <row r="937" spans="1:16" x14ac:dyDescent="0.3">
      <c r="A937">
        <v>1525</v>
      </c>
      <c r="B937" s="1">
        <v>42940</v>
      </c>
      <c r="C937">
        <v>44</v>
      </c>
      <c r="D937" t="s">
        <v>15</v>
      </c>
      <c r="E937">
        <v>195.4</v>
      </c>
      <c r="F937">
        <v>75.900000000000006</v>
      </c>
      <c r="G937">
        <v>12227</v>
      </c>
      <c r="H937">
        <v>731.1</v>
      </c>
      <c r="I937">
        <v>7.4</v>
      </c>
      <c r="J937">
        <v>73</v>
      </c>
      <c r="K937" t="s">
        <v>18</v>
      </c>
      <c r="L937">
        <v>60</v>
      </c>
      <c r="M937">
        <v>1.85</v>
      </c>
      <c r="N937">
        <v>4</v>
      </c>
      <c r="O937" t="s">
        <v>19</v>
      </c>
      <c r="P937" cm="1">
        <f t="array" ref="P937">_xlfn.SWITCH(Table2[[#This Row],[mood]], "Tired", 3, "Neutral", 2, "Happy", 1)</f>
        <v>2</v>
      </c>
    </row>
    <row r="938" spans="1:16" x14ac:dyDescent="0.3">
      <c r="A938">
        <v>1142</v>
      </c>
      <c r="B938" s="1">
        <v>42941</v>
      </c>
      <c r="C938">
        <v>55</v>
      </c>
      <c r="D938" t="s">
        <v>15</v>
      </c>
      <c r="E938">
        <v>170.7</v>
      </c>
      <c r="F938">
        <v>87.6</v>
      </c>
      <c r="G938">
        <v>7819</v>
      </c>
      <c r="H938">
        <v>570.79999999999995</v>
      </c>
      <c r="I938">
        <v>6.9</v>
      </c>
      <c r="J938">
        <v>91</v>
      </c>
      <c r="K938" t="s">
        <v>25</v>
      </c>
      <c r="L938">
        <v>73</v>
      </c>
      <c r="M938">
        <v>1.67</v>
      </c>
      <c r="N938">
        <v>4</v>
      </c>
      <c r="O938" t="s">
        <v>19</v>
      </c>
      <c r="P938" cm="1">
        <f t="array" ref="P938">_xlfn.SWITCH(Table2[[#This Row],[mood]], "Tired", 3, "Neutral", 2, "Happy", 1)</f>
        <v>2</v>
      </c>
    </row>
    <row r="939" spans="1:16" x14ac:dyDescent="0.3">
      <c r="A939">
        <v>1414</v>
      </c>
      <c r="B939" s="1">
        <v>42942</v>
      </c>
      <c r="C939">
        <v>25</v>
      </c>
      <c r="D939" t="s">
        <v>15</v>
      </c>
      <c r="E939">
        <v>187</v>
      </c>
      <c r="F939">
        <v>68.8</v>
      </c>
      <c r="G939">
        <v>12782</v>
      </c>
      <c r="H939">
        <v>764.2</v>
      </c>
      <c r="I939">
        <v>6.9</v>
      </c>
      <c r="J939">
        <v>68</v>
      </c>
      <c r="K939" t="s">
        <v>18</v>
      </c>
      <c r="L939">
        <v>36</v>
      </c>
      <c r="M939">
        <v>3.42</v>
      </c>
      <c r="N939">
        <v>2</v>
      </c>
      <c r="O939" t="s">
        <v>19</v>
      </c>
      <c r="P939" cm="1">
        <f t="array" ref="P939">_xlfn.SWITCH(Table2[[#This Row],[mood]], "Tired", 3, "Neutral", 2, "Happy", 1)</f>
        <v>2</v>
      </c>
    </row>
    <row r="940" spans="1:16" x14ac:dyDescent="0.3">
      <c r="A940">
        <v>1512</v>
      </c>
      <c r="B940" s="1">
        <v>42943</v>
      </c>
      <c r="C940">
        <v>18</v>
      </c>
      <c r="D940" t="s">
        <v>20</v>
      </c>
      <c r="E940">
        <v>151.4</v>
      </c>
      <c r="F940">
        <v>58.3</v>
      </c>
      <c r="G940">
        <v>3769</v>
      </c>
      <c r="H940">
        <v>275.2</v>
      </c>
      <c r="I940">
        <v>5.9</v>
      </c>
      <c r="J940">
        <v>95</v>
      </c>
      <c r="K940" t="s">
        <v>16</v>
      </c>
      <c r="L940">
        <v>0</v>
      </c>
      <c r="M940">
        <v>3.11</v>
      </c>
      <c r="N940">
        <v>4</v>
      </c>
      <c r="O940" t="s">
        <v>21</v>
      </c>
      <c r="P940" cm="1">
        <f t="array" ref="P940">_xlfn.SWITCH(Table2[[#This Row],[mood]], "Tired", 3, "Neutral", 2, "Happy", 1)</f>
        <v>1</v>
      </c>
    </row>
    <row r="941" spans="1:16" x14ac:dyDescent="0.3">
      <c r="A941">
        <v>1372</v>
      </c>
      <c r="B941" s="1">
        <v>42944</v>
      </c>
      <c r="C941">
        <v>41</v>
      </c>
      <c r="D941" t="s">
        <v>15</v>
      </c>
      <c r="E941">
        <v>155.9</v>
      </c>
      <c r="F941">
        <v>103.2</v>
      </c>
      <c r="G941">
        <v>11492</v>
      </c>
      <c r="H941">
        <v>639</v>
      </c>
      <c r="I941">
        <v>7.4</v>
      </c>
      <c r="J941">
        <v>76</v>
      </c>
      <c r="K941" t="s">
        <v>24</v>
      </c>
      <c r="L941">
        <v>28</v>
      </c>
      <c r="M941">
        <v>2.77</v>
      </c>
      <c r="N941">
        <v>2</v>
      </c>
      <c r="O941" t="s">
        <v>19</v>
      </c>
      <c r="P941" cm="1">
        <f t="array" ref="P941">_xlfn.SWITCH(Table2[[#This Row],[mood]], "Tired", 3, "Neutral", 2, "Happy", 1)</f>
        <v>2</v>
      </c>
    </row>
    <row r="942" spans="1:16" x14ac:dyDescent="0.3">
      <c r="A942">
        <v>1565</v>
      </c>
      <c r="B942" s="1">
        <v>42945</v>
      </c>
      <c r="C942">
        <v>24</v>
      </c>
      <c r="D942" t="s">
        <v>15</v>
      </c>
      <c r="E942">
        <v>179</v>
      </c>
      <c r="F942">
        <v>83.6</v>
      </c>
      <c r="G942">
        <v>19564</v>
      </c>
      <c r="H942">
        <v>900</v>
      </c>
      <c r="I942">
        <v>7.6</v>
      </c>
      <c r="J942">
        <v>93</v>
      </c>
      <c r="K942" t="s">
        <v>18</v>
      </c>
      <c r="L942">
        <v>75</v>
      </c>
      <c r="M942">
        <v>1.63</v>
      </c>
      <c r="N942">
        <v>7</v>
      </c>
      <c r="O942" t="s">
        <v>17</v>
      </c>
      <c r="P942" cm="1">
        <f t="array" ref="P942">_xlfn.SWITCH(Table2[[#This Row],[mood]], "Tired", 3, "Neutral", 2, "Happy", 1)</f>
        <v>3</v>
      </c>
    </row>
    <row r="943" spans="1:16" x14ac:dyDescent="0.3">
      <c r="A943">
        <v>1885</v>
      </c>
      <c r="B943" s="1">
        <v>42946</v>
      </c>
      <c r="C943">
        <v>36</v>
      </c>
      <c r="D943" t="s">
        <v>15</v>
      </c>
      <c r="E943">
        <v>152.6</v>
      </c>
      <c r="F943">
        <v>72.3</v>
      </c>
      <c r="G943">
        <v>4345</v>
      </c>
      <c r="H943">
        <v>398.7</v>
      </c>
      <c r="I943">
        <v>8.5</v>
      </c>
      <c r="J943">
        <v>65</v>
      </c>
      <c r="K943" t="s">
        <v>24</v>
      </c>
      <c r="L943">
        <v>42</v>
      </c>
      <c r="M943">
        <v>3.75</v>
      </c>
      <c r="N943">
        <v>5</v>
      </c>
      <c r="O943" t="s">
        <v>21</v>
      </c>
      <c r="P943" cm="1">
        <f t="array" ref="P943">_xlfn.SWITCH(Table2[[#This Row],[mood]], "Tired", 3, "Neutral", 2, "Happy", 1)</f>
        <v>1</v>
      </c>
    </row>
    <row r="944" spans="1:16" x14ac:dyDescent="0.3">
      <c r="A944">
        <v>1258</v>
      </c>
      <c r="B944" s="1">
        <v>42947</v>
      </c>
      <c r="C944">
        <v>39</v>
      </c>
      <c r="D944" t="s">
        <v>20</v>
      </c>
      <c r="E944">
        <v>168</v>
      </c>
      <c r="F944">
        <v>71.2</v>
      </c>
      <c r="G944">
        <v>3665</v>
      </c>
      <c r="H944">
        <v>344.1</v>
      </c>
      <c r="I944">
        <v>7.6</v>
      </c>
      <c r="J944">
        <v>71</v>
      </c>
      <c r="K944" t="s">
        <v>24</v>
      </c>
      <c r="L944">
        <v>21</v>
      </c>
      <c r="M944">
        <v>3.22</v>
      </c>
      <c r="N944">
        <v>7</v>
      </c>
      <c r="O944" t="s">
        <v>21</v>
      </c>
      <c r="P944" cm="1">
        <f t="array" ref="P944">_xlfn.SWITCH(Table2[[#This Row],[mood]], "Tired", 3, "Neutral", 2, "Happy", 1)</f>
        <v>1</v>
      </c>
    </row>
    <row r="945" spans="1:16" x14ac:dyDescent="0.3">
      <c r="A945">
        <v>1655</v>
      </c>
      <c r="B945" s="1">
        <v>42948</v>
      </c>
      <c r="C945">
        <v>52</v>
      </c>
      <c r="D945" t="s">
        <v>15</v>
      </c>
      <c r="E945">
        <v>181.7</v>
      </c>
      <c r="F945">
        <v>74.3</v>
      </c>
      <c r="G945">
        <v>11784</v>
      </c>
      <c r="H945">
        <v>696.7</v>
      </c>
      <c r="I945">
        <v>8.3000000000000007</v>
      </c>
      <c r="J945">
        <v>59</v>
      </c>
      <c r="K945" t="s">
        <v>23</v>
      </c>
      <c r="L945">
        <v>64</v>
      </c>
      <c r="M945">
        <v>2.29</v>
      </c>
      <c r="N945">
        <v>6</v>
      </c>
      <c r="O945" t="s">
        <v>19</v>
      </c>
      <c r="P945" cm="1">
        <f t="array" ref="P945">_xlfn.SWITCH(Table2[[#This Row],[mood]], "Tired", 3, "Neutral", 2, "Happy", 1)</f>
        <v>2</v>
      </c>
    </row>
    <row r="946" spans="1:16" x14ac:dyDescent="0.3">
      <c r="A946">
        <v>1470</v>
      </c>
      <c r="B946" s="1">
        <v>42949</v>
      </c>
      <c r="C946">
        <v>47</v>
      </c>
      <c r="D946" t="s">
        <v>20</v>
      </c>
      <c r="E946">
        <v>175</v>
      </c>
      <c r="F946">
        <v>67</v>
      </c>
      <c r="G946">
        <v>13366</v>
      </c>
      <c r="H946">
        <v>679.5</v>
      </c>
      <c r="I946">
        <v>5.9</v>
      </c>
      <c r="J946">
        <v>85</v>
      </c>
      <c r="K946" t="s">
        <v>23</v>
      </c>
      <c r="L946">
        <v>84</v>
      </c>
      <c r="M946">
        <v>2.14</v>
      </c>
      <c r="N946">
        <v>2</v>
      </c>
      <c r="O946" t="s">
        <v>21</v>
      </c>
      <c r="P946" cm="1">
        <f t="array" ref="P946">_xlfn.SWITCH(Table2[[#This Row],[mood]], "Tired", 3, "Neutral", 2, "Happy", 1)</f>
        <v>1</v>
      </c>
    </row>
    <row r="947" spans="1:16" x14ac:dyDescent="0.3">
      <c r="A947">
        <v>1952</v>
      </c>
      <c r="B947" s="1">
        <v>42950</v>
      </c>
      <c r="C947">
        <v>46</v>
      </c>
      <c r="D947" t="s">
        <v>15</v>
      </c>
      <c r="E947">
        <v>170.1</v>
      </c>
      <c r="F947">
        <v>71.900000000000006</v>
      </c>
      <c r="G947">
        <v>19926</v>
      </c>
      <c r="H947">
        <v>900</v>
      </c>
      <c r="I947">
        <v>9.1</v>
      </c>
      <c r="J947">
        <v>78</v>
      </c>
      <c r="K947" t="s">
        <v>25</v>
      </c>
      <c r="L947">
        <v>57</v>
      </c>
      <c r="M947">
        <v>2.5499999999999998</v>
      </c>
      <c r="N947">
        <v>2</v>
      </c>
      <c r="O947" t="s">
        <v>19</v>
      </c>
      <c r="P947" cm="1">
        <f t="array" ref="P947">_xlfn.SWITCH(Table2[[#This Row],[mood]], "Tired", 3, "Neutral", 2, "Happy", 1)</f>
        <v>2</v>
      </c>
    </row>
    <row r="948" spans="1:16" x14ac:dyDescent="0.3">
      <c r="A948">
        <v>1970</v>
      </c>
      <c r="B948" s="1">
        <v>42951</v>
      </c>
      <c r="C948">
        <v>39</v>
      </c>
      <c r="D948" t="s">
        <v>15</v>
      </c>
      <c r="E948">
        <v>165.5</v>
      </c>
      <c r="F948">
        <v>77.5</v>
      </c>
      <c r="G948">
        <v>10325</v>
      </c>
      <c r="H948">
        <v>631.6</v>
      </c>
      <c r="I948">
        <v>6.6</v>
      </c>
      <c r="J948">
        <v>95</v>
      </c>
      <c r="K948" t="s">
        <v>25</v>
      </c>
      <c r="L948">
        <v>25</v>
      </c>
      <c r="M948">
        <v>2.17</v>
      </c>
      <c r="N948">
        <v>1</v>
      </c>
      <c r="O948" t="s">
        <v>17</v>
      </c>
      <c r="P948" cm="1">
        <f t="array" ref="P948">_xlfn.SWITCH(Table2[[#This Row],[mood]], "Tired", 3, "Neutral", 2, "Happy", 1)</f>
        <v>3</v>
      </c>
    </row>
    <row r="949" spans="1:16" x14ac:dyDescent="0.3">
      <c r="A949">
        <v>1011</v>
      </c>
      <c r="B949" s="1">
        <v>42952</v>
      </c>
      <c r="C949">
        <v>28</v>
      </c>
      <c r="D949" t="s">
        <v>20</v>
      </c>
      <c r="E949">
        <v>172</v>
      </c>
      <c r="F949">
        <v>59.1</v>
      </c>
      <c r="G949">
        <v>6440</v>
      </c>
      <c r="H949">
        <v>461.9</v>
      </c>
      <c r="I949">
        <v>3.9</v>
      </c>
      <c r="J949">
        <v>70</v>
      </c>
      <c r="K949" t="s">
        <v>25</v>
      </c>
      <c r="L949">
        <v>67</v>
      </c>
      <c r="M949">
        <v>4.05</v>
      </c>
      <c r="N949">
        <v>1</v>
      </c>
      <c r="O949" t="s">
        <v>17</v>
      </c>
      <c r="P949" cm="1">
        <f t="array" ref="P949">_xlfn.SWITCH(Table2[[#This Row],[mood]], "Tired", 3, "Neutral", 2, "Happy", 1)</f>
        <v>3</v>
      </c>
    </row>
    <row r="950" spans="1:16" x14ac:dyDescent="0.3">
      <c r="A950">
        <v>1329</v>
      </c>
      <c r="B950" s="1">
        <v>42953</v>
      </c>
      <c r="C950">
        <v>37</v>
      </c>
      <c r="D950" t="s">
        <v>15</v>
      </c>
      <c r="E950">
        <v>175.8</v>
      </c>
      <c r="F950">
        <v>45.5</v>
      </c>
      <c r="G950">
        <v>8110</v>
      </c>
      <c r="H950">
        <v>515.5</v>
      </c>
      <c r="I950">
        <v>6.4</v>
      </c>
      <c r="J950">
        <v>88</v>
      </c>
      <c r="K950" t="s">
        <v>24</v>
      </c>
      <c r="L950">
        <v>63</v>
      </c>
      <c r="M950">
        <v>2.23</v>
      </c>
      <c r="N950">
        <v>5</v>
      </c>
      <c r="O950" t="s">
        <v>21</v>
      </c>
      <c r="P950" cm="1">
        <f t="array" ref="P950">_xlfn.SWITCH(Table2[[#This Row],[mood]], "Tired", 3, "Neutral", 2, "Happy", 1)</f>
        <v>1</v>
      </c>
    </row>
    <row r="951" spans="1:16" x14ac:dyDescent="0.3">
      <c r="A951">
        <v>1735</v>
      </c>
      <c r="B951" s="1">
        <v>42954</v>
      </c>
      <c r="C951">
        <v>46</v>
      </c>
      <c r="D951" t="s">
        <v>20</v>
      </c>
      <c r="E951">
        <v>163.4</v>
      </c>
      <c r="F951">
        <v>45</v>
      </c>
      <c r="G951">
        <v>19815</v>
      </c>
      <c r="H951">
        <v>900</v>
      </c>
      <c r="I951">
        <v>7.9</v>
      </c>
      <c r="J951">
        <v>76</v>
      </c>
      <c r="K951" t="s">
        <v>24</v>
      </c>
      <c r="L951">
        <v>26</v>
      </c>
      <c r="M951">
        <v>1.75</v>
      </c>
      <c r="N951">
        <v>5</v>
      </c>
      <c r="O951" t="s">
        <v>21</v>
      </c>
      <c r="P951" cm="1">
        <f t="array" ref="P951">_xlfn.SWITCH(Table2[[#This Row],[mood]], "Tired", 3, "Neutral", 2, "Happy", 1)</f>
        <v>1</v>
      </c>
    </row>
    <row r="952" spans="1:16" x14ac:dyDescent="0.3">
      <c r="A952">
        <v>1783</v>
      </c>
      <c r="B952" s="1">
        <v>42955</v>
      </c>
      <c r="C952">
        <v>58</v>
      </c>
      <c r="D952" t="s">
        <v>20</v>
      </c>
      <c r="E952">
        <v>173.7</v>
      </c>
      <c r="F952">
        <v>83.3</v>
      </c>
      <c r="G952">
        <v>18771</v>
      </c>
      <c r="H952">
        <v>900</v>
      </c>
      <c r="I952">
        <v>7.1</v>
      </c>
      <c r="J952">
        <v>74</v>
      </c>
      <c r="K952" t="s">
        <v>23</v>
      </c>
      <c r="L952">
        <v>85</v>
      </c>
      <c r="M952">
        <v>3.61</v>
      </c>
      <c r="N952">
        <v>7</v>
      </c>
      <c r="O952" t="s">
        <v>19</v>
      </c>
      <c r="P952" cm="1">
        <f t="array" ref="P952">_xlfn.SWITCH(Table2[[#This Row],[mood]], "Tired", 3, "Neutral", 2, "Happy", 1)</f>
        <v>2</v>
      </c>
    </row>
    <row r="953" spans="1:16" x14ac:dyDescent="0.3">
      <c r="A953">
        <v>1967</v>
      </c>
      <c r="B953" s="1">
        <v>42956</v>
      </c>
      <c r="C953">
        <v>59</v>
      </c>
      <c r="D953" t="s">
        <v>20</v>
      </c>
      <c r="E953">
        <v>180.8</v>
      </c>
      <c r="F953">
        <v>46.3</v>
      </c>
      <c r="G953">
        <v>12495</v>
      </c>
      <c r="H953">
        <v>683.6</v>
      </c>
      <c r="I953">
        <v>4.0999999999999996</v>
      </c>
      <c r="J953">
        <v>72</v>
      </c>
      <c r="K953" t="s">
        <v>16</v>
      </c>
      <c r="L953">
        <v>0</v>
      </c>
      <c r="M953">
        <v>2.1</v>
      </c>
      <c r="N953">
        <v>1</v>
      </c>
      <c r="O953" t="s">
        <v>21</v>
      </c>
      <c r="P953" cm="1">
        <f t="array" ref="P953">_xlfn.SWITCH(Table2[[#This Row],[mood]], "Tired", 3, "Neutral", 2, "Happy", 1)</f>
        <v>1</v>
      </c>
    </row>
    <row r="954" spans="1:16" x14ac:dyDescent="0.3">
      <c r="A954">
        <v>1357</v>
      </c>
      <c r="B954" s="1">
        <v>42957</v>
      </c>
      <c r="C954">
        <v>51</v>
      </c>
      <c r="D954" t="s">
        <v>15</v>
      </c>
      <c r="E954">
        <v>167.8</v>
      </c>
      <c r="F954">
        <v>77</v>
      </c>
      <c r="G954">
        <v>10629</v>
      </c>
      <c r="H954">
        <v>714.6</v>
      </c>
      <c r="I954">
        <v>7.3</v>
      </c>
      <c r="J954">
        <v>67</v>
      </c>
      <c r="K954" t="s">
        <v>24</v>
      </c>
      <c r="L954">
        <v>49</v>
      </c>
      <c r="M954">
        <v>3.05</v>
      </c>
      <c r="N954">
        <v>5</v>
      </c>
      <c r="O954" t="s">
        <v>17</v>
      </c>
      <c r="P954" cm="1">
        <f t="array" ref="P954">_xlfn.SWITCH(Table2[[#This Row],[mood]], "Tired", 3, "Neutral", 2, "Happy", 1)</f>
        <v>3</v>
      </c>
    </row>
    <row r="955" spans="1:16" x14ac:dyDescent="0.3">
      <c r="A955">
        <v>1971</v>
      </c>
      <c r="B955" s="1">
        <v>42958</v>
      </c>
      <c r="C955">
        <v>18</v>
      </c>
      <c r="D955" t="s">
        <v>15</v>
      </c>
      <c r="E955">
        <v>170.7</v>
      </c>
      <c r="F955">
        <v>52.7</v>
      </c>
      <c r="G955">
        <v>16533</v>
      </c>
      <c r="H955">
        <v>782</v>
      </c>
      <c r="I955">
        <v>7.2</v>
      </c>
      <c r="J955">
        <v>79</v>
      </c>
      <c r="K955" t="s">
        <v>23</v>
      </c>
      <c r="L955">
        <v>71</v>
      </c>
      <c r="M955">
        <v>2.97</v>
      </c>
      <c r="N955">
        <v>2</v>
      </c>
      <c r="O955" t="s">
        <v>21</v>
      </c>
      <c r="P955" cm="1">
        <f t="array" ref="P955">_xlfn.SWITCH(Table2[[#This Row],[mood]], "Tired", 3, "Neutral", 2, "Happy", 1)</f>
        <v>1</v>
      </c>
    </row>
    <row r="956" spans="1:16" x14ac:dyDescent="0.3">
      <c r="A956">
        <v>1407</v>
      </c>
      <c r="B956" s="1">
        <v>42959</v>
      </c>
      <c r="C956">
        <v>48</v>
      </c>
      <c r="D956" t="s">
        <v>15</v>
      </c>
      <c r="E956">
        <v>174.8</v>
      </c>
      <c r="F956">
        <v>52.9</v>
      </c>
      <c r="G956">
        <v>19823</v>
      </c>
      <c r="H956">
        <v>900</v>
      </c>
      <c r="I956">
        <v>5.5</v>
      </c>
      <c r="J956">
        <v>77</v>
      </c>
      <c r="K956" t="s">
        <v>18</v>
      </c>
      <c r="L956">
        <v>55</v>
      </c>
      <c r="M956">
        <v>2.46</v>
      </c>
      <c r="N956">
        <v>10</v>
      </c>
      <c r="O956" t="s">
        <v>17</v>
      </c>
      <c r="P956" cm="1">
        <f t="array" ref="P956">_xlfn.SWITCH(Table2[[#This Row],[mood]], "Tired", 3, "Neutral", 2, "Happy", 1)</f>
        <v>3</v>
      </c>
    </row>
    <row r="957" spans="1:16" x14ac:dyDescent="0.3">
      <c r="A957">
        <v>1667</v>
      </c>
      <c r="B957" s="1">
        <v>42960</v>
      </c>
      <c r="C957">
        <v>47</v>
      </c>
      <c r="D957" t="s">
        <v>20</v>
      </c>
      <c r="E957">
        <v>175.5</v>
      </c>
      <c r="F957">
        <v>59.2</v>
      </c>
      <c r="G957">
        <v>12365</v>
      </c>
      <c r="H957">
        <v>733.7</v>
      </c>
      <c r="I957">
        <v>7.8</v>
      </c>
      <c r="J957">
        <v>59</v>
      </c>
      <c r="K957" t="s">
        <v>25</v>
      </c>
      <c r="L957">
        <v>54</v>
      </c>
      <c r="M957">
        <v>1.82</v>
      </c>
      <c r="N957">
        <v>1</v>
      </c>
      <c r="O957" t="s">
        <v>19</v>
      </c>
      <c r="P957" cm="1">
        <f t="array" ref="P957">_xlfn.SWITCH(Table2[[#This Row],[mood]], "Tired", 3, "Neutral", 2, "Happy", 1)</f>
        <v>2</v>
      </c>
    </row>
    <row r="958" spans="1:16" x14ac:dyDescent="0.3">
      <c r="A958">
        <v>1372</v>
      </c>
      <c r="B958" s="1">
        <v>42961</v>
      </c>
      <c r="C958">
        <v>35</v>
      </c>
      <c r="D958" t="s">
        <v>15</v>
      </c>
      <c r="E958">
        <v>178.8</v>
      </c>
      <c r="F958">
        <v>72.900000000000006</v>
      </c>
      <c r="G958">
        <v>13099</v>
      </c>
      <c r="H958">
        <v>663</v>
      </c>
      <c r="I958">
        <v>6.8</v>
      </c>
      <c r="J958">
        <v>50</v>
      </c>
      <c r="K958" t="s">
        <v>25</v>
      </c>
      <c r="L958">
        <v>85</v>
      </c>
      <c r="M958">
        <v>2.4700000000000002</v>
      </c>
      <c r="N958">
        <v>7</v>
      </c>
      <c r="O958" t="s">
        <v>17</v>
      </c>
      <c r="P958" cm="1">
        <f t="array" ref="P958">_xlfn.SWITCH(Table2[[#This Row],[mood]], "Tired", 3, "Neutral", 2, "Happy", 1)</f>
        <v>3</v>
      </c>
    </row>
    <row r="959" spans="1:16" x14ac:dyDescent="0.3">
      <c r="A959">
        <v>1007</v>
      </c>
      <c r="B959" s="1">
        <v>42962</v>
      </c>
      <c r="C959">
        <v>34</v>
      </c>
      <c r="D959" t="s">
        <v>20</v>
      </c>
      <c r="E959">
        <v>159.9</v>
      </c>
      <c r="F959">
        <v>50.7</v>
      </c>
      <c r="G959">
        <v>2316</v>
      </c>
      <c r="H959">
        <v>192.5</v>
      </c>
      <c r="I959">
        <v>4.0999999999999996</v>
      </c>
      <c r="J959">
        <v>72</v>
      </c>
      <c r="K959" t="s">
        <v>22</v>
      </c>
      <c r="L959">
        <v>69</v>
      </c>
      <c r="M959">
        <v>1.68</v>
      </c>
      <c r="N959">
        <v>3</v>
      </c>
      <c r="O959" t="s">
        <v>21</v>
      </c>
      <c r="P959" cm="1">
        <f t="array" ref="P959">_xlfn.SWITCH(Table2[[#This Row],[mood]], "Tired", 3, "Neutral", 2, "Happy", 1)</f>
        <v>1</v>
      </c>
    </row>
    <row r="960" spans="1:16" x14ac:dyDescent="0.3">
      <c r="A960">
        <v>1121</v>
      </c>
      <c r="B960" s="1">
        <v>42963</v>
      </c>
      <c r="C960">
        <v>55</v>
      </c>
      <c r="D960" t="s">
        <v>15</v>
      </c>
      <c r="E960">
        <v>164.7</v>
      </c>
      <c r="F960">
        <v>60.7</v>
      </c>
      <c r="G960">
        <v>6204</v>
      </c>
      <c r="H960">
        <v>498.9</v>
      </c>
      <c r="I960">
        <v>8</v>
      </c>
      <c r="J960">
        <v>87</v>
      </c>
      <c r="K960" t="s">
        <v>16</v>
      </c>
      <c r="L960">
        <v>0</v>
      </c>
      <c r="M960">
        <v>2.48</v>
      </c>
      <c r="N960">
        <v>9</v>
      </c>
      <c r="O960" t="s">
        <v>17</v>
      </c>
      <c r="P960" cm="1">
        <f t="array" ref="P960">_xlfn.SWITCH(Table2[[#This Row],[mood]], "Tired", 3, "Neutral", 2, "Happy", 1)</f>
        <v>3</v>
      </c>
    </row>
    <row r="961" spans="1:16" x14ac:dyDescent="0.3">
      <c r="A961">
        <v>1347</v>
      </c>
      <c r="B961" s="1">
        <v>42964</v>
      </c>
      <c r="C961">
        <v>31</v>
      </c>
      <c r="D961" t="s">
        <v>20</v>
      </c>
      <c r="E961">
        <v>165.1</v>
      </c>
      <c r="F961">
        <v>69.599999999999994</v>
      </c>
      <c r="G961">
        <v>14512</v>
      </c>
      <c r="H961">
        <v>843.5</v>
      </c>
      <c r="I961">
        <v>7.3</v>
      </c>
      <c r="J961">
        <v>77</v>
      </c>
      <c r="K961" t="s">
        <v>23</v>
      </c>
      <c r="L961">
        <v>23</v>
      </c>
      <c r="M961">
        <v>3.04</v>
      </c>
      <c r="N961">
        <v>5</v>
      </c>
      <c r="O961" t="s">
        <v>17</v>
      </c>
      <c r="P961" cm="1">
        <f t="array" ref="P961">_xlfn.SWITCH(Table2[[#This Row],[mood]], "Tired", 3, "Neutral", 2, "Happy", 1)</f>
        <v>3</v>
      </c>
    </row>
    <row r="962" spans="1:16" x14ac:dyDescent="0.3">
      <c r="A962">
        <v>1675</v>
      </c>
      <c r="B962" s="1">
        <v>42965</v>
      </c>
      <c r="C962">
        <v>40</v>
      </c>
      <c r="D962" t="s">
        <v>20</v>
      </c>
      <c r="E962">
        <v>161</v>
      </c>
      <c r="F962">
        <v>51.8</v>
      </c>
      <c r="G962">
        <v>1684</v>
      </c>
      <c r="H962">
        <v>202</v>
      </c>
      <c r="I962">
        <v>9.3000000000000007</v>
      </c>
      <c r="J962">
        <v>62</v>
      </c>
      <c r="K962" t="s">
        <v>22</v>
      </c>
      <c r="L962">
        <v>74</v>
      </c>
      <c r="M962">
        <v>3.7</v>
      </c>
      <c r="N962">
        <v>5</v>
      </c>
      <c r="O962" t="s">
        <v>21</v>
      </c>
      <c r="P962" cm="1">
        <f t="array" ref="P962">_xlfn.SWITCH(Table2[[#This Row],[mood]], "Tired", 3, "Neutral", 2, "Happy", 1)</f>
        <v>1</v>
      </c>
    </row>
    <row r="963" spans="1:16" x14ac:dyDescent="0.3">
      <c r="A963">
        <v>1089</v>
      </c>
      <c r="B963" s="1">
        <v>42966</v>
      </c>
      <c r="C963">
        <v>42</v>
      </c>
      <c r="D963" t="s">
        <v>20</v>
      </c>
      <c r="E963">
        <v>152</v>
      </c>
      <c r="F963">
        <v>91.4</v>
      </c>
      <c r="G963">
        <v>7440</v>
      </c>
      <c r="H963">
        <v>407.8</v>
      </c>
      <c r="I963">
        <v>5.7</v>
      </c>
      <c r="J963">
        <v>57</v>
      </c>
      <c r="K963" t="s">
        <v>25</v>
      </c>
      <c r="L963">
        <v>71</v>
      </c>
      <c r="M963">
        <v>1.74</v>
      </c>
      <c r="N963">
        <v>5</v>
      </c>
      <c r="O963" t="s">
        <v>19</v>
      </c>
      <c r="P963" cm="1">
        <f t="array" ref="P963">_xlfn.SWITCH(Table2[[#This Row],[mood]], "Tired", 3, "Neutral", 2, "Happy", 1)</f>
        <v>2</v>
      </c>
    </row>
    <row r="964" spans="1:16" x14ac:dyDescent="0.3">
      <c r="A964">
        <v>1647</v>
      </c>
      <c r="B964" s="1">
        <v>42967</v>
      </c>
      <c r="C964">
        <v>32</v>
      </c>
      <c r="D964" t="s">
        <v>15</v>
      </c>
      <c r="E964">
        <v>150</v>
      </c>
      <c r="F964">
        <v>45</v>
      </c>
      <c r="G964">
        <v>12735</v>
      </c>
      <c r="H964">
        <v>648.5</v>
      </c>
      <c r="I964">
        <v>6.7</v>
      </c>
      <c r="J964">
        <v>87</v>
      </c>
      <c r="K964" t="s">
        <v>22</v>
      </c>
      <c r="L964">
        <v>78</v>
      </c>
      <c r="M964">
        <v>2.3199999999999998</v>
      </c>
      <c r="N964">
        <v>9</v>
      </c>
      <c r="O964" t="s">
        <v>17</v>
      </c>
      <c r="P964" cm="1">
        <f t="array" ref="P964">_xlfn.SWITCH(Table2[[#This Row],[mood]], "Tired", 3, "Neutral", 2, "Happy", 1)</f>
        <v>3</v>
      </c>
    </row>
    <row r="965" spans="1:16" x14ac:dyDescent="0.3">
      <c r="A965">
        <v>1697</v>
      </c>
      <c r="B965" s="1">
        <v>42968</v>
      </c>
      <c r="C965">
        <v>39</v>
      </c>
      <c r="D965" t="s">
        <v>20</v>
      </c>
      <c r="E965">
        <v>182</v>
      </c>
      <c r="F965">
        <v>66.7</v>
      </c>
      <c r="G965">
        <v>4087</v>
      </c>
      <c r="H965">
        <v>328.5</v>
      </c>
      <c r="I965">
        <v>8.6</v>
      </c>
      <c r="J965">
        <v>58</v>
      </c>
      <c r="K965" t="s">
        <v>18</v>
      </c>
      <c r="L965">
        <v>39</v>
      </c>
      <c r="M965">
        <v>2.13</v>
      </c>
      <c r="N965">
        <v>10</v>
      </c>
      <c r="O965" t="s">
        <v>21</v>
      </c>
      <c r="P965" cm="1">
        <f t="array" ref="P965">_xlfn.SWITCH(Table2[[#This Row],[mood]], "Tired", 3, "Neutral", 2, "Happy", 1)</f>
        <v>1</v>
      </c>
    </row>
    <row r="966" spans="1:16" x14ac:dyDescent="0.3">
      <c r="A966">
        <v>1315</v>
      </c>
      <c r="B966" s="1">
        <v>42969</v>
      </c>
      <c r="C966">
        <v>20</v>
      </c>
      <c r="D966" t="s">
        <v>20</v>
      </c>
      <c r="E966">
        <v>154.5</v>
      </c>
      <c r="F966">
        <v>89.1</v>
      </c>
      <c r="G966">
        <v>10867</v>
      </c>
      <c r="H966">
        <v>730.4</v>
      </c>
      <c r="I966">
        <v>5.6</v>
      </c>
      <c r="J966">
        <v>83</v>
      </c>
      <c r="K966" t="s">
        <v>22</v>
      </c>
      <c r="L966">
        <v>38</v>
      </c>
      <c r="M966">
        <v>2.69</v>
      </c>
      <c r="N966">
        <v>1</v>
      </c>
      <c r="O966" t="s">
        <v>17</v>
      </c>
      <c r="P966" cm="1">
        <f t="array" ref="P966">_xlfn.SWITCH(Table2[[#This Row],[mood]], "Tired", 3, "Neutral", 2, "Happy", 1)</f>
        <v>3</v>
      </c>
    </row>
    <row r="967" spans="1:16" x14ac:dyDescent="0.3">
      <c r="A967">
        <v>1177</v>
      </c>
      <c r="B967" s="1">
        <v>42970</v>
      </c>
      <c r="C967">
        <v>36</v>
      </c>
      <c r="D967" t="s">
        <v>20</v>
      </c>
      <c r="E967">
        <v>185.7</v>
      </c>
      <c r="F967">
        <v>50.1</v>
      </c>
      <c r="G967">
        <v>19497</v>
      </c>
      <c r="H967">
        <v>900</v>
      </c>
      <c r="I967">
        <v>8.5</v>
      </c>
      <c r="J967">
        <v>81</v>
      </c>
      <c r="K967" t="s">
        <v>18</v>
      </c>
      <c r="L967">
        <v>27</v>
      </c>
      <c r="M967">
        <v>1.43</v>
      </c>
      <c r="N967">
        <v>5</v>
      </c>
      <c r="O967" t="s">
        <v>17</v>
      </c>
      <c r="P967" cm="1">
        <f t="array" ref="P967">_xlfn.SWITCH(Table2[[#This Row],[mood]], "Tired", 3, "Neutral", 2, "Happy", 1)</f>
        <v>3</v>
      </c>
    </row>
    <row r="968" spans="1:16" x14ac:dyDescent="0.3">
      <c r="A968">
        <v>1539</v>
      </c>
      <c r="B968" s="1">
        <v>42971</v>
      </c>
      <c r="C968">
        <v>51</v>
      </c>
      <c r="D968" t="s">
        <v>20</v>
      </c>
      <c r="E968">
        <v>177.4</v>
      </c>
      <c r="F968">
        <v>68.400000000000006</v>
      </c>
      <c r="G968">
        <v>18341</v>
      </c>
      <c r="H968">
        <v>900</v>
      </c>
      <c r="I968">
        <v>8.6</v>
      </c>
      <c r="J968">
        <v>91</v>
      </c>
      <c r="K968" t="s">
        <v>25</v>
      </c>
      <c r="L968">
        <v>86</v>
      </c>
      <c r="M968">
        <v>1.85</v>
      </c>
      <c r="N968">
        <v>10</v>
      </c>
      <c r="O968" t="s">
        <v>17</v>
      </c>
      <c r="P968" cm="1">
        <f t="array" ref="P968">_xlfn.SWITCH(Table2[[#This Row],[mood]], "Tired", 3, "Neutral", 2, "Happy", 1)</f>
        <v>3</v>
      </c>
    </row>
    <row r="969" spans="1:16" x14ac:dyDescent="0.3">
      <c r="A969">
        <v>1731</v>
      </c>
      <c r="B969" s="1">
        <v>42972</v>
      </c>
      <c r="C969">
        <v>52</v>
      </c>
      <c r="D969" t="s">
        <v>20</v>
      </c>
      <c r="E969">
        <v>165.9</v>
      </c>
      <c r="F969">
        <v>72</v>
      </c>
      <c r="G969">
        <v>6778</v>
      </c>
      <c r="H969">
        <v>507.2</v>
      </c>
      <c r="I969">
        <v>7.5</v>
      </c>
      <c r="J969">
        <v>69</v>
      </c>
      <c r="K969" t="s">
        <v>24</v>
      </c>
      <c r="L969">
        <v>46</v>
      </c>
      <c r="M969">
        <v>1.32</v>
      </c>
      <c r="N969">
        <v>6</v>
      </c>
      <c r="O969" t="s">
        <v>19</v>
      </c>
      <c r="P969" cm="1">
        <f t="array" ref="P969">_xlfn.SWITCH(Table2[[#This Row],[mood]], "Tired", 3, "Neutral", 2, "Happy", 1)</f>
        <v>2</v>
      </c>
    </row>
    <row r="970" spans="1:16" x14ac:dyDescent="0.3">
      <c r="A970">
        <v>1868</v>
      </c>
      <c r="B970" s="1">
        <v>42973</v>
      </c>
      <c r="C970">
        <v>18</v>
      </c>
      <c r="D970" t="s">
        <v>20</v>
      </c>
      <c r="E970">
        <v>176.2</v>
      </c>
      <c r="F970">
        <v>57.9</v>
      </c>
      <c r="G970">
        <v>17029</v>
      </c>
      <c r="H970">
        <v>900</v>
      </c>
      <c r="I970">
        <v>6.8</v>
      </c>
      <c r="J970">
        <v>84</v>
      </c>
      <c r="K970" t="s">
        <v>23</v>
      </c>
      <c r="L970">
        <v>27</v>
      </c>
      <c r="M970">
        <v>1.49</v>
      </c>
      <c r="N970">
        <v>9</v>
      </c>
      <c r="O970" t="s">
        <v>17</v>
      </c>
      <c r="P970" cm="1">
        <f t="array" ref="P970">_xlfn.SWITCH(Table2[[#This Row],[mood]], "Tired", 3, "Neutral", 2, "Happy", 1)</f>
        <v>3</v>
      </c>
    </row>
    <row r="971" spans="1:16" x14ac:dyDescent="0.3">
      <c r="A971">
        <v>1040</v>
      </c>
      <c r="B971" s="1">
        <v>42974</v>
      </c>
      <c r="C971">
        <v>38</v>
      </c>
      <c r="D971" t="s">
        <v>15</v>
      </c>
      <c r="E971">
        <v>174.3</v>
      </c>
      <c r="F971">
        <v>68.8</v>
      </c>
      <c r="G971">
        <v>9079</v>
      </c>
      <c r="H971">
        <v>531.9</v>
      </c>
      <c r="I971">
        <v>6</v>
      </c>
      <c r="J971">
        <v>89</v>
      </c>
      <c r="K971" t="s">
        <v>22</v>
      </c>
      <c r="L971">
        <v>37</v>
      </c>
      <c r="M971">
        <v>2.04</v>
      </c>
      <c r="N971">
        <v>3</v>
      </c>
      <c r="O971" t="s">
        <v>21</v>
      </c>
      <c r="P971" cm="1">
        <f t="array" ref="P971">_xlfn.SWITCH(Table2[[#This Row],[mood]], "Tired", 3, "Neutral", 2, "Happy", 1)</f>
        <v>1</v>
      </c>
    </row>
    <row r="972" spans="1:16" x14ac:dyDescent="0.3">
      <c r="A972">
        <v>1739</v>
      </c>
      <c r="B972" s="1">
        <v>42975</v>
      </c>
      <c r="C972">
        <v>46</v>
      </c>
      <c r="D972" t="s">
        <v>15</v>
      </c>
      <c r="E972">
        <v>159</v>
      </c>
      <c r="F972">
        <v>78.400000000000006</v>
      </c>
      <c r="G972">
        <v>4094</v>
      </c>
      <c r="H972">
        <v>363.3</v>
      </c>
      <c r="I972">
        <v>5.9</v>
      </c>
      <c r="J972">
        <v>62</v>
      </c>
      <c r="K972" t="s">
        <v>16</v>
      </c>
      <c r="L972">
        <v>0</v>
      </c>
      <c r="M972">
        <v>3.67</v>
      </c>
      <c r="N972">
        <v>1</v>
      </c>
      <c r="O972" t="s">
        <v>21</v>
      </c>
      <c r="P972" cm="1">
        <f t="array" ref="P972">_xlfn.SWITCH(Table2[[#This Row],[mood]], "Tired", 3, "Neutral", 2, "Happy", 1)</f>
        <v>1</v>
      </c>
    </row>
    <row r="973" spans="1:16" x14ac:dyDescent="0.3">
      <c r="A973">
        <v>1703</v>
      </c>
      <c r="B973" s="1">
        <v>42976</v>
      </c>
      <c r="C973">
        <v>23</v>
      </c>
      <c r="D973" t="s">
        <v>20</v>
      </c>
      <c r="E973">
        <v>169.9</v>
      </c>
      <c r="F973">
        <v>63</v>
      </c>
      <c r="G973">
        <v>15821</v>
      </c>
      <c r="H973">
        <v>821.9</v>
      </c>
      <c r="I973">
        <v>7.5</v>
      </c>
      <c r="J973">
        <v>76</v>
      </c>
      <c r="K973" t="s">
        <v>18</v>
      </c>
      <c r="L973">
        <v>65</v>
      </c>
      <c r="M973">
        <v>2.74</v>
      </c>
      <c r="N973">
        <v>8</v>
      </c>
      <c r="O973" t="s">
        <v>17</v>
      </c>
      <c r="P973" cm="1">
        <f t="array" ref="P973">_xlfn.SWITCH(Table2[[#This Row],[mood]], "Tired", 3, "Neutral", 2, "Happy", 1)</f>
        <v>3</v>
      </c>
    </row>
    <row r="974" spans="1:16" x14ac:dyDescent="0.3">
      <c r="A974">
        <v>1922</v>
      </c>
      <c r="B974" s="1">
        <v>42977</v>
      </c>
      <c r="C974">
        <v>54</v>
      </c>
      <c r="D974" t="s">
        <v>15</v>
      </c>
      <c r="E974">
        <v>160.19999999999999</v>
      </c>
      <c r="F974">
        <v>81.5</v>
      </c>
      <c r="G974">
        <v>8582</v>
      </c>
      <c r="H974">
        <v>570.20000000000005</v>
      </c>
      <c r="I974">
        <v>3</v>
      </c>
      <c r="J974">
        <v>75</v>
      </c>
      <c r="K974" t="s">
        <v>16</v>
      </c>
      <c r="L974">
        <v>0</v>
      </c>
      <c r="M974">
        <v>2.5499999999999998</v>
      </c>
      <c r="N974">
        <v>9</v>
      </c>
      <c r="O974" t="s">
        <v>19</v>
      </c>
      <c r="P974" cm="1">
        <f t="array" ref="P974">_xlfn.SWITCH(Table2[[#This Row],[mood]], "Tired", 3, "Neutral", 2, "Happy", 1)</f>
        <v>2</v>
      </c>
    </row>
    <row r="975" spans="1:16" x14ac:dyDescent="0.3">
      <c r="A975">
        <v>1501</v>
      </c>
      <c r="B975" s="1">
        <v>42978</v>
      </c>
      <c r="C975">
        <v>18</v>
      </c>
      <c r="D975" t="s">
        <v>15</v>
      </c>
      <c r="E975">
        <v>176.5</v>
      </c>
      <c r="F975">
        <v>75.900000000000006</v>
      </c>
      <c r="G975">
        <v>10012</v>
      </c>
      <c r="H975">
        <v>661.3</v>
      </c>
      <c r="I975">
        <v>6.2</v>
      </c>
      <c r="J975">
        <v>64</v>
      </c>
      <c r="K975" t="s">
        <v>25</v>
      </c>
      <c r="L975">
        <v>22</v>
      </c>
      <c r="M975">
        <v>3.44</v>
      </c>
      <c r="N975">
        <v>6</v>
      </c>
      <c r="O975" t="s">
        <v>21</v>
      </c>
      <c r="P975" cm="1">
        <f t="array" ref="P975">_xlfn.SWITCH(Table2[[#This Row],[mood]], "Tired", 3, "Neutral", 2, "Happy", 1)</f>
        <v>1</v>
      </c>
    </row>
    <row r="976" spans="1:16" x14ac:dyDescent="0.3">
      <c r="A976">
        <v>1958</v>
      </c>
      <c r="B976" s="1">
        <v>42979</v>
      </c>
      <c r="C976">
        <v>18</v>
      </c>
      <c r="D976" t="s">
        <v>20</v>
      </c>
      <c r="E976">
        <v>162.80000000000001</v>
      </c>
      <c r="F976">
        <v>61.3</v>
      </c>
      <c r="G976">
        <v>1887</v>
      </c>
      <c r="H976">
        <v>384.4</v>
      </c>
      <c r="I976">
        <v>6</v>
      </c>
      <c r="J976">
        <v>78</v>
      </c>
      <c r="K976" t="s">
        <v>16</v>
      </c>
      <c r="L976">
        <v>0</v>
      </c>
      <c r="M976">
        <v>2.77</v>
      </c>
      <c r="N976">
        <v>5</v>
      </c>
      <c r="O976" t="s">
        <v>19</v>
      </c>
      <c r="P976" cm="1">
        <f t="array" ref="P976">_xlfn.SWITCH(Table2[[#This Row],[mood]], "Tired", 3, "Neutral", 2, "Happy", 1)</f>
        <v>2</v>
      </c>
    </row>
    <row r="977" spans="1:16" x14ac:dyDescent="0.3">
      <c r="A977">
        <v>1144</v>
      </c>
      <c r="B977" s="1">
        <v>42980</v>
      </c>
      <c r="C977">
        <v>44</v>
      </c>
      <c r="D977" t="s">
        <v>20</v>
      </c>
      <c r="E977">
        <v>169</v>
      </c>
      <c r="F977">
        <v>86.9</v>
      </c>
      <c r="G977">
        <v>12920</v>
      </c>
      <c r="H977">
        <v>697.3</v>
      </c>
      <c r="I977">
        <v>5.5</v>
      </c>
      <c r="J977">
        <v>63</v>
      </c>
      <c r="K977" t="s">
        <v>16</v>
      </c>
      <c r="L977">
        <v>0</v>
      </c>
      <c r="M977">
        <v>2.83</v>
      </c>
      <c r="N977">
        <v>8</v>
      </c>
      <c r="O977" t="s">
        <v>19</v>
      </c>
      <c r="P977" cm="1">
        <f t="array" ref="P977">_xlfn.SWITCH(Table2[[#This Row],[mood]], "Tired", 3, "Neutral", 2, "Happy", 1)</f>
        <v>2</v>
      </c>
    </row>
    <row r="978" spans="1:16" x14ac:dyDescent="0.3">
      <c r="A978">
        <v>1200</v>
      </c>
      <c r="B978" s="1">
        <v>42981</v>
      </c>
      <c r="C978">
        <v>38</v>
      </c>
      <c r="D978" t="s">
        <v>20</v>
      </c>
      <c r="E978">
        <v>168.6</v>
      </c>
      <c r="F978">
        <v>58.9</v>
      </c>
      <c r="G978">
        <v>7015</v>
      </c>
      <c r="H978">
        <v>487.7</v>
      </c>
      <c r="I978">
        <v>7.3</v>
      </c>
      <c r="J978">
        <v>79</v>
      </c>
      <c r="K978" t="s">
        <v>25</v>
      </c>
      <c r="L978">
        <v>85</v>
      </c>
      <c r="M978">
        <v>2.17</v>
      </c>
      <c r="N978">
        <v>6</v>
      </c>
      <c r="O978" t="s">
        <v>21</v>
      </c>
      <c r="P978" cm="1">
        <f t="array" ref="P978">_xlfn.SWITCH(Table2[[#This Row],[mood]], "Tired", 3, "Neutral", 2, "Happy", 1)</f>
        <v>1</v>
      </c>
    </row>
    <row r="979" spans="1:16" x14ac:dyDescent="0.3">
      <c r="A979">
        <v>1928</v>
      </c>
      <c r="B979" s="1">
        <v>42982</v>
      </c>
      <c r="C979">
        <v>33</v>
      </c>
      <c r="D979" t="s">
        <v>15</v>
      </c>
      <c r="E979">
        <v>171.2</v>
      </c>
      <c r="F979">
        <v>82.8</v>
      </c>
      <c r="G979">
        <v>15530</v>
      </c>
      <c r="H979">
        <v>864.5</v>
      </c>
      <c r="I979">
        <v>4.8</v>
      </c>
      <c r="J979">
        <v>97</v>
      </c>
      <c r="K979" t="s">
        <v>24</v>
      </c>
      <c r="L979">
        <v>20</v>
      </c>
      <c r="M979">
        <v>2.0499999999999998</v>
      </c>
      <c r="N979">
        <v>6</v>
      </c>
      <c r="O979" t="s">
        <v>21</v>
      </c>
      <c r="P979" cm="1">
        <f t="array" ref="P979">_xlfn.SWITCH(Table2[[#This Row],[mood]], "Tired", 3, "Neutral", 2, "Happy", 1)</f>
        <v>1</v>
      </c>
    </row>
    <row r="980" spans="1:16" x14ac:dyDescent="0.3">
      <c r="A980">
        <v>1723</v>
      </c>
      <c r="B980" s="1">
        <v>42983</v>
      </c>
      <c r="C980">
        <v>57</v>
      </c>
      <c r="D980" t="s">
        <v>20</v>
      </c>
      <c r="E980">
        <v>186.6</v>
      </c>
      <c r="F980">
        <v>59.2</v>
      </c>
      <c r="G980">
        <v>18259</v>
      </c>
      <c r="H980">
        <v>900</v>
      </c>
      <c r="I980">
        <v>8.8000000000000007</v>
      </c>
      <c r="J980">
        <v>73</v>
      </c>
      <c r="K980" t="s">
        <v>16</v>
      </c>
      <c r="L980">
        <v>0</v>
      </c>
      <c r="M980">
        <v>1.58</v>
      </c>
      <c r="N980">
        <v>9</v>
      </c>
      <c r="O980" t="s">
        <v>19</v>
      </c>
      <c r="P980" cm="1">
        <f t="array" ref="P980">_xlfn.SWITCH(Table2[[#This Row],[mood]], "Tired", 3, "Neutral", 2, "Happy", 1)</f>
        <v>2</v>
      </c>
    </row>
    <row r="981" spans="1:16" x14ac:dyDescent="0.3">
      <c r="A981">
        <v>1460</v>
      </c>
      <c r="B981" s="1">
        <v>42984</v>
      </c>
      <c r="C981">
        <v>43</v>
      </c>
      <c r="D981" t="s">
        <v>15</v>
      </c>
      <c r="E981">
        <v>167.6</v>
      </c>
      <c r="F981">
        <v>65.3</v>
      </c>
      <c r="G981">
        <v>13453</v>
      </c>
      <c r="H981">
        <v>823.9</v>
      </c>
      <c r="I981">
        <v>8.4</v>
      </c>
      <c r="J981">
        <v>74</v>
      </c>
      <c r="K981" t="s">
        <v>16</v>
      </c>
      <c r="L981">
        <v>0</v>
      </c>
      <c r="M981">
        <v>2.08</v>
      </c>
      <c r="N981">
        <v>9</v>
      </c>
      <c r="O981" t="s">
        <v>17</v>
      </c>
      <c r="P981" cm="1">
        <f t="array" ref="P981">_xlfn.SWITCH(Table2[[#This Row],[mood]], "Tired", 3, "Neutral", 2, "Happy", 1)</f>
        <v>3</v>
      </c>
    </row>
    <row r="982" spans="1:16" x14ac:dyDescent="0.3">
      <c r="A982">
        <v>1731</v>
      </c>
      <c r="B982" s="1">
        <v>42985</v>
      </c>
      <c r="C982">
        <v>33</v>
      </c>
      <c r="D982" t="s">
        <v>20</v>
      </c>
      <c r="E982">
        <v>182.2</v>
      </c>
      <c r="F982">
        <v>67.599999999999994</v>
      </c>
      <c r="G982">
        <v>8508</v>
      </c>
      <c r="H982">
        <v>534.9</v>
      </c>
      <c r="I982">
        <v>9</v>
      </c>
      <c r="J982">
        <v>89</v>
      </c>
      <c r="K982" t="s">
        <v>16</v>
      </c>
      <c r="L982">
        <v>0</v>
      </c>
      <c r="M982">
        <v>2.2999999999999998</v>
      </c>
      <c r="N982">
        <v>1</v>
      </c>
      <c r="O982" t="s">
        <v>19</v>
      </c>
      <c r="P982" cm="1">
        <f t="array" ref="P982">_xlfn.SWITCH(Table2[[#This Row],[mood]], "Tired", 3, "Neutral", 2, "Happy", 1)</f>
        <v>2</v>
      </c>
    </row>
    <row r="983" spans="1:16" x14ac:dyDescent="0.3">
      <c r="A983">
        <v>1751</v>
      </c>
      <c r="B983" s="1">
        <v>42986</v>
      </c>
      <c r="C983">
        <v>45</v>
      </c>
      <c r="D983" t="s">
        <v>15</v>
      </c>
      <c r="E983">
        <v>174.8</v>
      </c>
      <c r="F983">
        <v>75.099999999999994</v>
      </c>
      <c r="G983">
        <v>1556</v>
      </c>
      <c r="H983">
        <v>242.4</v>
      </c>
      <c r="I983">
        <v>6.2</v>
      </c>
      <c r="J983">
        <v>88</v>
      </c>
      <c r="K983" t="s">
        <v>25</v>
      </c>
      <c r="L983">
        <v>64</v>
      </c>
      <c r="M983">
        <v>2.74</v>
      </c>
      <c r="N983">
        <v>2</v>
      </c>
      <c r="O983" t="s">
        <v>21</v>
      </c>
      <c r="P983" cm="1">
        <f t="array" ref="P983">_xlfn.SWITCH(Table2[[#This Row],[mood]], "Tired", 3, "Neutral", 2, "Happy", 1)</f>
        <v>1</v>
      </c>
    </row>
    <row r="984" spans="1:16" x14ac:dyDescent="0.3">
      <c r="A984">
        <v>1924</v>
      </c>
      <c r="B984" s="1">
        <v>42987</v>
      </c>
      <c r="C984">
        <v>18</v>
      </c>
      <c r="D984" t="s">
        <v>20</v>
      </c>
      <c r="E984">
        <v>184.2</v>
      </c>
      <c r="F984">
        <v>45</v>
      </c>
      <c r="G984">
        <v>9900</v>
      </c>
      <c r="H984">
        <v>664.8</v>
      </c>
      <c r="I984">
        <v>7.3</v>
      </c>
      <c r="J984">
        <v>69</v>
      </c>
      <c r="K984" t="s">
        <v>16</v>
      </c>
      <c r="L984">
        <v>0</v>
      </c>
      <c r="M984">
        <v>2.4700000000000002</v>
      </c>
      <c r="N984">
        <v>1</v>
      </c>
      <c r="O984" t="s">
        <v>19</v>
      </c>
      <c r="P984" cm="1">
        <f t="array" ref="P984">_xlfn.SWITCH(Table2[[#This Row],[mood]], "Tired", 3, "Neutral", 2, "Happy", 1)</f>
        <v>2</v>
      </c>
    </row>
    <row r="985" spans="1:16" x14ac:dyDescent="0.3">
      <c r="A985">
        <v>1908</v>
      </c>
      <c r="B985" s="1">
        <v>42988</v>
      </c>
      <c r="C985">
        <v>53</v>
      </c>
      <c r="D985" t="s">
        <v>20</v>
      </c>
      <c r="E985">
        <v>166.6</v>
      </c>
      <c r="F985">
        <v>76.900000000000006</v>
      </c>
      <c r="G985">
        <v>1717</v>
      </c>
      <c r="H985">
        <v>283.8</v>
      </c>
      <c r="I985">
        <v>8.1999999999999993</v>
      </c>
      <c r="J985">
        <v>82</v>
      </c>
      <c r="K985" t="s">
        <v>25</v>
      </c>
      <c r="L985">
        <v>70</v>
      </c>
      <c r="M985">
        <v>2.2400000000000002</v>
      </c>
      <c r="N985">
        <v>2</v>
      </c>
      <c r="O985" t="s">
        <v>21</v>
      </c>
      <c r="P985" cm="1">
        <f t="array" ref="P985">_xlfn.SWITCH(Table2[[#This Row],[mood]], "Tired", 3, "Neutral", 2, "Happy", 1)</f>
        <v>1</v>
      </c>
    </row>
    <row r="986" spans="1:16" x14ac:dyDescent="0.3">
      <c r="A986">
        <v>1557</v>
      </c>
      <c r="B986" s="1">
        <v>42989</v>
      </c>
      <c r="C986">
        <v>27</v>
      </c>
      <c r="D986" t="s">
        <v>15</v>
      </c>
      <c r="E986">
        <v>177</v>
      </c>
      <c r="F986">
        <v>68.5</v>
      </c>
      <c r="G986">
        <v>4665</v>
      </c>
      <c r="H986">
        <v>413.6</v>
      </c>
      <c r="I986">
        <v>6.8</v>
      </c>
      <c r="J986">
        <v>50</v>
      </c>
      <c r="K986" t="s">
        <v>24</v>
      </c>
      <c r="L986">
        <v>80</v>
      </c>
      <c r="M986">
        <v>1.86</v>
      </c>
      <c r="N986">
        <v>3</v>
      </c>
      <c r="O986" t="s">
        <v>17</v>
      </c>
      <c r="P986" cm="1">
        <f t="array" ref="P986">_xlfn.SWITCH(Table2[[#This Row],[mood]], "Tired", 3, "Neutral", 2, "Happy", 1)</f>
        <v>3</v>
      </c>
    </row>
    <row r="987" spans="1:16" x14ac:dyDescent="0.3">
      <c r="A987">
        <v>1546</v>
      </c>
      <c r="B987" s="1">
        <v>42990</v>
      </c>
      <c r="C987">
        <v>34</v>
      </c>
      <c r="D987" t="s">
        <v>15</v>
      </c>
      <c r="E987">
        <v>169.4</v>
      </c>
      <c r="F987">
        <v>74.3</v>
      </c>
      <c r="G987">
        <v>14891</v>
      </c>
      <c r="H987">
        <v>792</v>
      </c>
      <c r="I987">
        <v>6.2</v>
      </c>
      <c r="J987">
        <v>65</v>
      </c>
      <c r="K987" t="s">
        <v>25</v>
      </c>
      <c r="L987">
        <v>23</v>
      </c>
      <c r="M987">
        <v>2.78</v>
      </c>
      <c r="N987">
        <v>2</v>
      </c>
      <c r="O987" t="s">
        <v>17</v>
      </c>
      <c r="P987" cm="1">
        <f t="array" ref="P987">_xlfn.SWITCH(Table2[[#This Row],[mood]], "Tired", 3, "Neutral", 2, "Happy", 1)</f>
        <v>3</v>
      </c>
    </row>
    <row r="988" spans="1:16" x14ac:dyDescent="0.3">
      <c r="A988">
        <v>1252</v>
      </c>
      <c r="B988" s="1">
        <v>42991</v>
      </c>
      <c r="C988">
        <v>40</v>
      </c>
      <c r="D988" t="s">
        <v>15</v>
      </c>
      <c r="E988">
        <v>150</v>
      </c>
      <c r="F988">
        <v>77.5</v>
      </c>
      <c r="G988">
        <v>11336</v>
      </c>
      <c r="H988">
        <v>699.8</v>
      </c>
      <c r="I988">
        <v>7.2</v>
      </c>
      <c r="J988">
        <v>86</v>
      </c>
      <c r="K988" t="s">
        <v>16</v>
      </c>
      <c r="L988">
        <v>0</v>
      </c>
      <c r="M988">
        <v>2.15</v>
      </c>
      <c r="N988">
        <v>6</v>
      </c>
      <c r="O988" t="s">
        <v>17</v>
      </c>
      <c r="P988" cm="1">
        <f t="array" ref="P988">_xlfn.SWITCH(Table2[[#This Row],[mood]], "Tired", 3, "Neutral", 2, "Happy", 1)</f>
        <v>3</v>
      </c>
    </row>
    <row r="989" spans="1:16" x14ac:dyDescent="0.3">
      <c r="A989">
        <v>1389</v>
      </c>
      <c r="B989" s="1">
        <v>42992</v>
      </c>
      <c r="C989">
        <v>24</v>
      </c>
      <c r="D989" t="s">
        <v>15</v>
      </c>
      <c r="E989">
        <v>159.1</v>
      </c>
      <c r="F989">
        <v>75.900000000000006</v>
      </c>
      <c r="G989">
        <v>16014</v>
      </c>
      <c r="H989">
        <v>797.3</v>
      </c>
      <c r="I989">
        <v>6.7</v>
      </c>
      <c r="J989">
        <v>70</v>
      </c>
      <c r="K989" t="s">
        <v>18</v>
      </c>
      <c r="L989">
        <v>30</v>
      </c>
      <c r="M989">
        <v>2.75</v>
      </c>
      <c r="N989">
        <v>4</v>
      </c>
      <c r="O989" t="s">
        <v>17</v>
      </c>
      <c r="P989" cm="1">
        <f t="array" ref="P989">_xlfn.SWITCH(Table2[[#This Row],[mood]], "Tired", 3, "Neutral", 2, "Happy", 1)</f>
        <v>3</v>
      </c>
    </row>
    <row r="990" spans="1:16" x14ac:dyDescent="0.3">
      <c r="A990">
        <v>1593</v>
      </c>
      <c r="B990" s="1">
        <v>42993</v>
      </c>
      <c r="C990">
        <v>24</v>
      </c>
      <c r="D990" t="s">
        <v>15</v>
      </c>
      <c r="E990">
        <v>175.8</v>
      </c>
      <c r="F990">
        <v>45</v>
      </c>
      <c r="G990">
        <v>7547</v>
      </c>
      <c r="H990">
        <v>479</v>
      </c>
      <c r="I990">
        <v>5.4</v>
      </c>
      <c r="J990">
        <v>73</v>
      </c>
      <c r="K990" t="s">
        <v>16</v>
      </c>
      <c r="L990">
        <v>0</v>
      </c>
      <c r="M990">
        <v>1.1599999999999999</v>
      </c>
      <c r="N990">
        <v>5</v>
      </c>
      <c r="O990" t="s">
        <v>17</v>
      </c>
      <c r="P990" cm="1">
        <f t="array" ref="P990">_xlfn.SWITCH(Table2[[#This Row],[mood]], "Tired", 3, "Neutral", 2, "Happy", 1)</f>
        <v>3</v>
      </c>
    </row>
    <row r="991" spans="1:16" x14ac:dyDescent="0.3">
      <c r="A991">
        <v>1882</v>
      </c>
      <c r="B991" s="1">
        <v>42994</v>
      </c>
      <c r="C991">
        <v>32</v>
      </c>
      <c r="D991" t="s">
        <v>15</v>
      </c>
      <c r="E991">
        <v>175.2</v>
      </c>
      <c r="F991">
        <v>54.1</v>
      </c>
      <c r="G991">
        <v>6196</v>
      </c>
      <c r="H991">
        <v>315.39999999999998</v>
      </c>
      <c r="I991">
        <v>3.4</v>
      </c>
      <c r="J991">
        <v>66</v>
      </c>
      <c r="K991" t="s">
        <v>22</v>
      </c>
      <c r="L991">
        <v>76</v>
      </c>
      <c r="M991">
        <v>2.74</v>
      </c>
      <c r="N991">
        <v>10</v>
      </c>
      <c r="O991" t="s">
        <v>21</v>
      </c>
      <c r="P991" cm="1">
        <f t="array" ref="P991">_xlfn.SWITCH(Table2[[#This Row],[mood]], "Tired", 3, "Neutral", 2, "Happy", 1)</f>
        <v>1</v>
      </c>
    </row>
    <row r="992" spans="1:16" x14ac:dyDescent="0.3">
      <c r="A992">
        <v>1255</v>
      </c>
      <c r="B992" s="1">
        <v>42995</v>
      </c>
      <c r="C992">
        <v>51</v>
      </c>
      <c r="D992" t="s">
        <v>20</v>
      </c>
      <c r="E992">
        <v>157.1</v>
      </c>
      <c r="F992">
        <v>75</v>
      </c>
      <c r="G992">
        <v>19403</v>
      </c>
      <c r="H992">
        <v>900</v>
      </c>
      <c r="I992">
        <v>5.6</v>
      </c>
      <c r="J992">
        <v>64</v>
      </c>
      <c r="K992" t="s">
        <v>22</v>
      </c>
      <c r="L992">
        <v>73</v>
      </c>
      <c r="M992">
        <v>3.02</v>
      </c>
      <c r="N992">
        <v>9</v>
      </c>
      <c r="O992" t="s">
        <v>19</v>
      </c>
      <c r="P992" cm="1">
        <f t="array" ref="P992">_xlfn.SWITCH(Table2[[#This Row],[mood]], "Tired", 3, "Neutral", 2, "Happy", 1)</f>
        <v>2</v>
      </c>
    </row>
    <row r="993" spans="1:16" x14ac:dyDescent="0.3">
      <c r="A993">
        <v>1708</v>
      </c>
      <c r="B993" s="1">
        <v>42996</v>
      </c>
      <c r="C993">
        <v>21</v>
      </c>
      <c r="D993" t="s">
        <v>15</v>
      </c>
      <c r="E993">
        <v>172.2</v>
      </c>
      <c r="F993">
        <v>73</v>
      </c>
      <c r="G993">
        <v>12971</v>
      </c>
      <c r="H993">
        <v>765.4</v>
      </c>
      <c r="I993">
        <v>3.5</v>
      </c>
      <c r="J993">
        <v>50</v>
      </c>
      <c r="K993" t="s">
        <v>18</v>
      </c>
      <c r="L993">
        <v>84</v>
      </c>
      <c r="M993">
        <v>2.93</v>
      </c>
      <c r="N993">
        <v>2</v>
      </c>
      <c r="O993" t="s">
        <v>17</v>
      </c>
      <c r="P993" cm="1">
        <f t="array" ref="P993">_xlfn.SWITCH(Table2[[#This Row],[mood]], "Tired", 3, "Neutral", 2, "Happy", 1)</f>
        <v>3</v>
      </c>
    </row>
    <row r="994" spans="1:16" x14ac:dyDescent="0.3">
      <c r="A994">
        <v>1814</v>
      </c>
      <c r="B994" s="1">
        <v>42997</v>
      </c>
      <c r="C994">
        <v>31</v>
      </c>
      <c r="D994" t="s">
        <v>20</v>
      </c>
      <c r="E994">
        <v>175</v>
      </c>
      <c r="F994">
        <v>58.2</v>
      </c>
      <c r="G994">
        <v>19567</v>
      </c>
      <c r="H994">
        <v>900</v>
      </c>
      <c r="I994">
        <v>5.7</v>
      </c>
      <c r="J994">
        <v>71</v>
      </c>
      <c r="K994" t="s">
        <v>22</v>
      </c>
      <c r="L994">
        <v>66</v>
      </c>
      <c r="M994">
        <v>2.36</v>
      </c>
      <c r="N994">
        <v>3</v>
      </c>
      <c r="O994" t="s">
        <v>21</v>
      </c>
      <c r="P994" cm="1">
        <f t="array" ref="P994">_xlfn.SWITCH(Table2[[#This Row],[mood]], "Tired", 3, "Neutral", 2, "Happy", 1)</f>
        <v>1</v>
      </c>
    </row>
    <row r="995" spans="1:16" x14ac:dyDescent="0.3">
      <c r="A995">
        <v>1920</v>
      </c>
      <c r="B995" s="1">
        <v>42998</v>
      </c>
      <c r="C995">
        <v>31</v>
      </c>
      <c r="D995" t="s">
        <v>20</v>
      </c>
      <c r="E995">
        <v>169.7</v>
      </c>
      <c r="F995">
        <v>81.099999999999994</v>
      </c>
      <c r="G995">
        <v>16216</v>
      </c>
      <c r="H995">
        <v>802.4</v>
      </c>
      <c r="I995">
        <v>9.1</v>
      </c>
      <c r="J995">
        <v>80</v>
      </c>
      <c r="K995" t="s">
        <v>16</v>
      </c>
      <c r="L995">
        <v>0</v>
      </c>
      <c r="M995">
        <v>3.14</v>
      </c>
      <c r="N995">
        <v>10</v>
      </c>
      <c r="O995" t="s">
        <v>19</v>
      </c>
      <c r="P995" cm="1">
        <f t="array" ref="P995">_xlfn.SWITCH(Table2[[#This Row],[mood]], "Tired", 3, "Neutral", 2, "Happy", 1)</f>
        <v>2</v>
      </c>
    </row>
    <row r="996" spans="1:16" x14ac:dyDescent="0.3">
      <c r="A996">
        <v>1449</v>
      </c>
      <c r="B996" s="1">
        <v>42999</v>
      </c>
      <c r="C996">
        <v>33</v>
      </c>
      <c r="D996" t="s">
        <v>15</v>
      </c>
      <c r="E996">
        <v>177.3</v>
      </c>
      <c r="F996">
        <v>66.2</v>
      </c>
      <c r="G996">
        <v>11606</v>
      </c>
      <c r="H996">
        <v>735.7</v>
      </c>
      <c r="I996">
        <v>4.2</v>
      </c>
      <c r="J996">
        <v>77</v>
      </c>
      <c r="K996" t="s">
        <v>25</v>
      </c>
      <c r="L996">
        <v>53</v>
      </c>
      <c r="M996">
        <v>1.61</v>
      </c>
      <c r="N996">
        <v>1</v>
      </c>
      <c r="O996" t="s">
        <v>19</v>
      </c>
      <c r="P996" cm="1">
        <f t="array" ref="P996">_xlfn.SWITCH(Table2[[#This Row],[mood]], "Tired", 3, "Neutral", 2, "Happy", 1)</f>
        <v>2</v>
      </c>
    </row>
    <row r="997" spans="1:16" x14ac:dyDescent="0.3">
      <c r="A997">
        <v>1009</v>
      </c>
      <c r="B997" s="1">
        <v>43000</v>
      </c>
      <c r="C997">
        <v>24</v>
      </c>
      <c r="D997" t="s">
        <v>20</v>
      </c>
      <c r="E997">
        <v>175.9</v>
      </c>
      <c r="F997">
        <v>83.3</v>
      </c>
      <c r="G997">
        <v>7691</v>
      </c>
      <c r="H997">
        <v>514.6</v>
      </c>
      <c r="I997">
        <v>7.7</v>
      </c>
      <c r="J997">
        <v>67</v>
      </c>
      <c r="K997" t="s">
        <v>16</v>
      </c>
      <c r="L997">
        <v>0</v>
      </c>
      <c r="M997">
        <v>2.44</v>
      </c>
      <c r="N997">
        <v>2</v>
      </c>
      <c r="O997" t="s">
        <v>17</v>
      </c>
      <c r="P997" cm="1">
        <f t="array" ref="P997">_xlfn.SWITCH(Table2[[#This Row],[mood]], "Tired", 3, "Neutral", 2, "Happy", 1)</f>
        <v>3</v>
      </c>
    </row>
    <row r="998" spans="1:16" x14ac:dyDescent="0.3">
      <c r="A998">
        <v>1823</v>
      </c>
      <c r="B998" s="1">
        <v>43001</v>
      </c>
      <c r="C998">
        <v>49</v>
      </c>
      <c r="D998" t="s">
        <v>15</v>
      </c>
      <c r="E998">
        <v>169.6</v>
      </c>
      <c r="F998">
        <v>88.2</v>
      </c>
      <c r="G998">
        <v>8045</v>
      </c>
      <c r="H998">
        <v>606.5</v>
      </c>
      <c r="I998">
        <v>8.8000000000000007</v>
      </c>
      <c r="J998">
        <v>61</v>
      </c>
      <c r="K998" t="s">
        <v>22</v>
      </c>
      <c r="L998">
        <v>80</v>
      </c>
      <c r="M998">
        <v>2.36</v>
      </c>
      <c r="N998">
        <v>1</v>
      </c>
      <c r="O998" t="s">
        <v>17</v>
      </c>
      <c r="P998" cm="1">
        <f t="array" ref="P998">_xlfn.SWITCH(Table2[[#This Row],[mood]], "Tired", 3, "Neutral", 2, "Happy", 1)</f>
        <v>3</v>
      </c>
    </row>
    <row r="999" spans="1:16" x14ac:dyDescent="0.3">
      <c r="A999">
        <v>1797</v>
      </c>
      <c r="B999" s="1">
        <v>43002</v>
      </c>
      <c r="C999">
        <v>36</v>
      </c>
      <c r="D999" t="s">
        <v>15</v>
      </c>
      <c r="E999">
        <v>164.9</v>
      </c>
      <c r="F999">
        <v>74.2</v>
      </c>
      <c r="G999">
        <v>11487</v>
      </c>
      <c r="H999">
        <v>702.3</v>
      </c>
      <c r="I999">
        <v>4.5999999999999996</v>
      </c>
      <c r="J999">
        <v>71</v>
      </c>
      <c r="K999" t="s">
        <v>22</v>
      </c>
      <c r="L999">
        <v>39</v>
      </c>
      <c r="M999">
        <v>3.23</v>
      </c>
      <c r="N999">
        <v>9</v>
      </c>
      <c r="O999" t="s">
        <v>19</v>
      </c>
      <c r="P999" cm="1">
        <f t="array" ref="P999">_xlfn.SWITCH(Table2[[#This Row],[mood]], "Tired", 3, "Neutral", 2, "Happy", 1)</f>
        <v>2</v>
      </c>
    </row>
    <row r="1000" spans="1:16" x14ac:dyDescent="0.3">
      <c r="A1000">
        <v>1241</v>
      </c>
      <c r="B1000" s="1">
        <v>43003</v>
      </c>
      <c r="C1000">
        <v>19</v>
      </c>
      <c r="D1000" t="s">
        <v>20</v>
      </c>
      <c r="E1000">
        <v>180.4</v>
      </c>
      <c r="F1000">
        <v>78.3</v>
      </c>
      <c r="G1000">
        <v>2237</v>
      </c>
      <c r="H1000">
        <v>298.89999999999998</v>
      </c>
      <c r="I1000">
        <v>9.6999999999999993</v>
      </c>
      <c r="J1000">
        <v>62</v>
      </c>
      <c r="K1000" t="s">
        <v>25</v>
      </c>
      <c r="L1000">
        <v>22</v>
      </c>
      <c r="M1000">
        <v>1.0900000000000001</v>
      </c>
      <c r="N1000">
        <v>3</v>
      </c>
      <c r="O1000" t="s">
        <v>19</v>
      </c>
      <c r="P1000" cm="1">
        <f t="array" ref="P1000">_xlfn.SWITCH(Table2[[#This Row],[mood]], "Tired", 3, "Neutral", 2, "Happy", 1)</f>
        <v>2</v>
      </c>
    </row>
    <row r="1001" spans="1:16" x14ac:dyDescent="0.3">
      <c r="A1001">
        <v>1250</v>
      </c>
      <c r="B1001" s="1">
        <v>43004</v>
      </c>
      <c r="C1001">
        <v>27</v>
      </c>
      <c r="D1001" t="s">
        <v>20</v>
      </c>
      <c r="E1001">
        <v>174.6</v>
      </c>
      <c r="F1001">
        <v>60.9</v>
      </c>
      <c r="G1001">
        <v>11309</v>
      </c>
      <c r="H1001">
        <v>744.1</v>
      </c>
      <c r="I1001">
        <v>6.9</v>
      </c>
      <c r="J1001">
        <v>67</v>
      </c>
      <c r="K1001" t="s">
        <v>22</v>
      </c>
      <c r="L1001">
        <v>59</v>
      </c>
      <c r="M1001">
        <v>1.76</v>
      </c>
      <c r="N1001">
        <v>3</v>
      </c>
      <c r="O1001" t="s">
        <v>21</v>
      </c>
      <c r="P1001" cm="1">
        <f t="array" ref="P1001">_xlfn.SWITCH(Table2[[#This Row],[mood]], "Tired", 3, "Neutral", 2, "Happy", 1)</f>
        <v>1</v>
      </c>
    </row>
    <row r="1002" spans="1:16" x14ac:dyDescent="0.3">
      <c r="A1002">
        <v>1876</v>
      </c>
      <c r="B1002" s="1">
        <v>43005</v>
      </c>
      <c r="C1002">
        <v>34</v>
      </c>
      <c r="D1002" t="s">
        <v>15</v>
      </c>
      <c r="E1002">
        <v>156.19999999999999</v>
      </c>
      <c r="F1002">
        <v>83.4</v>
      </c>
      <c r="G1002">
        <v>7472</v>
      </c>
      <c r="H1002">
        <v>480.1</v>
      </c>
      <c r="I1002">
        <v>9</v>
      </c>
      <c r="J1002">
        <v>76</v>
      </c>
      <c r="K1002" t="s">
        <v>25</v>
      </c>
      <c r="L1002">
        <v>88</v>
      </c>
      <c r="M1002">
        <v>3.72</v>
      </c>
      <c r="N1002">
        <v>7</v>
      </c>
      <c r="O1002" t="s">
        <v>17</v>
      </c>
      <c r="P1002" cm="1">
        <f t="array" ref="P1002">_xlfn.SWITCH(Table2[[#This Row],[mood]], "Tired", 3, "Neutral", 2, "Happy", 1)</f>
        <v>3</v>
      </c>
    </row>
    <row r="1003" spans="1:16" x14ac:dyDescent="0.3">
      <c r="A1003">
        <v>1004</v>
      </c>
      <c r="B1003" s="1">
        <v>43006</v>
      </c>
      <c r="C1003">
        <v>54</v>
      </c>
      <c r="D1003" t="s">
        <v>15</v>
      </c>
      <c r="E1003">
        <v>172.2</v>
      </c>
      <c r="F1003">
        <v>73.3</v>
      </c>
      <c r="G1003">
        <v>4558</v>
      </c>
      <c r="H1003">
        <v>327.60000000000002</v>
      </c>
      <c r="I1003">
        <v>7.4</v>
      </c>
      <c r="J1003">
        <v>66</v>
      </c>
      <c r="K1003" t="s">
        <v>24</v>
      </c>
      <c r="L1003">
        <v>42</v>
      </c>
      <c r="M1003">
        <v>0.8</v>
      </c>
      <c r="N1003">
        <v>1</v>
      </c>
      <c r="O1003" t="s">
        <v>19</v>
      </c>
      <c r="P1003" cm="1">
        <f t="array" ref="P1003">_xlfn.SWITCH(Table2[[#This Row],[mood]], "Tired", 3, "Neutral", 2, "Happy", 1)</f>
        <v>2</v>
      </c>
    </row>
    <row r="1004" spans="1:16" x14ac:dyDescent="0.3">
      <c r="A1004">
        <v>1118</v>
      </c>
      <c r="B1004" s="1">
        <v>43007</v>
      </c>
      <c r="C1004">
        <v>29</v>
      </c>
      <c r="D1004" t="s">
        <v>20</v>
      </c>
      <c r="E1004">
        <v>158.5</v>
      </c>
      <c r="F1004">
        <v>65.599999999999994</v>
      </c>
      <c r="G1004">
        <v>6293</v>
      </c>
      <c r="H1004">
        <v>531.70000000000005</v>
      </c>
      <c r="I1004">
        <v>6.3</v>
      </c>
      <c r="J1004">
        <v>88</v>
      </c>
      <c r="K1004" t="s">
        <v>16</v>
      </c>
      <c r="L1004">
        <v>0</v>
      </c>
      <c r="M1004">
        <v>3.07</v>
      </c>
      <c r="N1004">
        <v>9</v>
      </c>
      <c r="O1004" t="s">
        <v>19</v>
      </c>
      <c r="P1004" cm="1">
        <f t="array" ref="P1004">_xlfn.SWITCH(Table2[[#This Row],[mood]], "Tired", 3, "Neutral", 2, "Happy", 1)</f>
        <v>2</v>
      </c>
    </row>
    <row r="1005" spans="1:16" x14ac:dyDescent="0.3">
      <c r="A1005">
        <v>1800</v>
      </c>
      <c r="B1005" s="1">
        <v>43008</v>
      </c>
      <c r="C1005">
        <v>23</v>
      </c>
      <c r="D1005" t="s">
        <v>20</v>
      </c>
      <c r="E1005">
        <v>160.4</v>
      </c>
      <c r="F1005">
        <v>51.7</v>
      </c>
      <c r="G1005">
        <v>13811</v>
      </c>
      <c r="H1005">
        <v>782.7</v>
      </c>
      <c r="I1005">
        <v>3</v>
      </c>
      <c r="J1005">
        <v>65</v>
      </c>
      <c r="K1005" t="s">
        <v>24</v>
      </c>
      <c r="L1005">
        <v>51</v>
      </c>
      <c r="M1005">
        <v>2.0099999999999998</v>
      </c>
      <c r="N1005">
        <v>7</v>
      </c>
      <c r="O1005" t="s">
        <v>17</v>
      </c>
      <c r="P1005" cm="1">
        <f t="array" ref="P1005">_xlfn.SWITCH(Table2[[#This Row],[mood]], "Tired", 3, "Neutral", 2, "Happy", 1)</f>
        <v>3</v>
      </c>
    </row>
    <row r="1006" spans="1:16" x14ac:dyDescent="0.3">
      <c r="A1006">
        <v>1373</v>
      </c>
      <c r="B1006" s="1">
        <v>43009</v>
      </c>
      <c r="C1006">
        <v>39</v>
      </c>
      <c r="D1006" t="s">
        <v>20</v>
      </c>
      <c r="E1006">
        <v>163.5</v>
      </c>
      <c r="F1006">
        <v>62.7</v>
      </c>
      <c r="G1006">
        <v>19229</v>
      </c>
      <c r="H1006">
        <v>900</v>
      </c>
      <c r="I1006">
        <v>5.3</v>
      </c>
      <c r="J1006">
        <v>69</v>
      </c>
      <c r="K1006" t="s">
        <v>22</v>
      </c>
      <c r="L1006">
        <v>43</v>
      </c>
      <c r="M1006">
        <v>2.68</v>
      </c>
      <c r="N1006">
        <v>9</v>
      </c>
      <c r="O1006" t="s">
        <v>21</v>
      </c>
      <c r="P1006" cm="1">
        <f t="array" ref="P1006">_xlfn.SWITCH(Table2[[#This Row],[mood]], "Tired", 3, "Neutral", 2, "Happy", 1)</f>
        <v>1</v>
      </c>
    </row>
    <row r="1007" spans="1:16" x14ac:dyDescent="0.3">
      <c r="A1007">
        <v>1064</v>
      </c>
      <c r="B1007" s="1">
        <v>43010</v>
      </c>
      <c r="C1007">
        <v>49</v>
      </c>
      <c r="D1007" t="s">
        <v>20</v>
      </c>
      <c r="E1007">
        <v>170.4</v>
      </c>
      <c r="F1007">
        <v>53.4</v>
      </c>
      <c r="G1007">
        <v>7362</v>
      </c>
      <c r="H1007">
        <v>538.5</v>
      </c>
      <c r="I1007">
        <v>8</v>
      </c>
      <c r="J1007">
        <v>83</v>
      </c>
      <c r="K1007" t="s">
        <v>24</v>
      </c>
      <c r="L1007">
        <v>70</v>
      </c>
      <c r="M1007">
        <v>3.49</v>
      </c>
      <c r="N1007">
        <v>8</v>
      </c>
      <c r="O1007" t="s">
        <v>21</v>
      </c>
      <c r="P1007" cm="1">
        <f t="array" ref="P1007">_xlfn.SWITCH(Table2[[#This Row],[mood]], "Tired", 3, "Neutral", 2, "Happy", 1)</f>
        <v>1</v>
      </c>
    </row>
    <row r="1008" spans="1:16" x14ac:dyDescent="0.3">
      <c r="A1008">
        <v>1145</v>
      </c>
      <c r="B1008" s="1">
        <v>43011</v>
      </c>
      <c r="C1008">
        <v>58</v>
      </c>
      <c r="D1008" t="s">
        <v>15</v>
      </c>
      <c r="E1008">
        <v>173.7</v>
      </c>
      <c r="F1008">
        <v>81.400000000000006</v>
      </c>
      <c r="G1008">
        <v>14311</v>
      </c>
      <c r="H1008">
        <v>854.6</v>
      </c>
      <c r="I1008">
        <v>9.3000000000000007</v>
      </c>
      <c r="J1008">
        <v>82</v>
      </c>
      <c r="K1008" t="s">
        <v>22</v>
      </c>
      <c r="L1008">
        <v>77</v>
      </c>
      <c r="M1008">
        <v>2.71</v>
      </c>
      <c r="N1008">
        <v>5</v>
      </c>
      <c r="O1008" t="s">
        <v>17</v>
      </c>
      <c r="P1008" cm="1">
        <f t="array" ref="P1008">_xlfn.SWITCH(Table2[[#This Row],[mood]], "Tired", 3, "Neutral", 2, "Happy", 1)</f>
        <v>3</v>
      </c>
    </row>
    <row r="1009" spans="1:16" x14ac:dyDescent="0.3">
      <c r="A1009">
        <v>1223</v>
      </c>
      <c r="B1009" s="1">
        <v>43012</v>
      </c>
      <c r="C1009">
        <v>37</v>
      </c>
      <c r="D1009" t="s">
        <v>15</v>
      </c>
      <c r="E1009">
        <v>165.9</v>
      </c>
      <c r="F1009">
        <v>88.3</v>
      </c>
      <c r="G1009">
        <v>4182</v>
      </c>
      <c r="H1009">
        <v>341.7</v>
      </c>
      <c r="I1009">
        <v>4.9000000000000004</v>
      </c>
      <c r="J1009">
        <v>80</v>
      </c>
      <c r="K1009" t="s">
        <v>24</v>
      </c>
      <c r="L1009">
        <v>61</v>
      </c>
      <c r="M1009">
        <v>3.5</v>
      </c>
      <c r="N1009">
        <v>3</v>
      </c>
      <c r="O1009" t="s">
        <v>21</v>
      </c>
      <c r="P1009" cm="1">
        <f t="array" ref="P1009">_xlfn.SWITCH(Table2[[#This Row],[mood]], "Tired", 3, "Neutral", 2, "Happy", 1)</f>
        <v>1</v>
      </c>
    </row>
    <row r="1010" spans="1:16" x14ac:dyDescent="0.3">
      <c r="A1010">
        <v>1238</v>
      </c>
      <c r="B1010" s="1">
        <v>43013</v>
      </c>
      <c r="C1010">
        <v>18</v>
      </c>
      <c r="D1010" t="s">
        <v>15</v>
      </c>
      <c r="E1010">
        <v>166.3</v>
      </c>
      <c r="F1010">
        <v>83.7</v>
      </c>
      <c r="G1010">
        <v>15298</v>
      </c>
      <c r="H1010">
        <v>802.5</v>
      </c>
      <c r="I1010">
        <v>6.9</v>
      </c>
      <c r="J1010">
        <v>69</v>
      </c>
      <c r="K1010" t="s">
        <v>22</v>
      </c>
      <c r="L1010">
        <v>54</v>
      </c>
      <c r="M1010">
        <v>2.16</v>
      </c>
      <c r="N1010">
        <v>9</v>
      </c>
      <c r="O1010" t="s">
        <v>21</v>
      </c>
      <c r="P1010" cm="1">
        <f t="array" ref="P1010">_xlfn.SWITCH(Table2[[#This Row],[mood]], "Tired", 3, "Neutral", 2, "Happy", 1)</f>
        <v>1</v>
      </c>
    </row>
    <row r="1011" spans="1:16" x14ac:dyDescent="0.3">
      <c r="A1011">
        <v>1176</v>
      </c>
      <c r="B1011" s="1">
        <v>43014</v>
      </c>
      <c r="C1011">
        <v>23</v>
      </c>
      <c r="D1011" t="s">
        <v>15</v>
      </c>
      <c r="E1011">
        <v>165</v>
      </c>
      <c r="F1011">
        <v>107.3</v>
      </c>
      <c r="G1011">
        <v>17847</v>
      </c>
      <c r="H1011">
        <v>900</v>
      </c>
      <c r="I1011">
        <v>6.3</v>
      </c>
      <c r="J1011">
        <v>81</v>
      </c>
      <c r="K1011" t="s">
        <v>23</v>
      </c>
      <c r="L1011">
        <v>51</v>
      </c>
      <c r="M1011">
        <v>2.25</v>
      </c>
      <c r="N1011">
        <v>5</v>
      </c>
      <c r="O1011" t="s">
        <v>21</v>
      </c>
      <c r="P1011" cm="1">
        <f t="array" ref="P1011">_xlfn.SWITCH(Table2[[#This Row],[mood]], "Tired", 3, "Neutral", 2, "Happy", 1)</f>
        <v>1</v>
      </c>
    </row>
    <row r="1012" spans="1:16" x14ac:dyDescent="0.3">
      <c r="A1012">
        <v>1778</v>
      </c>
      <c r="B1012" s="1">
        <v>43015</v>
      </c>
      <c r="C1012">
        <v>36</v>
      </c>
      <c r="D1012" t="s">
        <v>20</v>
      </c>
      <c r="E1012">
        <v>180.5</v>
      </c>
      <c r="F1012">
        <v>63.1</v>
      </c>
      <c r="G1012">
        <v>6760</v>
      </c>
      <c r="H1012">
        <v>461.1</v>
      </c>
      <c r="I1012">
        <v>7.6</v>
      </c>
      <c r="J1012">
        <v>83</v>
      </c>
      <c r="K1012" t="s">
        <v>16</v>
      </c>
      <c r="L1012">
        <v>0</v>
      </c>
      <c r="M1012">
        <v>3.05</v>
      </c>
      <c r="N1012">
        <v>9</v>
      </c>
      <c r="O1012" t="s">
        <v>19</v>
      </c>
      <c r="P1012" cm="1">
        <f t="array" ref="P1012">_xlfn.SWITCH(Table2[[#This Row],[mood]], "Tired", 3, "Neutral", 2, "Happy", 1)</f>
        <v>2</v>
      </c>
    </row>
    <row r="1013" spans="1:16" x14ac:dyDescent="0.3">
      <c r="A1013">
        <v>1852</v>
      </c>
      <c r="B1013" s="1">
        <v>43016</v>
      </c>
      <c r="C1013">
        <v>35</v>
      </c>
      <c r="D1013" t="s">
        <v>20</v>
      </c>
      <c r="E1013">
        <v>150</v>
      </c>
      <c r="F1013">
        <v>78.900000000000006</v>
      </c>
      <c r="G1013">
        <v>8260</v>
      </c>
      <c r="H1013">
        <v>452</v>
      </c>
      <c r="I1013">
        <v>7.1</v>
      </c>
      <c r="J1013">
        <v>79</v>
      </c>
      <c r="K1013" t="s">
        <v>18</v>
      </c>
      <c r="L1013">
        <v>64</v>
      </c>
      <c r="M1013">
        <v>2.19</v>
      </c>
      <c r="N1013">
        <v>3</v>
      </c>
      <c r="O1013" t="s">
        <v>19</v>
      </c>
      <c r="P1013" cm="1">
        <f t="array" ref="P1013">_xlfn.SWITCH(Table2[[#This Row],[mood]], "Tired", 3, "Neutral", 2, "Happy", 1)</f>
        <v>2</v>
      </c>
    </row>
    <row r="1014" spans="1:16" x14ac:dyDescent="0.3">
      <c r="A1014">
        <v>1281</v>
      </c>
      <c r="B1014" s="1">
        <v>43017</v>
      </c>
      <c r="C1014">
        <v>23</v>
      </c>
      <c r="D1014" t="s">
        <v>15</v>
      </c>
      <c r="E1014">
        <v>166.9</v>
      </c>
      <c r="F1014">
        <v>52.3</v>
      </c>
      <c r="G1014">
        <v>1450</v>
      </c>
      <c r="H1014">
        <v>266.2</v>
      </c>
      <c r="I1014">
        <v>6.4</v>
      </c>
      <c r="J1014">
        <v>75</v>
      </c>
      <c r="K1014" t="s">
        <v>16</v>
      </c>
      <c r="L1014">
        <v>0</v>
      </c>
      <c r="M1014">
        <v>2.92</v>
      </c>
      <c r="N1014">
        <v>6</v>
      </c>
      <c r="O1014" t="s">
        <v>21</v>
      </c>
      <c r="P1014" cm="1">
        <f t="array" ref="P1014">_xlfn.SWITCH(Table2[[#This Row],[mood]], "Tired", 3, "Neutral", 2, "Happy", 1)</f>
        <v>1</v>
      </c>
    </row>
    <row r="1015" spans="1:16" x14ac:dyDescent="0.3">
      <c r="A1015">
        <v>1062</v>
      </c>
      <c r="B1015" s="1">
        <v>43018</v>
      </c>
      <c r="C1015">
        <v>50</v>
      </c>
      <c r="D1015" t="s">
        <v>15</v>
      </c>
      <c r="E1015">
        <v>185.4</v>
      </c>
      <c r="F1015">
        <v>67</v>
      </c>
      <c r="G1015">
        <v>14707</v>
      </c>
      <c r="H1015">
        <v>827.8</v>
      </c>
      <c r="I1015">
        <v>8</v>
      </c>
      <c r="J1015">
        <v>81</v>
      </c>
      <c r="K1015" t="s">
        <v>24</v>
      </c>
      <c r="L1015">
        <v>68</v>
      </c>
      <c r="M1015">
        <v>3.33</v>
      </c>
      <c r="N1015">
        <v>2</v>
      </c>
      <c r="O1015" t="s">
        <v>17</v>
      </c>
      <c r="P1015" cm="1">
        <f t="array" ref="P1015">_xlfn.SWITCH(Table2[[#This Row],[mood]], "Tired", 3, "Neutral", 2, "Happy", 1)</f>
        <v>3</v>
      </c>
    </row>
    <row r="1016" spans="1:16" x14ac:dyDescent="0.3">
      <c r="A1016">
        <v>1216</v>
      </c>
      <c r="B1016" s="1">
        <v>43019</v>
      </c>
      <c r="C1016">
        <v>40</v>
      </c>
      <c r="D1016" t="s">
        <v>15</v>
      </c>
      <c r="E1016">
        <v>175.2</v>
      </c>
      <c r="F1016">
        <v>47.8</v>
      </c>
      <c r="G1016">
        <v>2915</v>
      </c>
      <c r="H1016">
        <v>282.60000000000002</v>
      </c>
      <c r="I1016">
        <v>6</v>
      </c>
      <c r="J1016">
        <v>74</v>
      </c>
      <c r="K1016" t="s">
        <v>25</v>
      </c>
      <c r="L1016">
        <v>53</v>
      </c>
      <c r="M1016">
        <v>3.11</v>
      </c>
      <c r="N1016">
        <v>3</v>
      </c>
      <c r="O1016" t="s">
        <v>17</v>
      </c>
      <c r="P1016" cm="1">
        <f t="array" ref="P1016">_xlfn.SWITCH(Table2[[#This Row],[mood]], "Tired", 3, "Neutral", 2, "Happy", 1)</f>
        <v>3</v>
      </c>
    </row>
    <row r="1017" spans="1:16" x14ac:dyDescent="0.3">
      <c r="A1017">
        <v>1853</v>
      </c>
      <c r="B1017" s="1">
        <v>43020</v>
      </c>
      <c r="C1017">
        <v>40</v>
      </c>
      <c r="D1017" t="s">
        <v>15</v>
      </c>
      <c r="E1017">
        <v>182.7</v>
      </c>
      <c r="F1017">
        <v>78.5</v>
      </c>
      <c r="G1017">
        <v>10115</v>
      </c>
      <c r="H1017">
        <v>558.9</v>
      </c>
      <c r="I1017">
        <v>7</v>
      </c>
      <c r="J1017">
        <v>79</v>
      </c>
      <c r="K1017" t="s">
        <v>18</v>
      </c>
      <c r="L1017">
        <v>35</v>
      </c>
      <c r="M1017">
        <v>1.39</v>
      </c>
      <c r="N1017">
        <v>2</v>
      </c>
      <c r="O1017" t="s">
        <v>17</v>
      </c>
      <c r="P1017" cm="1">
        <f t="array" ref="P1017">_xlfn.SWITCH(Table2[[#This Row],[mood]], "Tired", 3, "Neutral", 2, "Happy", 1)</f>
        <v>3</v>
      </c>
    </row>
    <row r="1018" spans="1:16" x14ac:dyDescent="0.3">
      <c r="A1018">
        <v>1826</v>
      </c>
      <c r="B1018" s="1">
        <v>43021</v>
      </c>
      <c r="C1018">
        <v>43</v>
      </c>
      <c r="D1018" t="s">
        <v>15</v>
      </c>
      <c r="E1018">
        <v>150</v>
      </c>
      <c r="F1018">
        <v>64.7</v>
      </c>
      <c r="G1018">
        <v>8076</v>
      </c>
      <c r="H1018">
        <v>516.20000000000005</v>
      </c>
      <c r="I1018">
        <v>8.1999999999999993</v>
      </c>
      <c r="J1018">
        <v>76</v>
      </c>
      <c r="K1018" t="s">
        <v>22</v>
      </c>
      <c r="L1018">
        <v>30</v>
      </c>
      <c r="M1018">
        <v>2.2599999999999998</v>
      </c>
      <c r="N1018">
        <v>2</v>
      </c>
      <c r="O1018" t="s">
        <v>21</v>
      </c>
      <c r="P1018" cm="1">
        <f t="array" ref="P1018">_xlfn.SWITCH(Table2[[#This Row],[mood]], "Tired", 3, "Neutral", 2, "Happy", 1)</f>
        <v>1</v>
      </c>
    </row>
    <row r="1019" spans="1:16" x14ac:dyDescent="0.3">
      <c r="A1019">
        <v>1794</v>
      </c>
      <c r="B1019" s="1">
        <v>43022</v>
      </c>
      <c r="C1019">
        <v>30</v>
      </c>
      <c r="D1019" t="s">
        <v>15</v>
      </c>
      <c r="E1019">
        <v>157.6</v>
      </c>
      <c r="F1019">
        <v>45</v>
      </c>
      <c r="G1019">
        <v>15814</v>
      </c>
      <c r="H1019">
        <v>871.8</v>
      </c>
      <c r="I1019">
        <v>5.9</v>
      </c>
      <c r="J1019">
        <v>60</v>
      </c>
      <c r="K1019" t="s">
        <v>18</v>
      </c>
      <c r="L1019">
        <v>38</v>
      </c>
      <c r="M1019">
        <v>2.7</v>
      </c>
      <c r="N1019">
        <v>5</v>
      </c>
      <c r="O1019" t="s">
        <v>17</v>
      </c>
      <c r="P1019" cm="1">
        <f t="array" ref="P1019">_xlfn.SWITCH(Table2[[#This Row],[mood]], "Tired", 3, "Neutral", 2, "Happy", 1)</f>
        <v>3</v>
      </c>
    </row>
    <row r="1020" spans="1:16" x14ac:dyDescent="0.3">
      <c r="A1020">
        <v>1688</v>
      </c>
      <c r="B1020" s="1">
        <v>43023</v>
      </c>
      <c r="C1020">
        <v>24</v>
      </c>
      <c r="D1020" t="s">
        <v>15</v>
      </c>
      <c r="E1020">
        <v>175.1</v>
      </c>
      <c r="F1020">
        <v>59.7</v>
      </c>
      <c r="G1020">
        <v>1315</v>
      </c>
      <c r="H1020">
        <v>198.8</v>
      </c>
      <c r="I1020">
        <v>6.5</v>
      </c>
      <c r="J1020">
        <v>69</v>
      </c>
      <c r="K1020" t="s">
        <v>25</v>
      </c>
      <c r="L1020">
        <v>48</v>
      </c>
      <c r="M1020">
        <v>2.33</v>
      </c>
      <c r="N1020">
        <v>10</v>
      </c>
      <c r="O1020" t="s">
        <v>19</v>
      </c>
      <c r="P1020" cm="1">
        <f t="array" ref="P1020">_xlfn.SWITCH(Table2[[#This Row],[mood]], "Tired", 3, "Neutral", 2, "Happy", 1)</f>
        <v>2</v>
      </c>
    </row>
    <row r="1021" spans="1:16" x14ac:dyDescent="0.3">
      <c r="A1021">
        <v>1460</v>
      </c>
      <c r="B1021" s="1">
        <v>43024</v>
      </c>
      <c r="C1021">
        <v>32</v>
      </c>
      <c r="D1021" t="s">
        <v>15</v>
      </c>
      <c r="E1021">
        <v>185.5</v>
      </c>
      <c r="F1021">
        <v>96.9</v>
      </c>
      <c r="G1021">
        <v>5793</v>
      </c>
      <c r="H1021">
        <v>548.5</v>
      </c>
      <c r="I1021">
        <v>6.2</v>
      </c>
      <c r="J1021">
        <v>96</v>
      </c>
      <c r="K1021" t="s">
        <v>25</v>
      </c>
      <c r="L1021">
        <v>73</v>
      </c>
      <c r="M1021">
        <v>2.56</v>
      </c>
      <c r="N1021">
        <v>4</v>
      </c>
      <c r="O1021" t="s">
        <v>17</v>
      </c>
      <c r="P1021" cm="1">
        <f t="array" ref="P1021">_xlfn.SWITCH(Table2[[#This Row],[mood]], "Tired", 3, "Neutral", 2, "Happy", 1)</f>
        <v>3</v>
      </c>
    </row>
    <row r="1022" spans="1:16" x14ac:dyDescent="0.3">
      <c r="A1022">
        <v>1928</v>
      </c>
      <c r="B1022" s="1">
        <v>43025</v>
      </c>
      <c r="C1022">
        <v>44</v>
      </c>
      <c r="D1022" t="s">
        <v>15</v>
      </c>
      <c r="E1022">
        <v>158.6</v>
      </c>
      <c r="F1022">
        <v>76.2</v>
      </c>
      <c r="G1022">
        <v>18760</v>
      </c>
      <c r="H1022">
        <v>885.4</v>
      </c>
      <c r="I1022">
        <v>7.7</v>
      </c>
      <c r="J1022">
        <v>56</v>
      </c>
      <c r="K1022" t="s">
        <v>16</v>
      </c>
      <c r="L1022">
        <v>0</v>
      </c>
      <c r="M1022">
        <v>2.71</v>
      </c>
      <c r="N1022">
        <v>4</v>
      </c>
      <c r="O1022" t="s">
        <v>17</v>
      </c>
      <c r="P1022" cm="1">
        <f t="array" ref="P1022">_xlfn.SWITCH(Table2[[#This Row],[mood]], "Tired", 3, "Neutral", 2, "Happy", 1)</f>
        <v>3</v>
      </c>
    </row>
    <row r="1023" spans="1:16" x14ac:dyDescent="0.3">
      <c r="A1023">
        <v>1609</v>
      </c>
      <c r="B1023" s="1">
        <v>43026</v>
      </c>
      <c r="C1023">
        <v>43</v>
      </c>
      <c r="D1023" t="s">
        <v>20</v>
      </c>
      <c r="E1023">
        <v>166.1</v>
      </c>
      <c r="F1023">
        <v>81.5</v>
      </c>
      <c r="G1023">
        <v>2262</v>
      </c>
      <c r="H1023">
        <v>261.89999999999998</v>
      </c>
      <c r="I1023">
        <v>7.5</v>
      </c>
      <c r="J1023">
        <v>91</v>
      </c>
      <c r="K1023" t="s">
        <v>22</v>
      </c>
      <c r="L1023">
        <v>86</v>
      </c>
      <c r="M1023">
        <v>2.13</v>
      </c>
      <c r="N1023">
        <v>8</v>
      </c>
      <c r="O1023" t="s">
        <v>19</v>
      </c>
      <c r="P1023" cm="1">
        <f t="array" ref="P1023">_xlfn.SWITCH(Table2[[#This Row],[mood]], "Tired", 3, "Neutral", 2, "Happy", 1)</f>
        <v>2</v>
      </c>
    </row>
    <row r="1024" spans="1:16" x14ac:dyDescent="0.3">
      <c r="A1024">
        <v>1104</v>
      </c>
      <c r="B1024" s="1">
        <v>43027</v>
      </c>
      <c r="C1024">
        <v>50</v>
      </c>
      <c r="D1024" t="s">
        <v>15</v>
      </c>
      <c r="E1024">
        <v>174</v>
      </c>
      <c r="F1024">
        <v>71.900000000000006</v>
      </c>
      <c r="G1024">
        <v>10319</v>
      </c>
      <c r="H1024">
        <v>669.5</v>
      </c>
      <c r="I1024">
        <v>6.2</v>
      </c>
      <c r="J1024">
        <v>81</v>
      </c>
      <c r="K1024" t="s">
        <v>16</v>
      </c>
      <c r="L1024">
        <v>0</v>
      </c>
      <c r="M1024">
        <v>2.36</v>
      </c>
      <c r="N1024">
        <v>6</v>
      </c>
      <c r="O1024" t="s">
        <v>19</v>
      </c>
      <c r="P1024" cm="1">
        <f t="array" ref="P1024">_xlfn.SWITCH(Table2[[#This Row],[mood]], "Tired", 3, "Neutral", 2, "Happy", 1)</f>
        <v>2</v>
      </c>
    </row>
    <row r="1025" spans="1:16" x14ac:dyDescent="0.3">
      <c r="A1025">
        <v>1098</v>
      </c>
      <c r="B1025" s="1">
        <v>43028</v>
      </c>
      <c r="C1025">
        <v>32</v>
      </c>
      <c r="D1025" t="s">
        <v>20</v>
      </c>
      <c r="E1025">
        <v>155.5</v>
      </c>
      <c r="F1025">
        <v>67.3</v>
      </c>
      <c r="G1025">
        <v>14194</v>
      </c>
      <c r="H1025">
        <v>816.1</v>
      </c>
      <c r="I1025">
        <v>7.5</v>
      </c>
      <c r="J1025">
        <v>75</v>
      </c>
      <c r="K1025" t="s">
        <v>24</v>
      </c>
      <c r="L1025">
        <v>75</v>
      </c>
      <c r="M1025">
        <v>1.67</v>
      </c>
      <c r="N1025">
        <v>10</v>
      </c>
      <c r="O1025" t="s">
        <v>21</v>
      </c>
      <c r="P1025" cm="1">
        <f t="array" ref="P1025">_xlfn.SWITCH(Table2[[#This Row],[mood]], "Tired", 3, "Neutral", 2, "Happy", 1)</f>
        <v>1</v>
      </c>
    </row>
    <row r="1026" spans="1:16" x14ac:dyDescent="0.3">
      <c r="A1026">
        <v>1510</v>
      </c>
      <c r="B1026" s="1">
        <v>43029</v>
      </c>
      <c r="C1026">
        <v>53</v>
      </c>
      <c r="D1026" t="s">
        <v>20</v>
      </c>
      <c r="E1026">
        <v>175.2</v>
      </c>
      <c r="F1026">
        <v>70.2</v>
      </c>
      <c r="G1026">
        <v>4468</v>
      </c>
      <c r="H1026">
        <v>422.7</v>
      </c>
      <c r="I1026">
        <v>3</v>
      </c>
      <c r="J1026">
        <v>58</v>
      </c>
      <c r="K1026" t="s">
        <v>24</v>
      </c>
      <c r="L1026">
        <v>82</v>
      </c>
      <c r="M1026">
        <v>2.17</v>
      </c>
      <c r="N1026">
        <v>2</v>
      </c>
      <c r="O1026" t="s">
        <v>21</v>
      </c>
      <c r="P1026" cm="1">
        <f t="array" ref="P1026">_xlfn.SWITCH(Table2[[#This Row],[mood]], "Tired", 3, "Neutral", 2, "Happy", 1)</f>
        <v>1</v>
      </c>
    </row>
    <row r="1027" spans="1:16" x14ac:dyDescent="0.3">
      <c r="A1027">
        <v>1384</v>
      </c>
      <c r="B1027" s="1">
        <v>43030</v>
      </c>
      <c r="C1027">
        <v>44</v>
      </c>
      <c r="D1027" t="s">
        <v>15</v>
      </c>
      <c r="E1027">
        <v>150</v>
      </c>
      <c r="F1027">
        <v>73.7</v>
      </c>
      <c r="G1027">
        <v>14874</v>
      </c>
      <c r="H1027">
        <v>760.7</v>
      </c>
      <c r="I1027">
        <v>8.3000000000000007</v>
      </c>
      <c r="J1027">
        <v>75</v>
      </c>
      <c r="K1027" t="s">
        <v>23</v>
      </c>
      <c r="L1027">
        <v>23</v>
      </c>
      <c r="M1027">
        <v>1.43</v>
      </c>
      <c r="N1027">
        <v>1</v>
      </c>
      <c r="O1027" t="s">
        <v>21</v>
      </c>
      <c r="P1027" cm="1">
        <f t="array" ref="P1027">_xlfn.SWITCH(Table2[[#This Row],[mood]], "Tired", 3, "Neutral", 2, "Happy", 1)</f>
        <v>1</v>
      </c>
    </row>
    <row r="1028" spans="1:16" x14ac:dyDescent="0.3">
      <c r="A1028">
        <v>1404</v>
      </c>
      <c r="B1028" s="1">
        <v>43031</v>
      </c>
      <c r="C1028">
        <v>22</v>
      </c>
      <c r="D1028" t="s">
        <v>15</v>
      </c>
      <c r="E1028">
        <v>174.9</v>
      </c>
      <c r="F1028">
        <v>53.6</v>
      </c>
      <c r="G1028">
        <v>13651</v>
      </c>
      <c r="H1028">
        <v>721.3</v>
      </c>
      <c r="I1028">
        <v>8.3000000000000007</v>
      </c>
      <c r="J1028">
        <v>68</v>
      </c>
      <c r="K1028" t="s">
        <v>16</v>
      </c>
      <c r="L1028">
        <v>0</v>
      </c>
      <c r="M1028">
        <v>2.58</v>
      </c>
      <c r="N1028">
        <v>5</v>
      </c>
      <c r="O1028" t="s">
        <v>21</v>
      </c>
      <c r="P1028" cm="1">
        <f t="array" ref="P1028">_xlfn.SWITCH(Table2[[#This Row],[mood]], "Tired", 3, "Neutral", 2, "Happy", 1)</f>
        <v>1</v>
      </c>
    </row>
    <row r="1029" spans="1:16" x14ac:dyDescent="0.3">
      <c r="A1029">
        <v>1822</v>
      </c>
      <c r="B1029" s="1">
        <v>43032</v>
      </c>
      <c r="C1029">
        <v>19</v>
      </c>
      <c r="D1029" t="s">
        <v>20</v>
      </c>
      <c r="E1029">
        <v>160</v>
      </c>
      <c r="F1029">
        <v>81.400000000000006</v>
      </c>
      <c r="G1029">
        <v>15482</v>
      </c>
      <c r="H1029">
        <v>776.5</v>
      </c>
      <c r="I1029">
        <v>6.2</v>
      </c>
      <c r="J1029">
        <v>87</v>
      </c>
      <c r="K1029" t="s">
        <v>25</v>
      </c>
      <c r="L1029">
        <v>22</v>
      </c>
      <c r="M1029">
        <v>2.36</v>
      </c>
      <c r="N1029">
        <v>7</v>
      </c>
      <c r="O1029" t="s">
        <v>21</v>
      </c>
      <c r="P1029" cm="1">
        <f t="array" ref="P1029">_xlfn.SWITCH(Table2[[#This Row],[mood]], "Tired", 3, "Neutral", 2, "Happy", 1)</f>
        <v>1</v>
      </c>
    </row>
    <row r="1030" spans="1:16" x14ac:dyDescent="0.3">
      <c r="A1030">
        <v>1517</v>
      </c>
      <c r="B1030" s="1">
        <v>43033</v>
      </c>
      <c r="C1030">
        <v>50</v>
      </c>
      <c r="D1030" t="s">
        <v>20</v>
      </c>
      <c r="E1030">
        <v>165.5</v>
      </c>
      <c r="F1030">
        <v>86.8</v>
      </c>
      <c r="G1030">
        <v>5409</v>
      </c>
      <c r="H1030">
        <v>400.4</v>
      </c>
      <c r="I1030">
        <v>5.9</v>
      </c>
      <c r="J1030">
        <v>68</v>
      </c>
      <c r="K1030" t="s">
        <v>23</v>
      </c>
      <c r="L1030">
        <v>46</v>
      </c>
      <c r="M1030">
        <v>1.86</v>
      </c>
      <c r="N1030">
        <v>5</v>
      </c>
      <c r="O1030" t="s">
        <v>19</v>
      </c>
      <c r="P1030" cm="1">
        <f t="array" ref="P1030">_xlfn.SWITCH(Table2[[#This Row],[mood]], "Tired", 3, "Neutral", 2, "Happy", 1)</f>
        <v>2</v>
      </c>
    </row>
    <row r="1031" spans="1:16" x14ac:dyDescent="0.3">
      <c r="A1031">
        <v>1475</v>
      </c>
      <c r="B1031" s="1">
        <v>43034</v>
      </c>
      <c r="C1031">
        <v>33</v>
      </c>
      <c r="D1031" t="s">
        <v>15</v>
      </c>
      <c r="E1031">
        <v>176.5</v>
      </c>
      <c r="F1031">
        <v>67.099999999999994</v>
      </c>
      <c r="G1031">
        <v>1547</v>
      </c>
      <c r="H1031">
        <v>281</v>
      </c>
      <c r="I1031">
        <v>6.9</v>
      </c>
      <c r="J1031">
        <v>72</v>
      </c>
      <c r="K1031" t="s">
        <v>25</v>
      </c>
      <c r="L1031">
        <v>63</v>
      </c>
      <c r="M1031">
        <v>3.75</v>
      </c>
      <c r="N1031">
        <v>4</v>
      </c>
      <c r="O1031" t="s">
        <v>19</v>
      </c>
      <c r="P1031" cm="1">
        <f t="array" ref="P1031">_xlfn.SWITCH(Table2[[#This Row],[mood]], "Tired", 3, "Neutral", 2, "Happy", 1)</f>
        <v>2</v>
      </c>
    </row>
    <row r="1032" spans="1:16" x14ac:dyDescent="0.3">
      <c r="A1032">
        <v>1976</v>
      </c>
      <c r="B1032" s="1">
        <v>43035</v>
      </c>
      <c r="C1032">
        <v>40</v>
      </c>
      <c r="D1032" t="s">
        <v>20</v>
      </c>
      <c r="E1032">
        <v>174.5</v>
      </c>
      <c r="F1032">
        <v>62.2</v>
      </c>
      <c r="G1032">
        <v>5891</v>
      </c>
      <c r="H1032">
        <v>392.6</v>
      </c>
      <c r="I1032">
        <v>5.6</v>
      </c>
      <c r="J1032">
        <v>77</v>
      </c>
      <c r="K1032" t="s">
        <v>23</v>
      </c>
      <c r="L1032">
        <v>37</v>
      </c>
      <c r="M1032">
        <v>2.33</v>
      </c>
      <c r="N1032">
        <v>5</v>
      </c>
      <c r="O1032" t="s">
        <v>19</v>
      </c>
      <c r="P1032" cm="1">
        <f t="array" ref="P1032">_xlfn.SWITCH(Table2[[#This Row],[mood]], "Tired", 3, "Neutral", 2, "Happy", 1)</f>
        <v>2</v>
      </c>
    </row>
    <row r="1033" spans="1:16" x14ac:dyDescent="0.3">
      <c r="A1033">
        <v>1708</v>
      </c>
      <c r="B1033" s="1">
        <v>43036</v>
      </c>
      <c r="C1033">
        <v>55</v>
      </c>
      <c r="D1033" t="s">
        <v>15</v>
      </c>
      <c r="E1033">
        <v>169.9</v>
      </c>
      <c r="F1033">
        <v>58.9</v>
      </c>
      <c r="G1033">
        <v>10721</v>
      </c>
      <c r="H1033">
        <v>541.4</v>
      </c>
      <c r="I1033">
        <v>5.9</v>
      </c>
      <c r="J1033">
        <v>69</v>
      </c>
      <c r="K1033" t="s">
        <v>16</v>
      </c>
      <c r="L1033">
        <v>0</v>
      </c>
      <c r="M1033">
        <v>2.7</v>
      </c>
      <c r="N1033">
        <v>10</v>
      </c>
      <c r="O1033" t="s">
        <v>17</v>
      </c>
      <c r="P1033" cm="1">
        <f t="array" ref="P1033">_xlfn.SWITCH(Table2[[#This Row],[mood]], "Tired", 3, "Neutral", 2, "Happy", 1)</f>
        <v>3</v>
      </c>
    </row>
    <row r="1034" spans="1:16" x14ac:dyDescent="0.3">
      <c r="A1034">
        <v>1862</v>
      </c>
      <c r="B1034" s="1">
        <v>43037</v>
      </c>
      <c r="C1034">
        <v>33</v>
      </c>
      <c r="D1034" t="s">
        <v>15</v>
      </c>
      <c r="E1034">
        <v>179.7</v>
      </c>
      <c r="F1034">
        <v>96.4</v>
      </c>
      <c r="G1034">
        <v>15436</v>
      </c>
      <c r="H1034">
        <v>875.9</v>
      </c>
      <c r="I1034">
        <v>7.5</v>
      </c>
      <c r="J1034">
        <v>85</v>
      </c>
      <c r="K1034" t="s">
        <v>24</v>
      </c>
      <c r="L1034">
        <v>89</v>
      </c>
      <c r="M1034">
        <v>2.0499999999999998</v>
      </c>
      <c r="N1034">
        <v>8</v>
      </c>
      <c r="O1034" t="s">
        <v>17</v>
      </c>
      <c r="P1034" cm="1">
        <f t="array" ref="P1034">_xlfn.SWITCH(Table2[[#This Row],[mood]], "Tired", 3, "Neutral", 2, "Happy", 1)</f>
        <v>3</v>
      </c>
    </row>
    <row r="1035" spans="1:16" x14ac:dyDescent="0.3">
      <c r="A1035">
        <v>1644</v>
      </c>
      <c r="B1035" s="1">
        <v>43038</v>
      </c>
      <c r="C1035">
        <v>31</v>
      </c>
      <c r="D1035" t="s">
        <v>15</v>
      </c>
      <c r="E1035">
        <v>153</v>
      </c>
      <c r="F1035">
        <v>63.2</v>
      </c>
      <c r="G1035">
        <v>17490</v>
      </c>
      <c r="H1035">
        <v>890.6</v>
      </c>
      <c r="I1035">
        <v>8.1999999999999993</v>
      </c>
      <c r="J1035">
        <v>72</v>
      </c>
      <c r="K1035" t="s">
        <v>25</v>
      </c>
      <c r="L1035">
        <v>66</v>
      </c>
      <c r="M1035">
        <v>2.21</v>
      </c>
      <c r="N1035">
        <v>5</v>
      </c>
      <c r="O1035" t="s">
        <v>17</v>
      </c>
      <c r="P1035" cm="1">
        <f t="array" ref="P1035">_xlfn.SWITCH(Table2[[#This Row],[mood]], "Tired", 3, "Neutral", 2, "Happy", 1)</f>
        <v>3</v>
      </c>
    </row>
    <row r="1036" spans="1:16" x14ac:dyDescent="0.3">
      <c r="A1036">
        <v>1869</v>
      </c>
      <c r="B1036" s="1">
        <v>43039</v>
      </c>
      <c r="C1036">
        <v>46</v>
      </c>
      <c r="D1036" t="s">
        <v>20</v>
      </c>
      <c r="E1036">
        <v>172</v>
      </c>
      <c r="F1036">
        <v>79.8</v>
      </c>
      <c r="G1036">
        <v>6468</v>
      </c>
      <c r="H1036">
        <v>496.1</v>
      </c>
      <c r="I1036">
        <v>7.5</v>
      </c>
      <c r="J1036">
        <v>56</v>
      </c>
      <c r="K1036" t="s">
        <v>16</v>
      </c>
      <c r="L1036">
        <v>0</v>
      </c>
      <c r="M1036">
        <v>2.73</v>
      </c>
      <c r="N1036">
        <v>9</v>
      </c>
      <c r="O1036" t="s">
        <v>21</v>
      </c>
      <c r="P1036" cm="1">
        <f t="array" ref="P1036">_xlfn.SWITCH(Table2[[#This Row],[mood]], "Tired", 3, "Neutral", 2, "Happy", 1)</f>
        <v>1</v>
      </c>
    </row>
    <row r="1037" spans="1:16" x14ac:dyDescent="0.3">
      <c r="A1037">
        <v>1770</v>
      </c>
      <c r="B1037" s="1">
        <v>43040</v>
      </c>
      <c r="C1037">
        <v>43</v>
      </c>
      <c r="D1037" t="s">
        <v>20</v>
      </c>
      <c r="E1037">
        <v>162.1</v>
      </c>
      <c r="F1037">
        <v>67.2</v>
      </c>
      <c r="G1037">
        <v>15923</v>
      </c>
      <c r="H1037">
        <v>821.5</v>
      </c>
      <c r="I1037">
        <v>10</v>
      </c>
      <c r="J1037">
        <v>77</v>
      </c>
      <c r="K1037" t="s">
        <v>16</v>
      </c>
      <c r="L1037">
        <v>0</v>
      </c>
      <c r="M1037">
        <v>2.27</v>
      </c>
      <c r="N1037">
        <v>10</v>
      </c>
      <c r="O1037" t="s">
        <v>17</v>
      </c>
      <c r="P1037" cm="1">
        <f t="array" ref="P1037">_xlfn.SWITCH(Table2[[#This Row],[mood]], "Tired", 3, "Neutral", 2, "Happy", 1)</f>
        <v>3</v>
      </c>
    </row>
    <row r="1038" spans="1:16" x14ac:dyDescent="0.3">
      <c r="A1038">
        <v>1436</v>
      </c>
      <c r="B1038" s="1">
        <v>43041</v>
      </c>
      <c r="C1038">
        <v>52</v>
      </c>
      <c r="D1038" t="s">
        <v>15</v>
      </c>
      <c r="E1038">
        <v>179.2</v>
      </c>
      <c r="F1038">
        <v>66.3</v>
      </c>
      <c r="G1038">
        <v>2250</v>
      </c>
      <c r="H1038">
        <v>317.10000000000002</v>
      </c>
      <c r="I1038">
        <v>8.9</v>
      </c>
      <c r="J1038">
        <v>83</v>
      </c>
      <c r="K1038" t="s">
        <v>24</v>
      </c>
      <c r="L1038">
        <v>42</v>
      </c>
      <c r="M1038">
        <v>2.5</v>
      </c>
      <c r="N1038">
        <v>7</v>
      </c>
      <c r="O1038" t="s">
        <v>21</v>
      </c>
      <c r="P1038" cm="1">
        <f t="array" ref="P1038">_xlfn.SWITCH(Table2[[#This Row],[mood]], "Tired", 3, "Neutral", 2, "Happy", 1)</f>
        <v>1</v>
      </c>
    </row>
    <row r="1039" spans="1:16" x14ac:dyDescent="0.3">
      <c r="A1039">
        <v>1022</v>
      </c>
      <c r="B1039" s="1">
        <v>43042</v>
      </c>
      <c r="C1039">
        <v>32</v>
      </c>
      <c r="D1039" t="s">
        <v>20</v>
      </c>
      <c r="E1039">
        <v>176.9</v>
      </c>
      <c r="F1039">
        <v>58.5</v>
      </c>
      <c r="G1039">
        <v>14264</v>
      </c>
      <c r="H1039">
        <v>886.9</v>
      </c>
      <c r="I1039">
        <v>8.1</v>
      </c>
      <c r="J1039">
        <v>89</v>
      </c>
      <c r="K1039" t="s">
        <v>18</v>
      </c>
      <c r="L1039">
        <v>59</v>
      </c>
      <c r="M1039">
        <v>3.06</v>
      </c>
      <c r="N1039">
        <v>2</v>
      </c>
      <c r="O1039" t="s">
        <v>21</v>
      </c>
      <c r="P1039" cm="1">
        <f t="array" ref="P1039">_xlfn.SWITCH(Table2[[#This Row],[mood]], "Tired", 3, "Neutral", 2, "Happy", 1)</f>
        <v>1</v>
      </c>
    </row>
    <row r="1040" spans="1:16" x14ac:dyDescent="0.3">
      <c r="A1040">
        <v>1996</v>
      </c>
      <c r="B1040" s="1">
        <v>43043</v>
      </c>
      <c r="C1040">
        <v>20</v>
      </c>
      <c r="D1040" t="s">
        <v>20</v>
      </c>
      <c r="E1040">
        <v>177.2</v>
      </c>
      <c r="F1040">
        <v>55.4</v>
      </c>
      <c r="G1040">
        <v>2611</v>
      </c>
      <c r="H1040">
        <v>247.3</v>
      </c>
      <c r="I1040">
        <v>8</v>
      </c>
      <c r="J1040">
        <v>81</v>
      </c>
      <c r="K1040" t="s">
        <v>24</v>
      </c>
      <c r="L1040">
        <v>34</v>
      </c>
      <c r="M1040">
        <v>2.14</v>
      </c>
      <c r="N1040">
        <v>9</v>
      </c>
      <c r="O1040" t="s">
        <v>21</v>
      </c>
      <c r="P1040" cm="1">
        <f t="array" ref="P1040">_xlfn.SWITCH(Table2[[#This Row],[mood]], "Tired", 3, "Neutral", 2, "Happy", 1)</f>
        <v>1</v>
      </c>
    </row>
    <row r="1041" spans="1:16" x14ac:dyDescent="0.3">
      <c r="A1041">
        <v>1564</v>
      </c>
      <c r="B1041" s="1">
        <v>43044</v>
      </c>
      <c r="C1041">
        <v>40</v>
      </c>
      <c r="D1041" t="s">
        <v>20</v>
      </c>
      <c r="E1041">
        <v>186.5</v>
      </c>
      <c r="F1041">
        <v>81.099999999999994</v>
      </c>
      <c r="G1041">
        <v>8928</v>
      </c>
      <c r="H1041">
        <v>518.20000000000005</v>
      </c>
      <c r="I1041">
        <v>7.1</v>
      </c>
      <c r="J1041">
        <v>87</v>
      </c>
      <c r="K1041" t="s">
        <v>25</v>
      </c>
      <c r="L1041">
        <v>76</v>
      </c>
      <c r="M1041">
        <v>1.57</v>
      </c>
      <c r="N1041">
        <v>2</v>
      </c>
      <c r="O1041" t="s">
        <v>21</v>
      </c>
      <c r="P1041" cm="1">
        <f t="array" ref="P1041">_xlfn.SWITCH(Table2[[#This Row],[mood]], "Tired", 3, "Neutral", 2, "Happy", 1)</f>
        <v>1</v>
      </c>
    </row>
    <row r="1042" spans="1:16" x14ac:dyDescent="0.3">
      <c r="A1042">
        <v>1676</v>
      </c>
      <c r="B1042" s="1">
        <v>43045</v>
      </c>
      <c r="C1042">
        <v>46</v>
      </c>
      <c r="D1042" t="s">
        <v>20</v>
      </c>
      <c r="E1042">
        <v>181.3</v>
      </c>
      <c r="F1042">
        <v>55.1</v>
      </c>
      <c r="G1042">
        <v>2790</v>
      </c>
      <c r="H1042">
        <v>266.60000000000002</v>
      </c>
      <c r="I1042">
        <v>7.8</v>
      </c>
      <c r="J1042">
        <v>80</v>
      </c>
      <c r="K1042" t="s">
        <v>18</v>
      </c>
      <c r="L1042">
        <v>33</v>
      </c>
      <c r="M1042">
        <v>1.43</v>
      </c>
      <c r="N1042">
        <v>6</v>
      </c>
      <c r="O1042" t="s">
        <v>17</v>
      </c>
      <c r="P1042" cm="1">
        <f t="array" ref="P1042">_xlfn.SWITCH(Table2[[#This Row],[mood]], "Tired", 3, "Neutral", 2, "Happy", 1)</f>
        <v>3</v>
      </c>
    </row>
    <row r="1043" spans="1:16" x14ac:dyDescent="0.3">
      <c r="A1043">
        <v>1713</v>
      </c>
      <c r="B1043" s="1">
        <v>43046</v>
      </c>
      <c r="C1043">
        <v>51</v>
      </c>
      <c r="D1043" t="s">
        <v>20</v>
      </c>
      <c r="E1043">
        <v>168.4</v>
      </c>
      <c r="F1043">
        <v>76.900000000000006</v>
      </c>
      <c r="G1043">
        <v>1867</v>
      </c>
      <c r="H1043">
        <v>379.9</v>
      </c>
      <c r="I1043">
        <v>7.3</v>
      </c>
      <c r="J1043">
        <v>65</v>
      </c>
      <c r="K1043" t="s">
        <v>23</v>
      </c>
      <c r="L1043">
        <v>31</v>
      </c>
      <c r="M1043">
        <v>3.51</v>
      </c>
      <c r="N1043">
        <v>8</v>
      </c>
      <c r="O1043" t="s">
        <v>19</v>
      </c>
      <c r="P1043" cm="1">
        <f t="array" ref="P1043">_xlfn.SWITCH(Table2[[#This Row],[mood]], "Tired", 3, "Neutral", 2, "Happy", 1)</f>
        <v>2</v>
      </c>
    </row>
    <row r="1044" spans="1:16" x14ac:dyDescent="0.3">
      <c r="A1044">
        <v>1457</v>
      </c>
      <c r="B1044" s="1">
        <v>43047</v>
      </c>
      <c r="C1044">
        <v>50</v>
      </c>
      <c r="D1044" t="s">
        <v>20</v>
      </c>
      <c r="E1044">
        <v>170</v>
      </c>
      <c r="F1044">
        <v>71.400000000000006</v>
      </c>
      <c r="G1044">
        <v>13445</v>
      </c>
      <c r="H1044">
        <v>736.9</v>
      </c>
      <c r="I1044">
        <v>8.6</v>
      </c>
      <c r="J1044">
        <v>67</v>
      </c>
      <c r="K1044" t="s">
        <v>22</v>
      </c>
      <c r="L1044">
        <v>54</v>
      </c>
      <c r="M1044">
        <v>3.15</v>
      </c>
      <c r="N1044">
        <v>2</v>
      </c>
      <c r="O1044" t="s">
        <v>21</v>
      </c>
      <c r="P1044" cm="1">
        <f t="array" ref="P1044">_xlfn.SWITCH(Table2[[#This Row],[mood]], "Tired", 3, "Neutral", 2, "Happy", 1)</f>
        <v>1</v>
      </c>
    </row>
    <row r="1045" spans="1:16" x14ac:dyDescent="0.3">
      <c r="A1045">
        <v>1082</v>
      </c>
      <c r="B1045" s="1">
        <v>43048</v>
      </c>
      <c r="C1045">
        <v>58</v>
      </c>
      <c r="D1045" t="s">
        <v>20</v>
      </c>
      <c r="E1045">
        <v>176</v>
      </c>
      <c r="F1045">
        <v>81.3</v>
      </c>
      <c r="G1045">
        <v>1327</v>
      </c>
      <c r="H1045">
        <v>297.5</v>
      </c>
      <c r="I1045">
        <v>6.6</v>
      </c>
      <c r="J1045">
        <v>52</v>
      </c>
      <c r="K1045" t="s">
        <v>25</v>
      </c>
      <c r="L1045">
        <v>44</v>
      </c>
      <c r="M1045">
        <v>2.96</v>
      </c>
      <c r="N1045">
        <v>6</v>
      </c>
      <c r="O1045" t="s">
        <v>17</v>
      </c>
      <c r="P1045" cm="1">
        <f t="array" ref="P1045">_xlfn.SWITCH(Table2[[#This Row],[mood]], "Tired", 3, "Neutral", 2, "Happy", 1)</f>
        <v>3</v>
      </c>
    </row>
    <row r="1046" spans="1:16" x14ac:dyDescent="0.3">
      <c r="A1046">
        <v>1144</v>
      </c>
      <c r="B1046" s="1">
        <v>43049</v>
      </c>
      <c r="C1046">
        <v>58</v>
      </c>
      <c r="D1046" t="s">
        <v>15</v>
      </c>
      <c r="E1046">
        <v>171.4</v>
      </c>
      <c r="F1046">
        <v>60.9</v>
      </c>
      <c r="G1046">
        <v>4816</v>
      </c>
      <c r="H1046">
        <v>260.39999999999998</v>
      </c>
      <c r="I1046">
        <v>6.5</v>
      </c>
      <c r="J1046">
        <v>73</v>
      </c>
      <c r="K1046" t="s">
        <v>22</v>
      </c>
      <c r="L1046">
        <v>21</v>
      </c>
      <c r="M1046">
        <v>2.19</v>
      </c>
      <c r="N1046">
        <v>5</v>
      </c>
      <c r="O1046" t="s">
        <v>21</v>
      </c>
      <c r="P1046" cm="1">
        <f t="array" ref="P1046">_xlfn.SWITCH(Table2[[#This Row],[mood]], "Tired", 3, "Neutral", 2, "Happy", 1)</f>
        <v>1</v>
      </c>
    </row>
    <row r="1047" spans="1:16" x14ac:dyDescent="0.3">
      <c r="A1047">
        <v>1084</v>
      </c>
      <c r="B1047" s="1">
        <v>43050</v>
      </c>
      <c r="C1047">
        <v>40</v>
      </c>
      <c r="D1047" t="s">
        <v>20</v>
      </c>
      <c r="E1047">
        <v>177.1</v>
      </c>
      <c r="F1047">
        <v>86.2</v>
      </c>
      <c r="G1047">
        <v>4148</v>
      </c>
      <c r="H1047">
        <v>384.6</v>
      </c>
      <c r="I1047">
        <v>8.8000000000000007</v>
      </c>
      <c r="J1047">
        <v>82</v>
      </c>
      <c r="K1047" t="s">
        <v>22</v>
      </c>
      <c r="L1047">
        <v>37</v>
      </c>
      <c r="M1047">
        <v>1.57</v>
      </c>
      <c r="N1047">
        <v>7</v>
      </c>
      <c r="O1047" t="s">
        <v>21</v>
      </c>
      <c r="P1047" cm="1">
        <f t="array" ref="P1047">_xlfn.SWITCH(Table2[[#This Row],[mood]], "Tired", 3, "Neutral", 2, "Happy", 1)</f>
        <v>1</v>
      </c>
    </row>
    <row r="1048" spans="1:16" x14ac:dyDescent="0.3">
      <c r="A1048">
        <v>1077</v>
      </c>
      <c r="B1048" s="1">
        <v>43051</v>
      </c>
      <c r="C1048">
        <v>24</v>
      </c>
      <c r="D1048" t="s">
        <v>20</v>
      </c>
      <c r="E1048">
        <v>150</v>
      </c>
      <c r="F1048">
        <v>67.900000000000006</v>
      </c>
      <c r="G1048">
        <v>16070</v>
      </c>
      <c r="H1048">
        <v>824.8</v>
      </c>
      <c r="I1048">
        <v>6.3</v>
      </c>
      <c r="J1048">
        <v>59</v>
      </c>
      <c r="K1048" t="s">
        <v>18</v>
      </c>
      <c r="L1048">
        <v>54</v>
      </c>
      <c r="M1048">
        <v>2.2999999999999998</v>
      </c>
      <c r="N1048">
        <v>10</v>
      </c>
      <c r="O1048" t="s">
        <v>19</v>
      </c>
      <c r="P1048" cm="1">
        <f t="array" ref="P1048">_xlfn.SWITCH(Table2[[#This Row],[mood]], "Tired", 3, "Neutral", 2, "Happy", 1)</f>
        <v>2</v>
      </c>
    </row>
    <row r="1049" spans="1:16" x14ac:dyDescent="0.3">
      <c r="A1049">
        <v>1456</v>
      </c>
      <c r="B1049" s="1">
        <v>43052</v>
      </c>
      <c r="C1049">
        <v>20</v>
      </c>
      <c r="D1049" t="s">
        <v>20</v>
      </c>
      <c r="E1049">
        <v>188.8</v>
      </c>
      <c r="F1049">
        <v>108.9</v>
      </c>
      <c r="G1049">
        <v>12573</v>
      </c>
      <c r="H1049">
        <v>772.4</v>
      </c>
      <c r="I1049">
        <v>5.6</v>
      </c>
      <c r="J1049">
        <v>88</v>
      </c>
      <c r="K1049" t="s">
        <v>23</v>
      </c>
      <c r="L1049">
        <v>28</v>
      </c>
      <c r="M1049">
        <v>2.4300000000000002</v>
      </c>
      <c r="N1049">
        <v>5</v>
      </c>
      <c r="O1049" t="s">
        <v>21</v>
      </c>
      <c r="P1049" cm="1">
        <f t="array" ref="P1049">_xlfn.SWITCH(Table2[[#This Row],[mood]], "Tired", 3, "Neutral", 2, "Happy", 1)</f>
        <v>1</v>
      </c>
    </row>
    <row r="1050" spans="1:16" x14ac:dyDescent="0.3">
      <c r="A1050">
        <v>1877</v>
      </c>
      <c r="B1050" s="1">
        <v>43053</v>
      </c>
      <c r="C1050">
        <v>49</v>
      </c>
      <c r="D1050" t="s">
        <v>20</v>
      </c>
      <c r="E1050">
        <v>170.6</v>
      </c>
      <c r="F1050">
        <v>45.8</v>
      </c>
      <c r="G1050">
        <v>11566</v>
      </c>
      <c r="H1050">
        <v>695.6</v>
      </c>
      <c r="I1050">
        <v>5.9</v>
      </c>
      <c r="J1050">
        <v>74</v>
      </c>
      <c r="K1050" t="s">
        <v>24</v>
      </c>
      <c r="L1050">
        <v>30</v>
      </c>
      <c r="M1050">
        <v>1.71</v>
      </c>
      <c r="N1050">
        <v>3</v>
      </c>
      <c r="O1050" t="s">
        <v>19</v>
      </c>
      <c r="P1050" cm="1">
        <f t="array" ref="P1050">_xlfn.SWITCH(Table2[[#This Row],[mood]], "Tired", 3, "Neutral", 2, "Happy", 1)</f>
        <v>2</v>
      </c>
    </row>
    <row r="1051" spans="1:16" x14ac:dyDescent="0.3">
      <c r="A1051">
        <v>1000</v>
      </c>
      <c r="B1051" s="1">
        <v>43054</v>
      </c>
      <c r="C1051">
        <v>48</v>
      </c>
      <c r="D1051" t="s">
        <v>20</v>
      </c>
      <c r="E1051">
        <v>153.80000000000001</v>
      </c>
      <c r="F1051">
        <v>106.4</v>
      </c>
      <c r="G1051">
        <v>19939</v>
      </c>
      <c r="H1051">
        <v>900</v>
      </c>
      <c r="I1051">
        <v>8.1</v>
      </c>
      <c r="J1051">
        <v>66</v>
      </c>
      <c r="K1051" t="s">
        <v>18</v>
      </c>
      <c r="L1051">
        <v>86</v>
      </c>
      <c r="M1051">
        <v>1.47</v>
      </c>
      <c r="N1051">
        <v>6</v>
      </c>
      <c r="O1051" t="s">
        <v>17</v>
      </c>
      <c r="P1051" cm="1">
        <f t="array" ref="P1051">_xlfn.SWITCH(Table2[[#This Row],[mood]], "Tired", 3, "Neutral", 2, "Happy", 1)</f>
        <v>3</v>
      </c>
    </row>
    <row r="1052" spans="1:16" x14ac:dyDescent="0.3">
      <c r="A1052">
        <v>1050</v>
      </c>
      <c r="B1052" s="1">
        <v>43055</v>
      </c>
      <c r="C1052">
        <v>35</v>
      </c>
      <c r="D1052" t="s">
        <v>20</v>
      </c>
      <c r="E1052">
        <v>160.9</v>
      </c>
      <c r="F1052">
        <v>68.099999999999994</v>
      </c>
      <c r="G1052">
        <v>14157</v>
      </c>
      <c r="H1052">
        <v>845.3</v>
      </c>
      <c r="I1052">
        <v>10</v>
      </c>
      <c r="J1052">
        <v>59</v>
      </c>
      <c r="K1052" t="s">
        <v>23</v>
      </c>
      <c r="L1052">
        <v>88</v>
      </c>
      <c r="M1052">
        <v>1.29</v>
      </c>
      <c r="N1052">
        <v>7</v>
      </c>
      <c r="O1052" t="s">
        <v>21</v>
      </c>
      <c r="P1052" cm="1">
        <f t="array" ref="P1052">_xlfn.SWITCH(Table2[[#This Row],[mood]], "Tired", 3, "Neutral", 2, "Happy", 1)</f>
        <v>1</v>
      </c>
    </row>
    <row r="1053" spans="1:16" x14ac:dyDescent="0.3">
      <c r="A1053">
        <v>1684</v>
      </c>
      <c r="B1053" s="1">
        <v>43056</v>
      </c>
      <c r="C1053">
        <v>24</v>
      </c>
      <c r="D1053" t="s">
        <v>20</v>
      </c>
      <c r="E1053">
        <v>150</v>
      </c>
      <c r="F1053">
        <v>73.3</v>
      </c>
      <c r="G1053">
        <v>10322</v>
      </c>
      <c r="H1053">
        <v>696.5</v>
      </c>
      <c r="I1053">
        <v>5.7</v>
      </c>
      <c r="J1053">
        <v>92</v>
      </c>
      <c r="K1053" t="s">
        <v>24</v>
      </c>
      <c r="L1053">
        <v>57</v>
      </c>
      <c r="M1053">
        <v>2.96</v>
      </c>
      <c r="N1053">
        <v>1</v>
      </c>
      <c r="O1053" t="s">
        <v>19</v>
      </c>
      <c r="P1053" cm="1">
        <f t="array" ref="P1053">_xlfn.SWITCH(Table2[[#This Row],[mood]], "Tired", 3, "Neutral", 2, "Happy", 1)</f>
        <v>2</v>
      </c>
    </row>
    <row r="1054" spans="1:16" x14ac:dyDescent="0.3">
      <c r="A1054">
        <v>1716</v>
      </c>
      <c r="B1054" s="1">
        <v>43057</v>
      </c>
      <c r="C1054">
        <v>58</v>
      </c>
      <c r="D1054" t="s">
        <v>20</v>
      </c>
      <c r="E1054">
        <v>159.1</v>
      </c>
      <c r="F1054">
        <v>60.9</v>
      </c>
      <c r="G1054">
        <v>3482</v>
      </c>
      <c r="H1054">
        <v>414.6</v>
      </c>
      <c r="I1054">
        <v>8</v>
      </c>
      <c r="J1054">
        <v>87</v>
      </c>
      <c r="K1054" t="s">
        <v>24</v>
      </c>
      <c r="L1054">
        <v>89</v>
      </c>
      <c r="M1054">
        <v>1.66</v>
      </c>
      <c r="N1054">
        <v>8</v>
      </c>
      <c r="O1054" t="s">
        <v>21</v>
      </c>
      <c r="P1054" cm="1">
        <f t="array" ref="P1054">_xlfn.SWITCH(Table2[[#This Row],[mood]], "Tired", 3, "Neutral", 2, "Happy", 1)</f>
        <v>1</v>
      </c>
    </row>
    <row r="1055" spans="1:16" x14ac:dyDescent="0.3">
      <c r="A1055">
        <v>1771</v>
      </c>
      <c r="B1055" s="1">
        <v>43058</v>
      </c>
      <c r="C1055">
        <v>18</v>
      </c>
      <c r="D1055" t="s">
        <v>15</v>
      </c>
      <c r="E1055">
        <v>168.6</v>
      </c>
      <c r="F1055">
        <v>46.5</v>
      </c>
      <c r="G1055">
        <v>4099</v>
      </c>
      <c r="H1055">
        <v>402.1</v>
      </c>
      <c r="I1055">
        <v>7.2</v>
      </c>
      <c r="J1055">
        <v>71</v>
      </c>
      <c r="K1055" t="s">
        <v>23</v>
      </c>
      <c r="L1055">
        <v>78</v>
      </c>
      <c r="M1055">
        <v>2.72</v>
      </c>
      <c r="N1055">
        <v>8</v>
      </c>
      <c r="O1055" t="s">
        <v>21</v>
      </c>
      <c r="P1055" cm="1">
        <f t="array" ref="P1055">_xlfn.SWITCH(Table2[[#This Row],[mood]], "Tired", 3, "Neutral", 2, "Happy", 1)</f>
        <v>1</v>
      </c>
    </row>
    <row r="1056" spans="1:16" x14ac:dyDescent="0.3">
      <c r="A1056">
        <v>1445</v>
      </c>
      <c r="B1056" s="1">
        <v>43059</v>
      </c>
      <c r="C1056">
        <v>31</v>
      </c>
      <c r="D1056" t="s">
        <v>20</v>
      </c>
      <c r="E1056">
        <v>185.1</v>
      </c>
      <c r="F1056">
        <v>62.1</v>
      </c>
      <c r="G1056">
        <v>12512</v>
      </c>
      <c r="H1056">
        <v>686.6</v>
      </c>
      <c r="I1056">
        <v>8.6999999999999993</v>
      </c>
      <c r="J1056">
        <v>84</v>
      </c>
      <c r="K1056" t="s">
        <v>24</v>
      </c>
      <c r="L1056">
        <v>85</v>
      </c>
      <c r="M1056">
        <v>2.2200000000000002</v>
      </c>
      <c r="N1056">
        <v>4</v>
      </c>
      <c r="O1056" t="s">
        <v>21</v>
      </c>
      <c r="P1056" cm="1">
        <f t="array" ref="P1056">_xlfn.SWITCH(Table2[[#This Row],[mood]], "Tired", 3, "Neutral", 2, "Happy", 1)</f>
        <v>1</v>
      </c>
    </row>
    <row r="1057" spans="1:16" x14ac:dyDescent="0.3">
      <c r="A1057">
        <v>1448</v>
      </c>
      <c r="B1057" s="1">
        <v>43060</v>
      </c>
      <c r="C1057">
        <v>49</v>
      </c>
      <c r="D1057" t="s">
        <v>20</v>
      </c>
      <c r="E1057">
        <v>174.1</v>
      </c>
      <c r="F1057">
        <v>64.5</v>
      </c>
      <c r="G1057">
        <v>14675</v>
      </c>
      <c r="H1057">
        <v>798.6</v>
      </c>
      <c r="I1057">
        <v>8</v>
      </c>
      <c r="J1057">
        <v>73</v>
      </c>
      <c r="K1057" t="s">
        <v>25</v>
      </c>
      <c r="L1057">
        <v>60</v>
      </c>
      <c r="M1057">
        <v>2.91</v>
      </c>
      <c r="N1057">
        <v>8</v>
      </c>
      <c r="O1057" t="s">
        <v>19</v>
      </c>
      <c r="P1057" cm="1">
        <f t="array" ref="P1057">_xlfn.SWITCH(Table2[[#This Row],[mood]], "Tired", 3, "Neutral", 2, "Happy", 1)</f>
        <v>2</v>
      </c>
    </row>
    <row r="1058" spans="1:16" x14ac:dyDescent="0.3">
      <c r="A1058">
        <v>1880</v>
      </c>
      <c r="B1058" s="1">
        <v>43061</v>
      </c>
      <c r="C1058">
        <v>23</v>
      </c>
      <c r="D1058" t="s">
        <v>20</v>
      </c>
      <c r="E1058">
        <v>172.3</v>
      </c>
      <c r="F1058">
        <v>72.7</v>
      </c>
      <c r="G1058">
        <v>10748</v>
      </c>
      <c r="H1058">
        <v>609.1</v>
      </c>
      <c r="I1058">
        <v>8.8000000000000007</v>
      </c>
      <c r="J1058">
        <v>69</v>
      </c>
      <c r="K1058" t="s">
        <v>25</v>
      </c>
      <c r="L1058">
        <v>43</v>
      </c>
      <c r="M1058">
        <v>2.74</v>
      </c>
      <c r="N1058">
        <v>3</v>
      </c>
      <c r="O1058" t="s">
        <v>17</v>
      </c>
      <c r="P1058" cm="1">
        <f t="array" ref="P1058">_xlfn.SWITCH(Table2[[#This Row],[mood]], "Tired", 3, "Neutral", 2, "Happy", 1)</f>
        <v>3</v>
      </c>
    </row>
    <row r="1059" spans="1:16" x14ac:dyDescent="0.3">
      <c r="A1059">
        <v>1487</v>
      </c>
      <c r="B1059" s="1">
        <v>43062</v>
      </c>
      <c r="C1059">
        <v>56</v>
      </c>
      <c r="D1059" t="s">
        <v>20</v>
      </c>
      <c r="E1059">
        <v>158.6</v>
      </c>
      <c r="F1059">
        <v>86.8</v>
      </c>
      <c r="G1059">
        <v>12735</v>
      </c>
      <c r="H1059">
        <v>720.5</v>
      </c>
      <c r="I1059">
        <v>7.4</v>
      </c>
      <c r="J1059">
        <v>68</v>
      </c>
      <c r="K1059" t="s">
        <v>18</v>
      </c>
      <c r="L1059">
        <v>69</v>
      </c>
      <c r="M1059">
        <v>2.34</v>
      </c>
      <c r="N1059">
        <v>5</v>
      </c>
      <c r="O1059" t="s">
        <v>19</v>
      </c>
      <c r="P1059" cm="1">
        <f t="array" ref="P1059">_xlfn.SWITCH(Table2[[#This Row],[mood]], "Tired", 3, "Neutral", 2, "Happy", 1)</f>
        <v>2</v>
      </c>
    </row>
    <row r="1060" spans="1:16" x14ac:dyDescent="0.3">
      <c r="A1060">
        <v>1799</v>
      </c>
      <c r="B1060" s="1">
        <v>43063</v>
      </c>
      <c r="C1060">
        <v>27</v>
      </c>
      <c r="D1060" t="s">
        <v>15</v>
      </c>
      <c r="E1060">
        <v>161.80000000000001</v>
      </c>
      <c r="F1060">
        <v>72.900000000000006</v>
      </c>
      <c r="G1060">
        <v>14850</v>
      </c>
      <c r="H1060">
        <v>764.3</v>
      </c>
      <c r="I1060">
        <v>5.7</v>
      </c>
      <c r="J1060">
        <v>73</v>
      </c>
      <c r="K1060" t="s">
        <v>24</v>
      </c>
      <c r="L1060">
        <v>24</v>
      </c>
      <c r="M1060">
        <v>2.59</v>
      </c>
      <c r="N1060">
        <v>3</v>
      </c>
      <c r="O1060" t="s">
        <v>17</v>
      </c>
      <c r="P1060" cm="1">
        <f t="array" ref="P1060">_xlfn.SWITCH(Table2[[#This Row],[mood]], "Tired", 3, "Neutral", 2, "Happy", 1)</f>
        <v>3</v>
      </c>
    </row>
    <row r="1061" spans="1:16" x14ac:dyDescent="0.3">
      <c r="A1061">
        <v>1033</v>
      </c>
      <c r="B1061" s="1">
        <v>43064</v>
      </c>
      <c r="C1061">
        <v>24</v>
      </c>
      <c r="D1061" t="s">
        <v>15</v>
      </c>
      <c r="E1061">
        <v>162.5</v>
      </c>
      <c r="F1061">
        <v>73.099999999999994</v>
      </c>
      <c r="G1061">
        <v>7732</v>
      </c>
      <c r="H1061">
        <v>500.8</v>
      </c>
      <c r="I1061">
        <v>6</v>
      </c>
      <c r="J1061">
        <v>71</v>
      </c>
      <c r="K1061" t="s">
        <v>24</v>
      </c>
      <c r="L1061">
        <v>40</v>
      </c>
      <c r="M1061">
        <v>2.42</v>
      </c>
      <c r="N1061">
        <v>2</v>
      </c>
      <c r="O1061" t="s">
        <v>19</v>
      </c>
      <c r="P1061" cm="1">
        <f t="array" ref="P1061">_xlfn.SWITCH(Table2[[#This Row],[mood]], "Tired", 3, "Neutral", 2, "Happy", 1)</f>
        <v>2</v>
      </c>
    </row>
    <row r="1062" spans="1:16" x14ac:dyDescent="0.3">
      <c r="A1062">
        <v>1347</v>
      </c>
      <c r="B1062" s="1">
        <v>43065</v>
      </c>
      <c r="C1062">
        <v>43</v>
      </c>
      <c r="D1062" t="s">
        <v>15</v>
      </c>
      <c r="E1062">
        <v>162.9</v>
      </c>
      <c r="F1062">
        <v>75.8</v>
      </c>
      <c r="G1062">
        <v>8985</v>
      </c>
      <c r="H1062">
        <v>666.6</v>
      </c>
      <c r="I1062">
        <v>7.3</v>
      </c>
      <c r="J1062">
        <v>76</v>
      </c>
      <c r="K1062" t="s">
        <v>23</v>
      </c>
      <c r="L1062">
        <v>25</v>
      </c>
      <c r="M1062">
        <v>2.0699999999999998</v>
      </c>
      <c r="N1062">
        <v>5</v>
      </c>
      <c r="O1062" t="s">
        <v>19</v>
      </c>
      <c r="P1062" cm="1">
        <f t="array" ref="P1062">_xlfn.SWITCH(Table2[[#This Row],[mood]], "Tired", 3, "Neutral", 2, "Happy", 1)</f>
        <v>2</v>
      </c>
    </row>
    <row r="1063" spans="1:16" x14ac:dyDescent="0.3">
      <c r="A1063">
        <v>1094</v>
      </c>
      <c r="B1063" s="1">
        <v>43066</v>
      </c>
      <c r="C1063">
        <v>51</v>
      </c>
      <c r="D1063" t="s">
        <v>15</v>
      </c>
      <c r="E1063">
        <v>166.5</v>
      </c>
      <c r="F1063">
        <v>45</v>
      </c>
      <c r="G1063">
        <v>13700</v>
      </c>
      <c r="H1063">
        <v>763.5</v>
      </c>
      <c r="I1063">
        <v>7.7</v>
      </c>
      <c r="J1063">
        <v>91</v>
      </c>
      <c r="K1063" t="s">
        <v>25</v>
      </c>
      <c r="L1063">
        <v>23</v>
      </c>
      <c r="M1063">
        <v>3.19</v>
      </c>
      <c r="N1063">
        <v>8</v>
      </c>
      <c r="O1063" t="s">
        <v>17</v>
      </c>
      <c r="P1063" cm="1">
        <f t="array" ref="P1063">_xlfn.SWITCH(Table2[[#This Row],[mood]], "Tired", 3, "Neutral", 2, "Happy", 1)</f>
        <v>3</v>
      </c>
    </row>
    <row r="1064" spans="1:16" x14ac:dyDescent="0.3">
      <c r="A1064">
        <v>1071</v>
      </c>
      <c r="B1064" s="1">
        <v>43067</v>
      </c>
      <c r="C1064">
        <v>47</v>
      </c>
      <c r="D1064" t="s">
        <v>15</v>
      </c>
      <c r="E1064">
        <v>167.2</v>
      </c>
      <c r="F1064">
        <v>45.1</v>
      </c>
      <c r="G1064">
        <v>7054</v>
      </c>
      <c r="H1064">
        <v>460.7</v>
      </c>
      <c r="I1064">
        <v>6.4</v>
      </c>
      <c r="J1064">
        <v>98</v>
      </c>
      <c r="K1064" t="s">
        <v>22</v>
      </c>
      <c r="L1064">
        <v>28</v>
      </c>
      <c r="M1064">
        <v>2.2000000000000002</v>
      </c>
      <c r="N1064">
        <v>9</v>
      </c>
      <c r="O1064" t="s">
        <v>17</v>
      </c>
      <c r="P1064" cm="1">
        <f t="array" ref="P1064">_xlfn.SWITCH(Table2[[#This Row],[mood]], "Tired", 3, "Neutral", 2, "Happy", 1)</f>
        <v>3</v>
      </c>
    </row>
    <row r="1065" spans="1:16" x14ac:dyDescent="0.3">
      <c r="A1065">
        <v>1550</v>
      </c>
      <c r="B1065" s="1">
        <v>43068</v>
      </c>
      <c r="C1065">
        <v>53</v>
      </c>
      <c r="D1065" t="s">
        <v>15</v>
      </c>
      <c r="E1065">
        <v>166.6</v>
      </c>
      <c r="F1065">
        <v>47.5</v>
      </c>
      <c r="G1065">
        <v>17952</v>
      </c>
      <c r="H1065">
        <v>863.1</v>
      </c>
      <c r="I1065">
        <v>10</v>
      </c>
      <c r="J1065">
        <v>63</v>
      </c>
      <c r="K1065" t="s">
        <v>18</v>
      </c>
      <c r="L1065">
        <v>88</v>
      </c>
      <c r="M1065">
        <v>2.44</v>
      </c>
      <c r="N1065">
        <v>5</v>
      </c>
      <c r="O1065" t="s">
        <v>17</v>
      </c>
      <c r="P1065" cm="1">
        <f t="array" ref="P1065">_xlfn.SWITCH(Table2[[#This Row],[mood]], "Tired", 3, "Neutral", 2, "Happy", 1)</f>
        <v>3</v>
      </c>
    </row>
    <row r="1066" spans="1:16" x14ac:dyDescent="0.3">
      <c r="A1066">
        <v>1153</v>
      </c>
      <c r="B1066" s="1">
        <v>43069</v>
      </c>
      <c r="C1066">
        <v>38</v>
      </c>
      <c r="D1066" t="s">
        <v>15</v>
      </c>
      <c r="E1066">
        <v>163.30000000000001</v>
      </c>
      <c r="F1066">
        <v>64.400000000000006</v>
      </c>
      <c r="G1066">
        <v>2654</v>
      </c>
      <c r="H1066">
        <v>301.2</v>
      </c>
      <c r="I1066">
        <v>8.4</v>
      </c>
      <c r="J1066">
        <v>80</v>
      </c>
      <c r="K1066" t="s">
        <v>16</v>
      </c>
      <c r="L1066">
        <v>0</v>
      </c>
      <c r="M1066">
        <v>1.51</v>
      </c>
      <c r="N1066">
        <v>3</v>
      </c>
      <c r="O1066" t="s">
        <v>19</v>
      </c>
      <c r="P1066" cm="1">
        <f t="array" ref="P1066">_xlfn.SWITCH(Table2[[#This Row],[mood]], "Tired", 3, "Neutral", 2, "Happy", 1)</f>
        <v>2</v>
      </c>
    </row>
    <row r="1067" spans="1:16" x14ac:dyDescent="0.3">
      <c r="A1067">
        <v>1249</v>
      </c>
      <c r="B1067" s="1">
        <v>43070</v>
      </c>
      <c r="C1067">
        <v>34</v>
      </c>
      <c r="D1067" t="s">
        <v>15</v>
      </c>
      <c r="E1067">
        <v>171.4</v>
      </c>
      <c r="F1067">
        <v>45</v>
      </c>
      <c r="G1067">
        <v>12428</v>
      </c>
      <c r="H1067">
        <v>734.4</v>
      </c>
      <c r="I1067">
        <v>3.9</v>
      </c>
      <c r="J1067">
        <v>77</v>
      </c>
      <c r="K1067" t="s">
        <v>25</v>
      </c>
      <c r="L1067">
        <v>28</v>
      </c>
      <c r="M1067">
        <v>2.69</v>
      </c>
      <c r="N1067">
        <v>3</v>
      </c>
      <c r="O1067" t="s">
        <v>17</v>
      </c>
      <c r="P1067" cm="1">
        <f t="array" ref="P1067">_xlfn.SWITCH(Table2[[#This Row],[mood]], "Tired", 3, "Neutral", 2, "Happy", 1)</f>
        <v>3</v>
      </c>
    </row>
    <row r="1068" spans="1:16" x14ac:dyDescent="0.3">
      <c r="A1068">
        <v>1673</v>
      </c>
      <c r="B1068" s="1">
        <v>43071</v>
      </c>
      <c r="C1068">
        <v>50</v>
      </c>
      <c r="D1068" t="s">
        <v>15</v>
      </c>
      <c r="E1068">
        <v>166.9</v>
      </c>
      <c r="F1068">
        <v>59.7</v>
      </c>
      <c r="G1068">
        <v>12311</v>
      </c>
      <c r="H1068">
        <v>699.3</v>
      </c>
      <c r="I1068">
        <v>6.8</v>
      </c>
      <c r="J1068">
        <v>80</v>
      </c>
      <c r="K1068" t="s">
        <v>23</v>
      </c>
      <c r="L1068">
        <v>37</v>
      </c>
      <c r="M1068">
        <v>2.0699999999999998</v>
      </c>
      <c r="N1068">
        <v>8</v>
      </c>
      <c r="O1068" t="s">
        <v>21</v>
      </c>
      <c r="P1068" cm="1">
        <f t="array" ref="P1068">_xlfn.SWITCH(Table2[[#This Row],[mood]], "Tired", 3, "Neutral", 2, "Happy", 1)</f>
        <v>1</v>
      </c>
    </row>
    <row r="1069" spans="1:16" x14ac:dyDescent="0.3">
      <c r="A1069">
        <v>1437</v>
      </c>
      <c r="B1069" s="1">
        <v>43072</v>
      </c>
      <c r="C1069">
        <v>27</v>
      </c>
      <c r="D1069" t="s">
        <v>15</v>
      </c>
      <c r="E1069">
        <v>154</v>
      </c>
      <c r="F1069">
        <v>49.5</v>
      </c>
      <c r="G1069">
        <v>4733</v>
      </c>
      <c r="H1069">
        <v>386.6</v>
      </c>
      <c r="I1069">
        <v>5.5</v>
      </c>
      <c r="J1069">
        <v>70</v>
      </c>
      <c r="K1069" t="s">
        <v>18</v>
      </c>
      <c r="L1069">
        <v>78</v>
      </c>
      <c r="M1069">
        <v>2.17</v>
      </c>
      <c r="N1069">
        <v>3</v>
      </c>
      <c r="O1069" t="s">
        <v>21</v>
      </c>
      <c r="P1069" cm="1">
        <f t="array" ref="P1069">_xlfn.SWITCH(Table2[[#This Row],[mood]], "Tired", 3, "Neutral", 2, "Happy", 1)</f>
        <v>1</v>
      </c>
    </row>
    <row r="1070" spans="1:16" x14ac:dyDescent="0.3">
      <c r="A1070">
        <v>1117</v>
      </c>
      <c r="B1070" s="1">
        <v>43073</v>
      </c>
      <c r="C1070">
        <v>59</v>
      </c>
      <c r="D1070" t="s">
        <v>15</v>
      </c>
      <c r="E1070">
        <v>170.3</v>
      </c>
      <c r="F1070">
        <v>77.3</v>
      </c>
      <c r="G1070">
        <v>7811</v>
      </c>
      <c r="H1070">
        <v>533.70000000000005</v>
      </c>
      <c r="I1070">
        <v>9.9</v>
      </c>
      <c r="J1070">
        <v>80</v>
      </c>
      <c r="K1070" t="s">
        <v>22</v>
      </c>
      <c r="L1070">
        <v>62</v>
      </c>
      <c r="M1070">
        <v>1.91</v>
      </c>
      <c r="N1070">
        <v>9</v>
      </c>
      <c r="O1070" t="s">
        <v>21</v>
      </c>
      <c r="P1070" cm="1">
        <f t="array" ref="P1070">_xlfn.SWITCH(Table2[[#This Row],[mood]], "Tired", 3, "Neutral", 2, "Happy", 1)</f>
        <v>1</v>
      </c>
    </row>
    <row r="1071" spans="1:16" x14ac:dyDescent="0.3">
      <c r="A1071">
        <v>1770</v>
      </c>
      <c r="B1071" s="1">
        <v>43074</v>
      </c>
      <c r="C1071">
        <v>29</v>
      </c>
      <c r="D1071" t="s">
        <v>15</v>
      </c>
      <c r="E1071">
        <v>168.8</v>
      </c>
      <c r="F1071">
        <v>76.599999999999994</v>
      </c>
      <c r="G1071">
        <v>9342</v>
      </c>
      <c r="H1071">
        <v>593.4</v>
      </c>
      <c r="I1071">
        <v>3.7</v>
      </c>
      <c r="J1071">
        <v>61</v>
      </c>
      <c r="K1071" t="s">
        <v>16</v>
      </c>
      <c r="L1071">
        <v>0</v>
      </c>
      <c r="M1071">
        <v>2.41</v>
      </c>
      <c r="N1071">
        <v>10</v>
      </c>
      <c r="O1071" t="s">
        <v>21</v>
      </c>
      <c r="P1071" cm="1">
        <f t="array" ref="P1071">_xlfn.SWITCH(Table2[[#This Row],[mood]], "Tired", 3, "Neutral", 2, "Happy", 1)</f>
        <v>1</v>
      </c>
    </row>
    <row r="1072" spans="1:16" x14ac:dyDescent="0.3">
      <c r="A1072">
        <v>1890</v>
      </c>
      <c r="B1072" s="1">
        <v>43075</v>
      </c>
      <c r="C1072">
        <v>33</v>
      </c>
      <c r="D1072" t="s">
        <v>15</v>
      </c>
      <c r="E1072">
        <v>154.19999999999999</v>
      </c>
      <c r="F1072">
        <v>65.5</v>
      </c>
      <c r="G1072">
        <v>11464</v>
      </c>
      <c r="H1072">
        <v>693.8</v>
      </c>
      <c r="I1072">
        <v>7.6</v>
      </c>
      <c r="J1072">
        <v>109</v>
      </c>
      <c r="K1072" t="s">
        <v>18</v>
      </c>
      <c r="L1072">
        <v>48</v>
      </c>
      <c r="M1072">
        <v>1.1000000000000001</v>
      </c>
      <c r="N1072">
        <v>1</v>
      </c>
      <c r="O1072" t="s">
        <v>17</v>
      </c>
      <c r="P1072" cm="1">
        <f t="array" ref="P1072">_xlfn.SWITCH(Table2[[#This Row],[mood]], "Tired", 3, "Neutral", 2, "Happy", 1)</f>
        <v>3</v>
      </c>
    </row>
    <row r="1073" spans="1:16" x14ac:dyDescent="0.3">
      <c r="A1073">
        <v>1305</v>
      </c>
      <c r="B1073" s="1">
        <v>43076</v>
      </c>
      <c r="C1073">
        <v>58</v>
      </c>
      <c r="D1073" t="s">
        <v>15</v>
      </c>
      <c r="E1073">
        <v>164.1</v>
      </c>
      <c r="F1073">
        <v>45</v>
      </c>
      <c r="G1073">
        <v>16746</v>
      </c>
      <c r="H1073">
        <v>900</v>
      </c>
      <c r="I1073">
        <v>7.2</v>
      </c>
      <c r="J1073">
        <v>78</v>
      </c>
      <c r="K1073" t="s">
        <v>25</v>
      </c>
      <c r="L1073">
        <v>67</v>
      </c>
      <c r="M1073">
        <v>2.98</v>
      </c>
      <c r="N1073">
        <v>1</v>
      </c>
      <c r="O1073" t="s">
        <v>17</v>
      </c>
      <c r="P1073" cm="1">
        <f t="array" ref="P1073">_xlfn.SWITCH(Table2[[#This Row],[mood]], "Tired", 3, "Neutral", 2, "Happy", 1)</f>
        <v>3</v>
      </c>
    </row>
    <row r="1074" spans="1:16" x14ac:dyDescent="0.3">
      <c r="A1074">
        <v>1267</v>
      </c>
      <c r="B1074" s="1">
        <v>43077</v>
      </c>
      <c r="C1074">
        <v>49</v>
      </c>
      <c r="D1074" t="s">
        <v>15</v>
      </c>
      <c r="E1074">
        <v>176</v>
      </c>
      <c r="F1074">
        <v>66.400000000000006</v>
      </c>
      <c r="G1074">
        <v>13543</v>
      </c>
      <c r="H1074">
        <v>737.3</v>
      </c>
      <c r="I1074">
        <v>8.1999999999999993</v>
      </c>
      <c r="J1074">
        <v>82</v>
      </c>
      <c r="K1074" t="s">
        <v>22</v>
      </c>
      <c r="L1074">
        <v>70</v>
      </c>
      <c r="M1074">
        <v>2.4700000000000002</v>
      </c>
      <c r="N1074">
        <v>5</v>
      </c>
      <c r="O1074" t="s">
        <v>21</v>
      </c>
      <c r="P1074" cm="1">
        <f t="array" ref="P1074">_xlfn.SWITCH(Table2[[#This Row],[mood]], "Tired", 3, "Neutral", 2, "Happy", 1)</f>
        <v>1</v>
      </c>
    </row>
    <row r="1075" spans="1:16" x14ac:dyDescent="0.3">
      <c r="A1075">
        <v>1960</v>
      </c>
      <c r="B1075" s="1">
        <v>43078</v>
      </c>
      <c r="C1075">
        <v>32</v>
      </c>
      <c r="D1075" t="s">
        <v>15</v>
      </c>
      <c r="E1075">
        <v>158.6</v>
      </c>
      <c r="F1075">
        <v>74.900000000000006</v>
      </c>
      <c r="G1075">
        <v>11300</v>
      </c>
      <c r="H1075">
        <v>645.1</v>
      </c>
      <c r="I1075">
        <v>7.5</v>
      </c>
      <c r="J1075">
        <v>64</v>
      </c>
      <c r="K1075" t="s">
        <v>16</v>
      </c>
      <c r="L1075">
        <v>0</v>
      </c>
      <c r="M1075">
        <v>2.17</v>
      </c>
      <c r="N1075">
        <v>4</v>
      </c>
      <c r="O1075" t="s">
        <v>17</v>
      </c>
      <c r="P1075" cm="1">
        <f t="array" ref="P1075">_xlfn.SWITCH(Table2[[#This Row],[mood]], "Tired", 3, "Neutral", 2, "Happy", 1)</f>
        <v>3</v>
      </c>
    </row>
    <row r="1076" spans="1:16" x14ac:dyDescent="0.3">
      <c r="A1076">
        <v>1053</v>
      </c>
      <c r="B1076" s="1">
        <v>43079</v>
      </c>
      <c r="C1076">
        <v>44</v>
      </c>
      <c r="D1076" t="s">
        <v>20</v>
      </c>
      <c r="E1076">
        <v>157.6</v>
      </c>
      <c r="F1076">
        <v>82.2</v>
      </c>
      <c r="G1076">
        <v>2795</v>
      </c>
      <c r="H1076">
        <v>311.8</v>
      </c>
      <c r="I1076">
        <v>10</v>
      </c>
      <c r="J1076">
        <v>68</v>
      </c>
      <c r="K1076" t="s">
        <v>23</v>
      </c>
      <c r="L1076">
        <v>55</v>
      </c>
      <c r="M1076">
        <v>1.42</v>
      </c>
      <c r="N1076">
        <v>3</v>
      </c>
      <c r="O1076" t="s">
        <v>21</v>
      </c>
      <c r="P1076" cm="1">
        <f t="array" ref="P1076">_xlfn.SWITCH(Table2[[#This Row],[mood]], "Tired", 3, "Neutral", 2, "Happy", 1)</f>
        <v>1</v>
      </c>
    </row>
    <row r="1077" spans="1:16" x14ac:dyDescent="0.3">
      <c r="A1077">
        <v>1235</v>
      </c>
      <c r="B1077" s="1">
        <v>43080</v>
      </c>
      <c r="C1077">
        <v>45</v>
      </c>
      <c r="D1077" t="s">
        <v>15</v>
      </c>
      <c r="E1077">
        <v>166.8</v>
      </c>
      <c r="F1077">
        <v>96.3</v>
      </c>
      <c r="G1077">
        <v>17192</v>
      </c>
      <c r="H1077">
        <v>900</v>
      </c>
      <c r="I1077">
        <v>8.4</v>
      </c>
      <c r="J1077">
        <v>60</v>
      </c>
      <c r="K1077" t="s">
        <v>18</v>
      </c>
      <c r="L1077">
        <v>64</v>
      </c>
      <c r="M1077">
        <v>2.8</v>
      </c>
      <c r="N1077">
        <v>1</v>
      </c>
      <c r="O1077" t="s">
        <v>19</v>
      </c>
      <c r="P1077" cm="1">
        <f t="array" ref="P1077">_xlfn.SWITCH(Table2[[#This Row],[mood]], "Tired", 3, "Neutral", 2, "Happy", 1)</f>
        <v>2</v>
      </c>
    </row>
    <row r="1078" spans="1:16" x14ac:dyDescent="0.3">
      <c r="A1078">
        <v>1388</v>
      </c>
      <c r="B1078" s="1">
        <v>43081</v>
      </c>
      <c r="C1078">
        <v>34</v>
      </c>
      <c r="D1078" t="s">
        <v>20</v>
      </c>
      <c r="E1078">
        <v>176.2</v>
      </c>
      <c r="F1078">
        <v>86.8</v>
      </c>
      <c r="G1078">
        <v>14708</v>
      </c>
      <c r="H1078">
        <v>844.4</v>
      </c>
      <c r="I1078">
        <v>4.2</v>
      </c>
      <c r="J1078">
        <v>90</v>
      </c>
      <c r="K1078" t="s">
        <v>25</v>
      </c>
      <c r="L1078">
        <v>54</v>
      </c>
      <c r="M1078">
        <v>2.06</v>
      </c>
      <c r="N1078">
        <v>7</v>
      </c>
      <c r="O1078" t="s">
        <v>17</v>
      </c>
      <c r="P1078" cm="1">
        <f t="array" ref="P1078">_xlfn.SWITCH(Table2[[#This Row],[mood]], "Tired", 3, "Neutral", 2, "Happy", 1)</f>
        <v>3</v>
      </c>
    </row>
    <row r="1079" spans="1:16" x14ac:dyDescent="0.3">
      <c r="A1079">
        <v>1989</v>
      </c>
      <c r="B1079" s="1">
        <v>43082</v>
      </c>
      <c r="C1079">
        <v>19</v>
      </c>
      <c r="D1079" t="s">
        <v>15</v>
      </c>
      <c r="E1079">
        <v>188.1</v>
      </c>
      <c r="F1079">
        <v>72.5</v>
      </c>
      <c r="G1079">
        <v>17383</v>
      </c>
      <c r="H1079">
        <v>878.5</v>
      </c>
      <c r="I1079">
        <v>9.1</v>
      </c>
      <c r="J1079">
        <v>64</v>
      </c>
      <c r="K1079" t="s">
        <v>23</v>
      </c>
      <c r="L1079">
        <v>25</v>
      </c>
      <c r="M1079">
        <v>3.41</v>
      </c>
      <c r="N1079">
        <v>1</v>
      </c>
      <c r="O1079" t="s">
        <v>19</v>
      </c>
      <c r="P1079" cm="1">
        <f t="array" ref="P1079">_xlfn.SWITCH(Table2[[#This Row],[mood]], "Tired", 3, "Neutral", 2, "Happy", 1)</f>
        <v>2</v>
      </c>
    </row>
    <row r="1080" spans="1:16" x14ac:dyDescent="0.3">
      <c r="A1080">
        <v>1733</v>
      </c>
      <c r="B1080" s="1">
        <v>43083</v>
      </c>
      <c r="C1080">
        <v>53</v>
      </c>
      <c r="D1080" t="s">
        <v>15</v>
      </c>
      <c r="E1080">
        <v>176.6</v>
      </c>
      <c r="F1080">
        <v>65.7</v>
      </c>
      <c r="G1080">
        <v>9540</v>
      </c>
      <c r="H1080">
        <v>573.4</v>
      </c>
      <c r="I1080">
        <v>7.3</v>
      </c>
      <c r="J1080">
        <v>73</v>
      </c>
      <c r="K1080" t="s">
        <v>22</v>
      </c>
      <c r="L1080">
        <v>56</v>
      </c>
      <c r="M1080">
        <v>2.84</v>
      </c>
      <c r="N1080">
        <v>6</v>
      </c>
      <c r="O1080" t="s">
        <v>17</v>
      </c>
      <c r="P1080" cm="1">
        <f t="array" ref="P1080">_xlfn.SWITCH(Table2[[#This Row],[mood]], "Tired", 3, "Neutral", 2, "Happy", 1)</f>
        <v>3</v>
      </c>
    </row>
    <row r="1081" spans="1:16" x14ac:dyDescent="0.3">
      <c r="A1081">
        <v>1762</v>
      </c>
      <c r="B1081" s="1">
        <v>43084</v>
      </c>
      <c r="C1081">
        <v>24</v>
      </c>
      <c r="D1081" t="s">
        <v>20</v>
      </c>
      <c r="E1081">
        <v>180.8</v>
      </c>
      <c r="F1081">
        <v>58.9</v>
      </c>
      <c r="G1081">
        <v>17328</v>
      </c>
      <c r="H1081">
        <v>852.4</v>
      </c>
      <c r="I1081">
        <v>9.1</v>
      </c>
      <c r="J1081">
        <v>74</v>
      </c>
      <c r="K1081" t="s">
        <v>18</v>
      </c>
      <c r="L1081">
        <v>55</v>
      </c>
      <c r="M1081">
        <v>3.57</v>
      </c>
      <c r="N1081">
        <v>10</v>
      </c>
      <c r="O1081" t="s">
        <v>17</v>
      </c>
      <c r="P1081" cm="1">
        <f t="array" ref="P1081">_xlfn.SWITCH(Table2[[#This Row],[mood]], "Tired", 3, "Neutral", 2, "Happy", 1)</f>
        <v>3</v>
      </c>
    </row>
    <row r="1082" spans="1:16" x14ac:dyDescent="0.3">
      <c r="A1082">
        <v>1824</v>
      </c>
      <c r="B1082" s="1">
        <v>43085</v>
      </c>
      <c r="C1082">
        <v>30</v>
      </c>
      <c r="D1082" t="s">
        <v>15</v>
      </c>
      <c r="E1082">
        <v>173.5</v>
      </c>
      <c r="F1082">
        <v>90.3</v>
      </c>
      <c r="G1082">
        <v>7214</v>
      </c>
      <c r="H1082">
        <v>413.8</v>
      </c>
      <c r="I1082">
        <v>6.5</v>
      </c>
      <c r="J1082">
        <v>80</v>
      </c>
      <c r="K1082" t="s">
        <v>24</v>
      </c>
      <c r="L1082">
        <v>35</v>
      </c>
      <c r="M1082">
        <v>2.6</v>
      </c>
      <c r="N1082">
        <v>2</v>
      </c>
      <c r="O1082" t="s">
        <v>17</v>
      </c>
      <c r="P1082" cm="1">
        <f t="array" ref="P1082">_xlfn.SWITCH(Table2[[#This Row],[mood]], "Tired", 3, "Neutral", 2, "Happy", 1)</f>
        <v>3</v>
      </c>
    </row>
    <row r="1083" spans="1:16" x14ac:dyDescent="0.3">
      <c r="A1083">
        <v>1400</v>
      </c>
      <c r="B1083" s="1">
        <v>43086</v>
      </c>
      <c r="C1083">
        <v>32</v>
      </c>
      <c r="D1083" t="s">
        <v>20</v>
      </c>
      <c r="E1083">
        <v>163.1</v>
      </c>
      <c r="F1083">
        <v>72.5</v>
      </c>
      <c r="G1083">
        <v>7145</v>
      </c>
      <c r="H1083">
        <v>423.9</v>
      </c>
      <c r="I1083">
        <v>5.4</v>
      </c>
      <c r="J1083">
        <v>62</v>
      </c>
      <c r="K1083" t="s">
        <v>25</v>
      </c>
      <c r="L1083">
        <v>41</v>
      </c>
      <c r="M1083">
        <v>3.25</v>
      </c>
      <c r="N1083">
        <v>4</v>
      </c>
      <c r="O1083" t="s">
        <v>19</v>
      </c>
      <c r="P1083" cm="1">
        <f t="array" ref="P1083">_xlfn.SWITCH(Table2[[#This Row],[mood]], "Tired", 3, "Neutral", 2, "Happy", 1)</f>
        <v>2</v>
      </c>
    </row>
    <row r="1084" spans="1:16" x14ac:dyDescent="0.3">
      <c r="A1084">
        <v>1623</v>
      </c>
      <c r="B1084" s="1">
        <v>43087</v>
      </c>
      <c r="C1084">
        <v>42</v>
      </c>
      <c r="D1084" t="s">
        <v>20</v>
      </c>
      <c r="E1084">
        <v>176.5</v>
      </c>
      <c r="F1084">
        <v>79.5</v>
      </c>
      <c r="G1084">
        <v>3609</v>
      </c>
      <c r="H1084">
        <v>294.2</v>
      </c>
      <c r="I1084">
        <v>5.0999999999999996</v>
      </c>
      <c r="J1084">
        <v>84</v>
      </c>
      <c r="K1084" t="s">
        <v>25</v>
      </c>
      <c r="L1084">
        <v>88</v>
      </c>
      <c r="M1084">
        <v>2.82</v>
      </c>
      <c r="N1084">
        <v>8</v>
      </c>
      <c r="O1084" t="s">
        <v>19</v>
      </c>
      <c r="P1084" cm="1">
        <f t="array" ref="P1084">_xlfn.SWITCH(Table2[[#This Row],[mood]], "Tired", 3, "Neutral", 2, "Happy", 1)</f>
        <v>2</v>
      </c>
    </row>
    <row r="1085" spans="1:16" x14ac:dyDescent="0.3">
      <c r="A1085">
        <v>1766</v>
      </c>
      <c r="B1085" s="1">
        <v>43088</v>
      </c>
      <c r="C1085">
        <v>40</v>
      </c>
      <c r="D1085" t="s">
        <v>20</v>
      </c>
      <c r="E1085">
        <v>169.1</v>
      </c>
      <c r="F1085">
        <v>61.1</v>
      </c>
      <c r="G1085">
        <v>19610</v>
      </c>
      <c r="H1085">
        <v>900</v>
      </c>
      <c r="I1085">
        <v>8.6</v>
      </c>
      <c r="J1085">
        <v>87</v>
      </c>
      <c r="K1085" t="s">
        <v>24</v>
      </c>
      <c r="L1085">
        <v>88</v>
      </c>
      <c r="M1085">
        <v>2.1800000000000002</v>
      </c>
      <c r="N1085">
        <v>3</v>
      </c>
      <c r="O1085" t="s">
        <v>21</v>
      </c>
      <c r="P1085" cm="1">
        <f t="array" ref="P1085">_xlfn.SWITCH(Table2[[#This Row],[mood]], "Tired", 3, "Neutral", 2, "Happy", 1)</f>
        <v>1</v>
      </c>
    </row>
    <row r="1086" spans="1:16" x14ac:dyDescent="0.3">
      <c r="A1086">
        <v>1302</v>
      </c>
      <c r="B1086" s="1">
        <v>43089</v>
      </c>
      <c r="C1086">
        <v>39</v>
      </c>
      <c r="D1086" t="s">
        <v>15</v>
      </c>
      <c r="E1086">
        <v>173.8</v>
      </c>
      <c r="F1086">
        <v>51.4</v>
      </c>
      <c r="G1086">
        <v>14622</v>
      </c>
      <c r="H1086">
        <v>807.9</v>
      </c>
      <c r="I1086">
        <v>8.1999999999999993</v>
      </c>
      <c r="J1086">
        <v>68</v>
      </c>
      <c r="K1086" t="s">
        <v>23</v>
      </c>
      <c r="L1086">
        <v>82</v>
      </c>
      <c r="M1086">
        <v>2.63</v>
      </c>
      <c r="N1086">
        <v>9</v>
      </c>
      <c r="O1086" t="s">
        <v>19</v>
      </c>
      <c r="P1086" cm="1">
        <f t="array" ref="P1086">_xlfn.SWITCH(Table2[[#This Row],[mood]], "Tired", 3, "Neutral", 2, "Happy", 1)</f>
        <v>2</v>
      </c>
    </row>
    <row r="1087" spans="1:16" x14ac:dyDescent="0.3">
      <c r="A1087">
        <v>1918</v>
      </c>
      <c r="B1087" s="1">
        <v>43090</v>
      </c>
      <c r="C1087">
        <v>43</v>
      </c>
      <c r="D1087" t="s">
        <v>15</v>
      </c>
      <c r="E1087">
        <v>160.5</v>
      </c>
      <c r="F1087">
        <v>64</v>
      </c>
      <c r="G1087">
        <v>11298</v>
      </c>
      <c r="H1087">
        <v>598.4</v>
      </c>
      <c r="I1087">
        <v>6.1</v>
      </c>
      <c r="J1087">
        <v>75</v>
      </c>
      <c r="K1087" t="s">
        <v>25</v>
      </c>
      <c r="L1087">
        <v>38</v>
      </c>
      <c r="M1087">
        <v>1.92</v>
      </c>
      <c r="N1087">
        <v>5</v>
      </c>
      <c r="O1087" t="s">
        <v>19</v>
      </c>
      <c r="P1087" cm="1">
        <f t="array" ref="P1087">_xlfn.SWITCH(Table2[[#This Row],[mood]], "Tired", 3, "Neutral", 2, "Happy", 1)</f>
        <v>2</v>
      </c>
    </row>
    <row r="1088" spans="1:16" x14ac:dyDescent="0.3">
      <c r="A1088">
        <v>1206</v>
      </c>
      <c r="B1088" s="1">
        <v>43091</v>
      </c>
      <c r="C1088">
        <v>50</v>
      </c>
      <c r="D1088" t="s">
        <v>15</v>
      </c>
      <c r="E1088">
        <v>174.7</v>
      </c>
      <c r="F1088">
        <v>65.5</v>
      </c>
      <c r="G1088">
        <v>4080</v>
      </c>
      <c r="H1088">
        <v>364.1</v>
      </c>
      <c r="I1088">
        <v>3</v>
      </c>
      <c r="J1088">
        <v>81</v>
      </c>
      <c r="K1088" t="s">
        <v>23</v>
      </c>
      <c r="L1088">
        <v>37</v>
      </c>
      <c r="M1088">
        <v>3.95</v>
      </c>
      <c r="N1088">
        <v>6</v>
      </c>
      <c r="O1088" t="s">
        <v>21</v>
      </c>
      <c r="P1088" cm="1">
        <f t="array" ref="P1088">_xlfn.SWITCH(Table2[[#This Row],[mood]], "Tired", 3, "Neutral", 2, "Happy", 1)</f>
        <v>1</v>
      </c>
    </row>
    <row r="1089" spans="1:16" x14ac:dyDescent="0.3">
      <c r="A1089">
        <v>1228</v>
      </c>
      <c r="B1089" s="1">
        <v>43092</v>
      </c>
      <c r="C1089">
        <v>28</v>
      </c>
      <c r="D1089" t="s">
        <v>20</v>
      </c>
      <c r="E1089">
        <v>168.8</v>
      </c>
      <c r="F1089">
        <v>72.900000000000006</v>
      </c>
      <c r="G1089">
        <v>1987</v>
      </c>
      <c r="H1089">
        <v>321.39999999999998</v>
      </c>
      <c r="I1089">
        <v>8.6</v>
      </c>
      <c r="J1089">
        <v>78</v>
      </c>
      <c r="K1089" t="s">
        <v>22</v>
      </c>
      <c r="L1089">
        <v>36</v>
      </c>
      <c r="M1089">
        <v>2.4300000000000002</v>
      </c>
      <c r="N1089">
        <v>2</v>
      </c>
      <c r="O1089" t="s">
        <v>19</v>
      </c>
      <c r="P1089" cm="1">
        <f t="array" ref="P1089">_xlfn.SWITCH(Table2[[#This Row],[mood]], "Tired", 3, "Neutral", 2, "Happy", 1)</f>
        <v>2</v>
      </c>
    </row>
    <row r="1090" spans="1:16" x14ac:dyDescent="0.3">
      <c r="A1090">
        <v>1852</v>
      </c>
      <c r="B1090" s="1">
        <v>43093</v>
      </c>
      <c r="C1090">
        <v>27</v>
      </c>
      <c r="D1090" t="s">
        <v>20</v>
      </c>
      <c r="E1090">
        <v>172.3</v>
      </c>
      <c r="F1090">
        <v>58.9</v>
      </c>
      <c r="G1090">
        <v>18744</v>
      </c>
      <c r="H1090">
        <v>900</v>
      </c>
      <c r="I1090">
        <v>3.9</v>
      </c>
      <c r="J1090">
        <v>65</v>
      </c>
      <c r="K1090" t="s">
        <v>24</v>
      </c>
      <c r="L1090">
        <v>60</v>
      </c>
      <c r="M1090">
        <v>2.52</v>
      </c>
      <c r="N1090">
        <v>1</v>
      </c>
      <c r="O1090" t="s">
        <v>19</v>
      </c>
      <c r="P1090" cm="1">
        <f t="array" ref="P1090">_xlfn.SWITCH(Table2[[#This Row],[mood]], "Tired", 3, "Neutral", 2, "Happy", 1)</f>
        <v>2</v>
      </c>
    </row>
    <row r="1091" spans="1:16" x14ac:dyDescent="0.3">
      <c r="A1091">
        <v>1909</v>
      </c>
      <c r="B1091" s="1">
        <v>43094</v>
      </c>
      <c r="C1091">
        <v>42</v>
      </c>
      <c r="D1091" t="s">
        <v>15</v>
      </c>
      <c r="E1091">
        <v>169.1</v>
      </c>
      <c r="F1091">
        <v>70.400000000000006</v>
      </c>
      <c r="G1091">
        <v>8546</v>
      </c>
      <c r="H1091">
        <v>517.20000000000005</v>
      </c>
      <c r="I1091">
        <v>10</v>
      </c>
      <c r="J1091">
        <v>82</v>
      </c>
      <c r="K1091" t="s">
        <v>23</v>
      </c>
      <c r="L1091">
        <v>52</v>
      </c>
      <c r="M1091">
        <v>2.77</v>
      </c>
      <c r="N1091">
        <v>5</v>
      </c>
      <c r="O1091" t="s">
        <v>21</v>
      </c>
      <c r="P1091" cm="1">
        <f t="array" ref="P1091">_xlfn.SWITCH(Table2[[#This Row],[mood]], "Tired", 3, "Neutral", 2, "Happy", 1)</f>
        <v>1</v>
      </c>
    </row>
    <row r="1092" spans="1:16" x14ac:dyDescent="0.3">
      <c r="A1092">
        <v>1577</v>
      </c>
      <c r="B1092" s="1">
        <v>43095</v>
      </c>
      <c r="C1092">
        <v>54</v>
      </c>
      <c r="D1092" t="s">
        <v>15</v>
      </c>
      <c r="E1092">
        <v>167.2</v>
      </c>
      <c r="F1092">
        <v>87.7</v>
      </c>
      <c r="G1092">
        <v>16233</v>
      </c>
      <c r="H1092">
        <v>783.3</v>
      </c>
      <c r="I1092">
        <v>4.8</v>
      </c>
      <c r="J1092">
        <v>90</v>
      </c>
      <c r="K1092" t="s">
        <v>22</v>
      </c>
      <c r="L1092">
        <v>74</v>
      </c>
      <c r="M1092">
        <v>1.74</v>
      </c>
      <c r="N1092">
        <v>1</v>
      </c>
      <c r="O1092" t="s">
        <v>19</v>
      </c>
      <c r="P1092" cm="1">
        <f t="array" ref="P1092">_xlfn.SWITCH(Table2[[#This Row],[mood]], "Tired", 3, "Neutral", 2, "Happy", 1)</f>
        <v>2</v>
      </c>
    </row>
    <row r="1093" spans="1:16" x14ac:dyDescent="0.3">
      <c r="A1093">
        <v>1074</v>
      </c>
      <c r="B1093" s="1">
        <v>43096</v>
      </c>
      <c r="C1093">
        <v>55</v>
      </c>
      <c r="D1093" t="s">
        <v>15</v>
      </c>
      <c r="E1093">
        <v>174.8</v>
      </c>
      <c r="F1093">
        <v>45</v>
      </c>
      <c r="G1093">
        <v>2726</v>
      </c>
      <c r="H1093">
        <v>261.39999999999998</v>
      </c>
      <c r="I1093">
        <v>7</v>
      </c>
      <c r="J1093">
        <v>90</v>
      </c>
      <c r="K1093" t="s">
        <v>18</v>
      </c>
      <c r="L1093">
        <v>43</v>
      </c>
      <c r="M1093">
        <v>3.42</v>
      </c>
      <c r="N1093">
        <v>4</v>
      </c>
      <c r="O1093" t="s">
        <v>21</v>
      </c>
      <c r="P1093" cm="1">
        <f t="array" ref="P1093">_xlfn.SWITCH(Table2[[#This Row],[mood]], "Tired", 3, "Neutral", 2, "Happy", 1)</f>
        <v>1</v>
      </c>
    </row>
    <row r="1094" spans="1:16" x14ac:dyDescent="0.3">
      <c r="A1094">
        <v>1434</v>
      </c>
      <c r="B1094" s="1">
        <v>43097</v>
      </c>
      <c r="C1094">
        <v>58</v>
      </c>
      <c r="D1094" t="s">
        <v>15</v>
      </c>
      <c r="E1094">
        <v>165.9</v>
      </c>
      <c r="F1094">
        <v>45</v>
      </c>
      <c r="G1094">
        <v>17149</v>
      </c>
      <c r="H1094">
        <v>900</v>
      </c>
      <c r="I1094">
        <v>7.3</v>
      </c>
      <c r="J1094">
        <v>81</v>
      </c>
      <c r="K1094" t="s">
        <v>25</v>
      </c>
      <c r="L1094">
        <v>59</v>
      </c>
      <c r="M1094">
        <v>1.78</v>
      </c>
      <c r="N1094">
        <v>8</v>
      </c>
      <c r="O1094" t="s">
        <v>17</v>
      </c>
      <c r="P1094" cm="1">
        <f t="array" ref="P1094">_xlfn.SWITCH(Table2[[#This Row],[mood]], "Tired", 3, "Neutral", 2, "Happy", 1)</f>
        <v>3</v>
      </c>
    </row>
    <row r="1095" spans="1:16" x14ac:dyDescent="0.3">
      <c r="A1095">
        <v>1102</v>
      </c>
      <c r="B1095" s="1">
        <v>43098</v>
      </c>
      <c r="C1095">
        <v>41</v>
      </c>
      <c r="D1095" t="s">
        <v>15</v>
      </c>
      <c r="E1095">
        <v>154.1</v>
      </c>
      <c r="F1095">
        <v>88.7</v>
      </c>
      <c r="G1095">
        <v>15268</v>
      </c>
      <c r="H1095">
        <v>836</v>
      </c>
      <c r="I1095">
        <v>7.5</v>
      </c>
      <c r="J1095">
        <v>83</v>
      </c>
      <c r="K1095" t="s">
        <v>24</v>
      </c>
      <c r="L1095">
        <v>47</v>
      </c>
      <c r="M1095">
        <v>1.62</v>
      </c>
      <c r="N1095">
        <v>2</v>
      </c>
      <c r="O1095" t="s">
        <v>17</v>
      </c>
      <c r="P1095" cm="1">
        <f t="array" ref="P1095">_xlfn.SWITCH(Table2[[#This Row],[mood]], "Tired", 3, "Neutral", 2, "Happy", 1)</f>
        <v>3</v>
      </c>
    </row>
    <row r="1096" spans="1:16" x14ac:dyDescent="0.3">
      <c r="A1096">
        <v>1421</v>
      </c>
      <c r="B1096" s="1">
        <v>43099</v>
      </c>
      <c r="C1096">
        <v>57</v>
      </c>
      <c r="D1096" t="s">
        <v>20</v>
      </c>
      <c r="E1096">
        <v>151.30000000000001</v>
      </c>
      <c r="F1096">
        <v>48</v>
      </c>
      <c r="G1096">
        <v>14977</v>
      </c>
      <c r="H1096">
        <v>900</v>
      </c>
      <c r="I1096">
        <v>7.5</v>
      </c>
      <c r="J1096">
        <v>71</v>
      </c>
      <c r="K1096" t="s">
        <v>18</v>
      </c>
      <c r="L1096">
        <v>86</v>
      </c>
      <c r="M1096">
        <v>2.38</v>
      </c>
      <c r="N1096">
        <v>6</v>
      </c>
      <c r="O1096" t="s">
        <v>19</v>
      </c>
      <c r="P1096" cm="1">
        <f t="array" ref="P1096">_xlfn.SWITCH(Table2[[#This Row],[mood]], "Tired", 3, "Neutral", 2, "Happy", 1)</f>
        <v>2</v>
      </c>
    </row>
    <row r="1097" spans="1:16" x14ac:dyDescent="0.3">
      <c r="A1097">
        <v>1703</v>
      </c>
      <c r="B1097" s="1">
        <v>43100</v>
      </c>
      <c r="C1097">
        <v>50</v>
      </c>
      <c r="D1097" t="s">
        <v>20</v>
      </c>
      <c r="E1097">
        <v>171.8</v>
      </c>
      <c r="F1097">
        <v>64.3</v>
      </c>
      <c r="G1097">
        <v>1907</v>
      </c>
      <c r="H1097">
        <v>239.4</v>
      </c>
      <c r="I1097">
        <v>7.2</v>
      </c>
      <c r="J1097">
        <v>66</v>
      </c>
      <c r="K1097" t="s">
        <v>18</v>
      </c>
      <c r="L1097">
        <v>58</v>
      </c>
      <c r="M1097">
        <v>1.6</v>
      </c>
      <c r="N1097">
        <v>10</v>
      </c>
      <c r="O1097" t="s">
        <v>17</v>
      </c>
      <c r="P1097" cm="1">
        <f t="array" ref="P1097">_xlfn.SWITCH(Table2[[#This Row],[mood]], "Tired", 3, "Neutral", 2, "Happy", 1)</f>
        <v>3</v>
      </c>
    </row>
    <row r="1098" spans="1:16" x14ac:dyDescent="0.3">
      <c r="A1098">
        <v>1763</v>
      </c>
      <c r="B1098" s="1">
        <v>43101</v>
      </c>
      <c r="C1098">
        <v>34</v>
      </c>
      <c r="D1098" t="s">
        <v>20</v>
      </c>
      <c r="E1098">
        <v>165.5</v>
      </c>
      <c r="F1098">
        <v>79.099999999999994</v>
      </c>
      <c r="G1098">
        <v>14764</v>
      </c>
      <c r="H1098">
        <v>866</v>
      </c>
      <c r="I1098">
        <v>6.3</v>
      </c>
      <c r="J1098">
        <v>74</v>
      </c>
      <c r="K1098" t="s">
        <v>18</v>
      </c>
      <c r="L1098">
        <v>40</v>
      </c>
      <c r="M1098">
        <v>3.59</v>
      </c>
      <c r="N1098">
        <v>5</v>
      </c>
      <c r="O1098" t="s">
        <v>19</v>
      </c>
      <c r="P1098" cm="1">
        <f t="array" ref="P1098">_xlfn.SWITCH(Table2[[#This Row],[mood]], "Tired", 3, "Neutral", 2, "Happy", 1)</f>
        <v>2</v>
      </c>
    </row>
    <row r="1099" spans="1:16" x14ac:dyDescent="0.3">
      <c r="A1099">
        <v>1737</v>
      </c>
      <c r="B1099" s="1">
        <v>43102</v>
      </c>
      <c r="C1099">
        <v>41</v>
      </c>
      <c r="D1099" t="s">
        <v>15</v>
      </c>
      <c r="E1099">
        <v>152.69999999999999</v>
      </c>
      <c r="F1099">
        <v>69.099999999999994</v>
      </c>
      <c r="G1099">
        <v>9390</v>
      </c>
      <c r="H1099">
        <v>539.20000000000005</v>
      </c>
      <c r="I1099">
        <v>6.7</v>
      </c>
      <c r="J1099">
        <v>98</v>
      </c>
      <c r="K1099" t="s">
        <v>23</v>
      </c>
      <c r="L1099">
        <v>56</v>
      </c>
      <c r="M1099">
        <v>2.34</v>
      </c>
      <c r="N1099">
        <v>1</v>
      </c>
      <c r="O1099" t="s">
        <v>21</v>
      </c>
      <c r="P1099" cm="1">
        <f t="array" ref="P1099">_xlfn.SWITCH(Table2[[#This Row],[mood]], "Tired", 3, "Neutral", 2, "Happy", 1)</f>
        <v>1</v>
      </c>
    </row>
    <row r="1100" spans="1:16" x14ac:dyDescent="0.3">
      <c r="A1100">
        <v>1805</v>
      </c>
      <c r="B1100" s="1">
        <v>43103</v>
      </c>
      <c r="C1100">
        <v>54</v>
      </c>
      <c r="D1100" t="s">
        <v>20</v>
      </c>
      <c r="E1100">
        <v>171.1</v>
      </c>
      <c r="F1100">
        <v>68.900000000000006</v>
      </c>
      <c r="G1100">
        <v>3455</v>
      </c>
      <c r="H1100">
        <v>313.10000000000002</v>
      </c>
      <c r="I1100">
        <v>6</v>
      </c>
      <c r="J1100">
        <v>70</v>
      </c>
      <c r="K1100" t="s">
        <v>25</v>
      </c>
      <c r="L1100">
        <v>21</v>
      </c>
      <c r="M1100">
        <v>0.5</v>
      </c>
      <c r="N1100">
        <v>8</v>
      </c>
      <c r="O1100" t="s">
        <v>21</v>
      </c>
      <c r="P1100" cm="1">
        <f t="array" ref="P1100">_xlfn.SWITCH(Table2[[#This Row],[mood]], "Tired", 3, "Neutral", 2, "Happy", 1)</f>
        <v>1</v>
      </c>
    </row>
    <row r="1101" spans="1:16" x14ac:dyDescent="0.3">
      <c r="A1101">
        <v>1305</v>
      </c>
      <c r="B1101" s="1">
        <v>43104</v>
      </c>
      <c r="C1101">
        <v>19</v>
      </c>
      <c r="D1101" t="s">
        <v>20</v>
      </c>
      <c r="E1101">
        <v>169.1</v>
      </c>
      <c r="F1101">
        <v>71.099999999999994</v>
      </c>
      <c r="G1101">
        <v>6208</v>
      </c>
      <c r="H1101">
        <v>584.4</v>
      </c>
      <c r="I1101">
        <v>7.2</v>
      </c>
      <c r="J1101">
        <v>79</v>
      </c>
      <c r="K1101" t="s">
        <v>24</v>
      </c>
      <c r="L1101">
        <v>25</v>
      </c>
      <c r="M1101">
        <v>2.64</v>
      </c>
      <c r="N1101">
        <v>5</v>
      </c>
      <c r="O1101" t="s">
        <v>21</v>
      </c>
      <c r="P1101" cm="1">
        <f t="array" ref="P1101">_xlfn.SWITCH(Table2[[#This Row],[mood]], "Tired", 3, "Neutral", 2, "Happy", 1)</f>
        <v>1</v>
      </c>
    </row>
    <row r="1102" spans="1:16" x14ac:dyDescent="0.3">
      <c r="A1102">
        <v>1097</v>
      </c>
      <c r="B1102" s="1">
        <v>43105</v>
      </c>
      <c r="C1102">
        <v>49</v>
      </c>
      <c r="D1102" t="s">
        <v>20</v>
      </c>
      <c r="E1102">
        <v>165</v>
      </c>
      <c r="F1102">
        <v>107.8</v>
      </c>
      <c r="G1102">
        <v>8774</v>
      </c>
      <c r="H1102">
        <v>509.2</v>
      </c>
      <c r="I1102">
        <v>4.4000000000000004</v>
      </c>
      <c r="J1102">
        <v>79</v>
      </c>
      <c r="K1102" t="s">
        <v>16</v>
      </c>
      <c r="L1102">
        <v>0</v>
      </c>
      <c r="M1102">
        <v>2.89</v>
      </c>
      <c r="N1102">
        <v>9</v>
      </c>
      <c r="O1102" t="s">
        <v>17</v>
      </c>
      <c r="P1102" cm="1">
        <f t="array" ref="P1102">_xlfn.SWITCH(Table2[[#This Row],[mood]], "Tired", 3, "Neutral", 2, "Happy", 1)</f>
        <v>3</v>
      </c>
    </row>
    <row r="1103" spans="1:16" x14ac:dyDescent="0.3">
      <c r="A1103">
        <v>1849</v>
      </c>
      <c r="B1103" s="1">
        <v>43106</v>
      </c>
      <c r="C1103">
        <v>41</v>
      </c>
      <c r="D1103" t="s">
        <v>20</v>
      </c>
      <c r="E1103">
        <v>172.5</v>
      </c>
      <c r="F1103">
        <v>96.7</v>
      </c>
      <c r="G1103">
        <v>15556</v>
      </c>
      <c r="H1103">
        <v>900</v>
      </c>
      <c r="I1103">
        <v>7.5</v>
      </c>
      <c r="J1103">
        <v>71</v>
      </c>
      <c r="K1103" t="s">
        <v>16</v>
      </c>
      <c r="L1103">
        <v>0</v>
      </c>
      <c r="M1103">
        <v>2.2000000000000002</v>
      </c>
      <c r="N1103">
        <v>2</v>
      </c>
      <c r="O1103" t="s">
        <v>21</v>
      </c>
      <c r="P1103" cm="1">
        <f t="array" ref="P1103">_xlfn.SWITCH(Table2[[#This Row],[mood]], "Tired", 3, "Neutral", 2, "Happy", 1)</f>
        <v>1</v>
      </c>
    </row>
    <row r="1104" spans="1:16" x14ac:dyDescent="0.3">
      <c r="A1104">
        <v>1797</v>
      </c>
      <c r="B1104" s="1">
        <v>43107</v>
      </c>
      <c r="C1104">
        <v>26</v>
      </c>
      <c r="D1104" t="s">
        <v>20</v>
      </c>
      <c r="E1104">
        <v>183.2</v>
      </c>
      <c r="F1104">
        <v>59.6</v>
      </c>
      <c r="G1104">
        <v>16428</v>
      </c>
      <c r="H1104">
        <v>855.5</v>
      </c>
      <c r="I1104">
        <v>6.9</v>
      </c>
      <c r="J1104">
        <v>90</v>
      </c>
      <c r="K1104" t="s">
        <v>25</v>
      </c>
      <c r="L1104">
        <v>66</v>
      </c>
      <c r="M1104">
        <v>1.55</v>
      </c>
      <c r="N1104">
        <v>6</v>
      </c>
      <c r="O1104" t="s">
        <v>21</v>
      </c>
      <c r="P1104" cm="1">
        <f t="array" ref="P1104">_xlfn.SWITCH(Table2[[#This Row],[mood]], "Tired", 3, "Neutral", 2, "Happy", 1)</f>
        <v>1</v>
      </c>
    </row>
    <row r="1105" spans="1:16" x14ac:dyDescent="0.3">
      <c r="A1105">
        <v>1334</v>
      </c>
      <c r="B1105" s="1">
        <v>43108</v>
      </c>
      <c r="C1105">
        <v>21</v>
      </c>
      <c r="D1105" t="s">
        <v>15</v>
      </c>
      <c r="E1105">
        <v>182.8</v>
      </c>
      <c r="F1105">
        <v>85.8</v>
      </c>
      <c r="G1105">
        <v>4365</v>
      </c>
      <c r="H1105">
        <v>320.8</v>
      </c>
      <c r="I1105">
        <v>8.3000000000000007</v>
      </c>
      <c r="J1105">
        <v>91</v>
      </c>
      <c r="K1105" t="s">
        <v>25</v>
      </c>
      <c r="L1105">
        <v>62</v>
      </c>
      <c r="M1105">
        <v>2.4300000000000002</v>
      </c>
      <c r="N1105">
        <v>7</v>
      </c>
      <c r="O1105" t="s">
        <v>19</v>
      </c>
      <c r="P1105" cm="1">
        <f t="array" ref="P1105">_xlfn.SWITCH(Table2[[#This Row],[mood]], "Tired", 3, "Neutral", 2, "Happy", 1)</f>
        <v>2</v>
      </c>
    </row>
    <row r="1106" spans="1:16" x14ac:dyDescent="0.3">
      <c r="A1106">
        <v>1858</v>
      </c>
      <c r="B1106" s="1">
        <v>43109</v>
      </c>
      <c r="C1106">
        <v>34</v>
      </c>
      <c r="D1106" t="s">
        <v>20</v>
      </c>
      <c r="E1106">
        <v>171.4</v>
      </c>
      <c r="F1106">
        <v>77.599999999999994</v>
      </c>
      <c r="G1106">
        <v>6951</v>
      </c>
      <c r="H1106">
        <v>406.5</v>
      </c>
      <c r="I1106">
        <v>6.5</v>
      </c>
      <c r="J1106">
        <v>102</v>
      </c>
      <c r="K1106" t="s">
        <v>25</v>
      </c>
      <c r="L1106">
        <v>59</v>
      </c>
      <c r="M1106">
        <v>2.16</v>
      </c>
      <c r="N1106">
        <v>1</v>
      </c>
      <c r="O1106" t="s">
        <v>19</v>
      </c>
      <c r="P1106" cm="1">
        <f t="array" ref="P1106">_xlfn.SWITCH(Table2[[#This Row],[mood]], "Tired", 3, "Neutral", 2, "Happy", 1)</f>
        <v>2</v>
      </c>
    </row>
    <row r="1107" spans="1:16" x14ac:dyDescent="0.3">
      <c r="A1107">
        <v>1434</v>
      </c>
      <c r="B1107" s="1">
        <v>43110</v>
      </c>
      <c r="C1107">
        <v>34</v>
      </c>
      <c r="D1107" t="s">
        <v>15</v>
      </c>
      <c r="E1107">
        <v>169.2</v>
      </c>
      <c r="F1107">
        <v>69.7</v>
      </c>
      <c r="G1107">
        <v>16175</v>
      </c>
      <c r="H1107">
        <v>852.3</v>
      </c>
      <c r="I1107">
        <v>7.9</v>
      </c>
      <c r="J1107">
        <v>67</v>
      </c>
      <c r="K1107" t="s">
        <v>22</v>
      </c>
      <c r="L1107">
        <v>30</v>
      </c>
      <c r="M1107">
        <v>1.82</v>
      </c>
      <c r="N1107">
        <v>10</v>
      </c>
      <c r="O1107" t="s">
        <v>19</v>
      </c>
      <c r="P1107" cm="1">
        <f t="array" ref="P1107">_xlfn.SWITCH(Table2[[#This Row],[mood]], "Tired", 3, "Neutral", 2, "Happy", 1)</f>
        <v>2</v>
      </c>
    </row>
    <row r="1108" spans="1:16" x14ac:dyDescent="0.3">
      <c r="A1108">
        <v>1446</v>
      </c>
      <c r="B1108" s="1">
        <v>43111</v>
      </c>
      <c r="C1108">
        <v>47</v>
      </c>
      <c r="D1108" t="s">
        <v>15</v>
      </c>
      <c r="E1108">
        <v>171.6</v>
      </c>
      <c r="F1108">
        <v>56.4</v>
      </c>
      <c r="G1108">
        <v>12027</v>
      </c>
      <c r="H1108">
        <v>624.9</v>
      </c>
      <c r="I1108">
        <v>7.8</v>
      </c>
      <c r="J1108">
        <v>79</v>
      </c>
      <c r="K1108" t="s">
        <v>22</v>
      </c>
      <c r="L1108">
        <v>33</v>
      </c>
      <c r="M1108">
        <v>1.76</v>
      </c>
      <c r="N1108">
        <v>4</v>
      </c>
      <c r="O1108" t="s">
        <v>19</v>
      </c>
      <c r="P1108" cm="1">
        <f t="array" ref="P1108">_xlfn.SWITCH(Table2[[#This Row],[mood]], "Tired", 3, "Neutral", 2, "Happy", 1)</f>
        <v>2</v>
      </c>
    </row>
    <row r="1109" spans="1:16" x14ac:dyDescent="0.3">
      <c r="A1109">
        <v>1993</v>
      </c>
      <c r="B1109" s="1">
        <v>43112</v>
      </c>
      <c r="C1109">
        <v>57</v>
      </c>
      <c r="D1109" t="s">
        <v>15</v>
      </c>
      <c r="E1109">
        <v>173.1</v>
      </c>
      <c r="F1109">
        <v>76.8</v>
      </c>
      <c r="G1109">
        <v>10505</v>
      </c>
      <c r="H1109">
        <v>605.4</v>
      </c>
      <c r="I1109">
        <v>6.8</v>
      </c>
      <c r="J1109">
        <v>76</v>
      </c>
      <c r="K1109" t="s">
        <v>22</v>
      </c>
      <c r="L1109">
        <v>21</v>
      </c>
      <c r="M1109">
        <v>2.61</v>
      </c>
      <c r="N1109">
        <v>2</v>
      </c>
      <c r="O1109" t="s">
        <v>21</v>
      </c>
      <c r="P1109" cm="1">
        <f t="array" ref="P1109">_xlfn.SWITCH(Table2[[#This Row],[mood]], "Tired", 3, "Neutral", 2, "Happy", 1)</f>
        <v>1</v>
      </c>
    </row>
    <row r="1110" spans="1:16" x14ac:dyDescent="0.3">
      <c r="A1110">
        <v>1307</v>
      </c>
      <c r="B1110" s="1">
        <v>43113</v>
      </c>
      <c r="C1110">
        <v>28</v>
      </c>
      <c r="D1110" t="s">
        <v>15</v>
      </c>
      <c r="E1110">
        <v>167.3</v>
      </c>
      <c r="F1110">
        <v>65.400000000000006</v>
      </c>
      <c r="G1110">
        <v>11094</v>
      </c>
      <c r="H1110">
        <v>548.5</v>
      </c>
      <c r="I1110">
        <v>7.5</v>
      </c>
      <c r="J1110">
        <v>68</v>
      </c>
      <c r="K1110" t="s">
        <v>22</v>
      </c>
      <c r="L1110">
        <v>58</v>
      </c>
      <c r="M1110">
        <v>3.13</v>
      </c>
      <c r="N1110">
        <v>7</v>
      </c>
      <c r="O1110" t="s">
        <v>19</v>
      </c>
      <c r="P1110" cm="1">
        <f t="array" ref="P1110">_xlfn.SWITCH(Table2[[#This Row],[mood]], "Tired", 3, "Neutral", 2, "Happy", 1)</f>
        <v>2</v>
      </c>
    </row>
    <row r="1111" spans="1:16" x14ac:dyDescent="0.3">
      <c r="A1111">
        <v>1248</v>
      </c>
      <c r="B1111" s="1">
        <v>43114</v>
      </c>
      <c r="C1111">
        <v>38</v>
      </c>
      <c r="D1111" t="s">
        <v>15</v>
      </c>
      <c r="E1111">
        <v>171.7</v>
      </c>
      <c r="F1111">
        <v>64.3</v>
      </c>
      <c r="G1111">
        <v>13167</v>
      </c>
      <c r="H1111">
        <v>744.4</v>
      </c>
      <c r="I1111">
        <v>5</v>
      </c>
      <c r="J1111">
        <v>68</v>
      </c>
      <c r="K1111" t="s">
        <v>25</v>
      </c>
      <c r="L1111">
        <v>82</v>
      </c>
      <c r="M1111">
        <v>2.82</v>
      </c>
      <c r="N1111">
        <v>3</v>
      </c>
      <c r="O1111" t="s">
        <v>17</v>
      </c>
      <c r="P1111" cm="1">
        <f t="array" ref="P1111">_xlfn.SWITCH(Table2[[#This Row],[mood]], "Tired", 3, "Neutral", 2, "Happy", 1)</f>
        <v>3</v>
      </c>
    </row>
    <row r="1112" spans="1:16" x14ac:dyDescent="0.3">
      <c r="A1112">
        <v>1165</v>
      </c>
      <c r="B1112" s="1">
        <v>43115</v>
      </c>
      <c r="C1112">
        <v>38</v>
      </c>
      <c r="D1112" t="s">
        <v>20</v>
      </c>
      <c r="E1112">
        <v>154.30000000000001</v>
      </c>
      <c r="F1112">
        <v>58.5</v>
      </c>
      <c r="G1112">
        <v>9769</v>
      </c>
      <c r="H1112">
        <v>513.6</v>
      </c>
      <c r="I1112">
        <v>9</v>
      </c>
      <c r="J1112">
        <v>77</v>
      </c>
      <c r="K1112" t="s">
        <v>25</v>
      </c>
      <c r="L1112">
        <v>82</v>
      </c>
      <c r="M1112">
        <v>1.29</v>
      </c>
      <c r="N1112">
        <v>9</v>
      </c>
      <c r="O1112" t="s">
        <v>17</v>
      </c>
      <c r="P1112" cm="1">
        <f t="array" ref="P1112">_xlfn.SWITCH(Table2[[#This Row],[mood]], "Tired", 3, "Neutral", 2, "Happy", 1)</f>
        <v>3</v>
      </c>
    </row>
    <row r="1113" spans="1:16" x14ac:dyDescent="0.3">
      <c r="A1113">
        <v>1480</v>
      </c>
      <c r="B1113" s="1">
        <v>43116</v>
      </c>
      <c r="C1113">
        <v>35</v>
      </c>
      <c r="D1113" t="s">
        <v>20</v>
      </c>
      <c r="E1113">
        <v>170.8</v>
      </c>
      <c r="F1113">
        <v>85</v>
      </c>
      <c r="G1113">
        <v>2020</v>
      </c>
      <c r="H1113">
        <v>277.8</v>
      </c>
      <c r="I1113">
        <v>6.2</v>
      </c>
      <c r="J1113">
        <v>70</v>
      </c>
      <c r="K1113" t="s">
        <v>16</v>
      </c>
      <c r="L1113">
        <v>0</v>
      </c>
      <c r="M1113">
        <v>2.93</v>
      </c>
      <c r="N1113">
        <v>8</v>
      </c>
      <c r="O1113" t="s">
        <v>17</v>
      </c>
      <c r="P1113" cm="1">
        <f t="array" ref="P1113">_xlfn.SWITCH(Table2[[#This Row],[mood]], "Tired", 3, "Neutral", 2, "Happy", 1)</f>
        <v>3</v>
      </c>
    </row>
    <row r="1114" spans="1:16" x14ac:dyDescent="0.3">
      <c r="A1114">
        <v>1983</v>
      </c>
      <c r="B1114" s="1">
        <v>43117</v>
      </c>
      <c r="C1114">
        <v>46</v>
      </c>
      <c r="D1114" t="s">
        <v>15</v>
      </c>
      <c r="E1114">
        <v>174.8</v>
      </c>
      <c r="F1114">
        <v>58.5</v>
      </c>
      <c r="G1114">
        <v>12845</v>
      </c>
      <c r="H1114">
        <v>644.6</v>
      </c>
      <c r="I1114">
        <v>6.7</v>
      </c>
      <c r="J1114">
        <v>65</v>
      </c>
      <c r="K1114" t="s">
        <v>24</v>
      </c>
      <c r="L1114">
        <v>20</v>
      </c>
      <c r="M1114">
        <v>3.04</v>
      </c>
      <c r="N1114">
        <v>10</v>
      </c>
      <c r="O1114" t="s">
        <v>19</v>
      </c>
      <c r="P1114" cm="1">
        <f t="array" ref="P1114">_xlfn.SWITCH(Table2[[#This Row],[mood]], "Tired", 3, "Neutral", 2, "Happy", 1)</f>
        <v>2</v>
      </c>
    </row>
    <row r="1115" spans="1:16" x14ac:dyDescent="0.3">
      <c r="A1115">
        <v>1334</v>
      </c>
      <c r="B1115" s="1">
        <v>43118</v>
      </c>
      <c r="C1115">
        <v>41</v>
      </c>
      <c r="D1115" t="s">
        <v>15</v>
      </c>
      <c r="E1115">
        <v>165.1</v>
      </c>
      <c r="F1115">
        <v>58.6</v>
      </c>
      <c r="G1115">
        <v>4844</v>
      </c>
      <c r="H1115">
        <v>455.1</v>
      </c>
      <c r="I1115">
        <v>5.4</v>
      </c>
      <c r="J1115">
        <v>76</v>
      </c>
      <c r="K1115" t="s">
        <v>16</v>
      </c>
      <c r="L1115">
        <v>0</v>
      </c>
      <c r="M1115">
        <v>3.48</v>
      </c>
      <c r="N1115">
        <v>7</v>
      </c>
      <c r="O1115" t="s">
        <v>21</v>
      </c>
      <c r="P1115" cm="1">
        <f t="array" ref="P1115">_xlfn.SWITCH(Table2[[#This Row],[mood]], "Tired", 3, "Neutral", 2, "Happy", 1)</f>
        <v>1</v>
      </c>
    </row>
    <row r="1116" spans="1:16" x14ac:dyDescent="0.3">
      <c r="A1116">
        <v>1541</v>
      </c>
      <c r="B1116" s="1">
        <v>43119</v>
      </c>
      <c r="C1116">
        <v>27</v>
      </c>
      <c r="D1116" t="s">
        <v>15</v>
      </c>
      <c r="E1116">
        <v>169</v>
      </c>
      <c r="F1116">
        <v>81.7</v>
      </c>
      <c r="G1116">
        <v>4573</v>
      </c>
      <c r="H1116">
        <v>277.39999999999998</v>
      </c>
      <c r="I1116">
        <v>5.8</v>
      </c>
      <c r="J1116">
        <v>64</v>
      </c>
      <c r="K1116" t="s">
        <v>16</v>
      </c>
      <c r="L1116">
        <v>0</v>
      </c>
      <c r="M1116">
        <v>1.84</v>
      </c>
      <c r="N1116">
        <v>8</v>
      </c>
      <c r="O1116" t="s">
        <v>19</v>
      </c>
      <c r="P1116" cm="1">
        <f t="array" ref="P1116">_xlfn.SWITCH(Table2[[#This Row],[mood]], "Tired", 3, "Neutral", 2, "Happy", 1)</f>
        <v>2</v>
      </c>
    </row>
    <row r="1117" spans="1:16" x14ac:dyDescent="0.3">
      <c r="A1117">
        <v>1758</v>
      </c>
      <c r="B1117" s="1">
        <v>43120</v>
      </c>
      <c r="C1117">
        <v>34</v>
      </c>
      <c r="D1117" t="s">
        <v>20</v>
      </c>
      <c r="E1117">
        <v>158.9</v>
      </c>
      <c r="F1117">
        <v>67.8</v>
      </c>
      <c r="G1117">
        <v>11485</v>
      </c>
      <c r="H1117">
        <v>645.29999999999995</v>
      </c>
      <c r="I1117">
        <v>9.5</v>
      </c>
      <c r="J1117">
        <v>70</v>
      </c>
      <c r="K1117" t="s">
        <v>24</v>
      </c>
      <c r="L1117">
        <v>58</v>
      </c>
      <c r="M1117">
        <v>2.46</v>
      </c>
      <c r="N1117">
        <v>1</v>
      </c>
      <c r="O1117" t="s">
        <v>17</v>
      </c>
      <c r="P1117" cm="1">
        <f t="array" ref="P1117">_xlfn.SWITCH(Table2[[#This Row],[mood]], "Tired", 3, "Neutral", 2, "Happy", 1)</f>
        <v>3</v>
      </c>
    </row>
    <row r="1118" spans="1:16" x14ac:dyDescent="0.3">
      <c r="A1118">
        <v>1105</v>
      </c>
      <c r="B1118" s="1">
        <v>43121</v>
      </c>
      <c r="C1118">
        <v>35</v>
      </c>
      <c r="D1118" t="s">
        <v>15</v>
      </c>
      <c r="E1118">
        <v>157.5</v>
      </c>
      <c r="F1118">
        <v>68.2</v>
      </c>
      <c r="G1118">
        <v>6442</v>
      </c>
      <c r="H1118">
        <v>485.7</v>
      </c>
      <c r="I1118">
        <v>7.2</v>
      </c>
      <c r="J1118">
        <v>79</v>
      </c>
      <c r="K1118" t="s">
        <v>24</v>
      </c>
      <c r="L1118">
        <v>67</v>
      </c>
      <c r="M1118">
        <v>2.9</v>
      </c>
      <c r="N1118">
        <v>10</v>
      </c>
      <c r="O1118" t="s">
        <v>19</v>
      </c>
      <c r="P1118" cm="1">
        <f t="array" ref="P1118">_xlfn.SWITCH(Table2[[#This Row],[mood]], "Tired", 3, "Neutral", 2, "Happy", 1)</f>
        <v>2</v>
      </c>
    </row>
    <row r="1119" spans="1:16" x14ac:dyDescent="0.3">
      <c r="A1119">
        <v>1562</v>
      </c>
      <c r="B1119" s="1">
        <v>43122</v>
      </c>
      <c r="C1119">
        <v>59</v>
      </c>
      <c r="D1119" t="s">
        <v>20</v>
      </c>
      <c r="E1119">
        <v>172.1</v>
      </c>
      <c r="F1119">
        <v>85.5</v>
      </c>
      <c r="G1119">
        <v>8914</v>
      </c>
      <c r="H1119">
        <v>574.5</v>
      </c>
      <c r="I1119">
        <v>6.6</v>
      </c>
      <c r="J1119">
        <v>74</v>
      </c>
      <c r="K1119" t="s">
        <v>16</v>
      </c>
      <c r="L1119">
        <v>0</v>
      </c>
      <c r="M1119">
        <v>2.13</v>
      </c>
      <c r="N1119">
        <v>6</v>
      </c>
      <c r="O1119" t="s">
        <v>17</v>
      </c>
      <c r="P1119" cm="1">
        <f t="array" ref="P1119">_xlfn.SWITCH(Table2[[#This Row],[mood]], "Tired", 3, "Neutral", 2, "Happy", 1)</f>
        <v>3</v>
      </c>
    </row>
    <row r="1120" spans="1:16" x14ac:dyDescent="0.3">
      <c r="A1120">
        <v>1080</v>
      </c>
      <c r="B1120" s="1">
        <v>43123</v>
      </c>
      <c r="C1120">
        <v>37</v>
      </c>
      <c r="D1120" t="s">
        <v>15</v>
      </c>
      <c r="E1120">
        <v>162.69999999999999</v>
      </c>
      <c r="F1120">
        <v>89.7</v>
      </c>
      <c r="G1120">
        <v>8951</v>
      </c>
      <c r="H1120">
        <v>495.7</v>
      </c>
      <c r="I1120">
        <v>6.5</v>
      </c>
      <c r="J1120">
        <v>72</v>
      </c>
      <c r="K1120" t="s">
        <v>16</v>
      </c>
      <c r="L1120">
        <v>0</v>
      </c>
      <c r="M1120">
        <v>2.89</v>
      </c>
      <c r="N1120">
        <v>7</v>
      </c>
      <c r="O1120" t="s">
        <v>21</v>
      </c>
      <c r="P1120" cm="1">
        <f t="array" ref="P1120">_xlfn.SWITCH(Table2[[#This Row],[mood]], "Tired", 3, "Neutral", 2, "Happy", 1)</f>
        <v>1</v>
      </c>
    </row>
    <row r="1121" spans="1:16" x14ac:dyDescent="0.3">
      <c r="A1121">
        <v>1132</v>
      </c>
      <c r="B1121" s="1">
        <v>43124</v>
      </c>
      <c r="C1121">
        <v>54</v>
      </c>
      <c r="D1121" t="s">
        <v>20</v>
      </c>
      <c r="E1121">
        <v>152.19999999999999</v>
      </c>
      <c r="F1121">
        <v>45</v>
      </c>
      <c r="G1121">
        <v>9802</v>
      </c>
      <c r="H1121">
        <v>505.1</v>
      </c>
      <c r="I1121">
        <v>7</v>
      </c>
      <c r="J1121">
        <v>93</v>
      </c>
      <c r="K1121" t="s">
        <v>16</v>
      </c>
      <c r="L1121">
        <v>0</v>
      </c>
      <c r="M1121">
        <v>2.48</v>
      </c>
      <c r="N1121">
        <v>7</v>
      </c>
      <c r="O1121" t="s">
        <v>21</v>
      </c>
      <c r="P1121" cm="1">
        <f t="array" ref="P1121">_xlfn.SWITCH(Table2[[#This Row],[mood]], "Tired", 3, "Neutral", 2, "Happy", 1)</f>
        <v>1</v>
      </c>
    </row>
    <row r="1122" spans="1:16" x14ac:dyDescent="0.3">
      <c r="A1122">
        <v>1796</v>
      </c>
      <c r="B1122" s="1">
        <v>43125</v>
      </c>
      <c r="C1122">
        <v>35</v>
      </c>
      <c r="D1122" t="s">
        <v>15</v>
      </c>
      <c r="E1122">
        <v>158.9</v>
      </c>
      <c r="F1122">
        <v>68.099999999999994</v>
      </c>
      <c r="G1122">
        <v>9520</v>
      </c>
      <c r="H1122">
        <v>619.9</v>
      </c>
      <c r="I1122">
        <v>8.1</v>
      </c>
      <c r="J1122">
        <v>89</v>
      </c>
      <c r="K1122" t="s">
        <v>24</v>
      </c>
      <c r="L1122">
        <v>39</v>
      </c>
      <c r="M1122">
        <v>1.91</v>
      </c>
      <c r="N1122">
        <v>9</v>
      </c>
      <c r="O1122" t="s">
        <v>21</v>
      </c>
      <c r="P1122" cm="1">
        <f t="array" ref="P1122">_xlfn.SWITCH(Table2[[#This Row],[mood]], "Tired", 3, "Neutral", 2, "Happy", 1)</f>
        <v>1</v>
      </c>
    </row>
    <row r="1123" spans="1:16" x14ac:dyDescent="0.3">
      <c r="A1123">
        <v>1899</v>
      </c>
      <c r="B1123" s="1">
        <v>43126</v>
      </c>
      <c r="C1123">
        <v>34</v>
      </c>
      <c r="D1123" t="s">
        <v>20</v>
      </c>
      <c r="E1123">
        <v>160.30000000000001</v>
      </c>
      <c r="F1123">
        <v>48.8</v>
      </c>
      <c r="G1123">
        <v>1546</v>
      </c>
      <c r="H1123">
        <v>255.7</v>
      </c>
      <c r="I1123">
        <v>7.3</v>
      </c>
      <c r="J1123">
        <v>76</v>
      </c>
      <c r="K1123" t="s">
        <v>24</v>
      </c>
      <c r="L1123">
        <v>62</v>
      </c>
      <c r="M1123">
        <v>1.97</v>
      </c>
      <c r="N1123">
        <v>7</v>
      </c>
      <c r="O1123" t="s">
        <v>21</v>
      </c>
      <c r="P1123" cm="1">
        <f t="array" ref="P1123">_xlfn.SWITCH(Table2[[#This Row],[mood]], "Tired", 3, "Neutral", 2, "Happy", 1)</f>
        <v>1</v>
      </c>
    </row>
    <row r="1124" spans="1:16" x14ac:dyDescent="0.3">
      <c r="A1124">
        <v>1137</v>
      </c>
      <c r="B1124" s="1">
        <v>43127</v>
      </c>
      <c r="C1124">
        <v>26</v>
      </c>
      <c r="D1124" t="s">
        <v>15</v>
      </c>
      <c r="E1124">
        <v>177.7</v>
      </c>
      <c r="F1124">
        <v>64.2</v>
      </c>
      <c r="G1124">
        <v>16530</v>
      </c>
      <c r="H1124">
        <v>807.6</v>
      </c>
      <c r="I1124">
        <v>7.3</v>
      </c>
      <c r="J1124">
        <v>65</v>
      </c>
      <c r="K1124" t="s">
        <v>22</v>
      </c>
      <c r="L1124">
        <v>75</v>
      </c>
      <c r="M1124">
        <v>3.37</v>
      </c>
      <c r="N1124">
        <v>7</v>
      </c>
      <c r="O1124" t="s">
        <v>21</v>
      </c>
      <c r="P1124" cm="1">
        <f t="array" ref="P1124">_xlfn.SWITCH(Table2[[#This Row],[mood]], "Tired", 3, "Neutral", 2, "Happy", 1)</f>
        <v>1</v>
      </c>
    </row>
    <row r="1125" spans="1:16" x14ac:dyDescent="0.3">
      <c r="A1125">
        <v>1183</v>
      </c>
      <c r="B1125" s="1">
        <v>43128</v>
      </c>
      <c r="C1125">
        <v>31</v>
      </c>
      <c r="D1125" t="s">
        <v>20</v>
      </c>
      <c r="E1125">
        <v>171.8</v>
      </c>
      <c r="F1125">
        <v>69.900000000000006</v>
      </c>
      <c r="G1125">
        <v>9998</v>
      </c>
      <c r="H1125">
        <v>640.79999999999995</v>
      </c>
      <c r="I1125">
        <v>5.6</v>
      </c>
      <c r="J1125">
        <v>83</v>
      </c>
      <c r="K1125" t="s">
        <v>25</v>
      </c>
      <c r="L1125">
        <v>43</v>
      </c>
      <c r="M1125">
        <v>1.8</v>
      </c>
      <c r="N1125">
        <v>6</v>
      </c>
      <c r="O1125" t="s">
        <v>19</v>
      </c>
      <c r="P1125" cm="1">
        <f t="array" ref="P1125">_xlfn.SWITCH(Table2[[#This Row],[mood]], "Tired", 3, "Neutral", 2, "Happy", 1)</f>
        <v>2</v>
      </c>
    </row>
    <row r="1126" spans="1:16" x14ac:dyDescent="0.3">
      <c r="A1126">
        <v>1400</v>
      </c>
      <c r="B1126" s="1">
        <v>43129</v>
      </c>
      <c r="C1126">
        <v>46</v>
      </c>
      <c r="D1126" t="s">
        <v>20</v>
      </c>
      <c r="E1126">
        <v>161.30000000000001</v>
      </c>
      <c r="F1126">
        <v>64.7</v>
      </c>
      <c r="G1126">
        <v>12465</v>
      </c>
      <c r="H1126">
        <v>670.5</v>
      </c>
      <c r="I1126">
        <v>6.6</v>
      </c>
      <c r="J1126">
        <v>100</v>
      </c>
      <c r="K1126" t="s">
        <v>24</v>
      </c>
      <c r="L1126">
        <v>62</v>
      </c>
      <c r="M1126">
        <v>1.68</v>
      </c>
      <c r="N1126">
        <v>3</v>
      </c>
      <c r="O1126" t="s">
        <v>21</v>
      </c>
      <c r="P1126" cm="1">
        <f t="array" ref="P1126">_xlfn.SWITCH(Table2[[#This Row],[mood]], "Tired", 3, "Neutral", 2, "Happy", 1)</f>
        <v>1</v>
      </c>
    </row>
    <row r="1127" spans="1:16" x14ac:dyDescent="0.3">
      <c r="A1127">
        <v>1329</v>
      </c>
      <c r="B1127" s="1">
        <v>43130</v>
      </c>
      <c r="C1127">
        <v>48</v>
      </c>
      <c r="D1127" t="s">
        <v>20</v>
      </c>
      <c r="E1127">
        <v>164.1</v>
      </c>
      <c r="F1127">
        <v>54.6</v>
      </c>
      <c r="G1127">
        <v>16616</v>
      </c>
      <c r="H1127">
        <v>831.8</v>
      </c>
      <c r="I1127">
        <v>7.2</v>
      </c>
      <c r="J1127">
        <v>89</v>
      </c>
      <c r="K1127" t="s">
        <v>23</v>
      </c>
      <c r="L1127">
        <v>40</v>
      </c>
      <c r="M1127">
        <v>2.74</v>
      </c>
      <c r="N1127">
        <v>6</v>
      </c>
      <c r="O1127" t="s">
        <v>19</v>
      </c>
      <c r="P1127" cm="1">
        <f t="array" ref="P1127">_xlfn.SWITCH(Table2[[#This Row],[mood]], "Tired", 3, "Neutral", 2, "Happy", 1)</f>
        <v>2</v>
      </c>
    </row>
    <row r="1128" spans="1:16" x14ac:dyDescent="0.3">
      <c r="A1128">
        <v>1784</v>
      </c>
      <c r="B1128" s="1">
        <v>43131</v>
      </c>
      <c r="C1128">
        <v>21</v>
      </c>
      <c r="D1128" t="s">
        <v>20</v>
      </c>
      <c r="E1128">
        <v>183.1</v>
      </c>
      <c r="F1128">
        <v>53.9</v>
      </c>
      <c r="G1128">
        <v>13717</v>
      </c>
      <c r="H1128">
        <v>705.3</v>
      </c>
      <c r="I1128">
        <v>7</v>
      </c>
      <c r="J1128">
        <v>62</v>
      </c>
      <c r="K1128" t="s">
        <v>24</v>
      </c>
      <c r="L1128">
        <v>67</v>
      </c>
      <c r="M1128">
        <v>2.48</v>
      </c>
      <c r="N1128">
        <v>9</v>
      </c>
      <c r="O1128" t="s">
        <v>17</v>
      </c>
      <c r="P1128" cm="1">
        <f t="array" ref="P1128">_xlfn.SWITCH(Table2[[#This Row],[mood]], "Tired", 3, "Neutral", 2, "Happy", 1)</f>
        <v>3</v>
      </c>
    </row>
    <row r="1129" spans="1:16" x14ac:dyDescent="0.3">
      <c r="A1129">
        <v>1507</v>
      </c>
      <c r="B1129" s="1">
        <v>43132</v>
      </c>
      <c r="C1129">
        <v>35</v>
      </c>
      <c r="D1129" t="s">
        <v>20</v>
      </c>
      <c r="E1129">
        <v>179.4</v>
      </c>
      <c r="F1129">
        <v>80.900000000000006</v>
      </c>
      <c r="G1129">
        <v>16425</v>
      </c>
      <c r="H1129">
        <v>819</v>
      </c>
      <c r="I1129">
        <v>6.4</v>
      </c>
      <c r="J1129">
        <v>73</v>
      </c>
      <c r="K1129" t="s">
        <v>24</v>
      </c>
      <c r="L1129">
        <v>85</v>
      </c>
      <c r="M1129">
        <v>1.58</v>
      </c>
      <c r="N1129">
        <v>10</v>
      </c>
      <c r="O1129" t="s">
        <v>17</v>
      </c>
      <c r="P1129" cm="1">
        <f t="array" ref="P1129">_xlfn.SWITCH(Table2[[#This Row],[mood]], "Tired", 3, "Neutral", 2, "Happy", 1)</f>
        <v>3</v>
      </c>
    </row>
    <row r="1130" spans="1:16" x14ac:dyDescent="0.3">
      <c r="A1130">
        <v>1851</v>
      </c>
      <c r="B1130" s="1">
        <v>43133</v>
      </c>
      <c r="C1130">
        <v>37</v>
      </c>
      <c r="D1130" t="s">
        <v>20</v>
      </c>
      <c r="E1130">
        <v>158.80000000000001</v>
      </c>
      <c r="F1130">
        <v>93</v>
      </c>
      <c r="G1130">
        <v>5901</v>
      </c>
      <c r="H1130">
        <v>396.3</v>
      </c>
      <c r="I1130">
        <v>6.2</v>
      </c>
      <c r="J1130">
        <v>68</v>
      </c>
      <c r="K1130" t="s">
        <v>25</v>
      </c>
      <c r="L1130">
        <v>35</v>
      </c>
      <c r="M1130">
        <v>2.14</v>
      </c>
      <c r="N1130">
        <v>3</v>
      </c>
      <c r="O1130" t="s">
        <v>21</v>
      </c>
      <c r="P1130" cm="1">
        <f t="array" ref="P1130">_xlfn.SWITCH(Table2[[#This Row],[mood]], "Tired", 3, "Neutral", 2, "Happy", 1)</f>
        <v>1</v>
      </c>
    </row>
    <row r="1131" spans="1:16" x14ac:dyDescent="0.3">
      <c r="A1131">
        <v>1983</v>
      </c>
      <c r="B1131" s="1">
        <v>43134</v>
      </c>
      <c r="C1131">
        <v>26</v>
      </c>
      <c r="D1131" t="s">
        <v>20</v>
      </c>
      <c r="E1131">
        <v>181.6</v>
      </c>
      <c r="F1131">
        <v>45</v>
      </c>
      <c r="G1131">
        <v>12842</v>
      </c>
      <c r="H1131">
        <v>730.1</v>
      </c>
      <c r="I1131">
        <v>7.7</v>
      </c>
      <c r="J1131">
        <v>66</v>
      </c>
      <c r="K1131" t="s">
        <v>16</v>
      </c>
      <c r="L1131">
        <v>0</v>
      </c>
      <c r="M1131">
        <v>1.93</v>
      </c>
      <c r="N1131">
        <v>3</v>
      </c>
      <c r="O1131" t="s">
        <v>19</v>
      </c>
      <c r="P1131" cm="1">
        <f t="array" ref="P1131">_xlfn.SWITCH(Table2[[#This Row],[mood]], "Tired", 3, "Neutral", 2, "Happy", 1)</f>
        <v>2</v>
      </c>
    </row>
    <row r="1132" spans="1:16" x14ac:dyDescent="0.3">
      <c r="A1132">
        <v>1068</v>
      </c>
      <c r="B1132" s="1">
        <v>43135</v>
      </c>
      <c r="C1132">
        <v>30</v>
      </c>
      <c r="D1132" t="s">
        <v>15</v>
      </c>
      <c r="E1132">
        <v>169.2</v>
      </c>
      <c r="F1132">
        <v>65.099999999999994</v>
      </c>
      <c r="G1132">
        <v>6708</v>
      </c>
      <c r="H1132">
        <v>545.9</v>
      </c>
      <c r="I1132">
        <v>7.7</v>
      </c>
      <c r="J1132">
        <v>86</v>
      </c>
      <c r="K1132" t="s">
        <v>22</v>
      </c>
      <c r="L1132">
        <v>40</v>
      </c>
      <c r="M1132">
        <v>2.0499999999999998</v>
      </c>
      <c r="N1132">
        <v>7</v>
      </c>
      <c r="O1132" t="s">
        <v>21</v>
      </c>
      <c r="P1132" cm="1">
        <f t="array" ref="P1132">_xlfn.SWITCH(Table2[[#This Row],[mood]], "Tired", 3, "Neutral", 2, "Happy", 1)</f>
        <v>1</v>
      </c>
    </row>
    <row r="1133" spans="1:16" x14ac:dyDescent="0.3">
      <c r="A1133">
        <v>1545</v>
      </c>
      <c r="B1133" s="1">
        <v>43136</v>
      </c>
      <c r="C1133">
        <v>32</v>
      </c>
      <c r="D1133" t="s">
        <v>15</v>
      </c>
      <c r="E1133">
        <v>178</v>
      </c>
      <c r="F1133">
        <v>81</v>
      </c>
      <c r="G1133">
        <v>3082</v>
      </c>
      <c r="H1133">
        <v>253.4</v>
      </c>
      <c r="I1133">
        <v>8.5</v>
      </c>
      <c r="J1133">
        <v>86</v>
      </c>
      <c r="K1133" t="s">
        <v>18</v>
      </c>
      <c r="L1133">
        <v>71</v>
      </c>
      <c r="M1133">
        <v>4.2699999999999996</v>
      </c>
      <c r="N1133">
        <v>7</v>
      </c>
      <c r="O1133" t="s">
        <v>17</v>
      </c>
      <c r="P1133" cm="1">
        <f t="array" ref="P1133">_xlfn.SWITCH(Table2[[#This Row],[mood]], "Tired", 3, "Neutral", 2, "Happy", 1)</f>
        <v>3</v>
      </c>
    </row>
    <row r="1134" spans="1:16" x14ac:dyDescent="0.3">
      <c r="A1134">
        <v>1773</v>
      </c>
      <c r="B1134" s="1">
        <v>43137</v>
      </c>
      <c r="C1134">
        <v>44</v>
      </c>
      <c r="D1134" t="s">
        <v>15</v>
      </c>
      <c r="E1134">
        <v>168.4</v>
      </c>
      <c r="F1134">
        <v>69.5</v>
      </c>
      <c r="G1134">
        <v>10795</v>
      </c>
      <c r="H1134">
        <v>614.70000000000005</v>
      </c>
      <c r="I1134">
        <v>7.3</v>
      </c>
      <c r="J1134">
        <v>93</v>
      </c>
      <c r="K1134" t="s">
        <v>16</v>
      </c>
      <c r="L1134">
        <v>0</v>
      </c>
      <c r="M1134">
        <v>2.29</v>
      </c>
      <c r="N1134">
        <v>5</v>
      </c>
      <c r="O1134" t="s">
        <v>19</v>
      </c>
      <c r="P1134" cm="1">
        <f t="array" ref="P1134">_xlfn.SWITCH(Table2[[#This Row],[mood]], "Tired", 3, "Neutral", 2, "Happy", 1)</f>
        <v>2</v>
      </c>
    </row>
    <row r="1135" spans="1:16" x14ac:dyDescent="0.3">
      <c r="A1135">
        <v>1052</v>
      </c>
      <c r="B1135" s="1">
        <v>43138</v>
      </c>
      <c r="C1135">
        <v>32</v>
      </c>
      <c r="D1135" t="s">
        <v>15</v>
      </c>
      <c r="E1135">
        <v>181.9</v>
      </c>
      <c r="F1135">
        <v>53.3</v>
      </c>
      <c r="G1135">
        <v>13541</v>
      </c>
      <c r="H1135">
        <v>733.4</v>
      </c>
      <c r="I1135">
        <v>3.9</v>
      </c>
      <c r="J1135">
        <v>82</v>
      </c>
      <c r="K1135" t="s">
        <v>16</v>
      </c>
      <c r="L1135">
        <v>0</v>
      </c>
      <c r="M1135">
        <v>1.88</v>
      </c>
      <c r="N1135">
        <v>8</v>
      </c>
      <c r="O1135" t="s">
        <v>17</v>
      </c>
      <c r="P1135" cm="1">
        <f t="array" ref="P1135">_xlfn.SWITCH(Table2[[#This Row],[mood]], "Tired", 3, "Neutral", 2, "Happy", 1)</f>
        <v>3</v>
      </c>
    </row>
    <row r="1136" spans="1:16" x14ac:dyDescent="0.3">
      <c r="A1136">
        <v>1449</v>
      </c>
      <c r="B1136" s="1">
        <v>43139</v>
      </c>
      <c r="C1136">
        <v>45</v>
      </c>
      <c r="D1136" t="s">
        <v>15</v>
      </c>
      <c r="E1136">
        <v>158.4</v>
      </c>
      <c r="F1136">
        <v>62.8</v>
      </c>
      <c r="G1136">
        <v>1260</v>
      </c>
      <c r="H1136">
        <v>273.60000000000002</v>
      </c>
      <c r="I1136">
        <v>10</v>
      </c>
      <c r="J1136">
        <v>75</v>
      </c>
      <c r="K1136" t="s">
        <v>25</v>
      </c>
      <c r="L1136">
        <v>77</v>
      </c>
      <c r="M1136">
        <v>3.92</v>
      </c>
      <c r="N1136">
        <v>8</v>
      </c>
      <c r="O1136" t="s">
        <v>19</v>
      </c>
      <c r="P1136" cm="1">
        <f t="array" ref="P1136">_xlfn.SWITCH(Table2[[#This Row],[mood]], "Tired", 3, "Neutral", 2, "Happy", 1)</f>
        <v>2</v>
      </c>
    </row>
    <row r="1137" spans="1:16" x14ac:dyDescent="0.3">
      <c r="A1137">
        <v>1204</v>
      </c>
      <c r="B1137" s="1">
        <v>43140</v>
      </c>
      <c r="C1137">
        <v>54</v>
      </c>
      <c r="D1137" t="s">
        <v>20</v>
      </c>
      <c r="E1137">
        <v>167.4</v>
      </c>
      <c r="F1137">
        <v>74.5</v>
      </c>
      <c r="G1137">
        <v>14567</v>
      </c>
      <c r="H1137">
        <v>832.1</v>
      </c>
      <c r="I1137">
        <v>7</v>
      </c>
      <c r="J1137">
        <v>77</v>
      </c>
      <c r="K1137" t="s">
        <v>22</v>
      </c>
      <c r="L1137">
        <v>24</v>
      </c>
      <c r="M1137">
        <v>3.12</v>
      </c>
      <c r="N1137">
        <v>2</v>
      </c>
      <c r="O1137" t="s">
        <v>17</v>
      </c>
      <c r="P1137" cm="1">
        <f t="array" ref="P1137">_xlfn.SWITCH(Table2[[#This Row],[mood]], "Tired", 3, "Neutral", 2, "Happy", 1)</f>
        <v>3</v>
      </c>
    </row>
    <row r="1138" spans="1:16" x14ac:dyDescent="0.3">
      <c r="A1138">
        <v>1125</v>
      </c>
      <c r="B1138" s="1">
        <v>43141</v>
      </c>
      <c r="C1138">
        <v>36</v>
      </c>
      <c r="D1138" t="s">
        <v>20</v>
      </c>
      <c r="E1138">
        <v>182.2</v>
      </c>
      <c r="F1138">
        <v>65.400000000000006</v>
      </c>
      <c r="G1138">
        <v>6982</v>
      </c>
      <c r="H1138">
        <v>471.3</v>
      </c>
      <c r="I1138">
        <v>6.4</v>
      </c>
      <c r="J1138">
        <v>66</v>
      </c>
      <c r="K1138" t="s">
        <v>23</v>
      </c>
      <c r="L1138">
        <v>61</v>
      </c>
      <c r="M1138">
        <v>3.01</v>
      </c>
      <c r="N1138">
        <v>6</v>
      </c>
      <c r="O1138" t="s">
        <v>21</v>
      </c>
      <c r="P1138" cm="1">
        <f t="array" ref="P1138">_xlfn.SWITCH(Table2[[#This Row],[mood]], "Tired", 3, "Neutral", 2, "Happy", 1)</f>
        <v>1</v>
      </c>
    </row>
    <row r="1139" spans="1:16" x14ac:dyDescent="0.3">
      <c r="A1139">
        <v>1746</v>
      </c>
      <c r="B1139" s="1">
        <v>43142</v>
      </c>
      <c r="C1139">
        <v>43</v>
      </c>
      <c r="D1139" t="s">
        <v>20</v>
      </c>
      <c r="E1139">
        <v>150</v>
      </c>
      <c r="F1139">
        <v>69.3</v>
      </c>
      <c r="G1139">
        <v>1500</v>
      </c>
      <c r="H1139">
        <v>228.1</v>
      </c>
      <c r="I1139">
        <v>6.9</v>
      </c>
      <c r="J1139">
        <v>89</v>
      </c>
      <c r="K1139" t="s">
        <v>18</v>
      </c>
      <c r="L1139">
        <v>49</v>
      </c>
      <c r="M1139">
        <v>1.92</v>
      </c>
      <c r="N1139">
        <v>5</v>
      </c>
      <c r="O1139" t="s">
        <v>21</v>
      </c>
      <c r="P1139" cm="1">
        <f t="array" ref="P1139">_xlfn.SWITCH(Table2[[#This Row],[mood]], "Tired", 3, "Neutral", 2, "Happy", 1)</f>
        <v>1</v>
      </c>
    </row>
    <row r="1140" spans="1:16" x14ac:dyDescent="0.3">
      <c r="A1140">
        <v>1042</v>
      </c>
      <c r="B1140" s="1">
        <v>43143</v>
      </c>
      <c r="C1140">
        <v>43</v>
      </c>
      <c r="D1140" t="s">
        <v>20</v>
      </c>
      <c r="E1140">
        <v>169.5</v>
      </c>
      <c r="F1140">
        <v>69.7</v>
      </c>
      <c r="G1140">
        <v>2015</v>
      </c>
      <c r="H1140">
        <v>309.5</v>
      </c>
      <c r="I1140">
        <v>6.4</v>
      </c>
      <c r="J1140">
        <v>68</v>
      </c>
      <c r="K1140" t="s">
        <v>22</v>
      </c>
      <c r="L1140">
        <v>28</v>
      </c>
      <c r="M1140">
        <v>3.33</v>
      </c>
      <c r="N1140">
        <v>4</v>
      </c>
      <c r="O1140" t="s">
        <v>21</v>
      </c>
      <c r="P1140" cm="1">
        <f t="array" ref="P1140">_xlfn.SWITCH(Table2[[#This Row],[mood]], "Tired", 3, "Neutral", 2, "Happy", 1)</f>
        <v>1</v>
      </c>
    </row>
    <row r="1141" spans="1:16" x14ac:dyDescent="0.3">
      <c r="A1141">
        <v>1751</v>
      </c>
      <c r="B1141" s="1">
        <v>43144</v>
      </c>
      <c r="C1141">
        <v>42</v>
      </c>
      <c r="D1141" t="s">
        <v>20</v>
      </c>
      <c r="E1141">
        <v>166.1</v>
      </c>
      <c r="F1141">
        <v>62.1</v>
      </c>
      <c r="G1141">
        <v>11525</v>
      </c>
      <c r="H1141">
        <v>579</v>
      </c>
      <c r="I1141">
        <v>5.8</v>
      </c>
      <c r="J1141">
        <v>71</v>
      </c>
      <c r="K1141" t="s">
        <v>16</v>
      </c>
      <c r="L1141">
        <v>0</v>
      </c>
      <c r="M1141">
        <v>3.07</v>
      </c>
      <c r="N1141">
        <v>7</v>
      </c>
      <c r="O1141" t="s">
        <v>17</v>
      </c>
      <c r="P1141" cm="1">
        <f t="array" ref="P1141">_xlfn.SWITCH(Table2[[#This Row],[mood]], "Tired", 3, "Neutral", 2, "Happy", 1)</f>
        <v>3</v>
      </c>
    </row>
    <row r="1142" spans="1:16" x14ac:dyDescent="0.3">
      <c r="A1142">
        <v>1970</v>
      </c>
      <c r="B1142" s="1">
        <v>43145</v>
      </c>
      <c r="C1142">
        <v>43</v>
      </c>
      <c r="D1142" t="s">
        <v>15</v>
      </c>
      <c r="E1142">
        <v>176.8</v>
      </c>
      <c r="F1142">
        <v>82.2</v>
      </c>
      <c r="G1142">
        <v>4963</v>
      </c>
      <c r="H1142">
        <v>291.3</v>
      </c>
      <c r="I1142">
        <v>7.9</v>
      </c>
      <c r="J1142">
        <v>72</v>
      </c>
      <c r="K1142" t="s">
        <v>22</v>
      </c>
      <c r="L1142">
        <v>70</v>
      </c>
      <c r="M1142">
        <v>2.6</v>
      </c>
      <c r="N1142">
        <v>4</v>
      </c>
      <c r="O1142" t="s">
        <v>17</v>
      </c>
      <c r="P1142" cm="1">
        <f t="array" ref="P1142">_xlfn.SWITCH(Table2[[#This Row],[mood]], "Tired", 3, "Neutral", 2, "Happy", 1)</f>
        <v>3</v>
      </c>
    </row>
    <row r="1143" spans="1:16" x14ac:dyDescent="0.3">
      <c r="A1143">
        <v>1882</v>
      </c>
      <c r="B1143" s="1">
        <v>43146</v>
      </c>
      <c r="C1143">
        <v>43</v>
      </c>
      <c r="D1143" t="s">
        <v>15</v>
      </c>
      <c r="E1143">
        <v>180.7</v>
      </c>
      <c r="F1143">
        <v>62.8</v>
      </c>
      <c r="G1143">
        <v>12866</v>
      </c>
      <c r="H1143">
        <v>844.2</v>
      </c>
      <c r="I1143">
        <v>6.8</v>
      </c>
      <c r="J1143">
        <v>50</v>
      </c>
      <c r="K1143" t="s">
        <v>25</v>
      </c>
      <c r="L1143">
        <v>76</v>
      </c>
      <c r="M1143">
        <v>1.3</v>
      </c>
      <c r="N1143">
        <v>5</v>
      </c>
      <c r="O1143" t="s">
        <v>17</v>
      </c>
      <c r="P1143" cm="1">
        <f t="array" ref="P1143">_xlfn.SWITCH(Table2[[#This Row],[mood]], "Tired", 3, "Neutral", 2, "Happy", 1)</f>
        <v>3</v>
      </c>
    </row>
    <row r="1144" spans="1:16" x14ac:dyDescent="0.3">
      <c r="A1144">
        <v>1110</v>
      </c>
      <c r="B1144" s="1">
        <v>43147</v>
      </c>
      <c r="C1144">
        <v>45</v>
      </c>
      <c r="D1144" t="s">
        <v>15</v>
      </c>
      <c r="E1144">
        <v>177.3</v>
      </c>
      <c r="F1144">
        <v>54.9</v>
      </c>
      <c r="G1144">
        <v>13247</v>
      </c>
      <c r="H1144">
        <v>689.5</v>
      </c>
      <c r="I1144">
        <v>6.9</v>
      </c>
      <c r="J1144">
        <v>84</v>
      </c>
      <c r="K1144" t="s">
        <v>22</v>
      </c>
      <c r="L1144">
        <v>80</v>
      </c>
      <c r="M1144">
        <v>2.4900000000000002</v>
      </c>
      <c r="N1144">
        <v>8</v>
      </c>
      <c r="O1144" t="s">
        <v>21</v>
      </c>
      <c r="P1144" cm="1">
        <f t="array" ref="P1144">_xlfn.SWITCH(Table2[[#This Row],[mood]], "Tired", 3, "Neutral", 2, "Happy", 1)</f>
        <v>1</v>
      </c>
    </row>
    <row r="1145" spans="1:16" x14ac:dyDescent="0.3">
      <c r="A1145">
        <v>1760</v>
      </c>
      <c r="B1145" s="1">
        <v>43148</v>
      </c>
      <c r="C1145">
        <v>35</v>
      </c>
      <c r="D1145" t="s">
        <v>15</v>
      </c>
      <c r="E1145">
        <v>172.4</v>
      </c>
      <c r="F1145">
        <v>103.4</v>
      </c>
      <c r="G1145">
        <v>3706</v>
      </c>
      <c r="H1145">
        <v>327.60000000000002</v>
      </c>
      <c r="I1145">
        <v>3.2</v>
      </c>
      <c r="J1145">
        <v>66</v>
      </c>
      <c r="K1145" t="s">
        <v>24</v>
      </c>
      <c r="L1145">
        <v>25</v>
      </c>
      <c r="M1145">
        <v>3.71</v>
      </c>
      <c r="N1145">
        <v>5</v>
      </c>
      <c r="O1145" t="s">
        <v>17</v>
      </c>
      <c r="P1145" cm="1">
        <f t="array" ref="P1145">_xlfn.SWITCH(Table2[[#This Row],[mood]], "Tired", 3, "Neutral", 2, "Happy", 1)</f>
        <v>3</v>
      </c>
    </row>
    <row r="1146" spans="1:16" x14ac:dyDescent="0.3">
      <c r="A1146">
        <v>1662</v>
      </c>
      <c r="B1146" s="1">
        <v>43149</v>
      </c>
      <c r="C1146">
        <v>49</v>
      </c>
      <c r="D1146" t="s">
        <v>20</v>
      </c>
      <c r="E1146">
        <v>170.4</v>
      </c>
      <c r="F1146">
        <v>68.8</v>
      </c>
      <c r="G1146">
        <v>16272</v>
      </c>
      <c r="H1146">
        <v>878.1</v>
      </c>
      <c r="I1146">
        <v>6.7</v>
      </c>
      <c r="J1146">
        <v>82</v>
      </c>
      <c r="K1146" t="s">
        <v>22</v>
      </c>
      <c r="L1146">
        <v>45</v>
      </c>
      <c r="M1146">
        <v>2.65</v>
      </c>
      <c r="N1146">
        <v>9</v>
      </c>
      <c r="O1146" t="s">
        <v>17</v>
      </c>
      <c r="P1146" cm="1">
        <f t="array" ref="P1146">_xlfn.SWITCH(Table2[[#This Row],[mood]], "Tired", 3, "Neutral", 2, "Happy", 1)</f>
        <v>3</v>
      </c>
    </row>
    <row r="1147" spans="1:16" x14ac:dyDescent="0.3">
      <c r="A1147">
        <v>1182</v>
      </c>
      <c r="B1147" s="1">
        <v>43150</v>
      </c>
      <c r="C1147">
        <v>20</v>
      </c>
      <c r="D1147" t="s">
        <v>20</v>
      </c>
      <c r="E1147">
        <v>166.6</v>
      </c>
      <c r="F1147">
        <v>45</v>
      </c>
      <c r="G1147">
        <v>3099</v>
      </c>
      <c r="H1147">
        <v>341.3</v>
      </c>
      <c r="I1147">
        <v>5.4</v>
      </c>
      <c r="J1147">
        <v>71</v>
      </c>
      <c r="K1147" t="s">
        <v>18</v>
      </c>
      <c r="L1147">
        <v>25</v>
      </c>
      <c r="M1147">
        <v>2.2400000000000002</v>
      </c>
      <c r="N1147">
        <v>10</v>
      </c>
      <c r="O1147" t="s">
        <v>21</v>
      </c>
      <c r="P1147" cm="1">
        <f t="array" ref="P1147">_xlfn.SWITCH(Table2[[#This Row],[mood]], "Tired", 3, "Neutral", 2, "Happy", 1)</f>
        <v>1</v>
      </c>
    </row>
    <row r="1148" spans="1:16" x14ac:dyDescent="0.3">
      <c r="A1148">
        <v>1847</v>
      </c>
      <c r="B1148" s="1">
        <v>43151</v>
      </c>
      <c r="C1148">
        <v>19</v>
      </c>
      <c r="D1148" t="s">
        <v>20</v>
      </c>
      <c r="E1148">
        <v>172.1</v>
      </c>
      <c r="F1148">
        <v>88.8</v>
      </c>
      <c r="G1148">
        <v>7386</v>
      </c>
      <c r="H1148">
        <v>539.70000000000005</v>
      </c>
      <c r="I1148">
        <v>6.2</v>
      </c>
      <c r="J1148">
        <v>70</v>
      </c>
      <c r="K1148" t="s">
        <v>22</v>
      </c>
      <c r="L1148">
        <v>72</v>
      </c>
      <c r="M1148">
        <v>2.34</v>
      </c>
      <c r="N1148">
        <v>2</v>
      </c>
      <c r="O1148" t="s">
        <v>17</v>
      </c>
      <c r="P1148" cm="1">
        <f t="array" ref="P1148">_xlfn.SWITCH(Table2[[#This Row],[mood]], "Tired", 3, "Neutral", 2, "Happy", 1)</f>
        <v>3</v>
      </c>
    </row>
    <row r="1149" spans="1:16" x14ac:dyDescent="0.3">
      <c r="A1149">
        <v>1094</v>
      </c>
      <c r="B1149" s="1">
        <v>43152</v>
      </c>
      <c r="C1149">
        <v>50</v>
      </c>
      <c r="D1149" t="s">
        <v>15</v>
      </c>
      <c r="E1149">
        <v>184.6</v>
      </c>
      <c r="F1149">
        <v>88.8</v>
      </c>
      <c r="G1149">
        <v>6338</v>
      </c>
      <c r="H1149">
        <v>500.4</v>
      </c>
      <c r="I1149">
        <v>7.4</v>
      </c>
      <c r="J1149">
        <v>64</v>
      </c>
      <c r="K1149" t="s">
        <v>23</v>
      </c>
      <c r="L1149">
        <v>80</v>
      </c>
      <c r="M1149">
        <v>2.39</v>
      </c>
      <c r="N1149">
        <v>2</v>
      </c>
      <c r="O1149" t="s">
        <v>19</v>
      </c>
      <c r="P1149" cm="1">
        <f t="array" ref="P1149">_xlfn.SWITCH(Table2[[#This Row],[mood]], "Tired", 3, "Neutral", 2, "Happy", 1)</f>
        <v>2</v>
      </c>
    </row>
    <row r="1150" spans="1:16" x14ac:dyDescent="0.3">
      <c r="A1150">
        <v>1970</v>
      </c>
      <c r="B1150" s="1">
        <v>43153</v>
      </c>
      <c r="C1150">
        <v>59</v>
      </c>
      <c r="D1150" t="s">
        <v>20</v>
      </c>
      <c r="E1150">
        <v>161.69999999999999</v>
      </c>
      <c r="F1150">
        <v>76.900000000000006</v>
      </c>
      <c r="G1150">
        <v>19949</v>
      </c>
      <c r="H1150">
        <v>900</v>
      </c>
      <c r="I1150">
        <v>6.1</v>
      </c>
      <c r="J1150">
        <v>89</v>
      </c>
      <c r="K1150" t="s">
        <v>24</v>
      </c>
      <c r="L1150">
        <v>52</v>
      </c>
      <c r="M1150">
        <v>1.94</v>
      </c>
      <c r="N1150">
        <v>9</v>
      </c>
      <c r="O1150" t="s">
        <v>17</v>
      </c>
      <c r="P1150" cm="1">
        <f t="array" ref="P1150">_xlfn.SWITCH(Table2[[#This Row],[mood]], "Tired", 3, "Neutral", 2, "Happy", 1)</f>
        <v>3</v>
      </c>
    </row>
    <row r="1151" spans="1:16" x14ac:dyDescent="0.3">
      <c r="A1151">
        <v>1373</v>
      </c>
      <c r="B1151" s="1">
        <v>43154</v>
      </c>
      <c r="C1151">
        <v>36</v>
      </c>
      <c r="D1151" t="s">
        <v>15</v>
      </c>
      <c r="E1151">
        <v>166</v>
      </c>
      <c r="F1151">
        <v>79.5</v>
      </c>
      <c r="G1151">
        <v>9300</v>
      </c>
      <c r="H1151">
        <v>635.5</v>
      </c>
      <c r="I1151">
        <v>6.3</v>
      </c>
      <c r="J1151">
        <v>91</v>
      </c>
      <c r="K1151" t="s">
        <v>18</v>
      </c>
      <c r="L1151">
        <v>64</v>
      </c>
      <c r="M1151">
        <v>2.4700000000000002</v>
      </c>
      <c r="N1151">
        <v>2</v>
      </c>
      <c r="O1151" t="s">
        <v>21</v>
      </c>
      <c r="P1151" cm="1">
        <f t="array" ref="P1151">_xlfn.SWITCH(Table2[[#This Row],[mood]], "Tired", 3, "Neutral", 2, "Happy", 1)</f>
        <v>1</v>
      </c>
    </row>
    <row r="1152" spans="1:16" x14ac:dyDescent="0.3">
      <c r="A1152">
        <v>1911</v>
      </c>
      <c r="B1152" s="1">
        <v>43155</v>
      </c>
      <c r="C1152">
        <v>34</v>
      </c>
      <c r="D1152" t="s">
        <v>20</v>
      </c>
      <c r="E1152">
        <v>169.2</v>
      </c>
      <c r="F1152">
        <v>102.4</v>
      </c>
      <c r="G1152">
        <v>5297</v>
      </c>
      <c r="H1152">
        <v>437.4</v>
      </c>
      <c r="I1152">
        <v>7.1</v>
      </c>
      <c r="J1152">
        <v>85</v>
      </c>
      <c r="K1152" t="s">
        <v>18</v>
      </c>
      <c r="L1152">
        <v>59</v>
      </c>
      <c r="M1152">
        <v>3.51</v>
      </c>
      <c r="N1152">
        <v>3</v>
      </c>
      <c r="O1152" t="s">
        <v>19</v>
      </c>
      <c r="P1152" cm="1">
        <f t="array" ref="P1152">_xlfn.SWITCH(Table2[[#This Row],[mood]], "Tired", 3, "Neutral", 2, "Happy", 1)</f>
        <v>2</v>
      </c>
    </row>
    <row r="1153" spans="1:16" x14ac:dyDescent="0.3">
      <c r="A1153">
        <v>1519</v>
      </c>
      <c r="B1153" s="1">
        <v>43156</v>
      </c>
      <c r="C1153">
        <v>50</v>
      </c>
      <c r="D1153" t="s">
        <v>20</v>
      </c>
      <c r="E1153">
        <v>180</v>
      </c>
      <c r="F1153">
        <v>55.6</v>
      </c>
      <c r="G1153">
        <v>9405</v>
      </c>
      <c r="H1153">
        <v>595.1</v>
      </c>
      <c r="I1153">
        <v>6.2</v>
      </c>
      <c r="J1153">
        <v>78</v>
      </c>
      <c r="K1153" t="s">
        <v>16</v>
      </c>
      <c r="L1153">
        <v>0</v>
      </c>
      <c r="M1153">
        <v>3.43</v>
      </c>
      <c r="N1153">
        <v>6</v>
      </c>
      <c r="O1153" t="s">
        <v>21</v>
      </c>
      <c r="P1153" cm="1">
        <f t="array" ref="P1153">_xlfn.SWITCH(Table2[[#This Row],[mood]], "Tired", 3, "Neutral", 2, "Happy", 1)</f>
        <v>1</v>
      </c>
    </row>
    <row r="1154" spans="1:16" x14ac:dyDescent="0.3">
      <c r="A1154">
        <v>1899</v>
      </c>
      <c r="B1154" s="1">
        <v>43157</v>
      </c>
      <c r="C1154">
        <v>29</v>
      </c>
      <c r="D1154" t="s">
        <v>15</v>
      </c>
      <c r="E1154">
        <v>172.2</v>
      </c>
      <c r="F1154">
        <v>72</v>
      </c>
      <c r="G1154">
        <v>16094</v>
      </c>
      <c r="H1154">
        <v>864.9</v>
      </c>
      <c r="I1154">
        <v>5.4</v>
      </c>
      <c r="J1154">
        <v>76</v>
      </c>
      <c r="K1154" t="s">
        <v>25</v>
      </c>
      <c r="L1154">
        <v>64</v>
      </c>
      <c r="M1154">
        <v>1.97</v>
      </c>
      <c r="N1154">
        <v>4</v>
      </c>
      <c r="O1154" t="s">
        <v>21</v>
      </c>
      <c r="P1154" cm="1">
        <f t="array" ref="P1154">_xlfn.SWITCH(Table2[[#This Row],[mood]], "Tired", 3, "Neutral", 2, "Happy", 1)</f>
        <v>1</v>
      </c>
    </row>
    <row r="1155" spans="1:16" x14ac:dyDescent="0.3">
      <c r="A1155">
        <v>1359</v>
      </c>
      <c r="B1155" s="1">
        <v>43158</v>
      </c>
      <c r="C1155">
        <v>20</v>
      </c>
      <c r="D1155" t="s">
        <v>20</v>
      </c>
      <c r="E1155">
        <v>179.8</v>
      </c>
      <c r="F1155">
        <v>99.5</v>
      </c>
      <c r="G1155">
        <v>16201</v>
      </c>
      <c r="H1155">
        <v>736.4</v>
      </c>
      <c r="I1155">
        <v>4.4000000000000004</v>
      </c>
      <c r="J1155">
        <v>86</v>
      </c>
      <c r="K1155" t="s">
        <v>25</v>
      </c>
      <c r="L1155">
        <v>57</v>
      </c>
      <c r="M1155">
        <v>3.39</v>
      </c>
      <c r="N1155">
        <v>8</v>
      </c>
      <c r="O1155" t="s">
        <v>21</v>
      </c>
      <c r="P1155" cm="1">
        <f t="array" ref="P1155">_xlfn.SWITCH(Table2[[#This Row],[mood]], "Tired", 3, "Neutral", 2, "Happy", 1)</f>
        <v>1</v>
      </c>
    </row>
    <row r="1156" spans="1:16" x14ac:dyDescent="0.3">
      <c r="A1156">
        <v>1899</v>
      </c>
      <c r="B1156" s="1">
        <v>43159</v>
      </c>
      <c r="C1156">
        <v>43</v>
      </c>
      <c r="D1156" t="s">
        <v>20</v>
      </c>
      <c r="E1156">
        <v>180.3</v>
      </c>
      <c r="F1156">
        <v>102.7</v>
      </c>
      <c r="G1156">
        <v>13614</v>
      </c>
      <c r="H1156">
        <v>734.1</v>
      </c>
      <c r="I1156">
        <v>7.5</v>
      </c>
      <c r="J1156">
        <v>74</v>
      </c>
      <c r="K1156" t="s">
        <v>24</v>
      </c>
      <c r="L1156">
        <v>48</v>
      </c>
      <c r="M1156">
        <v>3.03</v>
      </c>
      <c r="N1156">
        <v>8</v>
      </c>
      <c r="O1156" t="s">
        <v>19</v>
      </c>
      <c r="P1156" cm="1">
        <f t="array" ref="P1156">_xlfn.SWITCH(Table2[[#This Row],[mood]], "Tired", 3, "Neutral", 2, "Happy", 1)</f>
        <v>2</v>
      </c>
    </row>
    <row r="1157" spans="1:16" x14ac:dyDescent="0.3">
      <c r="A1157">
        <v>1695</v>
      </c>
      <c r="B1157" s="1">
        <v>43160</v>
      </c>
      <c r="C1157">
        <v>52</v>
      </c>
      <c r="D1157" t="s">
        <v>15</v>
      </c>
      <c r="E1157">
        <v>175.9</v>
      </c>
      <c r="F1157">
        <v>64.5</v>
      </c>
      <c r="G1157">
        <v>14361</v>
      </c>
      <c r="H1157">
        <v>726.1</v>
      </c>
      <c r="I1157">
        <v>6.2</v>
      </c>
      <c r="J1157">
        <v>88</v>
      </c>
      <c r="K1157" t="s">
        <v>18</v>
      </c>
      <c r="L1157">
        <v>27</v>
      </c>
      <c r="M1157">
        <v>2.94</v>
      </c>
      <c r="N1157">
        <v>2</v>
      </c>
      <c r="O1157" t="s">
        <v>19</v>
      </c>
      <c r="P1157" cm="1">
        <f t="array" ref="P1157">_xlfn.SWITCH(Table2[[#This Row],[mood]], "Tired", 3, "Neutral", 2, "Happy", 1)</f>
        <v>2</v>
      </c>
    </row>
    <row r="1158" spans="1:16" x14ac:dyDescent="0.3">
      <c r="A1158">
        <v>1280</v>
      </c>
      <c r="B1158" s="1">
        <v>43161</v>
      </c>
      <c r="C1158">
        <v>25</v>
      </c>
      <c r="D1158" t="s">
        <v>20</v>
      </c>
      <c r="E1158">
        <v>159.4</v>
      </c>
      <c r="F1158">
        <v>100.2</v>
      </c>
      <c r="G1158">
        <v>2040</v>
      </c>
      <c r="H1158">
        <v>226.1</v>
      </c>
      <c r="I1158">
        <v>4.5</v>
      </c>
      <c r="J1158">
        <v>65</v>
      </c>
      <c r="K1158" t="s">
        <v>16</v>
      </c>
      <c r="L1158">
        <v>0</v>
      </c>
      <c r="M1158">
        <v>2.8</v>
      </c>
      <c r="N1158">
        <v>2</v>
      </c>
      <c r="O1158" t="s">
        <v>21</v>
      </c>
      <c r="P1158" cm="1">
        <f t="array" ref="P1158">_xlfn.SWITCH(Table2[[#This Row],[mood]], "Tired", 3, "Neutral", 2, "Happy", 1)</f>
        <v>1</v>
      </c>
    </row>
    <row r="1159" spans="1:16" x14ac:dyDescent="0.3">
      <c r="A1159">
        <v>1194</v>
      </c>
      <c r="B1159" s="1">
        <v>43162</v>
      </c>
      <c r="C1159">
        <v>53</v>
      </c>
      <c r="D1159" t="s">
        <v>15</v>
      </c>
      <c r="E1159">
        <v>186.6</v>
      </c>
      <c r="F1159">
        <v>82</v>
      </c>
      <c r="G1159">
        <v>13810</v>
      </c>
      <c r="H1159">
        <v>728</v>
      </c>
      <c r="I1159">
        <v>8.9</v>
      </c>
      <c r="J1159">
        <v>85</v>
      </c>
      <c r="K1159" t="s">
        <v>23</v>
      </c>
      <c r="L1159">
        <v>70</v>
      </c>
      <c r="M1159">
        <v>1.85</v>
      </c>
      <c r="N1159">
        <v>3</v>
      </c>
      <c r="O1159" t="s">
        <v>17</v>
      </c>
      <c r="P1159" cm="1">
        <f t="array" ref="P1159">_xlfn.SWITCH(Table2[[#This Row],[mood]], "Tired", 3, "Neutral", 2, "Happy", 1)</f>
        <v>3</v>
      </c>
    </row>
    <row r="1160" spans="1:16" x14ac:dyDescent="0.3">
      <c r="A1160">
        <v>1863</v>
      </c>
      <c r="B1160" s="1">
        <v>43163</v>
      </c>
      <c r="C1160">
        <v>24</v>
      </c>
      <c r="D1160" t="s">
        <v>20</v>
      </c>
      <c r="E1160">
        <v>184.1</v>
      </c>
      <c r="F1160">
        <v>92.4</v>
      </c>
      <c r="G1160">
        <v>8988</v>
      </c>
      <c r="H1160">
        <v>600.79999999999995</v>
      </c>
      <c r="I1160">
        <v>7.5</v>
      </c>
      <c r="J1160">
        <v>88</v>
      </c>
      <c r="K1160" t="s">
        <v>22</v>
      </c>
      <c r="L1160">
        <v>25</v>
      </c>
      <c r="M1160">
        <v>2.2200000000000002</v>
      </c>
      <c r="N1160">
        <v>2</v>
      </c>
      <c r="O1160" t="s">
        <v>19</v>
      </c>
      <c r="P1160" cm="1">
        <f t="array" ref="P1160">_xlfn.SWITCH(Table2[[#This Row],[mood]], "Tired", 3, "Neutral", 2, "Happy", 1)</f>
        <v>2</v>
      </c>
    </row>
    <row r="1161" spans="1:16" x14ac:dyDescent="0.3">
      <c r="A1161">
        <v>1194</v>
      </c>
      <c r="B1161" s="1">
        <v>43164</v>
      </c>
      <c r="C1161">
        <v>53</v>
      </c>
      <c r="D1161" t="s">
        <v>20</v>
      </c>
      <c r="E1161">
        <v>170.6</v>
      </c>
      <c r="F1161">
        <v>81.5</v>
      </c>
      <c r="G1161">
        <v>8559</v>
      </c>
      <c r="H1161">
        <v>556.70000000000005</v>
      </c>
      <c r="I1161">
        <v>5.2</v>
      </c>
      <c r="J1161">
        <v>64</v>
      </c>
      <c r="K1161" t="s">
        <v>22</v>
      </c>
      <c r="L1161">
        <v>66</v>
      </c>
      <c r="M1161">
        <v>3.08</v>
      </c>
      <c r="N1161">
        <v>5</v>
      </c>
      <c r="O1161" t="s">
        <v>21</v>
      </c>
      <c r="P1161" cm="1">
        <f t="array" ref="P1161">_xlfn.SWITCH(Table2[[#This Row],[mood]], "Tired", 3, "Neutral", 2, "Happy", 1)</f>
        <v>1</v>
      </c>
    </row>
    <row r="1162" spans="1:16" x14ac:dyDescent="0.3">
      <c r="A1162">
        <v>1666</v>
      </c>
      <c r="B1162" s="1">
        <v>43165</v>
      </c>
      <c r="C1162">
        <v>33</v>
      </c>
      <c r="D1162" t="s">
        <v>20</v>
      </c>
      <c r="E1162">
        <v>156.19999999999999</v>
      </c>
      <c r="F1162">
        <v>74.599999999999994</v>
      </c>
      <c r="G1162">
        <v>18371</v>
      </c>
      <c r="H1162">
        <v>900</v>
      </c>
      <c r="I1162">
        <v>5.9</v>
      </c>
      <c r="J1162">
        <v>67</v>
      </c>
      <c r="K1162" t="s">
        <v>22</v>
      </c>
      <c r="L1162">
        <v>68</v>
      </c>
      <c r="M1162">
        <v>1.66</v>
      </c>
      <c r="N1162">
        <v>1</v>
      </c>
      <c r="O1162" t="s">
        <v>17</v>
      </c>
      <c r="P1162" cm="1">
        <f t="array" ref="P1162">_xlfn.SWITCH(Table2[[#This Row],[mood]], "Tired", 3, "Neutral", 2, "Happy", 1)</f>
        <v>3</v>
      </c>
    </row>
    <row r="1163" spans="1:16" x14ac:dyDescent="0.3">
      <c r="A1163">
        <v>1092</v>
      </c>
      <c r="B1163" s="1">
        <v>43166</v>
      </c>
      <c r="C1163">
        <v>41</v>
      </c>
      <c r="D1163" t="s">
        <v>20</v>
      </c>
      <c r="E1163">
        <v>154.4</v>
      </c>
      <c r="F1163">
        <v>103.1</v>
      </c>
      <c r="G1163">
        <v>1503</v>
      </c>
      <c r="H1163">
        <v>237.8</v>
      </c>
      <c r="I1163">
        <v>8.6</v>
      </c>
      <c r="J1163">
        <v>75</v>
      </c>
      <c r="K1163" t="s">
        <v>25</v>
      </c>
      <c r="L1163">
        <v>51</v>
      </c>
      <c r="M1163">
        <v>1.77</v>
      </c>
      <c r="N1163">
        <v>7</v>
      </c>
      <c r="O1163" t="s">
        <v>21</v>
      </c>
      <c r="P1163" cm="1">
        <f t="array" ref="P1163">_xlfn.SWITCH(Table2[[#This Row],[mood]], "Tired", 3, "Neutral", 2, "Happy", 1)</f>
        <v>1</v>
      </c>
    </row>
    <row r="1164" spans="1:16" x14ac:dyDescent="0.3">
      <c r="A1164">
        <v>1671</v>
      </c>
      <c r="B1164" s="1">
        <v>43167</v>
      </c>
      <c r="C1164">
        <v>18</v>
      </c>
      <c r="D1164" t="s">
        <v>20</v>
      </c>
      <c r="E1164">
        <v>172.5</v>
      </c>
      <c r="F1164">
        <v>62.1</v>
      </c>
      <c r="G1164">
        <v>6344</v>
      </c>
      <c r="H1164">
        <v>472.6</v>
      </c>
      <c r="I1164">
        <v>6.7</v>
      </c>
      <c r="J1164">
        <v>79</v>
      </c>
      <c r="K1164" t="s">
        <v>18</v>
      </c>
      <c r="L1164">
        <v>73</v>
      </c>
      <c r="M1164">
        <v>2.71</v>
      </c>
      <c r="N1164">
        <v>8</v>
      </c>
      <c r="O1164" t="s">
        <v>19</v>
      </c>
      <c r="P1164" cm="1">
        <f t="array" ref="P1164">_xlfn.SWITCH(Table2[[#This Row],[mood]], "Tired", 3, "Neutral", 2, "Happy", 1)</f>
        <v>2</v>
      </c>
    </row>
    <row r="1165" spans="1:16" x14ac:dyDescent="0.3">
      <c r="A1165">
        <v>1945</v>
      </c>
      <c r="B1165" s="1">
        <v>43168</v>
      </c>
      <c r="C1165">
        <v>42</v>
      </c>
      <c r="D1165" t="s">
        <v>20</v>
      </c>
      <c r="E1165">
        <v>163</v>
      </c>
      <c r="F1165">
        <v>98.5</v>
      </c>
      <c r="G1165">
        <v>9947</v>
      </c>
      <c r="H1165">
        <v>587.9</v>
      </c>
      <c r="I1165">
        <v>6.4</v>
      </c>
      <c r="J1165">
        <v>69</v>
      </c>
      <c r="K1165" t="s">
        <v>18</v>
      </c>
      <c r="L1165">
        <v>55</v>
      </c>
      <c r="M1165">
        <v>1.95</v>
      </c>
      <c r="N1165">
        <v>4</v>
      </c>
      <c r="O1165" t="s">
        <v>19</v>
      </c>
      <c r="P1165" cm="1">
        <f t="array" ref="P1165">_xlfn.SWITCH(Table2[[#This Row],[mood]], "Tired", 3, "Neutral", 2, "Happy", 1)</f>
        <v>2</v>
      </c>
    </row>
    <row r="1166" spans="1:16" x14ac:dyDescent="0.3">
      <c r="A1166">
        <v>1060</v>
      </c>
      <c r="B1166" s="1">
        <v>43169</v>
      </c>
      <c r="C1166">
        <v>27</v>
      </c>
      <c r="D1166" t="s">
        <v>20</v>
      </c>
      <c r="E1166">
        <v>152.80000000000001</v>
      </c>
      <c r="F1166">
        <v>100.9</v>
      </c>
      <c r="G1166">
        <v>10533</v>
      </c>
      <c r="H1166">
        <v>668.8</v>
      </c>
      <c r="I1166">
        <v>8.1</v>
      </c>
      <c r="J1166">
        <v>76</v>
      </c>
      <c r="K1166" t="s">
        <v>23</v>
      </c>
      <c r="L1166">
        <v>38</v>
      </c>
      <c r="M1166">
        <v>3.08</v>
      </c>
      <c r="N1166">
        <v>7</v>
      </c>
      <c r="O1166" t="s">
        <v>17</v>
      </c>
      <c r="P1166" cm="1">
        <f t="array" ref="P1166">_xlfn.SWITCH(Table2[[#This Row],[mood]], "Tired", 3, "Neutral", 2, "Happy", 1)</f>
        <v>3</v>
      </c>
    </row>
    <row r="1167" spans="1:16" x14ac:dyDescent="0.3">
      <c r="A1167">
        <v>1633</v>
      </c>
      <c r="B1167" s="1">
        <v>43170</v>
      </c>
      <c r="C1167">
        <v>33</v>
      </c>
      <c r="D1167" t="s">
        <v>20</v>
      </c>
      <c r="E1167">
        <v>154.19999999999999</v>
      </c>
      <c r="F1167">
        <v>90.4</v>
      </c>
      <c r="G1167">
        <v>15808</v>
      </c>
      <c r="H1167">
        <v>867.1</v>
      </c>
      <c r="I1167">
        <v>6.7</v>
      </c>
      <c r="J1167">
        <v>54</v>
      </c>
      <c r="K1167" t="s">
        <v>25</v>
      </c>
      <c r="L1167">
        <v>56</v>
      </c>
      <c r="M1167">
        <v>1.97</v>
      </c>
      <c r="N1167">
        <v>9</v>
      </c>
      <c r="O1167" t="s">
        <v>19</v>
      </c>
      <c r="P1167" cm="1">
        <f t="array" ref="P1167">_xlfn.SWITCH(Table2[[#This Row],[mood]], "Tired", 3, "Neutral", 2, "Happy", 1)</f>
        <v>2</v>
      </c>
    </row>
    <row r="1168" spans="1:16" x14ac:dyDescent="0.3">
      <c r="A1168">
        <v>1050</v>
      </c>
      <c r="B1168" s="1">
        <v>43171</v>
      </c>
      <c r="C1168">
        <v>33</v>
      </c>
      <c r="D1168" t="s">
        <v>15</v>
      </c>
      <c r="E1168">
        <v>165.3</v>
      </c>
      <c r="F1168">
        <v>68.900000000000006</v>
      </c>
      <c r="G1168">
        <v>9148</v>
      </c>
      <c r="H1168">
        <v>573.9</v>
      </c>
      <c r="I1168">
        <v>8.8000000000000007</v>
      </c>
      <c r="J1168">
        <v>83</v>
      </c>
      <c r="K1168" t="s">
        <v>23</v>
      </c>
      <c r="L1168">
        <v>36</v>
      </c>
      <c r="M1168">
        <v>2.67</v>
      </c>
      <c r="N1168">
        <v>7</v>
      </c>
      <c r="O1168" t="s">
        <v>21</v>
      </c>
      <c r="P1168" cm="1">
        <f t="array" ref="P1168">_xlfn.SWITCH(Table2[[#This Row],[mood]], "Tired", 3, "Neutral", 2, "Happy", 1)</f>
        <v>1</v>
      </c>
    </row>
    <row r="1169" spans="1:16" x14ac:dyDescent="0.3">
      <c r="A1169">
        <v>1402</v>
      </c>
      <c r="B1169" s="1">
        <v>43172</v>
      </c>
      <c r="C1169">
        <v>25</v>
      </c>
      <c r="D1169" t="s">
        <v>15</v>
      </c>
      <c r="E1169">
        <v>171.9</v>
      </c>
      <c r="F1169">
        <v>73.7</v>
      </c>
      <c r="G1169">
        <v>15155</v>
      </c>
      <c r="H1169">
        <v>766.1</v>
      </c>
      <c r="I1169">
        <v>6.4</v>
      </c>
      <c r="J1169">
        <v>83</v>
      </c>
      <c r="K1169" t="s">
        <v>18</v>
      </c>
      <c r="L1169">
        <v>35</v>
      </c>
      <c r="M1169">
        <v>2.73</v>
      </c>
      <c r="N1169">
        <v>2</v>
      </c>
      <c r="O1169" t="s">
        <v>21</v>
      </c>
      <c r="P1169" cm="1">
        <f t="array" ref="P1169">_xlfn.SWITCH(Table2[[#This Row],[mood]], "Tired", 3, "Neutral", 2, "Happy", 1)</f>
        <v>1</v>
      </c>
    </row>
    <row r="1170" spans="1:16" x14ac:dyDescent="0.3">
      <c r="A1170">
        <v>1788</v>
      </c>
      <c r="B1170" s="1">
        <v>43173</v>
      </c>
      <c r="C1170">
        <v>46</v>
      </c>
      <c r="D1170" t="s">
        <v>20</v>
      </c>
      <c r="E1170">
        <v>184.1</v>
      </c>
      <c r="F1170">
        <v>50.9</v>
      </c>
      <c r="G1170">
        <v>16193</v>
      </c>
      <c r="H1170">
        <v>861.4</v>
      </c>
      <c r="I1170">
        <v>6.1</v>
      </c>
      <c r="J1170">
        <v>90</v>
      </c>
      <c r="K1170" t="s">
        <v>22</v>
      </c>
      <c r="L1170">
        <v>77</v>
      </c>
      <c r="M1170">
        <v>2.16</v>
      </c>
      <c r="N1170">
        <v>2</v>
      </c>
      <c r="O1170" t="s">
        <v>17</v>
      </c>
      <c r="P1170" cm="1">
        <f t="array" ref="P1170">_xlfn.SWITCH(Table2[[#This Row],[mood]], "Tired", 3, "Neutral", 2, "Happy", 1)</f>
        <v>3</v>
      </c>
    </row>
    <row r="1171" spans="1:16" x14ac:dyDescent="0.3">
      <c r="A1171">
        <v>1004</v>
      </c>
      <c r="B1171" s="1">
        <v>43174</v>
      </c>
      <c r="C1171">
        <v>56</v>
      </c>
      <c r="D1171" t="s">
        <v>20</v>
      </c>
      <c r="E1171">
        <v>174.8</v>
      </c>
      <c r="F1171">
        <v>63.2</v>
      </c>
      <c r="G1171">
        <v>2381</v>
      </c>
      <c r="H1171">
        <v>307.39999999999998</v>
      </c>
      <c r="I1171">
        <v>7</v>
      </c>
      <c r="J1171">
        <v>81</v>
      </c>
      <c r="K1171" t="s">
        <v>25</v>
      </c>
      <c r="L1171">
        <v>63</v>
      </c>
      <c r="M1171">
        <v>2.33</v>
      </c>
      <c r="N1171">
        <v>10</v>
      </c>
      <c r="O1171" t="s">
        <v>17</v>
      </c>
      <c r="P1171" cm="1">
        <f t="array" ref="P1171">_xlfn.SWITCH(Table2[[#This Row],[mood]], "Tired", 3, "Neutral", 2, "Happy", 1)</f>
        <v>3</v>
      </c>
    </row>
    <row r="1172" spans="1:16" x14ac:dyDescent="0.3">
      <c r="A1172">
        <v>1465</v>
      </c>
      <c r="B1172" s="1">
        <v>43175</v>
      </c>
      <c r="C1172">
        <v>45</v>
      </c>
      <c r="D1172" t="s">
        <v>15</v>
      </c>
      <c r="E1172">
        <v>166.2</v>
      </c>
      <c r="F1172">
        <v>79.3</v>
      </c>
      <c r="G1172">
        <v>8012</v>
      </c>
      <c r="H1172">
        <v>526.4</v>
      </c>
      <c r="I1172">
        <v>8.4</v>
      </c>
      <c r="J1172">
        <v>71</v>
      </c>
      <c r="K1172" t="s">
        <v>25</v>
      </c>
      <c r="L1172">
        <v>87</v>
      </c>
      <c r="M1172">
        <v>2.02</v>
      </c>
      <c r="N1172">
        <v>10</v>
      </c>
      <c r="O1172" t="s">
        <v>17</v>
      </c>
      <c r="P1172" cm="1">
        <f t="array" ref="P1172">_xlfn.SWITCH(Table2[[#This Row],[mood]], "Tired", 3, "Neutral", 2, "Happy", 1)</f>
        <v>3</v>
      </c>
    </row>
    <row r="1173" spans="1:16" x14ac:dyDescent="0.3">
      <c r="A1173">
        <v>1603</v>
      </c>
      <c r="B1173" s="1">
        <v>43176</v>
      </c>
      <c r="C1173">
        <v>23</v>
      </c>
      <c r="D1173" t="s">
        <v>20</v>
      </c>
      <c r="E1173">
        <v>173.8</v>
      </c>
      <c r="F1173">
        <v>48.6</v>
      </c>
      <c r="G1173">
        <v>16213</v>
      </c>
      <c r="H1173">
        <v>824.7</v>
      </c>
      <c r="I1173">
        <v>7.4</v>
      </c>
      <c r="J1173">
        <v>65</v>
      </c>
      <c r="K1173" t="s">
        <v>25</v>
      </c>
      <c r="L1173">
        <v>68</v>
      </c>
      <c r="M1173">
        <v>2.4900000000000002</v>
      </c>
      <c r="N1173">
        <v>10</v>
      </c>
      <c r="O1173" t="s">
        <v>17</v>
      </c>
      <c r="P1173" cm="1">
        <f t="array" ref="P1173">_xlfn.SWITCH(Table2[[#This Row],[mood]], "Tired", 3, "Neutral", 2, "Happy", 1)</f>
        <v>3</v>
      </c>
    </row>
    <row r="1174" spans="1:16" x14ac:dyDescent="0.3">
      <c r="A1174">
        <v>1681</v>
      </c>
      <c r="B1174" s="1">
        <v>43177</v>
      </c>
      <c r="C1174">
        <v>33</v>
      </c>
      <c r="D1174" t="s">
        <v>20</v>
      </c>
      <c r="E1174">
        <v>172.9</v>
      </c>
      <c r="F1174">
        <v>65.5</v>
      </c>
      <c r="G1174">
        <v>16212</v>
      </c>
      <c r="H1174">
        <v>815.8</v>
      </c>
      <c r="I1174">
        <v>7.2</v>
      </c>
      <c r="J1174">
        <v>67</v>
      </c>
      <c r="K1174" t="s">
        <v>16</v>
      </c>
      <c r="L1174">
        <v>0</v>
      </c>
      <c r="M1174">
        <v>1.83</v>
      </c>
      <c r="N1174">
        <v>6</v>
      </c>
      <c r="O1174" t="s">
        <v>21</v>
      </c>
      <c r="P1174" cm="1">
        <f t="array" ref="P1174">_xlfn.SWITCH(Table2[[#This Row],[mood]], "Tired", 3, "Neutral", 2, "Happy", 1)</f>
        <v>1</v>
      </c>
    </row>
    <row r="1175" spans="1:16" x14ac:dyDescent="0.3">
      <c r="A1175">
        <v>1828</v>
      </c>
      <c r="B1175" s="1">
        <v>43178</v>
      </c>
      <c r="C1175">
        <v>37</v>
      </c>
      <c r="D1175" t="s">
        <v>15</v>
      </c>
      <c r="E1175">
        <v>177.4</v>
      </c>
      <c r="F1175">
        <v>99.2</v>
      </c>
      <c r="G1175">
        <v>14808</v>
      </c>
      <c r="H1175">
        <v>808.4</v>
      </c>
      <c r="I1175">
        <v>5.8</v>
      </c>
      <c r="J1175">
        <v>74</v>
      </c>
      <c r="K1175" t="s">
        <v>16</v>
      </c>
      <c r="L1175">
        <v>0</v>
      </c>
      <c r="M1175">
        <v>2.34</v>
      </c>
      <c r="N1175">
        <v>8</v>
      </c>
      <c r="O1175" t="s">
        <v>21</v>
      </c>
      <c r="P1175" cm="1">
        <f t="array" ref="P1175">_xlfn.SWITCH(Table2[[#This Row],[mood]], "Tired", 3, "Neutral", 2, "Happy", 1)</f>
        <v>1</v>
      </c>
    </row>
    <row r="1176" spans="1:16" x14ac:dyDescent="0.3">
      <c r="A1176">
        <v>1533</v>
      </c>
      <c r="B1176" s="1">
        <v>43179</v>
      </c>
      <c r="C1176">
        <v>33</v>
      </c>
      <c r="D1176" t="s">
        <v>20</v>
      </c>
      <c r="E1176">
        <v>169.6</v>
      </c>
      <c r="F1176">
        <v>67.7</v>
      </c>
      <c r="G1176">
        <v>11711</v>
      </c>
      <c r="H1176">
        <v>625.6</v>
      </c>
      <c r="I1176">
        <v>5.6</v>
      </c>
      <c r="J1176">
        <v>67</v>
      </c>
      <c r="K1176" t="s">
        <v>22</v>
      </c>
      <c r="L1176">
        <v>77</v>
      </c>
      <c r="M1176">
        <v>3.02</v>
      </c>
      <c r="N1176">
        <v>10</v>
      </c>
      <c r="O1176" t="s">
        <v>21</v>
      </c>
      <c r="P1176" cm="1">
        <f t="array" ref="P1176">_xlfn.SWITCH(Table2[[#This Row],[mood]], "Tired", 3, "Neutral", 2, "Happy", 1)</f>
        <v>1</v>
      </c>
    </row>
    <row r="1177" spans="1:16" x14ac:dyDescent="0.3">
      <c r="A1177">
        <v>1404</v>
      </c>
      <c r="B1177" s="1">
        <v>43180</v>
      </c>
      <c r="C1177">
        <v>24</v>
      </c>
      <c r="D1177" t="s">
        <v>20</v>
      </c>
      <c r="E1177">
        <v>180.4</v>
      </c>
      <c r="F1177">
        <v>85.5</v>
      </c>
      <c r="G1177">
        <v>16173</v>
      </c>
      <c r="H1177">
        <v>834.3</v>
      </c>
      <c r="I1177">
        <v>8.4</v>
      </c>
      <c r="J1177">
        <v>67</v>
      </c>
      <c r="K1177" t="s">
        <v>16</v>
      </c>
      <c r="L1177">
        <v>0</v>
      </c>
      <c r="M1177">
        <v>1.7</v>
      </c>
      <c r="N1177">
        <v>10</v>
      </c>
      <c r="O1177" t="s">
        <v>21</v>
      </c>
      <c r="P1177" cm="1">
        <f t="array" ref="P1177">_xlfn.SWITCH(Table2[[#This Row],[mood]], "Tired", 3, "Neutral", 2, "Happy", 1)</f>
        <v>1</v>
      </c>
    </row>
    <row r="1178" spans="1:16" x14ac:dyDescent="0.3">
      <c r="A1178">
        <v>1837</v>
      </c>
      <c r="B1178" s="1">
        <v>43181</v>
      </c>
      <c r="C1178">
        <v>58</v>
      </c>
      <c r="D1178" t="s">
        <v>15</v>
      </c>
      <c r="E1178">
        <v>178.2</v>
      </c>
      <c r="F1178">
        <v>78.5</v>
      </c>
      <c r="G1178">
        <v>19271</v>
      </c>
      <c r="H1178">
        <v>900</v>
      </c>
      <c r="I1178">
        <v>8.6</v>
      </c>
      <c r="J1178">
        <v>75</v>
      </c>
      <c r="K1178" t="s">
        <v>25</v>
      </c>
      <c r="L1178">
        <v>74</v>
      </c>
      <c r="M1178">
        <v>2.16</v>
      </c>
      <c r="N1178">
        <v>3</v>
      </c>
      <c r="O1178" t="s">
        <v>17</v>
      </c>
      <c r="P1178" cm="1">
        <f t="array" ref="P1178">_xlfn.SWITCH(Table2[[#This Row],[mood]], "Tired", 3, "Neutral", 2, "Happy", 1)</f>
        <v>3</v>
      </c>
    </row>
    <row r="1179" spans="1:16" x14ac:dyDescent="0.3">
      <c r="A1179">
        <v>1512</v>
      </c>
      <c r="B1179" s="1">
        <v>43182</v>
      </c>
      <c r="C1179">
        <v>31</v>
      </c>
      <c r="D1179" t="s">
        <v>20</v>
      </c>
      <c r="E1179">
        <v>170.8</v>
      </c>
      <c r="F1179">
        <v>65.400000000000006</v>
      </c>
      <c r="G1179">
        <v>10515</v>
      </c>
      <c r="H1179">
        <v>642.70000000000005</v>
      </c>
      <c r="I1179">
        <v>8.6</v>
      </c>
      <c r="J1179">
        <v>59</v>
      </c>
      <c r="K1179" t="s">
        <v>16</v>
      </c>
      <c r="L1179">
        <v>0</v>
      </c>
      <c r="M1179">
        <v>2.86</v>
      </c>
      <c r="N1179">
        <v>1</v>
      </c>
      <c r="O1179" t="s">
        <v>19</v>
      </c>
      <c r="P1179" cm="1">
        <f t="array" ref="P1179">_xlfn.SWITCH(Table2[[#This Row],[mood]], "Tired", 3, "Neutral", 2, "Happy", 1)</f>
        <v>2</v>
      </c>
    </row>
    <row r="1180" spans="1:16" x14ac:dyDescent="0.3">
      <c r="A1180">
        <v>1644</v>
      </c>
      <c r="B1180" s="1">
        <v>43183</v>
      </c>
      <c r="C1180">
        <v>43</v>
      </c>
      <c r="D1180" t="s">
        <v>20</v>
      </c>
      <c r="E1180">
        <v>168.8</v>
      </c>
      <c r="F1180">
        <v>67.7</v>
      </c>
      <c r="G1180">
        <v>12939</v>
      </c>
      <c r="H1180">
        <v>659.7</v>
      </c>
      <c r="I1180">
        <v>8.1999999999999993</v>
      </c>
      <c r="J1180">
        <v>65</v>
      </c>
      <c r="K1180" t="s">
        <v>16</v>
      </c>
      <c r="L1180">
        <v>0</v>
      </c>
      <c r="M1180">
        <v>1.05</v>
      </c>
      <c r="N1180">
        <v>1</v>
      </c>
      <c r="O1180" t="s">
        <v>21</v>
      </c>
      <c r="P1180" cm="1">
        <f t="array" ref="P1180">_xlfn.SWITCH(Table2[[#This Row],[mood]], "Tired", 3, "Neutral", 2, "Happy", 1)</f>
        <v>1</v>
      </c>
    </row>
    <row r="1181" spans="1:16" x14ac:dyDescent="0.3">
      <c r="A1181">
        <v>1232</v>
      </c>
      <c r="B1181" s="1">
        <v>43184</v>
      </c>
      <c r="C1181">
        <v>43</v>
      </c>
      <c r="D1181" t="s">
        <v>15</v>
      </c>
      <c r="E1181">
        <v>179.2</v>
      </c>
      <c r="F1181">
        <v>72.5</v>
      </c>
      <c r="G1181">
        <v>3131</v>
      </c>
      <c r="H1181">
        <v>340.2</v>
      </c>
      <c r="I1181">
        <v>7.7</v>
      </c>
      <c r="J1181">
        <v>77</v>
      </c>
      <c r="K1181" t="s">
        <v>24</v>
      </c>
      <c r="L1181">
        <v>43</v>
      </c>
      <c r="M1181">
        <v>3.8</v>
      </c>
      <c r="N1181">
        <v>2</v>
      </c>
      <c r="O1181" t="s">
        <v>19</v>
      </c>
      <c r="P1181" cm="1">
        <f t="array" ref="P1181">_xlfn.SWITCH(Table2[[#This Row],[mood]], "Tired", 3, "Neutral", 2, "Happy", 1)</f>
        <v>2</v>
      </c>
    </row>
    <row r="1182" spans="1:16" x14ac:dyDescent="0.3">
      <c r="A1182">
        <v>1523</v>
      </c>
      <c r="B1182" s="1">
        <v>43185</v>
      </c>
      <c r="C1182">
        <v>31</v>
      </c>
      <c r="D1182" t="s">
        <v>20</v>
      </c>
      <c r="E1182">
        <v>162.9</v>
      </c>
      <c r="F1182">
        <v>45</v>
      </c>
      <c r="G1182">
        <v>3424</v>
      </c>
      <c r="H1182">
        <v>438.6</v>
      </c>
      <c r="I1182">
        <v>7.6</v>
      </c>
      <c r="J1182">
        <v>78</v>
      </c>
      <c r="K1182" t="s">
        <v>25</v>
      </c>
      <c r="L1182">
        <v>75</v>
      </c>
      <c r="M1182">
        <v>3.23</v>
      </c>
      <c r="N1182">
        <v>10</v>
      </c>
      <c r="O1182" t="s">
        <v>17</v>
      </c>
      <c r="P1182" cm="1">
        <f t="array" ref="P1182">_xlfn.SWITCH(Table2[[#This Row],[mood]], "Tired", 3, "Neutral", 2, "Happy", 1)</f>
        <v>3</v>
      </c>
    </row>
    <row r="1183" spans="1:16" x14ac:dyDescent="0.3">
      <c r="A1183">
        <v>1345</v>
      </c>
      <c r="B1183" s="1">
        <v>43186</v>
      </c>
      <c r="C1183">
        <v>24</v>
      </c>
      <c r="D1183" t="s">
        <v>15</v>
      </c>
      <c r="E1183">
        <v>154.9</v>
      </c>
      <c r="F1183">
        <v>84.2</v>
      </c>
      <c r="G1183">
        <v>12576</v>
      </c>
      <c r="H1183">
        <v>736.8</v>
      </c>
      <c r="I1183">
        <v>7.2</v>
      </c>
      <c r="J1183">
        <v>84</v>
      </c>
      <c r="K1183" t="s">
        <v>16</v>
      </c>
      <c r="L1183">
        <v>0</v>
      </c>
      <c r="M1183">
        <v>1.42</v>
      </c>
      <c r="N1183">
        <v>6</v>
      </c>
      <c r="O1183" t="s">
        <v>17</v>
      </c>
      <c r="P1183" cm="1">
        <f t="array" ref="P1183">_xlfn.SWITCH(Table2[[#This Row],[mood]], "Tired", 3, "Neutral", 2, "Happy", 1)</f>
        <v>3</v>
      </c>
    </row>
    <row r="1184" spans="1:16" x14ac:dyDescent="0.3">
      <c r="A1184">
        <v>1045</v>
      </c>
      <c r="B1184" s="1">
        <v>43187</v>
      </c>
      <c r="C1184">
        <v>50</v>
      </c>
      <c r="D1184" t="s">
        <v>20</v>
      </c>
      <c r="E1184">
        <v>154.9</v>
      </c>
      <c r="F1184">
        <v>68.2</v>
      </c>
      <c r="G1184">
        <v>10200</v>
      </c>
      <c r="H1184">
        <v>594.29999999999995</v>
      </c>
      <c r="I1184">
        <v>7.8</v>
      </c>
      <c r="J1184">
        <v>77</v>
      </c>
      <c r="K1184" t="s">
        <v>22</v>
      </c>
      <c r="L1184">
        <v>35</v>
      </c>
      <c r="M1184">
        <v>1.03</v>
      </c>
      <c r="N1184">
        <v>2</v>
      </c>
      <c r="O1184" t="s">
        <v>19</v>
      </c>
      <c r="P1184" cm="1">
        <f t="array" ref="P1184">_xlfn.SWITCH(Table2[[#This Row],[mood]], "Tired", 3, "Neutral", 2, "Happy", 1)</f>
        <v>2</v>
      </c>
    </row>
    <row r="1185" spans="1:16" x14ac:dyDescent="0.3">
      <c r="A1185">
        <v>1545</v>
      </c>
      <c r="B1185" s="1">
        <v>43188</v>
      </c>
      <c r="C1185">
        <v>43</v>
      </c>
      <c r="D1185" t="s">
        <v>20</v>
      </c>
      <c r="E1185">
        <v>162</v>
      </c>
      <c r="F1185">
        <v>84.7</v>
      </c>
      <c r="G1185">
        <v>18701</v>
      </c>
      <c r="H1185">
        <v>900</v>
      </c>
      <c r="I1185">
        <v>6.9</v>
      </c>
      <c r="J1185">
        <v>75</v>
      </c>
      <c r="K1185" t="s">
        <v>16</v>
      </c>
      <c r="L1185">
        <v>0</v>
      </c>
      <c r="M1185">
        <v>2.52</v>
      </c>
      <c r="N1185">
        <v>6</v>
      </c>
      <c r="O1185" t="s">
        <v>17</v>
      </c>
      <c r="P1185" cm="1">
        <f t="array" ref="P1185">_xlfn.SWITCH(Table2[[#This Row],[mood]], "Tired", 3, "Neutral", 2, "Happy", 1)</f>
        <v>3</v>
      </c>
    </row>
    <row r="1186" spans="1:16" x14ac:dyDescent="0.3">
      <c r="A1186">
        <v>1944</v>
      </c>
      <c r="B1186" s="1">
        <v>43189</v>
      </c>
      <c r="C1186">
        <v>37</v>
      </c>
      <c r="D1186" t="s">
        <v>15</v>
      </c>
      <c r="E1186">
        <v>176.6</v>
      </c>
      <c r="F1186">
        <v>75.8</v>
      </c>
      <c r="G1186">
        <v>4216</v>
      </c>
      <c r="H1186">
        <v>478.6</v>
      </c>
      <c r="I1186">
        <v>7.8</v>
      </c>
      <c r="J1186">
        <v>81</v>
      </c>
      <c r="K1186" t="s">
        <v>16</v>
      </c>
      <c r="L1186">
        <v>0</v>
      </c>
      <c r="M1186">
        <v>1.72</v>
      </c>
      <c r="N1186">
        <v>1</v>
      </c>
      <c r="O1186" t="s">
        <v>19</v>
      </c>
      <c r="P1186" cm="1">
        <f t="array" ref="P1186">_xlfn.SWITCH(Table2[[#This Row],[mood]], "Tired", 3, "Neutral", 2, "Happy", 1)</f>
        <v>2</v>
      </c>
    </row>
    <row r="1187" spans="1:16" x14ac:dyDescent="0.3">
      <c r="A1187">
        <v>1077</v>
      </c>
      <c r="B1187" s="1">
        <v>43190</v>
      </c>
      <c r="C1187">
        <v>20</v>
      </c>
      <c r="D1187" t="s">
        <v>15</v>
      </c>
      <c r="E1187">
        <v>165.8</v>
      </c>
      <c r="F1187">
        <v>67.599999999999994</v>
      </c>
      <c r="G1187">
        <v>13826</v>
      </c>
      <c r="H1187">
        <v>796.2</v>
      </c>
      <c r="I1187">
        <v>8.4</v>
      </c>
      <c r="J1187">
        <v>77</v>
      </c>
      <c r="K1187" t="s">
        <v>25</v>
      </c>
      <c r="L1187">
        <v>62</v>
      </c>
      <c r="M1187">
        <v>3.17</v>
      </c>
      <c r="N1187">
        <v>9</v>
      </c>
      <c r="O1187" t="s">
        <v>21</v>
      </c>
      <c r="P1187" cm="1">
        <f t="array" ref="P1187">_xlfn.SWITCH(Table2[[#This Row],[mood]], "Tired", 3, "Neutral", 2, "Happy", 1)</f>
        <v>1</v>
      </c>
    </row>
    <row r="1188" spans="1:16" x14ac:dyDescent="0.3">
      <c r="A1188">
        <v>1729</v>
      </c>
      <c r="B1188" s="1">
        <v>43191</v>
      </c>
      <c r="C1188">
        <v>21</v>
      </c>
      <c r="D1188" t="s">
        <v>20</v>
      </c>
      <c r="E1188">
        <v>172</v>
      </c>
      <c r="F1188">
        <v>73</v>
      </c>
      <c r="G1188">
        <v>1016</v>
      </c>
      <c r="H1188">
        <v>154.1</v>
      </c>
      <c r="I1188">
        <v>5.0999999999999996</v>
      </c>
      <c r="J1188">
        <v>65</v>
      </c>
      <c r="K1188" t="s">
        <v>16</v>
      </c>
      <c r="L1188">
        <v>0</v>
      </c>
      <c r="M1188">
        <v>2.78</v>
      </c>
      <c r="N1188">
        <v>7</v>
      </c>
      <c r="O1188" t="s">
        <v>17</v>
      </c>
      <c r="P1188" cm="1">
        <f t="array" ref="P1188">_xlfn.SWITCH(Table2[[#This Row],[mood]], "Tired", 3, "Neutral", 2, "Happy", 1)</f>
        <v>3</v>
      </c>
    </row>
    <row r="1189" spans="1:16" x14ac:dyDescent="0.3">
      <c r="A1189">
        <v>1812</v>
      </c>
      <c r="B1189" s="1">
        <v>43192</v>
      </c>
      <c r="C1189">
        <v>43</v>
      </c>
      <c r="D1189" t="s">
        <v>15</v>
      </c>
      <c r="E1189">
        <v>165</v>
      </c>
      <c r="F1189">
        <v>73</v>
      </c>
      <c r="G1189">
        <v>5670</v>
      </c>
      <c r="H1189">
        <v>457.6</v>
      </c>
      <c r="I1189">
        <v>8.6</v>
      </c>
      <c r="J1189">
        <v>67</v>
      </c>
      <c r="K1189" t="s">
        <v>24</v>
      </c>
      <c r="L1189">
        <v>27</v>
      </c>
      <c r="M1189">
        <v>2.59</v>
      </c>
      <c r="N1189">
        <v>1</v>
      </c>
      <c r="O1189" t="s">
        <v>17</v>
      </c>
      <c r="P1189" cm="1">
        <f t="array" ref="P1189">_xlfn.SWITCH(Table2[[#This Row],[mood]], "Tired", 3, "Neutral", 2, "Happy", 1)</f>
        <v>3</v>
      </c>
    </row>
    <row r="1190" spans="1:16" x14ac:dyDescent="0.3">
      <c r="A1190">
        <v>1922</v>
      </c>
      <c r="B1190" s="1">
        <v>43193</v>
      </c>
      <c r="C1190">
        <v>28</v>
      </c>
      <c r="D1190" t="s">
        <v>15</v>
      </c>
      <c r="E1190">
        <v>165.1</v>
      </c>
      <c r="F1190">
        <v>92.1</v>
      </c>
      <c r="G1190">
        <v>3623</v>
      </c>
      <c r="H1190">
        <v>412.4</v>
      </c>
      <c r="I1190">
        <v>6.9</v>
      </c>
      <c r="J1190">
        <v>92</v>
      </c>
      <c r="K1190" t="s">
        <v>24</v>
      </c>
      <c r="L1190">
        <v>68</v>
      </c>
      <c r="M1190">
        <v>2.1</v>
      </c>
      <c r="N1190">
        <v>9</v>
      </c>
      <c r="O1190" t="s">
        <v>19</v>
      </c>
      <c r="P1190" cm="1">
        <f t="array" ref="P1190">_xlfn.SWITCH(Table2[[#This Row],[mood]], "Tired", 3, "Neutral", 2, "Happy", 1)</f>
        <v>2</v>
      </c>
    </row>
    <row r="1191" spans="1:16" x14ac:dyDescent="0.3">
      <c r="A1191">
        <v>1072</v>
      </c>
      <c r="B1191" s="1">
        <v>43194</v>
      </c>
      <c r="C1191">
        <v>19</v>
      </c>
      <c r="D1191" t="s">
        <v>20</v>
      </c>
      <c r="E1191">
        <v>159.69999999999999</v>
      </c>
      <c r="F1191">
        <v>70.900000000000006</v>
      </c>
      <c r="G1191">
        <v>14350</v>
      </c>
      <c r="H1191">
        <v>670.8</v>
      </c>
      <c r="I1191">
        <v>9.1999999999999993</v>
      </c>
      <c r="J1191">
        <v>107</v>
      </c>
      <c r="K1191" t="s">
        <v>16</v>
      </c>
      <c r="L1191">
        <v>0</v>
      </c>
      <c r="M1191">
        <v>3.62</v>
      </c>
      <c r="N1191">
        <v>9</v>
      </c>
      <c r="O1191" t="s">
        <v>19</v>
      </c>
      <c r="P1191" cm="1">
        <f t="array" ref="P1191">_xlfn.SWITCH(Table2[[#This Row],[mood]], "Tired", 3, "Neutral", 2, "Happy", 1)</f>
        <v>2</v>
      </c>
    </row>
    <row r="1192" spans="1:16" x14ac:dyDescent="0.3">
      <c r="A1192">
        <v>1793</v>
      </c>
      <c r="B1192" s="1">
        <v>43195</v>
      </c>
      <c r="C1192">
        <v>31</v>
      </c>
      <c r="D1192" t="s">
        <v>20</v>
      </c>
      <c r="E1192">
        <v>169.1</v>
      </c>
      <c r="F1192">
        <v>74.3</v>
      </c>
      <c r="G1192">
        <v>17513</v>
      </c>
      <c r="H1192">
        <v>900</v>
      </c>
      <c r="I1192">
        <v>8.9</v>
      </c>
      <c r="J1192">
        <v>82</v>
      </c>
      <c r="K1192" t="s">
        <v>25</v>
      </c>
      <c r="L1192">
        <v>66</v>
      </c>
      <c r="M1192">
        <v>3.03</v>
      </c>
      <c r="N1192">
        <v>10</v>
      </c>
      <c r="O1192" t="s">
        <v>19</v>
      </c>
      <c r="P1192" cm="1">
        <f t="array" ref="P1192">_xlfn.SWITCH(Table2[[#This Row],[mood]], "Tired", 3, "Neutral", 2, "Happy", 1)</f>
        <v>2</v>
      </c>
    </row>
    <row r="1193" spans="1:16" x14ac:dyDescent="0.3">
      <c r="A1193">
        <v>1248</v>
      </c>
      <c r="B1193" s="1">
        <v>43196</v>
      </c>
      <c r="C1193">
        <v>47</v>
      </c>
      <c r="D1193" t="s">
        <v>20</v>
      </c>
      <c r="E1193">
        <v>168.2</v>
      </c>
      <c r="F1193">
        <v>51.1</v>
      </c>
      <c r="G1193">
        <v>15450</v>
      </c>
      <c r="H1193">
        <v>807.8</v>
      </c>
      <c r="I1193">
        <v>5.5</v>
      </c>
      <c r="J1193">
        <v>65</v>
      </c>
      <c r="K1193" t="s">
        <v>18</v>
      </c>
      <c r="L1193">
        <v>55</v>
      </c>
      <c r="M1193">
        <v>2.92</v>
      </c>
      <c r="N1193">
        <v>6</v>
      </c>
      <c r="O1193" t="s">
        <v>19</v>
      </c>
      <c r="P1193" cm="1">
        <f t="array" ref="P1193">_xlfn.SWITCH(Table2[[#This Row],[mood]], "Tired", 3, "Neutral", 2, "Happy", 1)</f>
        <v>2</v>
      </c>
    </row>
    <row r="1194" spans="1:16" x14ac:dyDescent="0.3">
      <c r="A1194">
        <v>1046</v>
      </c>
      <c r="B1194" s="1">
        <v>43197</v>
      </c>
      <c r="C1194">
        <v>29</v>
      </c>
      <c r="D1194" t="s">
        <v>15</v>
      </c>
      <c r="E1194">
        <v>174.1</v>
      </c>
      <c r="F1194">
        <v>69.3</v>
      </c>
      <c r="G1194">
        <v>2473</v>
      </c>
      <c r="H1194">
        <v>364.7</v>
      </c>
      <c r="I1194">
        <v>7</v>
      </c>
      <c r="J1194">
        <v>94</v>
      </c>
      <c r="K1194" t="s">
        <v>18</v>
      </c>
      <c r="L1194">
        <v>42</v>
      </c>
      <c r="M1194">
        <v>3.34</v>
      </c>
      <c r="N1194">
        <v>2</v>
      </c>
      <c r="O1194" t="s">
        <v>19</v>
      </c>
      <c r="P1194" cm="1">
        <f t="array" ref="P1194">_xlfn.SWITCH(Table2[[#This Row],[mood]], "Tired", 3, "Neutral", 2, "Happy", 1)</f>
        <v>2</v>
      </c>
    </row>
    <row r="1195" spans="1:16" x14ac:dyDescent="0.3">
      <c r="A1195">
        <v>1120</v>
      </c>
      <c r="B1195" s="1">
        <v>43198</v>
      </c>
      <c r="C1195">
        <v>43</v>
      </c>
      <c r="D1195" t="s">
        <v>15</v>
      </c>
      <c r="E1195">
        <v>172.9</v>
      </c>
      <c r="F1195">
        <v>91.8</v>
      </c>
      <c r="G1195">
        <v>10260</v>
      </c>
      <c r="H1195">
        <v>606.79999999999995</v>
      </c>
      <c r="I1195">
        <v>4.2</v>
      </c>
      <c r="J1195">
        <v>71</v>
      </c>
      <c r="K1195" t="s">
        <v>23</v>
      </c>
      <c r="L1195">
        <v>50</v>
      </c>
      <c r="M1195">
        <v>1.79</v>
      </c>
      <c r="N1195">
        <v>2</v>
      </c>
      <c r="O1195" t="s">
        <v>17</v>
      </c>
      <c r="P1195" cm="1">
        <f t="array" ref="P1195">_xlfn.SWITCH(Table2[[#This Row],[mood]], "Tired", 3, "Neutral", 2, "Happy", 1)</f>
        <v>3</v>
      </c>
    </row>
    <row r="1196" spans="1:16" x14ac:dyDescent="0.3">
      <c r="A1196">
        <v>1213</v>
      </c>
      <c r="B1196" s="1">
        <v>43199</v>
      </c>
      <c r="C1196">
        <v>50</v>
      </c>
      <c r="D1196" t="s">
        <v>15</v>
      </c>
      <c r="E1196">
        <v>168</v>
      </c>
      <c r="F1196">
        <v>76.400000000000006</v>
      </c>
      <c r="G1196">
        <v>5311</v>
      </c>
      <c r="H1196">
        <v>429.6</v>
      </c>
      <c r="I1196">
        <v>6.4</v>
      </c>
      <c r="J1196">
        <v>79</v>
      </c>
      <c r="K1196" t="s">
        <v>24</v>
      </c>
      <c r="L1196">
        <v>81</v>
      </c>
      <c r="M1196">
        <v>3.4</v>
      </c>
      <c r="N1196">
        <v>8</v>
      </c>
      <c r="O1196" t="s">
        <v>19</v>
      </c>
      <c r="P1196" cm="1">
        <f t="array" ref="P1196">_xlfn.SWITCH(Table2[[#This Row],[mood]], "Tired", 3, "Neutral", 2, "Happy", 1)</f>
        <v>2</v>
      </c>
    </row>
    <row r="1197" spans="1:16" x14ac:dyDescent="0.3">
      <c r="A1197">
        <v>1238</v>
      </c>
      <c r="B1197" s="1">
        <v>43200</v>
      </c>
      <c r="C1197">
        <v>30</v>
      </c>
      <c r="D1197" t="s">
        <v>15</v>
      </c>
      <c r="E1197">
        <v>154.9</v>
      </c>
      <c r="F1197">
        <v>53.8</v>
      </c>
      <c r="G1197">
        <v>3736</v>
      </c>
      <c r="H1197">
        <v>367.4</v>
      </c>
      <c r="I1197">
        <v>7.5</v>
      </c>
      <c r="J1197">
        <v>75</v>
      </c>
      <c r="K1197" t="s">
        <v>18</v>
      </c>
      <c r="L1197">
        <v>76</v>
      </c>
      <c r="M1197">
        <v>2.31</v>
      </c>
      <c r="N1197">
        <v>9</v>
      </c>
      <c r="O1197" t="s">
        <v>21</v>
      </c>
      <c r="P1197" cm="1">
        <f t="array" ref="P1197">_xlfn.SWITCH(Table2[[#This Row],[mood]], "Tired", 3, "Neutral", 2, "Happy", 1)</f>
        <v>1</v>
      </c>
    </row>
    <row r="1198" spans="1:16" x14ac:dyDescent="0.3">
      <c r="A1198">
        <v>1055</v>
      </c>
      <c r="B1198" s="1">
        <v>43201</v>
      </c>
      <c r="C1198">
        <v>31</v>
      </c>
      <c r="D1198" t="s">
        <v>20</v>
      </c>
      <c r="E1198">
        <v>180.7</v>
      </c>
      <c r="F1198">
        <v>55.4</v>
      </c>
      <c r="G1198">
        <v>2946</v>
      </c>
      <c r="H1198">
        <v>353.5</v>
      </c>
      <c r="I1198">
        <v>8.3000000000000007</v>
      </c>
      <c r="J1198">
        <v>77</v>
      </c>
      <c r="K1198" t="s">
        <v>23</v>
      </c>
      <c r="L1198">
        <v>89</v>
      </c>
      <c r="M1198">
        <v>2.73</v>
      </c>
      <c r="N1198">
        <v>4</v>
      </c>
      <c r="O1198" t="s">
        <v>19</v>
      </c>
      <c r="P1198" cm="1">
        <f t="array" ref="P1198">_xlfn.SWITCH(Table2[[#This Row],[mood]], "Tired", 3, "Neutral", 2, "Happy", 1)</f>
        <v>2</v>
      </c>
    </row>
    <row r="1199" spans="1:16" x14ac:dyDescent="0.3">
      <c r="A1199">
        <v>1349</v>
      </c>
      <c r="B1199" s="1">
        <v>43202</v>
      </c>
      <c r="C1199">
        <v>41</v>
      </c>
      <c r="D1199" t="s">
        <v>15</v>
      </c>
      <c r="E1199">
        <v>169.1</v>
      </c>
      <c r="F1199">
        <v>58.9</v>
      </c>
      <c r="G1199">
        <v>16740</v>
      </c>
      <c r="H1199">
        <v>892</v>
      </c>
      <c r="I1199">
        <v>7.1</v>
      </c>
      <c r="J1199">
        <v>71</v>
      </c>
      <c r="K1199" t="s">
        <v>18</v>
      </c>
      <c r="L1199">
        <v>84</v>
      </c>
      <c r="M1199">
        <v>2.39</v>
      </c>
      <c r="N1199">
        <v>2</v>
      </c>
      <c r="O1199" t="s">
        <v>17</v>
      </c>
      <c r="P1199" cm="1">
        <f t="array" ref="P1199">_xlfn.SWITCH(Table2[[#This Row],[mood]], "Tired", 3, "Neutral", 2, "Happy", 1)</f>
        <v>3</v>
      </c>
    </row>
    <row r="1200" spans="1:16" x14ac:dyDescent="0.3">
      <c r="A1200">
        <v>1106</v>
      </c>
      <c r="B1200" s="1">
        <v>43203</v>
      </c>
      <c r="C1200">
        <v>51</v>
      </c>
      <c r="D1200" t="s">
        <v>20</v>
      </c>
      <c r="E1200">
        <v>170.8</v>
      </c>
      <c r="F1200">
        <v>85</v>
      </c>
      <c r="G1200">
        <v>17684</v>
      </c>
      <c r="H1200">
        <v>862.4</v>
      </c>
      <c r="I1200">
        <v>7.7</v>
      </c>
      <c r="J1200">
        <v>88</v>
      </c>
      <c r="K1200" t="s">
        <v>25</v>
      </c>
      <c r="L1200">
        <v>56</v>
      </c>
      <c r="M1200">
        <v>1.19</v>
      </c>
      <c r="N1200">
        <v>5</v>
      </c>
      <c r="O1200" t="s">
        <v>21</v>
      </c>
      <c r="P1200" cm="1">
        <f t="array" ref="P1200">_xlfn.SWITCH(Table2[[#This Row],[mood]], "Tired", 3, "Neutral", 2, "Happy", 1)</f>
        <v>1</v>
      </c>
    </row>
    <row r="1201" spans="1:16" x14ac:dyDescent="0.3">
      <c r="A1201">
        <v>1830</v>
      </c>
      <c r="B1201" s="1">
        <v>43204</v>
      </c>
      <c r="C1201">
        <v>43</v>
      </c>
      <c r="D1201" t="s">
        <v>15</v>
      </c>
      <c r="E1201">
        <v>186</v>
      </c>
      <c r="F1201">
        <v>83.1</v>
      </c>
      <c r="G1201">
        <v>10176</v>
      </c>
      <c r="H1201">
        <v>593.9</v>
      </c>
      <c r="I1201">
        <v>5.9</v>
      </c>
      <c r="J1201">
        <v>73</v>
      </c>
      <c r="K1201" t="s">
        <v>16</v>
      </c>
      <c r="L1201">
        <v>0</v>
      </c>
      <c r="M1201">
        <v>3.17</v>
      </c>
      <c r="N1201">
        <v>7</v>
      </c>
      <c r="O1201" t="s">
        <v>17</v>
      </c>
      <c r="P1201" cm="1">
        <f t="array" ref="P1201">_xlfn.SWITCH(Table2[[#This Row],[mood]], "Tired", 3, "Neutral", 2, "Happy", 1)</f>
        <v>3</v>
      </c>
    </row>
    <row r="1202" spans="1:16" x14ac:dyDescent="0.3">
      <c r="A1202">
        <v>1047</v>
      </c>
      <c r="B1202" s="1">
        <v>43205</v>
      </c>
      <c r="C1202">
        <v>38</v>
      </c>
      <c r="D1202" t="s">
        <v>20</v>
      </c>
      <c r="E1202">
        <v>179.1</v>
      </c>
      <c r="F1202">
        <v>45</v>
      </c>
      <c r="G1202">
        <v>12883</v>
      </c>
      <c r="H1202">
        <v>715</v>
      </c>
      <c r="I1202">
        <v>7</v>
      </c>
      <c r="J1202">
        <v>81</v>
      </c>
      <c r="K1202" t="s">
        <v>24</v>
      </c>
      <c r="L1202">
        <v>36</v>
      </c>
      <c r="M1202">
        <v>1.22</v>
      </c>
      <c r="N1202">
        <v>4</v>
      </c>
      <c r="O1202" t="s">
        <v>19</v>
      </c>
      <c r="P1202" cm="1">
        <f t="array" ref="P1202">_xlfn.SWITCH(Table2[[#This Row],[mood]], "Tired", 3, "Neutral", 2, "Happy", 1)</f>
        <v>2</v>
      </c>
    </row>
    <row r="1203" spans="1:16" x14ac:dyDescent="0.3">
      <c r="A1203">
        <v>1572</v>
      </c>
      <c r="B1203" s="1">
        <v>43206</v>
      </c>
      <c r="C1203">
        <v>45</v>
      </c>
      <c r="D1203" t="s">
        <v>20</v>
      </c>
      <c r="E1203">
        <v>174.5</v>
      </c>
      <c r="F1203">
        <v>68.8</v>
      </c>
      <c r="G1203">
        <v>5501</v>
      </c>
      <c r="H1203">
        <v>481.6</v>
      </c>
      <c r="I1203">
        <v>6.1</v>
      </c>
      <c r="J1203">
        <v>81</v>
      </c>
      <c r="K1203" t="s">
        <v>18</v>
      </c>
      <c r="L1203">
        <v>26</v>
      </c>
      <c r="M1203">
        <v>1.82</v>
      </c>
      <c r="N1203">
        <v>9</v>
      </c>
      <c r="O1203" t="s">
        <v>17</v>
      </c>
      <c r="P1203" cm="1">
        <f t="array" ref="P1203">_xlfn.SWITCH(Table2[[#This Row],[mood]], "Tired", 3, "Neutral", 2, "Happy", 1)</f>
        <v>3</v>
      </c>
    </row>
    <row r="1204" spans="1:16" x14ac:dyDescent="0.3">
      <c r="A1204">
        <v>1336</v>
      </c>
      <c r="B1204" s="1">
        <v>43207</v>
      </c>
      <c r="C1204">
        <v>53</v>
      </c>
      <c r="D1204" t="s">
        <v>20</v>
      </c>
      <c r="E1204">
        <v>170</v>
      </c>
      <c r="F1204">
        <v>72.2</v>
      </c>
      <c r="G1204">
        <v>12618</v>
      </c>
      <c r="H1204">
        <v>728.9</v>
      </c>
      <c r="I1204">
        <v>7.4</v>
      </c>
      <c r="J1204">
        <v>74</v>
      </c>
      <c r="K1204" t="s">
        <v>25</v>
      </c>
      <c r="L1204">
        <v>71</v>
      </c>
      <c r="M1204">
        <v>2.1800000000000002</v>
      </c>
      <c r="N1204">
        <v>4</v>
      </c>
      <c r="O1204" t="s">
        <v>17</v>
      </c>
      <c r="P1204" cm="1">
        <f t="array" ref="P1204">_xlfn.SWITCH(Table2[[#This Row],[mood]], "Tired", 3, "Neutral", 2, "Happy", 1)</f>
        <v>3</v>
      </c>
    </row>
    <row r="1205" spans="1:16" x14ac:dyDescent="0.3">
      <c r="A1205">
        <v>1025</v>
      </c>
      <c r="B1205" s="1">
        <v>43208</v>
      </c>
      <c r="C1205">
        <v>57</v>
      </c>
      <c r="D1205" t="s">
        <v>15</v>
      </c>
      <c r="E1205">
        <v>169.9</v>
      </c>
      <c r="F1205">
        <v>55.6</v>
      </c>
      <c r="G1205">
        <v>6914</v>
      </c>
      <c r="H1205">
        <v>443.7</v>
      </c>
      <c r="I1205">
        <v>9.1</v>
      </c>
      <c r="J1205">
        <v>60</v>
      </c>
      <c r="K1205" t="s">
        <v>23</v>
      </c>
      <c r="L1205">
        <v>54</v>
      </c>
      <c r="M1205">
        <v>1.1299999999999999</v>
      </c>
      <c r="N1205">
        <v>8</v>
      </c>
      <c r="O1205" t="s">
        <v>19</v>
      </c>
      <c r="P1205" cm="1">
        <f t="array" ref="P1205">_xlfn.SWITCH(Table2[[#This Row],[mood]], "Tired", 3, "Neutral", 2, "Happy", 1)</f>
        <v>2</v>
      </c>
    </row>
    <row r="1206" spans="1:16" x14ac:dyDescent="0.3">
      <c r="A1206">
        <v>1803</v>
      </c>
      <c r="B1206" s="1">
        <v>43209</v>
      </c>
      <c r="C1206">
        <v>19</v>
      </c>
      <c r="D1206" t="s">
        <v>20</v>
      </c>
      <c r="E1206">
        <v>172.4</v>
      </c>
      <c r="F1206">
        <v>64.099999999999994</v>
      </c>
      <c r="G1206">
        <v>1082</v>
      </c>
      <c r="H1206">
        <v>197.3</v>
      </c>
      <c r="I1206">
        <v>6.9</v>
      </c>
      <c r="J1206">
        <v>67</v>
      </c>
      <c r="K1206" t="s">
        <v>25</v>
      </c>
      <c r="L1206">
        <v>21</v>
      </c>
      <c r="M1206">
        <v>1.73</v>
      </c>
      <c r="N1206">
        <v>3</v>
      </c>
      <c r="O1206" t="s">
        <v>17</v>
      </c>
      <c r="P1206" cm="1">
        <f t="array" ref="P1206">_xlfn.SWITCH(Table2[[#This Row],[mood]], "Tired", 3, "Neutral", 2, "Happy", 1)</f>
        <v>3</v>
      </c>
    </row>
    <row r="1207" spans="1:16" x14ac:dyDescent="0.3">
      <c r="A1207">
        <v>1256</v>
      </c>
      <c r="B1207" s="1">
        <v>43210</v>
      </c>
      <c r="C1207">
        <v>59</v>
      </c>
      <c r="D1207" t="s">
        <v>20</v>
      </c>
      <c r="E1207">
        <v>174.1</v>
      </c>
      <c r="F1207">
        <v>90</v>
      </c>
      <c r="G1207">
        <v>9364</v>
      </c>
      <c r="H1207">
        <v>607.29999999999995</v>
      </c>
      <c r="I1207">
        <v>4.9000000000000004</v>
      </c>
      <c r="J1207">
        <v>82</v>
      </c>
      <c r="K1207" t="s">
        <v>23</v>
      </c>
      <c r="L1207">
        <v>59</v>
      </c>
      <c r="M1207">
        <v>2.67</v>
      </c>
      <c r="N1207">
        <v>6</v>
      </c>
      <c r="O1207" t="s">
        <v>17</v>
      </c>
      <c r="P1207" cm="1">
        <f t="array" ref="P1207">_xlfn.SWITCH(Table2[[#This Row],[mood]], "Tired", 3, "Neutral", 2, "Happy", 1)</f>
        <v>3</v>
      </c>
    </row>
    <row r="1208" spans="1:16" x14ac:dyDescent="0.3">
      <c r="A1208">
        <v>1007</v>
      </c>
      <c r="B1208" s="1">
        <v>43211</v>
      </c>
      <c r="C1208">
        <v>26</v>
      </c>
      <c r="D1208" t="s">
        <v>15</v>
      </c>
      <c r="E1208">
        <v>187.1</v>
      </c>
      <c r="F1208">
        <v>76.099999999999994</v>
      </c>
      <c r="G1208">
        <v>18382</v>
      </c>
      <c r="H1208">
        <v>900</v>
      </c>
      <c r="I1208">
        <v>7.3</v>
      </c>
      <c r="J1208">
        <v>78</v>
      </c>
      <c r="K1208" t="s">
        <v>18</v>
      </c>
      <c r="L1208">
        <v>56</v>
      </c>
      <c r="M1208">
        <v>2.2599999999999998</v>
      </c>
      <c r="N1208">
        <v>6</v>
      </c>
      <c r="O1208" t="s">
        <v>17</v>
      </c>
      <c r="P1208" cm="1">
        <f t="array" ref="P1208">_xlfn.SWITCH(Table2[[#This Row],[mood]], "Tired", 3, "Neutral", 2, "Happy", 1)</f>
        <v>3</v>
      </c>
    </row>
    <row r="1209" spans="1:16" x14ac:dyDescent="0.3">
      <c r="A1209">
        <v>1624</v>
      </c>
      <c r="B1209" s="1">
        <v>43212</v>
      </c>
      <c r="C1209">
        <v>40</v>
      </c>
      <c r="D1209" t="s">
        <v>20</v>
      </c>
      <c r="E1209">
        <v>194.7</v>
      </c>
      <c r="F1209">
        <v>62.5</v>
      </c>
      <c r="G1209">
        <v>6804</v>
      </c>
      <c r="H1209">
        <v>509.8</v>
      </c>
      <c r="I1209">
        <v>8.1</v>
      </c>
      <c r="J1209">
        <v>67</v>
      </c>
      <c r="K1209" t="s">
        <v>16</v>
      </c>
      <c r="L1209">
        <v>0</v>
      </c>
      <c r="M1209">
        <v>2.3199999999999998</v>
      </c>
      <c r="N1209">
        <v>3</v>
      </c>
      <c r="O1209" t="s">
        <v>21</v>
      </c>
      <c r="P1209" cm="1">
        <f t="array" ref="P1209">_xlfn.SWITCH(Table2[[#This Row],[mood]], "Tired", 3, "Neutral", 2, "Happy", 1)</f>
        <v>1</v>
      </c>
    </row>
    <row r="1210" spans="1:16" x14ac:dyDescent="0.3">
      <c r="A1210">
        <v>1866</v>
      </c>
      <c r="B1210" s="1">
        <v>43213</v>
      </c>
      <c r="C1210">
        <v>32</v>
      </c>
      <c r="D1210" t="s">
        <v>15</v>
      </c>
      <c r="E1210">
        <v>172.9</v>
      </c>
      <c r="F1210">
        <v>67.2</v>
      </c>
      <c r="G1210">
        <v>13293</v>
      </c>
      <c r="H1210">
        <v>728.9</v>
      </c>
      <c r="I1210">
        <v>5.6</v>
      </c>
      <c r="J1210">
        <v>75</v>
      </c>
      <c r="K1210" t="s">
        <v>22</v>
      </c>
      <c r="L1210">
        <v>29</v>
      </c>
      <c r="M1210">
        <v>1.86</v>
      </c>
      <c r="N1210">
        <v>2</v>
      </c>
      <c r="O1210" t="s">
        <v>17</v>
      </c>
      <c r="P1210" cm="1">
        <f t="array" ref="P1210">_xlfn.SWITCH(Table2[[#This Row],[mood]], "Tired", 3, "Neutral", 2, "Happy", 1)</f>
        <v>3</v>
      </c>
    </row>
    <row r="1211" spans="1:16" x14ac:dyDescent="0.3">
      <c r="A1211">
        <v>1252</v>
      </c>
      <c r="B1211" s="1">
        <v>43214</v>
      </c>
      <c r="C1211">
        <v>30</v>
      </c>
      <c r="D1211" t="s">
        <v>15</v>
      </c>
      <c r="E1211">
        <v>150</v>
      </c>
      <c r="F1211">
        <v>66.599999999999994</v>
      </c>
      <c r="G1211">
        <v>13812</v>
      </c>
      <c r="H1211">
        <v>825.5</v>
      </c>
      <c r="I1211">
        <v>8.9</v>
      </c>
      <c r="J1211">
        <v>77</v>
      </c>
      <c r="K1211" t="s">
        <v>16</v>
      </c>
      <c r="L1211">
        <v>0</v>
      </c>
      <c r="M1211">
        <v>2.5299999999999998</v>
      </c>
      <c r="N1211">
        <v>6</v>
      </c>
      <c r="O1211" t="s">
        <v>19</v>
      </c>
      <c r="P1211" cm="1">
        <f t="array" ref="P1211">_xlfn.SWITCH(Table2[[#This Row],[mood]], "Tired", 3, "Neutral", 2, "Happy", 1)</f>
        <v>2</v>
      </c>
    </row>
    <row r="1212" spans="1:16" x14ac:dyDescent="0.3">
      <c r="A1212">
        <v>1691</v>
      </c>
      <c r="B1212" s="1">
        <v>43215</v>
      </c>
      <c r="C1212">
        <v>40</v>
      </c>
      <c r="D1212" t="s">
        <v>20</v>
      </c>
      <c r="E1212">
        <v>160.5</v>
      </c>
      <c r="F1212">
        <v>74.2</v>
      </c>
      <c r="G1212">
        <v>4084</v>
      </c>
      <c r="H1212">
        <v>326.5</v>
      </c>
      <c r="I1212">
        <v>6.1</v>
      </c>
      <c r="J1212">
        <v>81</v>
      </c>
      <c r="K1212" t="s">
        <v>25</v>
      </c>
      <c r="L1212">
        <v>24</v>
      </c>
      <c r="M1212">
        <v>2.27</v>
      </c>
      <c r="N1212">
        <v>7</v>
      </c>
      <c r="O1212" t="s">
        <v>19</v>
      </c>
      <c r="P1212" cm="1">
        <f t="array" ref="P1212">_xlfn.SWITCH(Table2[[#This Row],[mood]], "Tired", 3, "Neutral", 2, "Happy", 1)</f>
        <v>2</v>
      </c>
    </row>
    <row r="1213" spans="1:16" x14ac:dyDescent="0.3">
      <c r="A1213">
        <v>1718</v>
      </c>
      <c r="B1213" s="1">
        <v>43216</v>
      </c>
      <c r="C1213">
        <v>34</v>
      </c>
      <c r="D1213" t="s">
        <v>20</v>
      </c>
      <c r="E1213">
        <v>188.1</v>
      </c>
      <c r="F1213">
        <v>48.6</v>
      </c>
      <c r="G1213">
        <v>3045</v>
      </c>
      <c r="H1213">
        <v>393.7</v>
      </c>
      <c r="I1213">
        <v>5.9</v>
      </c>
      <c r="J1213">
        <v>93</v>
      </c>
      <c r="K1213" t="s">
        <v>22</v>
      </c>
      <c r="L1213">
        <v>24</v>
      </c>
      <c r="M1213">
        <v>1.35</v>
      </c>
      <c r="N1213">
        <v>7</v>
      </c>
      <c r="O1213" t="s">
        <v>17</v>
      </c>
      <c r="P1213" cm="1">
        <f t="array" ref="P1213">_xlfn.SWITCH(Table2[[#This Row],[mood]], "Tired", 3, "Neutral", 2, "Happy", 1)</f>
        <v>3</v>
      </c>
    </row>
    <row r="1214" spans="1:16" x14ac:dyDescent="0.3">
      <c r="A1214">
        <v>1302</v>
      </c>
      <c r="B1214" s="1">
        <v>43217</v>
      </c>
      <c r="C1214">
        <v>19</v>
      </c>
      <c r="D1214" t="s">
        <v>15</v>
      </c>
      <c r="E1214">
        <v>177.2</v>
      </c>
      <c r="F1214">
        <v>60</v>
      </c>
      <c r="G1214">
        <v>17588</v>
      </c>
      <c r="H1214">
        <v>900</v>
      </c>
      <c r="I1214">
        <v>4.3</v>
      </c>
      <c r="J1214">
        <v>52</v>
      </c>
      <c r="K1214" t="s">
        <v>24</v>
      </c>
      <c r="L1214">
        <v>46</v>
      </c>
      <c r="M1214">
        <v>2.36</v>
      </c>
      <c r="N1214">
        <v>10</v>
      </c>
      <c r="O1214" t="s">
        <v>19</v>
      </c>
      <c r="P1214" cm="1">
        <f t="array" ref="P1214">_xlfn.SWITCH(Table2[[#This Row],[mood]], "Tired", 3, "Neutral", 2, "Happy", 1)</f>
        <v>2</v>
      </c>
    </row>
    <row r="1215" spans="1:16" x14ac:dyDescent="0.3">
      <c r="A1215">
        <v>1638</v>
      </c>
      <c r="B1215" s="1">
        <v>43218</v>
      </c>
      <c r="C1215">
        <v>37</v>
      </c>
      <c r="D1215" t="s">
        <v>20</v>
      </c>
      <c r="E1215">
        <v>174.3</v>
      </c>
      <c r="F1215">
        <v>85.5</v>
      </c>
      <c r="G1215">
        <v>14184</v>
      </c>
      <c r="H1215">
        <v>745.3</v>
      </c>
      <c r="I1215">
        <v>7.4</v>
      </c>
      <c r="J1215">
        <v>87</v>
      </c>
      <c r="K1215" t="s">
        <v>22</v>
      </c>
      <c r="L1215">
        <v>24</v>
      </c>
      <c r="M1215">
        <v>1.63</v>
      </c>
      <c r="N1215">
        <v>1</v>
      </c>
      <c r="O1215" t="s">
        <v>21</v>
      </c>
      <c r="P1215" cm="1">
        <f t="array" ref="P1215">_xlfn.SWITCH(Table2[[#This Row],[mood]], "Tired", 3, "Neutral", 2, "Happy", 1)</f>
        <v>1</v>
      </c>
    </row>
    <row r="1216" spans="1:16" x14ac:dyDescent="0.3">
      <c r="A1216">
        <v>1055</v>
      </c>
      <c r="B1216" s="1">
        <v>43219</v>
      </c>
      <c r="C1216">
        <v>37</v>
      </c>
      <c r="D1216" t="s">
        <v>15</v>
      </c>
      <c r="E1216">
        <v>168.3</v>
      </c>
      <c r="F1216">
        <v>68.900000000000006</v>
      </c>
      <c r="G1216">
        <v>15375</v>
      </c>
      <c r="H1216">
        <v>771.1</v>
      </c>
      <c r="I1216">
        <v>9.6999999999999993</v>
      </c>
      <c r="J1216">
        <v>77</v>
      </c>
      <c r="K1216" t="s">
        <v>16</v>
      </c>
      <c r="L1216">
        <v>0</v>
      </c>
      <c r="M1216">
        <v>3.13</v>
      </c>
      <c r="N1216">
        <v>6</v>
      </c>
      <c r="O1216" t="s">
        <v>19</v>
      </c>
      <c r="P1216" cm="1">
        <f t="array" ref="P1216">_xlfn.SWITCH(Table2[[#This Row],[mood]], "Tired", 3, "Neutral", 2, "Happy", 1)</f>
        <v>2</v>
      </c>
    </row>
    <row r="1217" spans="1:16" x14ac:dyDescent="0.3">
      <c r="A1217">
        <v>1725</v>
      </c>
      <c r="B1217" s="1">
        <v>43220</v>
      </c>
      <c r="C1217">
        <v>20</v>
      </c>
      <c r="D1217" t="s">
        <v>15</v>
      </c>
      <c r="E1217">
        <v>158.1</v>
      </c>
      <c r="F1217">
        <v>57.3</v>
      </c>
      <c r="G1217">
        <v>2552</v>
      </c>
      <c r="H1217">
        <v>398.5</v>
      </c>
      <c r="I1217">
        <v>7.6</v>
      </c>
      <c r="J1217">
        <v>65</v>
      </c>
      <c r="K1217" t="s">
        <v>24</v>
      </c>
      <c r="L1217">
        <v>27</v>
      </c>
      <c r="M1217">
        <v>2.23</v>
      </c>
      <c r="N1217">
        <v>9</v>
      </c>
      <c r="O1217" t="s">
        <v>19</v>
      </c>
      <c r="P1217" cm="1">
        <f t="array" ref="P1217">_xlfn.SWITCH(Table2[[#This Row],[mood]], "Tired", 3, "Neutral", 2, "Happy", 1)</f>
        <v>2</v>
      </c>
    </row>
    <row r="1218" spans="1:16" x14ac:dyDescent="0.3">
      <c r="A1218">
        <v>1525</v>
      </c>
      <c r="B1218" s="1">
        <v>43221</v>
      </c>
      <c r="C1218">
        <v>29</v>
      </c>
      <c r="D1218" t="s">
        <v>15</v>
      </c>
      <c r="E1218">
        <v>186.8</v>
      </c>
      <c r="F1218">
        <v>57.9</v>
      </c>
      <c r="G1218">
        <v>8816</v>
      </c>
      <c r="H1218">
        <v>507.5</v>
      </c>
      <c r="I1218">
        <v>5.9</v>
      </c>
      <c r="J1218">
        <v>77</v>
      </c>
      <c r="K1218" t="s">
        <v>18</v>
      </c>
      <c r="L1218">
        <v>50</v>
      </c>
      <c r="M1218">
        <v>4.2699999999999996</v>
      </c>
      <c r="N1218">
        <v>9</v>
      </c>
      <c r="O1218" t="s">
        <v>17</v>
      </c>
      <c r="P1218" cm="1">
        <f t="array" ref="P1218">_xlfn.SWITCH(Table2[[#This Row],[mood]], "Tired", 3, "Neutral", 2, "Happy", 1)</f>
        <v>3</v>
      </c>
    </row>
    <row r="1219" spans="1:16" x14ac:dyDescent="0.3">
      <c r="A1219">
        <v>1473</v>
      </c>
      <c r="B1219" s="1">
        <v>43222</v>
      </c>
      <c r="C1219">
        <v>57</v>
      </c>
      <c r="D1219" t="s">
        <v>20</v>
      </c>
      <c r="E1219">
        <v>161.80000000000001</v>
      </c>
      <c r="F1219">
        <v>80.8</v>
      </c>
      <c r="G1219">
        <v>1824</v>
      </c>
      <c r="H1219">
        <v>288.3</v>
      </c>
      <c r="I1219">
        <v>7.8</v>
      </c>
      <c r="J1219">
        <v>89</v>
      </c>
      <c r="K1219" t="s">
        <v>18</v>
      </c>
      <c r="L1219">
        <v>40</v>
      </c>
      <c r="M1219">
        <v>3.18</v>
      </c>
      <c r="N1219">
        <v>2</v>
      </c>
      <c r="O1219" t="s">
        <v>21</v>
      </c>
      <c r="P1219" cm="1">
        <f t="array" ref="P1219">_xlfn.SWITCH(Table2[[#This Row],[mood]], "Tired", 3, "Neutral", 2, "Happy", 1)</f>
        <v>1</v>
      </c>
    </row>
    <row r="1220" spans="1:16" x14ac:dyDescent="0.3">
      <c r="A1220">
        <v>1027</v>
      </c>
      <c r="B1220" s="1">
        <v>43223</v>
      </c>
      <c r="C1220">
        <v>19</v>
      </c>
      <c r="D1220" t="s">
        <v>15</v>
      </c>
      <c r="E1220">
        <v>177.3</v>
      </c>
      <c r="F1220">
        <v>62.2</v>
      </c>
      <c r="G1220">
        <v>4748</v>
      </c>
      <c r="H1220">
        <v>407.2</v>
      </c>
      <c r="I1220">
        <v>8.1999999999999993</v>
      </c>
      <c r="J1220">
        <v>92</v>
      </c>
      <c r="K1220" t="s">
        <v>25</v>
      </c>
      <c r="L1220">
        <v>40</v>
      </c>
      <c r="M1220">
        <v>2.41</v>
      </c>
      <c r="N1220">
        <v>4</v>
      </c>
      <c r="O1220" t="s">
        <v>21</v>
      </c>
      <c r="P1220" cm="1">
        <f t="array" ref="P1220">_xlfn.SWITCH(Table2[[#This Row],[mood]], "Tired", 3, "Neutral", 2, "Happy", 1)</f>
        <v>1</v>
      </c>
    </row>
    <row r="1221" spans="1:16" x14ac:dyDescent="0.3">
      <c r="A1221">
        <v>1982</v>
      </c>
      <c r="B1221" s="1">
        <v>43224</v>
      </c>
      <c r="C1221">
        <v>53</v>
      </c>
      <c r="D1221" t="s">
        <v>20</v>
      </c>
      <c r="E1221">
        <v>157</v>
      </c>
      <c r="F1221">
        <v>77.7</v>
      </c>
      <c r="G1221">
        <v>6578</v>
      </c>
      <c r="H1221">
        <v>463.6</v>
      </c>
      <c r="I1221">
        <v>8.6999999999999993</v>
      </c>
      <c r="J1221">
        <v>65</v>
      </c>
      <c r="K1221" t="s">
        <v>22</v>
      </c>
      <c r="L1221">
        <v>70</v>
      </c>
      <c r="M1221">
        <v>2.91</v>
      </c>
      <c r="N1221">
        <v>6</v>
      </c>
      <c r="O1221" t="s">
        <v>19</v>
      </c>
      <c r="P1221" cm="1">
        <f t="array" ref="P1221">_xlfn.SWITCH(Table2[[#This Row],[mood]], "Tired", 3, "Neutral", 2, "Happy", 1)</f>
        <v>2</v>
      </c>
    </row>
    <row r="1222" spans="1:16" x14ac:dyDescent="0.3">
      <c r="A1222">
        <v>1077</v>
      </c>
      <c r="B1222" s="1">
        <v>43225</v>
      </c>
      <c r="C1222">
        <v>31</v>
      </c>
      <c r="D1222" t="s">
        <v>20</v>
      </c>
      <c r="E1222">
        <v>167.8</v>
      </c>
      <c r="F1222">
        <v>60.6</v>
      </c>
      <c r="G1222">
        <v>6197</v>
      </c>
      <c r="H1222">
        <v>486.9</v>
      </c>
      <c r="I1222">
        <v>5.0999999999999996</v>
      </c>
      <c r="J1222">
        <v>67</v>
      </c>
      <c r="K1222" t="s">
        <v>24</v>
      </c>
      <c r="L1222">
        <v>78</v>
      </c>
      <c r="M1222">
        <v>1.04</v>
      </c>
      <c r="N1222">
        <v>4</v>
      </c>
      <c r="O1222" t="s">
        <v>19</v>
      </c>
      <c r="P1222" cm="1">
        <f t="array" ref="P1222">_xlfn.SWITCH(Table2[[#This Row],[mood]], "Tired", 3, "Neutral", 2, "Happy", 1)</f>
        <v>2</v>
      </c>
    </row>
    <row r="1223" spans="1:16" x14ac:dyDescent="0.3">
      <c r="A1223">
        <v>1215</v>
      </c>
      <c r="B1223" s="1">
        <v>43226</v>
      </c>
      <c r="C1223">
        <v>33</v>
      </c>
      <c r="D1223" t="s">
        <v>20</v>
      </c>
      <c r="E1223">
        <v>179.9</v>
      </c>
      <c r="F1223">
        <v>53.1</v>
      </c>
      <c r="G1223">
        <v>10030</v>
      </c>
      <c r="H1223">
        <v>554.70000000000005</v>
      </c>
      <c r="I1223">
        <v>9.3000000000000007</v>
      </c>
      <c r="J1223">
        <v>62</v>
      </c>
      <c r="K1223" t="s">
        <v>24</v>
      </c>
      <c r="L1223">
        <v>21</v>
      </c>
      <c r="M1223">
        <v>3.17</v>
      </c>
      <c r="N1223">
        <v>9</v>
      </c>
      <c r="O1223" t="s">
        <v>17</v>
      </c>
      <c r="P1223" cm="1">
        <f t="array" ref="P1223">_xlfn.SWITCH(Table2[[#This Row],[mood]], "Tired", 3, "Neutral", 2, "Happy", 1)</f>
        <v>3</v>
      </c>
    </row>
    <row r="1224" spans="1:16" x14ac:dyDescent="0.3">
      <c r="A1224">
        <v>1385</v>
      </c>
      <c r="B1224" s="1">
        <v>43227</v>
      </c>
      <c r="C1224">
        <v>36</v>
      </c>
      <c r="D1224" t="s">
        <v>20</v>
      </c>
      <c r="E1224">
        <v>167.5</v>
      </c>
      <c r="F1224">
        <v>73.7</v>
      </c>
      <c r="G1224">
        <v>19345</v>
      </c>
      <c r="H1224">
        <v>900</v>
      </c>
      <c r="I1224">
        <v>7.3</v>
      </c>
      <c r="J1224">
        <v>77</v>
      </c>
      <c r="K1224" t="s">
        <v>22</v>
      </c>
      <c r="L1224">
        <v>49</v>
      </c>
      <c r="M1224">
        <v>1.93</v>
      </c>
      <c r="N1224">
        <v>2</v>
      </c>
      <c r="O1224" t="s">
        <v>17</v>
      </c>
      <c r="P1224" cm="1">
        <f t="array" ref="P1224">_xlfn.SWITCH(Table2[[#This Row],[mood]], "Tired", 3, "Neutral", 2, "Happy", 1)</f>
        <v>3</v>
      </c>
    </row>
    <row r="1225" spans="1:16" x14ac:dyDescent="0.3">
      <c r="A1225">
        <v>1364</v>
      </c>
      <c r="B1225" s="1">
        <v>43228</v>
      </c>
      <c r="C1225">
        <v>51</v>
      </c>
      <c r="D1225" t="s">
        <v>15</v>
      </c>
      <c r="E1225">
        <v>166.3</v>
      </c>
      <c r="F1225">
        <v>68.5</v>
      </c>
      <c r="G1225">
        <v>1937</v>
      </c>
      <c r="H1225">
        <v>236.3</v>
      </c>
      <c r="I1225">
        <v>9.6</v>
      </c>
      <c r="J1225">
        <v>78</v>
      </c>
      <c r="K1225" t="s">
        <v>16</v>
      </c>
      <c r="L1225">
        <v>0</v>
      </c>
      <c r="M1225">
        <v>2.56</v>
      </c>
      <c r="N1225">
        <v>10</v>
      </c>
      <c r="O1225" t="s">
        <v>21</v>
      </c>
      <c r="P1225" cm="1">
        <f t="array" ref="P1225">_xlfn.SWITCH(Table2[[#This Row],[mood]], "Tired", 3, "Neutral", 2, "Happy", 1)</f>
        <v>1</v>
      </c>
    </row>
    <row r="1226" spans="1:16" x14ac:dyDescent="0.3">
      <c r="A1226">
        <v>1665</v>
      </c>
      <c r="B1226" s="1">
        <v>43229</v>
      </c>
      <c r="C1226">
        <v>23</v>
      </c>
      <c r="D1226" t="s">
        <v>20</v>
      </c>
      <c r="E1226">
        <v>170.1</v>
      </c>
      <c r="F1226">
        <v>80.3</v>
      </c>
      <c r="G1226">
        <v>8595</v>
      </c>
      <c r="H1226">
        <v>536.6</v>
      </c>
      <c r="I1226">
        <v>7.2</v>
      </c>
      <c r="J1226">
        <v>85</v>
      </c>
      <c r="K1226" t="s">
        <v>18</v>
      </c>
      <c r="L1226">
        <v>39</v>
      </c>
      <c r="M1226">
        <v>1.99</v>
      </c>
      <c r="N1226">
        <v>6</v>
      </c>
      <c r="O1226" t="s">
        <v>17</v>
      </c>
      <c r="P1226" cm="1">
        <f t="array" ref="P1226">_xlfn.SWITCH(Table2[[#This Row],[mood]], "Tired", 3, "Neutral", 2, "Happy", 1)</f>
        <v>3</v>
      </c>
    </row>
    <row r="1227" spans="1:16" x14ac:dyDescent="0.3">
      <c r="A1227">
        <v>1525</v>
      </c>
      <c r="B1227" s="1">
        <v>43230</v>
      </c>
      <c r="C1227">
        <v>30</v>
      </c>
      <c r="D1227" t="s">
        <v>15</v>
      </c>
      <c r="E1227">
        <v>156.6</v>
      </c>
      <c r="F1227">
        <v>83.3</v>
      </c>
      <c r="G1227">
        <v>1424</v>
      </c>
      <c r="H1227">
        <v>185.1</v>
      </c>
      <c r="I1227">
        <v>7.9</v>
      </c>
      <c r="J1227">
        <v>79</v>
      </c>
      <c r="K1227" t="s">
        <v>16</v>
      </c>
      <c r="L1227">
        <v>0</v>
      </c>
      <c r="M1227">
        <v>2.0699999999999998</v>
      </c>
      <c r="N1227">
        <v>1</v>
      </c>
      <c r="O1227" t="s">
        <v>21</v>
      </c>
      <c r="P1227" cm="1">
        <f t="array" ref="P1227">_xlfn.SWITCH(Table2[[#This Row],[mood]], "Tired", 3, "Neutral", 2, "Happy", 1)</f>
        <v>1</v>
      </c>
    </row>
    <row r="1228" spans="1:16" x14ac:dyDescent="0.3">
      <c r="A1228">
        <v>1698</v>
      </c>
      <c r="B1228" s="1">
        <v>43231</v>
      </c>
      <c r="C1228">
        <v>53</v>
      </c>
      <c r="D1228" t="s">
        <v>15</v>
      </c>
      <c r="E1228">
        <v>154.80000000000001</v>
      </c>
      <c r="F1228">
        <v>64.599999999999994</v>
      </c>
      <c r="G1228">
        <v>12502</v>
      </c>
      <c r="H1228">
        <v>752.4</v>
      </c>
      <c r="I1228">
        <v>5.6</v>
      </c>
      <c r="J1228">
        <v>84</v>
      </c>
      <c r="K1228" t="s">
        <v>18</v>
      </c>
      <c r="L1228">
        <v>48</v>
      </c>
      <c r="M1228">
        <v>2.37</v>
      </c>
      <c r="N1228">
        <v>9</v>
      </c>
      <c r="O1228" t="s">
        <v>21</v>
      </c>
      <c r="P1228" cm="1">
        <f t="array" ref="P1228">_xlfn.SWITCH(Table2[[#This Row],[mood]], "Tired", 3, "Neutral", 2, "Happy", 1)</f>
        <v>1</v>
      </c>
    </row>
    <row r="1229" spans="1:16" x14ac:dyDescent="0.3">
      <c r="A1229">
        <v>1311</v>
      </c>
      <c r="B1229" s="1">
        <v>43232</v>
      </c>
      <c r="C1229">
        <v>39</v>
      </c>
      <c r="D1229" t="s">
        <v>20</v>
      </c>
      <c r="E1229">
        <v>177.1</v>
      </c>
      <c r="F1229">
        <v>75.2</v>
      </c>
      <c r="G1229">
        <v>4051</v>
      </c>
      <c r="H1229">
        <v>456.4</v>
      </c>
      <c r="I1229">
        <v>8.5</v>
      </c>
      <c r="J1229">
        <v>61</v>
      </c>
      <c r="K1229" t="s">
        <v>24</v>
      </c>
      <c r="L1229">
        <v>24</v>
      </c>
      <c r="M1229">
        <v>2.5499999999999998</v>
      </c>
      <c r="N1229">
        <v>1</v>
      </c>
      <c r="O1229" t="s">
        <v>19</v>
      </c>
      <c r="P1229" cm="1">
        <f t="array" ref="P1229">_xlfn.SWITCH(Table2[[#This Row],[mood]], "Tired", 3, "Neutral", 2, "Happy", 1)</f>
        <v>2</v>
      </c>
    </row>
    <row r="1230" spans="1:16" x14ac:dyDescent="0.3">
      <c r="A1230">
        <v>1882</v>
      </c>
      <c r="B1230" s="1">
        <v>43233</v>
      </c>
      <c r="C1230">
        <v>35</v>
      </c>
      <c r="D1230" t="s">
        <v>15</v>
      </c>
      <c r="E1230">
        <v>165.8</v>
      </c>
      <c r="F1230">
        <v>64.2</v>
      </c>
      <c r="G1230">
        <v>3905</v>
      </c>
      <c r="H1230">
        <v>456.6</v>
      </c>
      <c r="I1230">
        <v>5.4</v>
      </c>
      <c r="J1230">
        <v>93</v>
      </c>
      <c r="K1230" t="s">
        <v>25</v>
      </c>
      <c r="L1230">
        <v>29</v>
      </c>
      <c r="M1230">
        <v>2.48</v>
      </c>
      <c r="N1230">
        <v>8</v>
      </c>
      <c r="O1230" t="s">
        <v>21</v>
      </c>
      <c r="P1230" cm="1">
        <f t="array" ref="P1230">_xlfn.SWITCH(Table2[[#This Row],[mood]], "Tired", 3, "Neutral", 2, "Happy", 1)</f>
        <v>1</v>
      </c>
    </row>
    <row r="1231" spans="1:16" x14ac:dyDescent="0.3">
      <c r="A1231">
        <v>1006</v>
      </c>
      <c r="B1231" s="1">
        <v>43234</v>
      </c>
      <c r="C1231">
        <v>29</v>
      </c>
      <c r="D1231" t="s">
        <v>15</v>
      </c>
      <c r="E1231">
        <v>177.1</v>
      </c>
      <c r="F1231">
        <v>79.5</v>
      </c>
      <c r="G1231">
        <v>13238</v>
      </c>
      <c r="H1231">
        <v>786.3</v>
      </c>
      <c r="I1231">
        <v>7.4</v>
      </c>
      <c r="J1231">
        <v>88</v>
      </c>
      <c r="K1231" t="s">
        <v>18</v>
      </c>
      <c r="L1231">
        <v>80</v>
      </c>
      <c r="M1231">
        <v>2.5</v>
      </c>
      <c r="N1231">
        <v>9</v>
      </c>
      <c r="O1231" t="s">
        <v>21</v>
      </c>
      <c r="P1231" cm="1">
        <f t="array" ref="P1231">_xlfn.SWITCH(Table2[[#This Row],[mood]], "Tired", 3, "Neutral", 2, "Happy", 1)</f>
        <v>1</v>
      </c>
    </row>
    <row r="1232" spans="1:16" x14ac:dyDescent="0.3">
      <c r="A1232">
        <v>1002</v>
      </c>
      <c r="B1232" s="1">
        <v>43235</v>
      </c>
      <c r="C1232">
        <v>47</v>
      </c>
      <c r="D1232" t="s">
        <v>20</v>
      </c>
      <c r="E1232">
        <v>181.2</v>
      </c>
      <c r="F1232">
        <v>73.5</v>
      </c>
      <c r="G1232">
        <v>3694</v>
      </c>
      <c r="H1232">
        <v>329.2</v>
      </c>
      <c r="I1232">
        <v>6.4</v>
      </c>
      <c r="J1232">
        <v>70</v>
      </c>
      <c r="K1232" t="s">
        <v>23</v>
      </c>
      <c r="L1232">
        <v>20</v>
      </c>
      <c r="M1232">
        <v>1.36</v>
      </c>
      <c r="N1232">
        <v>1</v>
      </c>
      <c r="O1232" t="s">
        <v>21</v>
      </c>
      <c r="P1232" cm="1">
        <f t="array" ref="P1232">_xlfn.SWITCH(Table2[[#This Row],[mood]], "Tired", 3, "Neutral", 2, "Happy", 1)</f>
        <v>1</v>
      </c>
    </row>
    <row r="1233" spans="1:16" x14ac:dyDescent="0.3">
      <c r="A1233">
        <v>1622</v>
      </c>
      <c r="B1233" s="1">
        <v>43236</v>
      </c>
      <c r="C1233">
        <v>57</v>
      </c>
      <c r="D1233" t="s">
        <v>15</v>
      </c>
      <c r="E1233">
        <v>182</v>
      </c>
      <c r="F1233">
        <v>60.6</v>
      </c>
      <c r="G1233">
        <v>4595</v>
      </c>
      <c r="H1233">
        <v>383.9</v>
      </c>
      <c r="I1233">
        <v>6.9</v>
      </c>
      <c r="J1233">
        <v>67</v>
      </c>
      <c r="K1233" t="s">
        <v>24</v>
      </c>
      <c r="L1233">
        <v>66</v>
      </c>
      <c r="M1233">
        <v>4.13</v>
      </c>
      <c r="N1233">
        <v>1</v>
      </c>
      <c r="O1233" t="s">
        <v>21</v>
      </c>
      <c r="P1233" cm="1">
        <f t="array" ref="P1233">_xlfn.SWITCH(Table2[[#This Row],[mood]], "Tired", 3, "Neutral", 2, "Happy", 1)</f>
        <v>1</v>
      </c>
    </row>
    <row r="1234" spans="1:16" x14ac:dyDescent="0.3">
      <c r="A1234">
        <v>1918</v>
      </c>
      <c r="B1234" s="1">
        <v>43237</v>
      </c>
      <c r="C1234">
        <v>24</v>
      </c>
      <c r="D1234" t="s">
        <v>15</v>
      </c>
      <c r="E1234">
        <v>153.80000000000001</v>
      </c>
      <c r="F1234">
        <v>59.4</v>
      </c>
      <c r="G1234">
        <v>2267</v>
      </c>
      <c r="H1234">
        <v>274.5</v>
      </c>
      <c r="I1234">
        <v>8.6</v>
      </c>
      <c r="J1234">
        <v>82</v>
      </c>
      <c r="K1234" t="s">
        <v>22</v>
      </c>
      <c r="L1234">
        <v>76</v>
      </c>
      <c r="M1234">
        <v>2.66</v>
      </c>
      <c r="N1234">
        <v>10</v>
      </c>
      <c r="O1234" t="s">
        <v>19</v>
      </c>
      <c r="P1234" cm="1">
        <f t="array" ref="P1234">_xlfn.SWITCH(Table2[[#This Row],[mood]], "Tired", 3, "Neutral", 2, "Happy", 1)</f>
        <v>2</v>
      </c>
    </row>
    <row r="1235" spans="1:16" x14ac:dyDescent="0.3">
      <c r="A1235">
        <v>1749</v>
      </c>
      <c r="B1235" s="1">
        <v>43238</v>
      </c>
      <c r="C1235">
        <v>49</v>
      </c>
      <c r="D1235" t="s">
        <v>15</v>
      </c>
      <c r="E1235">
        <v>163</v>
      </c>
      <c r="F1235">
        <v>74</v>
      </c>
      <c r="G1235">
        <v>1421</v>
      </c>
      <c r="H1235">
        <v>196.2</v>
      </c>
      <c r="I1235">
        <v>6.5</v>
      </c>
      <c r="J1235">
        <v>59</v>
      </c>
      <c r="K1235" t="s">
        <v>22</v>
      </c>
      <c r="L1235">
        <v>33</v>
      </c>
      <c r="M1235">
        <v>2.81</v>
      </c>
      <c r="N1235">
        <v>7</v>
      </c>
      <c r="O1235" t="s">
        <v>17</v>
      </c>
      <c r="P1235" cm="1">
        <f t="array" ref="P1235">_xlfn.SWITCH(Table2[[#This Row],[mood]], "Tired", 3, "Neutral", 2, "Happy", 1)</f>
        <v>3</v>
      </c>
    </row>
    <row r="1236" spans="1:16" x14ac:dyDescent="0.3">
      <c r="A1236">
        <v>1362</v>
      </c>
      <c r="B1236" s="1">
        <v>43239</v>
      </c>
      <c r="C1236">
        <v>36</v>
      </c>
      <c r="D1236" t="s">
        <v>15</v>
      </c>
      <c r="E1236">
        <v>175.4</v>
      </c>
      <c r="F1236">
        <v>87.4</v>
      </c>
      <c r="G1236">
        <v>8017</v>
      </c>
      <c r="H1236">
        <v>505.9</v>
      </c>
      <c r="I1236">
        <v>8.6999999999999993</v>
      </c>
      <c r="J1236">
        <v>68</v>
      </c>
      <c r="K1236" t="s">
        <v>16</v>
      </c>
      <c r="L1236">
        <v>0</v>
      </c>
      <c r="M1236">
        <v>2.2599999999999998</v>
      </c>
      <c r="N1236">
        <v>10</v>
      </c>
      <c r="O1236" t="s">
        <v>17</v>
      </c>
      <c r="P1236" cm="1">
        <f t="array" ref="P1236">_xlfn.SWITCH(Table2[[#This Row],[mood]], "Tired", 3, "Neutral", 2, "Happy", 1)</f>
        <v>3</v>
      </c>
    </row>
    <row r="1237" spans="1:16" x14ac:dyDescent="0.3">
      <c r="A1237">
        <v>1750</v>
      </c>
      <c r="B1237" s="1">
        <v>43240</v>
      </c>
      <c r="C1237">
        <v>23</v>
      </c>
      <c r="D1237" t="s">
        <v>20</v>
      </c>
      <c r="E1237">
        <v>175.5</v>
      </c>
      <c r="F1237">
        <v>83.5</v>
      </c>
      <c r="G1237">
        <v>10849</v>
      </c>
      <c r="H1237">
        <v>679.4</v>
      </c>
      <c r="I1237">
        <v>6.4</v>
      </c>
      <c r="J1237">
        <v>65</v>
      </c>
      <c r="K1237" t="s">
        <v>16</v>
      </c>
      <c r="L1237">
        <v>0</v>
      </c>
      <c r="M1237">
        <v>1.89</v>
      </c>
      <c r="N1237">
        <v>5</v>
      </c>
      <c r="O1237" t="s">
        <v>21</v>
      </c>
      <c r="P1237" cm="1">
        <f t="array" ref="P1237">_xlfn.SWITCH(Table2[[#This Row],[mood]], "Tired", 3, "Neutral", 2, "Happy", 1)</f>
        <v>1</v>
      </c>
    </row>
    <row r="1238" spans="1:16" x14ac:dyDescent="0.3">
      <c r="A1238">
        <v>1507</v>
      </c>
      <c r="B1238" s="1">
        <v>43241</v>
      </c>
      <c r="C1238">
        <v>37</v>
      </c>
      <c r="D1238" t="s">
        <v>15</v>
      </c>
      <c r="E1238">
        <v>192.5</v>
      </c>
      <c r="F1238">
        <v>55.9</v>
      </c>
      <c r="G1238">
        <v>19484</v>
      </c>
      <c r="H1238">
        <v>900</v>
      </c>
      <c r="I1238">
        <v>7.2</v>
      </c>
      <c r="J1238">
        <v>74</v>
      </c>
      <c r="K1238" t="s">
        <v>24</v>
      </c>
      <c r="L1238">
        <v>35</v>
      </c>
      <c r="M1238">
        <v>2.61</v>
      </c>
      <c r="N1238">
        <v>3</v>
      </c>
      <c r="O1238" t="s">
        <v>17</v>
      </c>
      <c r="P1238" cm="1">
        <f t="array" ref="P1238">_xlfn.SWITCH(Table2[[#This Row],[mood]], "Tired", 3, "Neutral", 2, "Happy", 1)</f>
        <v>3</v>
      </c>
    </row>
    <row r="1239" spans="1:16" x14ac:dyDescent="0.3">
      <c r="A1239">
        <v>1273</v>
      </c>
      <c r="B1239" s="1">
        <v>43242</v>
      </c>
      <c r="C1239">
        <v>44</v>
      </c>
      <c r="D1239" t="s">
        <v>15</v>
      </c>
      <c r="E1239">
        <v>160.9</v>
      </c>
      <c r="F1239">
        <v>57.4</v>
      </c>
      <c r="G1239">
        <v>17349</v>
      </c>
      <c r="H1239">
        <v>779.9</v>
      </c>
      <c r="I1239">
        <v>10</v>
      </c>
      <c r="J1239">
        <v>71</v>
      </c>
      <c r="K1239" t="s">
        <v>16</v>
      </c>
      <c r="L1239">
        <v>0</v>
      </c>
      <c r="M1239">
        <v>2.7</v>
      </c>
      <c r="N1239">
        <v>9</v>
      </c>
      <c r="O1239" t="s">
        <v>17</v>
      </c>
      <c r="P1239" cm="1">
        <f t="array" ref="P1239">_xlfn.SWITCH(Table2[[#This Row],[mood]], "Tired", 3, "Neutral", 2, "Happy", 1)</f>
        <v>3</v>
      </c>
    </row>
    <row r="1240" spans="1:16" x14ac:dyDescent="0.3">
      <c r="A1240">
        <v>1505</v>
      </c>
      <c r="B1240" s="1">
        <v>43243</v>
      </c>
      <c r="C1240">
        <v>54</v>
      </c>
      <c r="D1240" t="s">
        <v>15</v>
      </c>
      <c r="E1240">
        <v>181.7</v>
      </c>
      <c r="F1240">
        <v>59.6</v>
      </c>
      <c r="G1240">
        <v>13131</v>
      </c>
      <c r="H1240">
        <v>662.6</v>
      </c>
      <c r="I1240">
        <v>7.2</v>
      </c>
      <c r="J1240">
        <v>67</v>
      </c>
      <c r="K1240" t="s">
        <v>16</v>
      </c>
      <c r="L1240">
        <v>0</v>
      </c>
      <c r="M1240">
        <v>3.41</v>
      </c>
      <c r="N1240">
        <v>2</v>
      </c>
      <c r="O1240" t="s">
        <v>21</v>
      </c>
      <c r="P1240" cm="1">
        <f t="array" ref="P1240">_xlfn.SWITCH(Table2[[#This Row],[mood]], "Tired", 3, "Neutral", 2, "Happy", 1)</f>
        <v>1</v>
      </c>
    </row>
    <row r="1241" spans="1:16" x14ac:dyDescent="0.3">
      <c r="A1241">
        <v>1805</v>
      </c>
      <c r="B1241" s="1">
        <v>43244</v>
      </c>
      <c r="C1241">
        <v>24</v>
      </c>
      <c r="D1241" t="s">
        <v>15</v>
      </c>
      <c r="E1241">
        <v>173.7</v>
      </c>
      <c r="F1241">
        <v>61.1</v>
      </c>
      <c r="G1241">
        <v>9876</v>
      </c>
      <c r="H1241">
        <v>636</v>
      </c>
      <c r="I1241">
        <v>6.9</v>
      </c>
      <c r="J1241">
        <v>66</v>
      </c>
      <c r="K1241" t="s">
        <v>24</v>
      </c>
      <c r="L1241">
        <v>83</v>
      </c>
      <c r="M1241">
        <v>3.95</v>
      </c>
      <c r="N1241">
        <v>6</v>
      </c>
      <c r="O1241" t="s">
        <v>21</v>
      </c>
      <c r="P1241" cm="1">
        <f t="array" ref="P1241">_xlfn.SWITCH(Table2[[#This Row],[mood]], "Tired", 3, "Neutral", 2, "Happy", 1)</f>
        <v>1</v>
      </c>
    </row>
    <row r="1242" spans="1:16" x14ac:dyDescent="0.3">
      <c r="A1242">
        <v>1738</v>
      </c>
      <c r="B1242" s="1">
        <v>43245</v>
      </c>
      <c r="C1242">
        <v>22</v>
      </c>
      <c r="D1242" t="s">
        <v>20</v>
      </c>
      <c r="E1242">
        <v>153.6</v>
      </c>
      <c r="F1242">
        <v>45</v>
      </c>
      <c r="G1242">
        <v>3226</v>
      </c>
      <c r="H1242">
        <v>243.1</v>
      </c>
      <c r="I1242">
        <v>7.2</v>
      </c>
      <c r="J1242">
        <v>69</v>
      </c>
      <c r="K1242" t="s">
        <v>18</v>
      </c>
      <c r="L1242">
        <v>79</v>
      </c>
      <c r="M1242">
        <v>3.53</v>
      </c>
      <c r="N1242">
        <v>4</v>
      </c>
      <c r="O1242" t="s">
        <v>17</v>
      </c>
      <c r="P1242" cm="1">
        <f t="array" ref="P1242">_xlfn.SWITCH(Table2[[#This Row],[mood]], "Tired", 3, "Neutral", 2, "Happy", 1)</f>
        <v>3</v>
      </c>
    </row>
    <row r="1243" spans="1:16" x14ac:dyDescent="0.3">
      <c r="A1243">
        <v>1882</v>
      </c>
      <c r="B1243" s="1">
        <v>43246</v>
      </c>
      <c r="C1243">
        <v>28</v>
      </c>
      <c r="D1243" t="s">
        <v>15</v>
      </c>
      <c r="E1243">
        <v>164.5</v>
      </c>
      <c r="F1243">
        <v>81.900000000000006</v>
      </c>
      <c r="G1243">
        <v>5388</v>
      </c>
      <c r="H1243">
        <v>391.9</v>
      </c>
      <c r="I1243">
        <v>6.5</v>
      </c>
      <c r="J1243">
        <v>63</v>
      </c>
      <c r="K1243" t="s">
        <v>24</v>
      </c>
      <c r="L1243">
        <v>38</v>
      </c>
      <c r="M1243">
        <v>1.26</v>
      </c>
      <c r="N1243">
        <v>5</v>
      </c>
      <c r="O1243" t="s">
        <v>19</v>
      </c>
      <c r="P1243" cm="1">
        <f t="array" ref="P1243">_xlfn.SWITCH(Table2[[#This Row],[mood]], "Tired", 3, "Neutral", 2, "Happy", 1)</f>
        <v>2</v>
      </c>
    </row>
    <row r="1244" spans="1:16" x14ac:dyDescent="0.3">
      <c r="A1244">
        <v>1014</v>
      </c>
      <c r="B1244" s="1">
        <v>43247</v>
      </c>
      <c r="C1244">
        <v>32</v>
      </c>
      <c r="D1244" t="s">
        <v>20</v>
      </c>
      <c r="E1244">
        <v>172.6</v>
      </c>
      <c r="F1244">
        <v>63.2</v>
      </c>
      <c r="G1244">
        <v>3422</v>
      </c>
      <c r="H1244">
        <v>317.7</v>
      </c>
      <c r="I1244">
        <v>5.5</v>
      </c>
      <c r="J1244">
        <v>80</v>
      </c>
      <c r="K1244" t="s">
        <v>24</v>
      </c>
      <c r="L1244">
        <v>66</v>
      </c>
      <c r="M1244">
        <v>2.1800000000000002</v>
      </c>
      <c r="N1244">
        <v>2</v>
      </c>
      <c r="O1244" t="s">
        <v>17</v>
      </c>
      <c r="P1244" cm="1">
        <f t="array" ref="P1244">_xlfn.SWITCH(Table2[[#This Row],[mood]], "Tired", 3, "Neutral", 2, "Happy", 1)</f>
        <v>3</v>
      </c>
    </row>
    <row r="1245" spans="1:16" x14ac:dyDescent="0.3">
      <c r="A1245">
        <v>1191</v>
      </c>
      <c r="B1245" s="1">
        <v>43248</v>
      </c>
      <c r="C1245">
        <v>20</v>
      </c>
      <c r="D1245" t="s">
        <v>15</v>
      </c>
      <c r="E1245">
        <v>153</v>
      </c>
      <c r="F1245">
        <v>76.900000000000006</v>
      </c>
      <c r="G1245">
        <v>8226</v>
      </c>
      <c r="H1245">
        <v>541.9</v>
      </c>
      <c r="I1245">
        <v>10</v>
      </c>
      <c r="J1245">
        <v>86</v>
      </c>
      <c r="K1245" t="s">
        <v>16</v>
      </c>
      <c r="L1245">
        <v>0</v>
      </c>
      <c r="M1245">
        <v>2.74</v>
      </c>
      <c r="N1245">
        <v>1</v>
      </c>
      <c r="O1245" t="s">
        <v>21</v>
      </c>
      <c r="P1245" cm="1">
        <f t="array" ref="P1245">_xlfn.SWITCH(Table2[[#This Row],[mood]], "Tired", 3, "Neutral", 2, "Happy", 1)</f>
        <v>1</v>
      </c>
    </row>
    <row r="1246" spans="1:16" x14ac:dyDescent="0.3">
      <c r="A1246">
        <v>1984</v>
      </c>
      <c r="B1246" s="1">
        <v>43249</v>
      </c>
      <c r="C1246">
        <v>22</v>
      </c>
      <c r="D1246" t="s">
        <v>20</v>
      </c>
      <c r="E1246">
        <v>150</v>
      </c>
      <c r="F1246">
        <v>65.3</v>
      </c>
      <c r="G1246">
        <v>10269</v>
      </c>
      <c r="H1246">
        <v>622.5</v>
      </c>
      <c r="I1246">
        <v>6.4</v>
      </c>
      <c r="J1246">
        <v>79</v>
      </c>
      <c r="K1246" t="s">
        <v>23</v>
      </c>
      <c r="L1246">
        <v>49</v>
      </c>
      <c r="M1246">
        <v>2.2200000000000002</v>
      </c>
      <c r="N1246">
        <v>9</v>
      </c>
      <c r="O1246" t="s">
        <v>17</v>
      </c>
      <c r="P1246" cm="1">
        <f t="array" ref="P1246">_xlfn.SWITCH(Table2[[#This Row],[mood]], "Tired", 3, "Neutral", 2, "Happy", 1)</f>
        <v>3</v>
      </c>
    </row>
    <row r="1247" spans="1:16" x14ac:dyDescent="0.3">
      <c r="A1247">
        <v>1630</v>
      </c>
      <c r="B1247" s="1">
        <v>43250</v>
      </c>
      <c r="C1247">
        <v>40</v>
      </c>
      <c r="D1247" t="s">
        <v>20</v>
      </c>
      <c r="E1247">
        <v>152.4</v>
      </c>
      <c r="F1247">
        <v>69.7</v>
      </c>
      <c r="G1247">
        <v>13177</v>
      </c>
      <c r="H1247">
        <v>747.1</v>
      </c>
      <c r="I1247">
        <v>4.7</v>
      </c>
      <c r="J1247">
        <v>89</v>
      </c>
      <c r="K1247" t="s">
        <v>22</v>
      </c>
      <c r="L1247">
        <v>66</v>
      </c>
      <c r="M1247">
        <v>2.4700000000000002</v>
      </c>
      <c r="N1247">
        <v>3</v>
      </c>
      <c r="O1247" t="s">
        <v>17</v>
      </c>
      <c r="P1247" cm="1">
        <f t="array" ref="P1247">_xlfn.SWITCH(Table2[[#This Row],[mood]], "Tired", 3, "Neutral", 2, "Happy", 1)</f>
        <v>3</v>
      </c>
    </row>
    <row r="1248" spans="1:16" x14ac:dyDescent="0.3">
      <c r="A1248">
        <v>1484</v>
      </c>
      <c r="B1248" s="1">
        <v>43251</v>
      </c>
      <c r="C1248">
        <v>54</v>
      </c>
      <c r="D1248" t="s">
        <v>20</v>
      </c>
      <c r="E1248">
        <v>172.6</v>
      </c>
      <c r="F1248">
        <v>59.7</v>
      </c>
      <c r="G1248">
        <v>13032</v>
      </c>
      <c r="H1248">
        <v>713.8</v>
      </c>
      <c r="I1248">
        <v>6.8</v>
      </c>
      <c r="J1248">
        <v>67</v>
      </c>
      <c r="K1248" t="s">
        <v>16</v>
      </c>
      <c r="L1248">
        <v>0</v>
      </c>
      <c r="M1248">
        <v>1</v>
      </c>
      <c r="N1248">
        <v>6</v>
      </c>
      <c r="O1248" t="s">
        <v>19</v>
      </c>
      <c r="P1248" cm="1">
        <f t="array" ref="P1248">_xlfn.SWITCH(Table2[[#This Row],[mood]], "Tired", 3, "Neutral", 2, "Happy", 1)</f>
        <v>2</v>
      </c>
    </row>
    <row r="1249" spans="1:16" x14ac:dyDescent="0.3">
      <c r="A1249">
        <v>1027</v>
      </c>
      <c r="B1249" s="1">
        <v>43252</v>
      </c>
      <c r="C1249">
        <v>26</v>
      </c>
      <c r="D1249" t="s">
        <v>20</v>
      </c>
      <c r="E1249">
        <v>165.2</v>
      </c>
      <c r="F1249">
        <v>69.599999999999994</v>
      </c>
      <c r="G1249">
        <v>12508</v>
      </c>
      <c r="H1249">
        <v>653.1</v>
      </c>
      <c r="I1249">
        <v>7.5</v>
      </c>
      <c r="J1249">
        <v>68</v>
      </c>
      <c r="K1249" t="s">
        <v>18</v>
      </c>
      <c r="L1249">
        <v>40</v>
      </c>
      <c r="M1249">
        <v>3.14</v>
      </c>
      <c r="N1249">
        <v>9</v>
      </c>
      <c r="O1249" t="s">
        <v>17</v>
      </c>
      <c r="P1249" cm="1">
        <f t="array" ref="P1249">_xlfn.SWITCH(Table2[[#This Row],[mood]], "Tired", 3, "Neutral", 2, "Happy", 1)</f>
        <v>3</v>
      </c>
    </row>
    <row r="1250" spans="1:16" x14ac:dyDescent="0.3">
      <c r="A1250">
        <v>1713</v>
      </c>
      <c r="B1250" s="1">
        <v>43253</v>
      </c>
      <c r="C1250">
        <v>32</v>
      </c>
      <c r="D1250" t="s">
        <v>20</v>
      </c>
      <c r="E1250">
        <v>163.80000000000001</v>
      </c>
      <c r="F1250">
        <v>56.9</v>
      </c>
      <c r="G1250">
        <v>8316</v>
      </c>
      <c r="H1250">
        <v>577.70000000000005</v>
      </c>
      <c r="I1250">
        <v>6.7</v>
      </c>
      <c r="J1250">
        <v>79</v>
      </c>
      <c r="K1250" t="s">
        <v>25</v>
      </c>
      <c r="L1250">
        <v>82</v>
      </c>
      <c r="M1250">
        <v>1.19</v>
      </c>
      <c r="N1250">
        <v>1</v>
      </c>
      <c r="O1250" t="s">
        <v>17</v>
      </c>
      <c r="P1250" cm="1">
        <f t="array" ref="P1250">_xlfn.SWITCH(Table2[[#This Row],[mood]], "Tired", 3, "Neutral", 2, "Happy", 1)</f>
        <v>3</v>
      </c>
    </row>
    <row r="1251" spans="1:16" x14ac:dyDescent="0.3">
      <c r="A1251">
        <v>1038</v>
      </c>
      <c r="B1251" s="1">
        <v>43254</v>
      </c>
      <c r="C1251">
        <v>20</v>
      </c>
      <c r="D1251" t="s">
        <v>15</v>
      </c>
      <c r="E1251">
        <v>164.1</v>
      </c>
      <c r="F1251">
        <v>69.7</v>
      </c>
      <c r="G1251">
        <v>3843</v>
      </c>
      <c r="H1251">
        <v>265.5</v>
      </c>
      <c r="I1251">
        <v>6.9</v>
      </c>
      <c r="J1251">
        <v>81</v>
      </c>
      <c r="K1251" t="s">
        <v>18</v>
      </c>
      <c r="L1251">
        <v>61</v>
      </c>
      <c r="M1251">
        <v>1.4</v>
      </c>
      <c r="N1251">
        <v>5</v>
      </c>
      <c r="O1251" t="s">
        <v>21</v>
      </c>
      <c r="P1251" cm="1">
        <f t="array" ref="P1251">_xlfn.SWITCH(Table2[[#This Row],[mood]], "Tired", 3, "Neutral", 2, "Happy", 1)</f>
        <v>1</v>
      </c>
    </row>
    <row r="1252" spans="1:16" x14ac:dyDescent="0.3">
      <c r="A1252">
        <v>1952</v>
      </c>
      <c r="B1252" s="1">
        <v>43255</v>
      </c>
      <c r="C1252">
        <v>46</v>
      </c>
      <c r="D1252" t="s">
        <v>15</v>
      </c>
      <c r="E1252">
        <v>155.80000000000001</v>
      </c>
      <c r="F1252">
        <v>91.9</v>
      </c>
      <c r="G1252">
        <v>5111</v>
      </c>
      <c r="H1252">
        <v>443.5</v>
      </c>
      <c r="I1252">
        <v>6.8</v>
      </c>
      <c r="J1252">
        <v>75</v>
      </c>
      <c r="K1252" t="s">
        <v>22</v>
      </c>
      <c r="L1252">
        <v>80</v>
      </c>
      <c r="M1252">
        <v>1.79</v>
      </c>
      <c r="N1252">
        <v>4</v>
      </c>
      <c r="O1252" t="s">
        <v>19</v>
      </c>
      <c r="P1252" cm="1">
        <f t="array" ref="P1252">_xlfn.SWITCH(Table2[[#This Row],[mood]], "Tired", 3, "Neutral", 2, "Happy", 1)</f>
        <v>2</v>
      </c>
    </row>
    <row r="1253" spans="1:16" x14ac:dyDescent="0.3">
      <c r="A1253">
        <v>1272</v>
      </c>
      <c r="B1253" s="1">
        <v>43256</v>
      </c>
      <c r="C1253">
        <v>23</v>
      </c>
      <c r="D1253" t="s">
        <v>15</v>
      </c>
      <c r="E1253">
        <v>165.4</v>
      </c>
      <c r="F1253">
        <v>77.8</v>
      </c>
      <c r="G1253">
        <v>13463</v>
      </c>
      <c r="H1253">
        <v>795.7</v>
      </c>
      <c r="I1253">
        <v>7.6</v>
      </c>
      <c r="J1253">
        <v>75</v>
      </c>
      <c r="K1253" t="s">
        <v>25</v>
      </c>
      <c r="L1253">
        <v>62</v>
      </c>
      <c r="M1253">
        <v>2.4300000000000002</v>
      </c>
      <c r="N1253">
        <v>3</v>
      </c>
      <c r="O1253" t="s">
        <v>17</v>
      </c>
      <c r="P1253" cm="1">
        <f t="array" ref="P1253">_xlfn.SWITCH(Table2[[#This Row],[mood]], "Tired", 3, "Neutral", 2, "Happy", 1)</f>
        <v>3</v>
      </c>
    </row>
    <row r="1254" spans="1:16" x14ac:dyDescent="0.3">
      <c r="A1254">
        <v>1230</v>
      </c>
      <c r="B1254" s="1">
        <v>43257</v>
      </c>
      <c r="C1254">
        <v>34</v>
      </c>
      <c r="D1254" t="s">
        <v>20</v>
      </c>
      <c r="E1254">
        <v>151.80000000000001</v>
      </c>
      <c r="F1254">
        <v>74.400000000000006</v>
      </c>
      <c r="G1254">
        <v>14778</v>
      </c>
      <c r="H1254">
        <v>900</v>
      </c>
      <c r="I1254">
        <v>8.1999999999999993</v>
      </c>
      <c r="J1254">
        <v>64</v>
      </c>
      <c r="K1254" t="s">
        <v>24</v>
      </c>
      <c r="L1254">
        <v>87</v>
      </c>
      <c r="M1254">
        <v>1.36</v>
      </c>
      <c r="N1254">
        <v>2</v>
      </c>
      <c r="O1254" t="s">
        <v>17</v>
      </c>
      <c r="P1254" cm="1">
        <f t="array" ref="P1254">_xlfn.SWITCH(Table2[[#This Row],[mood]], "Tired", 3, "Neutral", 2, "Happy", 1)</f>
        <v>3</v>
      </c>
    </row>
    <row r="1255" spans="1:16" x14ac:dyDescent="0.3">
      <c r="A1255">
        <v>1085</v>
      </c>
      <c r="B1255" s="1">
        <v>43258</v>
      </c>
      <c r="C1255">
        <v>43</v>
      </c>
      <c r="D1255" t="s">
        <v>15</v>
      </c>
      <c r="E1255">
        <v>181.9</v>
      </c>
      <c r="F1255">
        <v>50.2</v>
      </c>
      <c r="G1255">
        <v>19287</v>
      </c>
      <c r="H1255">
        <v>900</v>
      </c>
      <c r="I1255">
        <v>6.7</v>
      </c>
      <c r="J1255">
        <v>50</v>
      </c>
      <c r="K1255" t="s">
        <v>23</v>
      </c>
      <c r="L1255">
        <v>45</v>
      </c>
      <c r="M1255">
        <v>1.76</v>
      </c>
      <c r="N1255">
        <v>3</v>
      </c>
      <c r="O1255" t="s">
        <v>21</v>
      </c>
      <c r="P1255" cm="1">
        <f t="array" ref="P1255">_xlfn.SWITCH(Table2[[#This Row],[mood]], "Tired", 3, "Neutral", 2, "Happy", 1)</f>
        <v>1</v>
      </c>
    </row>
    <row r="1256" spans="1:16" x14ac:dyDescent="0.3">
      <c r="A1256">
        <v>1473</v>
      </c>
      <c r="B1256" s="1">
        <v>43259</v>
      </c>
      <c r="C1256">
        <v>38</v>
      </c>
      <c r="D1256" t="s">
        <v>20</v>
      </c>
      <c r="E1256">
        <v>186.9</v>
      </c>
      <c r="F1256">
        <v>78.5</v>
      </c>
      <c r="G1256">
        <v>5224</v>
      </c>
      <c r="H1256">
        <v>381</v>
      </c>
      <c r="I1256">
        <v>10</v>
      </c>
      <c r="J1256">
        <v>81</v>
      </c>
      <c r="K1256" t="s">
        <v>23</v>
      </c>
      <c r="L1256">
        <v>52</v>
      </c>
      <c r="M1256">
        <v>3.3</v>
      </c>
      <c r="N1256">
        <v>1</v>
      </c>
      <c r="O1256" t="s">
        <v>21</v>
      </c>
      <c r="P1256" cm="1">
        <f t="array" ref="P1256">_xlfn.SWITCH(Table2[[#This Row],[mood]], "Tired", 3, "Neutral", 2, "Happy", 1)</f>
        <v>1</v>
      </c>
    </row>
    <row r="1257" spans="1:16" x14ac:dyDescent="0.3">
      <c r="A1257">
        <v>1125</v>
      </c>
      <c r="B1257" s="1">
        <v>43260</v>
      </c>
      <c r="C1257">
        <v>25</v>
      </c>
      <c r="D1257" t="s">
        <v>20</v>
      </c>
      <c r="E1257">
        <v>150</v>
      </c>
      <c r="F1257">
        <v>80</v>
      </c>
      <c r="G1257">
        <v>5979</v>
      </c>
      <c r="H1257">
        <v>441.8</v>
      </c>
      <c r="I1257">
        <v>8.6</v>
      </c>
      <c r="J1257">
        <v>85</v>
      </c>
      <c r="K1257" t="s">
        <v>22</v>
      </c>
      <c r="L1257">
        <v>52</v>
      </c>
      <c r="M1257">
        <v>2.42</v>
      </c>
      <c r="N1257">
        <v>1</v>
      </c>
      <c r="O1257" t="s">
        <v>19</v>
      </c>
      <c r="P1257" cm="1">
        <f t="array" ref="P1257">_xlfn.SWITCH(Table2[[#This Row],[mood]], "Tired", 3, "Neutral", 2, "Happy", 1)</f>
        <v>2</v>
      </c>
    </row>
    <row r="1258" spans="1:16" x14ac:dyDescent="0.3">
      <c r="A1258">
        <v>1811</v>
      </c>
      <c r="B1258" s="1">
        <v>43261</v>
      </c>
      <c r="C1258">
        <v>38</v>
      </c>
      <c r="D1258" t="s">
        <v>15</v>
      </c>
      <c r="E1258">
        <v>165.3</v>
      </c>
      <c r="F1258">
        <v>74</v>
      </c>
      <c r="G1258">
        <v>17809</v>
      </c>
      <c r="H1258">
        <v>900</v>
      </c>
      <c r="I1258">
        <v>7</v>
      </c>
      <c r="J1258">
        <v>71</v>
      </c>
      <c r="K1258" t="s">
        <v>16</v>
      </c>
      <c r="L1258">
        <v>0</v>
      </c>
      <c r="M1258">
        <v>2.8</v>
      </c>
      <c r="N1258">
        <v>8</v>
      </c>
      <c r="O1258" t="s">
        <v>19</v>
      </c>
      <c r="P1258" cm="1">
        <f t="array" ref="P1258">_xlfn.SWITCH(Table2[[#This Row],[mood]], "Tired", 3, "Neutral", 2, "Happy", 1)</f>
        <v>2</v>
      </c>
    </row>
    <row r="1259" spans="1:16" x14ac:dyDescent="0.3">
      <c r="A1259">
        <v>1536</v>
      </c>
      <c r="B1259" s="1">
        <v>43262</v>
      </c>
      <c r="C1259">
        <v>28</v>
      </c>
      <c r="D1259" t="s">
        <v>15</v>
      </c>
      <c r="E1259">
        <v>166</v>
      </c>
      <c r="F1259">
        <v>73.2</v>
      </c>
      <c r="G1259">
        <v>3401</v>
      </c>
      <c r="H1259">
        <v>377.8</v>
      </c>
      <c r="I1259">
        <v>5</v>
      </c>
      <c r="J1259">
        <v>69</v>
      </c>
      <c r="K1259" t="s">
        <v>22</v>
      </c>
      <c r="L1259">
        <v>60</v>
      </c>
      <c r="M1259">
        <v>1.63</v>
      </c>
      <c r="N1259">
        <v>5</v>
      </c>
      <c r="O1259" t="s">
        <v>19</v>
      </c>
      <c r="P1259" cm="1">
        <f t="array" ref="P1259">_xlfn.SWITCH(Table2[[#This Row],[mood]], "Tired", 3, "Neutral", 2, "Happy", 1)</f>
        <v>2</v>
      </c>
    </row>
    <row r="1260" spans="1:16" x14ac:dyDescent="0.3">
      <c r="A1260">
        <v>1144</v>
      </c>
      <c r="B1260" s="1">
        <v>43263</v>
      </c>
      <c r="C1260">
        <v>55</v>
      </c>
      <c r="D1260" t="s">
        <v>20</v>
      </c>
      <c r="E1260">
        <v>168.3</v>
      </c>
      <c r="F1260">
        <v>67.900000000000006</v>
      </c>
      <c r="G1260">
        <v>9941</v>
      </c>
      <c r="H1260">
        <v>623.79999999999995</v>
      </c>
      <c r="I1260">
        <v>7.2</v>
      </c>
      <c r="J1260">
        <v>68</v>
      </c>
      <c r="K1260" t="s">
        <v>23</v>
      </c>
      <c r="L1260">
        <v>55</v>
      </c>
      <c r="M1260">
        <v>2.46</v>
      </c>
      <c r="N1260">
        <v>2</v>
      </c>
      <c r="O1260" t="s">
        <v>21</v>
      </c>
      <c r="P1260" cm="1">
        <f t="array" ref="P1260">_xlfn.SWITCH(Table2[[#This Row],[mood]], "Tired", 3, "Neutral", 2, "Happy", 1)</f>
        <v>1</v>
      </c>
    </row>
    <row r="1261" spans="1:16" x14ac:dyDescent="0.3">
      <c r="A1261">
        <v>1524</v>
      </c>
      <c r="B1261" s="1">
        <v>43264</v>
      </c>
      <c r="C1261">
        <v>25</v>
      </c>
      <c r="D1261" t="s">
        <v>20</v>
      </c>
      <c r="E1261">
        <v>180</v>
      </c>
      <c r="F1261">
        <v>79.7</v>
      </c>
      <c r="G1261">
        <v>16685</v>
      </c>
      <c r="H1261">
        <v>849.8</v>
      </c>
      <c r="I1261">
        <v>8.1999999999999993</v>
      </c>
      <c r="J1261">
        <v>71</v>
      </c>
      <c r="K1261" t="s">
        <v>25</v>
      </c>
      <c r="L1261">
        <v>41</v>
      </c>
      <c r="M1261">
        <v>2.4</v>
      </c>
      <c r="N1261">
        <v>3</v>
      </c>
      <c r="O1261" t="s">
        <v>21</v>
      </c>
      <c r="P1261" cm="1">
        <f t="array" ref="P1261">_xlfn.SWITCH(Table2[[#This Row],[mood]], "Tired", 3, "Neutral", 2, "Happy", 1)</f>
        <v>1</v>
      </c>
    </row>
    <row r="1262" spans="1:16" x14ac:dyDescent="0.3">
      <c r="A1262">
        <v>1211</v>
      </c>
      <c r="B1262" s="1">
        <v>43265</v>
      </c>
      <c r="C1262">
        <v>59</v>
      </c>
      <c r="D1262" t="s">
        <v>15</v>
      </c>
      <c r="E1262">
        <v>165.3</v>
      </c>
      <c r="F1262">
        <v>91</v>
      </c>
      <c r="G1262">
        <v>16963</v>
      </c>
      <c r="H1262">
        <v>873.6</v>
      </c>
      <c r="I1262">
        <v>8.1999999999999993</v>
      </c>
      <c r="J1262">
        <v>85</v>
      </c>
      <c r="K1262" t="s">
        <v>25</v>
      </c>
      <c r="L1262">
        <v>66</v>
      </c>
      <c r="M1262">
        <v>1.94</v>
      </c>
      <c r="N1262">
        <v>2</v>
      </c>
      <c r="O1262" t="s">
        <v>21</v>
      </c>
      <c r="P1262" cm="1">
        <f t="array" ref="P1262">_xlfn.SWITCH(Table2[[#This Row],[mood]], "Tired", 3, "Neutral", 2, "Happy", 1)</f>
        <v>1</v>
      </c>
    </row>
    <row r="1263" spans="1:16" x14ac:dyDescent="0.3">
      <c r="A1263">
        <v>1024</v>
      </c>
      <c r="B1263" s="1">
        <v>43266</v>
      </c>
      <c r="C1263">
        <v>41</v>
      </c>
      <c r="D1263" t="s">
        <v>15</v>
      </c>
      <c r="E1263">
        <v>169.1</v>
      </c>
      <c r="F1263">
        <v>75</v>
      </c>
      <c r="G1263">
        <v>17427</v>
      </c>
      <c r="H1263">
        <v>900</v>
      </c>
      <c r="I1263">
        <v>4.2</v>
      </c>
      <c r="J1263">
        <v>66</v>
      </c>
      <c r="K1263" t="s">
        <v>16</v>
      </c>
      <c r="L1263">
        <v>0</v>
      </c>
      <c r="M1263">
        <v>2.46</v>
      </c>
      <c r="N1263">
        <v>10</v>
      </c>
      <c r="O1263" t="s">
        <v>21</v>
      </c>
      <c r="P1263" cm="1">
        <f t="array" ref="P1263">_xlfn.SWITCH(Table2[[#This Row],[mood]], "Tired", 3, "Neutral", 2, "Happy", 1)</f>
        <v>1</v>
      </c>
    </row>
    <row r="1264" spans="1:16" x14ac:dyDescent="0.3">
      <c r="A1264">
        <v>1579</v>
      </c>
      <c r="B1264" s="1">
        <v>43267</v>
      </c>
      <c r="C1264">
        <v>52</v>
      </c>
      <c r="D1264" t="s">
        <v>15</v>
      </c>
      <c r="E1264">
        <v>199.8</v>
      </c>
      <c r="F1264">
        <v>55.4</v>
      </c>
      <c r="G1264">
        <v>18943</v>
      </c>
      <c r="H1264">
        <v>894.4</v>
      </c>
      <c r="I1264">
        <v>7.2</v>
      </c>
      <c r="J1264">
        <v>81</v>
      </c>
      <c r="K1264" t="s">
        <v>18</v>
      </c>
      <c r="L1264">
        <v>43</v>
      </c>
      <c r="M1264">
        <v>1.18</v>
      </c>
      <c r="N1264">
        <v>2</v>
      </c>
      <c r="O1264" t="s">
        <v>19</v>
      </c>
      <c r="P1264" cm="1">
        <f t="array" ref="P1264">_xlfn.SWITCH(Table2[[#This Row],[mood]], "Tired", 3, "Neutral", 2, "Happy", 1)</f>
        <v>2</v>
      </c>
    </row>
    <row r="1265" spans="1:16" x14ac:dyDescent="0.3">
      <c r="A1265">
        <v>1393</v>
      </c>
      <c r="B1265" s="1">
        <v>43268</v>
      </c>
      <c r="C1265">
        <v>31</v>
      </c>
      <c r="D1265" t="s">
        <v>15</v>
      </c>
      <c r="E1265">
        <v>168.9</v>
      </c>
      <c r="F1265">
        <v>56.6</v>
      </c>
      <c r="G1265">
        <v>7035</v>
      </c>
      <c r="H1265">
        <v>469.7</v>
      </c>
      <c r="I1265">
        <v>6.3</v>
      </c>
      <c r="J1265">
        <v>70</v>
      </c>
      <c r="K1265" t="s">
        <v>24</v>
      </c>
      <c r="L1265">
        <v>62</v>
      </c>
      <c r="M1265">
        <v>2.81</v>
      </c>
      <c r="N1265">
        <v>4</v>
      </c>
      <c r="O1265" t="s">
        <v>19</v>
      </c>
      <c r="P1265" cm="1">
        <f t="array" ref="P1265">_xlfn.SWITCH(Table2[[#This Row],[mood]], "Tired", 3, "Neutral", 2, "Happy", 1)</f>
        <v>2</v>
      </c>
    </row>
    <row r="1266" spans="1:16" x14ac:dyDescent="0.3">
      <c r="A1266">
        <v>1066</v>
      </c>
      <c r="B1266" s="1">
        <v>43269</v>
      </c>
      <c r="C1266">
        <v>31</v>
      </c>
      <c r="D1266" t="s">
        <v>20</v>
      </c>
      <c r="E1266">
        <v>187.7</v>
      </c>
      <c r="F1266">
        <v>80.900000000000006</v>
      </c>
      <c r="G1266">
        <v>8071</v>
      </c>
      <c r="H1266">
        <v>550.6</v>
      </c>
      <c r="I1266">
        <v>9.1999999999999993</v>
      </c>
      <c r="J1266">
        <v>55</v>
      </c>
      <c r="K1266" t="s">
        <v>16</v>
      </c>
      <c r="L1266">
        <v>0</v>
      </c>
      <c r="M1266">
        <v>2.2200000000000002</v>
      </c>
      <c r="N1266">
        <v>4</v>
      </c>
      <c r="O1266" t="s">
        <v>19</v>
      </c>
      <c r="P1266" cm="1">
        <f t="array" ref="P1266">_xlfn.SWITCH(Table2[[#This Row],[mood]], "Tired", 3, "Neutral", 2, "Happy", 1)</f>
        <v>2</v>
      </c>
    </row>
    <row r="1267" spans="1:16" x14ac:dyDescent="0.3">
      <c r="A1267">
        <v>1232</v>
      </c>
      <c r="B1267" s="1">
        <v>43270</v>
      </c>
      <c r="C1267">
        <v>27</v>
      </c>
      <c r="D1267" t="s">
        <v>15</v>
      </c>
      <c r="E1267">
        <v>175</v>
      </c>
      <c r="F1267">
        <v>55.5</v>
      </c>
      <c r="G1267">
        <v>17531</v>
      </c>
      <c r="H1267">
        <v>847.9</v>
      </c>
      <c r="I1267">
        <v>7.2</v>
      </c>
      <c r="J1267">
        <v>72</v>
      </c>
      <c r="K1267" t="s">
        <v>25</v>
      </c>
      <c r="L1267">
        <v>46</v>
      </c>
      <c r="M1267">
        <v>2.3199999999999998</v>
      </c>
      <c r="N1267">
        <v>7</v>
      </c>
      <c r="O1267" t="s">
        <v>21</v>
      </c>
      <c r="P1267" cm="1">
        <f t="array" ref="P1267">_xlfn.SWITCH(Table2[[#This Row],[mood]], "Tired", 3, "Neutral", 2, "Happy", 1)</f>
        <v>1</v>
      </c>
    </row>
    <row r="1268" spans="1:16" x14ac:dyDescent="0.3">
      <c r="A1268">
        <v>1108</v>
      </c>
      <c r="B1268" s="1">
        <v>43271</v>
      </c>
      <c r="C1268">
        <v>29</v>
      </c>
      <c r="D1268" t="s">
        <v>15</v>
      </c>
      <c r="E1268">
        <v>164.5</v>
      </c>
      <c r="F1268">
        <v>73</v>
      </c>
      <c r="G1268">
        <v>3170</v>
      </c>
      <c r="H1268">
        <v>149.80000000000001</v>
      </c>
      <c r="I1268">
        <v>3.6</v>
      </c>
      <c r="J1268">
        <v>91</v>
      </c>
      <c r="K1268" t="s">
        <v>24</v>
      </c>
      <c r="L1268">
        <v>64</v>
      </c>
      <c r="M1268">
        <v>3.1</v>
      </c>
      <c r="N1268">
        <v>2</v>
      </c>
      <c r="O1268" t="s">
        <v>21</v>
      </c>
      <c r="P1268" cm="1">
        <f t="array" ref="P1268">_xlfn.SWITCH(Table2[[#This Row],[mood]], "Tired", 3, "Neutral", 2, "Happy", 1)</f>
        <v>1</v>
      </c>
    </row>
    <row r="1269" spans="1:16" x14ac:dyDescent="0.3">
      <c r="A1269">
        <v>1145</v>
      </c>
      <c r="B1269" s="1">
        <v>43272</v>
      </c>
      <c r="C1269">
        <v>55</v>
      </c>
      <c r="D1269" t="s">
        <v>15</v>
      </c>
      <c r="E1269">
        <v>162.80000000000001</v>
      </c>
      <c r="F1269">
        <v>64.8</v>
      </c>
      <c r="G1269">
        <v>6118</v>
      </c>
      <c r="H1269">
        <v>517</v>
      </c>
      <c r="I1269">
        <v>7.6</v>
      </c>
      <c r="J1269">
        <v>68</v>
      </c>
      <c r="K1269" t="s">
        <v>22</v>
      </c>
      <c r="L1269">
        <v>56</v>
      </c>
      <c r="M1269">
        <v>2.8</v>
      </c>
      <c r="N1269">
        <v>9</v>
      </c>
      <c r="O1269" t="s">
        <v>21</v>
      </c>
      <c r="P1269" cm="1">
        <f t="array" ref="P1269">_xlfn.SWITCH(Table2[[#This Row],[mood]], "Tired", 3, "Neutral", 2, "Happy", 1)</f>
        <v>1</v>
      </c>
    </row>
    <row r="1270" spans="1:16" x14ac:dyDescent="0.3">
      <c r="A1270">
        <v>1110</v>
      </c>
      <c r="B1270" s="1">
        <v>43273</v>
      </c>
      <c r="C1270">
        <v>51</v>
      </c>
      <c r="D1270" t="s">
        <v>20</v>
      </c>
      <c r="E1270">
        <v>169.9</v>
      </c>
      <c r="F1270">
        <v>53.9</v>
      </c>
      <c r="G1270">
        <v>8297</v>
      </c>
      <c r="H1270">
        <v>530.9</v>
      </c>
      <c r="I1270">
        <v>4.0999999999999996</v>
      </c>
      <c r="J1270">
        <v>73</v>
      </c>
      <c r="K1270" t="s">
        <v>25</v>
      </c>
      <c r="L1270">
        <v>32</v>
      </c>
      <c r="M1270">
        <v>2.2799999999999998</v>
      </c>
      <c r="N1270">
        <v>7</v>
      </c>
      <c r="O1270" t="s">
        <v>21</v>
      </c>
      <c r="P1270" cm="1">
        <f t="array" ref="P1270">_xlfn.SWITCH(Table2[[#This Row],[mood]], "Tired", 3, "Neutral", 2, "Happy", 1)</f>
        <v>1</v>
      </c>
    </row>
    <row r="1271" spans="1:16" x14ac:dyDescent="0.3">
      <c r="A1271">
        <v>1227</v>
      </c>
      <c r="B1271" s="1">
        <v>43274</v>
      </c>
      <c r="C1271">
        <v>58</v>
      </c>
      <c r="D1271" t="s">
        <v>20</v>
      </c>
      <c r="E1271">
        <v>158.69999999999999</v>
      </c>
      <c r="F1271">
        <v>82.5</v>
      </c>
      <c r="G1271">
        <v>5163</v>
      </c>
      <c r="H1271">
        <v>343.6</v>
      </c>
      <c r="I1271">
        <v>7.7</v>
      </c>
      <c r="J1271">
        <v>75</v>
      </c>
      <c r="K1271" t="s">
        <v>25</v>
      </c>
      <c r="L1271">
        <v>70</v>
      </c>
      <c r="M1271">
        <v>1.72</v>
      </c>
      <c r="N1271">
        <v>4</v>
      </c>
      <c r="O1271" t="s">
        <v>17</v>
      </c>
      <c r="P1271" cm="1">
        <f t="array" ref="P1271">_xlfn.SWITCH(Table2[[#This Row],[mood]], "Tired", 3, "Neutral", 2, "Happy", 1)</f>
        <v>3</v>
      </c>
    </row>
    <row r="1272" spans="1:16" x14ac:dyDescent="0.3">
      <c r="A1272">
        <v>1110</v>
      </c>
      <c r="B1272" s="1">
        <v>43275</v>
      </c>
      <c r="C1272">
        <v>27</v>
      </c>
      <c r="D1272" t="s">
        <v>20</v>
      </c>
      <c r="E1272">
        <v>161.4</v>
      </c>
      <c r="F1272">
        <v>80.599999999999994</v>
      </c>
      <c r="G1272">
        <v>9026</v>
      </c>
      <c r="H1272">
        <v>607.1</v>
      </c>
      <c r="I1272">
        <v>10</v>
      </c>
      <c r="J1272">
        <v>77</v>
      </c>
      <c r="K1272" t="s">
        <v>25</v>
      </c>
      <c r="L1272">
        <v>21</v>
      </c>
      <c r="M1272">
        <v>3.43</v>
      </c>
      <c r="N1272">
        <v>7</v>
      </c>
      <c r="O1272" t="s">
        <v>19</v>
      </c>
      <c r="P1272" cm="1">
        <f t="array" ref="P1272">_xlfn.SWITCH(Table2[[#This Row],[mood]], "Tired", 3, "Neutral", 2, "Happy", 1)</f>
        <v>2</v>
      </c>
    </row>
    <row r="1273" spans="1:16" x14ac:dyDescent="0.3">
      <c r="A1273">
        <v>1469</v>
      </c>
      <c r="B1273" s="1">
        <v>43276</v>
      </c>
      <c r="C1273">
        <v>34</v>
      </c>
      <c r="D1273" t="s">
        <v>20</v>
      </c>
      <c r="E1273">
        <v>165.8</v>
      </c>
      <c r="F1273">
        <v>49.7</v>
      </c>
      <c r="G1273">
        <v>10019</v>
      </c>
      <c r="H1273">
        <v>590.29999999999995</v>
      </c>
      <c r="I1273">
        <v>9</v>
      </c>
      <c r="J1273">
        <v>90</v>
      </c>
      <c r="K1273" t="s">
        <v>18</v>
      </c>
      <c r="L1273">
        <v>78</v>
      </c>
      <c r="M1273">
        <v>1.56</v>
      </c>
      <c r="N1273">
        <v>10</v>
      </c>
      <c r="O1273" t="s">
        <v>19</v>
      </c>
      <c r="P1273" cm="1">
        <f t="array" ref="P1273">_xlfn.SWITCH(Table2[[#This Row],[mood]], "Tired", 3, "Neutral", 2, "Happy", 1)</f>
        <v>2</v>
      </c>
    </row>
    <row r="1274" spans="1:16" x14ac:dyDescent="0.3">
      <c r="A1274">
        <v>1033</v>
      </c>
      <c r="B1274" s="1">
        <v>43277</v>
      </c>
      <c r="C1274">
        <v>34</v>
      </c>
      <c r="D1274" t="s">
        <v>15</v>
      </c>
      <c r="E1274">
        <v>172.9</v>
      </c>
      <c r="F1274">
        <v>77.2</v>
      </c>
      <c r="G1274">
        <v>10944</v>
      </c>
      <c r="H1274">
        <v>586</v>
      </c>
      <c r="I1274">
        <v>7.4</v>
      </c>
      <c r="J1274">
        <v>67</v>
      </c>
      <c r="K1274" t="s">
        <v>16</v>
      </c>
      <c r="L1274">
        <v>0</v>
      </c>
      <c r="M1274">
        <v>2.94</v>
      </c>
      <c r="N1274">
        <v>1</v>
      </c>
      <c r="O1274" t="s">
        <v>17</v>
      </c>
      <c r="P1274" cm="1">
        <f t="array" ref="P1274">_xlfn.SWITCH(Table2[[#This Row],[mood]], "Tired", 3, "Neutral", 2, "Happy", 1)</f>
        <v>3</v>
      </c>
    </row>
    <row r="1275" spans="1:16" x14ac:dyDescent="0.3">
      <c r="A1275">
        <v>1622</v>
      </c>
      <c r="B1275" s="1">
        <v>43278</v>
      </c>
      <c r="C1275">
        <v>20</v>
      </c>
      <c r="D1275" t="s">
        <v>20</v>
      </c>
      <c r="E1275">
        <v>188.3</v>
      </c>
      <c r="F1275">
        <v>75</v>
      </c>
      <c r="G1275">
        <v>3939</v>
      </c>
      <c r="H1275">
        <v>376</v>
      </c>
      <c r="I1275">
        <v>6</v>
      </c>
      <c r="J1275">
        <v>75</v>
      </c>
      <c r="K1275" t="s">
        <v>22</v>
      </c>
      <c r="L1275">
        <v>68</v>
      </c>
      <c r="M1275">
        <v>1.38</v>
      </c>
      <c r="N1275">
        <v>7</v>
      </c>
      <c r="O1275" t="s">
        <v>19</v>
      </c>
      <c r="P1275" cm="1">
        <f t="array" ref="P1275">_xlfn.SWITCH(Table2[[#This Row],[mood]], "Tired", 3, "Neutral", 2, "Happy", 1)</f>
        <v>2</v>
      </c>
    </row>
    <row r="1276" spans="1:16" x14ac:dyDescent="0.3">
      <c r="A1276">
        <v>1775</v>
      </c>
      <c r="B1276" s="1">
        <v>43279</v>
      </c>
      <c r="C1276">
        <v>48</v>
      </c>
      <c r="D1276" t="s">
        <v>15</v>
      </c>
      <c r="E1276">
        <v>165.2</v>
      </c>
      <c r="F1276">
        <v>82.6</v>
      </c>
      <c r="G1276">
        <v>6727</v>
      </c>
      <c r="H1276">
        <v>471.7</v>
      </c>
      <c r="I1276">
        <v>8.9</v>
      </c>
      <c r="J1276">
        <v>83</v>
      </c>
      <c r="K1276" t="s">
        <v>23</v>
      </c>
      <c r="L1276">
        <v>49</v>
      </c>
      <c r="M1276">
        <v>3.14</v>
      </c>
      <c r="N1276">
        <v>6</v>
      </c>
      <c r="O1276" t="s">
        <v>21</v>
      </c>
      <c r="P1276" cm="1">
        <f t="array" ref="P1276">_xlfn.SWITCH(Table2[[#This Row],[mood]], "Tired", 3, "Neutral", 2, "Happy", 1)</f>
        <v>1</v>
      </c>
    </row>
    <row r="1277" spans="1:16" x14ac:dyDescent="0.3">
      <c r="A1277">
        <v>1935</v>
      </c>
      <c r="B1277" s="1">
        <v>43280</v>
      </c>
      <c r="C1277">
        <v>18</v>
      </c>
      <c r="D1277" t="s">
        <v>15</v>
      </c>
      <c r="E1277">
        <v>174.6</v>
      </c>
      <c r="F1277">
        <v>72.5</v>
      </c>
      <c r="G1277">
        <v>12920</v>
      </c>
      <c r="H1277">
        <v>686.1</v>
      </c>
      <c r="I1277">
        <v>8</v>
      </c>
      <c r="J1277">
        <v>68</v>
      </c>
      <c r="K1277" t="s">
        <v>18</v>
      </c>
      <c r="L1277">
        <v>28</v>
      </c>
      <c r="M1277">
        <v>3.21</v>
      </c>
      <c r="N1277">
        <v>9</v>
      </c>
      <c r="O1277" t="s">
        <v>19</v>
      </c>
      <c r="P1277" cm="1">
        <f t="array" ref="P1277">_xlfn.SWITCH(Table2[[#This Row],[mood]], "Tired", 3, "Neutral", 2, "Happy", 1)</f>
        <v>2</v>
      </c>
    </row>
    <row r="1278" spans="1:16" x14ac:dyDescent="0.3">
      <c r="A1278">
        <v>1368</v>
      </c>
      <c r="B1278" s="1">
        <v>43281</v>
      </c>
      <c r="C1278">
        <v>29</v>
      </c>
      <c r="D1278" t="s">
        <v>15</v>
      </c>
      <c r="E1278">
        <v>153.69999999999999</v>
      </c>
      <c r="F1278">
        <v>91.4</v>
      </c>
      <c r="G1278">
        <v>4616</v>
      </c>
      <c r="H1278">
        <v>346.2</v>
      </c>
      <c r="I1278">
        <v>6.6</v>
      </c>
      <c r="J1278">
        <v>76</v>
      </c>
      <c r="K1278" t="s">
        <v>18</v>
      </c>
      <c r="L1278">
        <v>43</v>
      </c>
      <c r="M1278">
        <v>1.1599999999999999</v>
      </c>
      <c r="N1278">
        <v>8</v>
      </c>
      <c r="O1278" t="s">
        <v>21</v>
      </c>
      <c r="P1278" cm="1">
        <f t="array" ref="P1278">_xlfn.SWITCH(Table2[[#This Row],[mood]], "Tired", 3, "Neutral", 2, "Happy", 1)</f>
        <v>1</v>
      </c>
    </row>
    <row r="1279" spans="1:16" x14ac:dyDescent="0.3">
      <c r="A1279">
        <v>1747</v>
      </c>
      <c r="B1279" s="1">
        <v>43282</v>
      </c>
      <c r="C1279">
        <v>56</v>
      </c>
      <c r="D1279" t="s">
        <v>15</v>
      </c>
      <c r="E1279">
        <v>180.6</v>
      </c>
      <c r="F1279">
        <v>68.099999999999994</v>
      </c>
      <c r="G1279">
        <v>6405</v>
      </c>
      <c r="H1279">
        <v>404.9</v>
      </c>
      <c r="I1279">
        <v>6.2</v>
      </c>
      <c r="J1279">
        <v>85</v>
      </c>
      <c r="K1279" t="s">
        <v>25</v>
      </c>
      <c r="L1279">
        <v>60</v>
      </c>
      <c r="M1279">
        <v>2.81</v>
      </c>
      <c r="N1279">
        <v>2</v>
      </c>
      <c r="O1279" t="s">
        <v>21</v>
      </c>
      <c r="P1279" cm="1">
        <f t="array" ref="P1279">_xlfn.SWITCH(Table2[[#This Row],[mood]], "Tired", 3, "Neutral", 2, "Happy", 1)</f>
        <v>1</v>
      </c>
    </row>
    <row r="1280" spans="1:16" x14ac:dyDescent="0.3">
      <c r="A1280">
        <v>1594</v>
      </c>
      <c r="B1280" s="1">
        <v>43283</v>
      </c>
      <c r="C1280">
        <v>21</v>
      </c>
      <c r="D1280" t="s">
        <v>20</v>
      </c>
      <c r="E1280">
        <v>152.80000000000001</v>
      </c>
      <c r="F1280">
        <v>65.900000000000006</v>
      </c>
      <c r="G1280">
        <v>11469</v>
      </c>
      <c r="H1280">
        <v>695.5</v>
      </c>
      <c r="I1280">
        <v>5.6</v>
      </c>
      <c r="J1280">
        <v>70</v>
      </c>
      <c r="K1280" t="s">
        <v>18</v>
      </c>
      <c r="L1280">
        <v>79</v>
      </c>
      <c r="M1280">
        <v>2.76</v>
      </c>
      <c r="N1280">
        <v>3</v>
      </c>
      <c r="O1280" t="s">
        <v>21</v>
      </c>
      <c r="P1280" cm="1">
        <f t="array" ref="P1280">_xlfn.SWITCH(Table2[[#This Row],[mood]], "Tired", 3, "Neutral", 2, "Happy", 1)</f>
        <v>1</v>
      </c>
    </row>
    <row r="1281" spans="1:16" x14ac:dyDescent="0.3">
      <c r="A1281">
        <v>1553</v>
      </c>
      <c r="B1281" s="1">
        <v>43284</v>
      </c>
      <c r="C1281">
        <v>59</v>
      </c>
      <c r="D1281" t="s">
        <v>20</v>
      </c>
      <c r="E1281">
        <v>178</v>
      </c>
      <c r="F1281">
        <v>55.4</v>
      </c>
      <c r="G1281">
        <v>9351</v>
      </c>
      <c r="H1281">
        <v>511.6</v>
      </c>
      <c r="I1281">
        <v>7.6</v>
      </c>
      <c r="J1281">
        <v>73</v>
      </c>
      <c r="K1281" t="s">
        <v>16</v>
      </c>
      <c r="L1281">
        <v>0</v>
      </c>
      <c r="M1281">
        <v>2.99</v>
      </c>
      <c r="N1281">
        <v>3</v>
      </c>
      <c r="O1281" t="s">
        <v>17</v>
      </c>
      <c r="P1281" cm="1">
        <f t="array" ref="P1281">_xlfn.SWITCH(Table2[[#This Row],[mood]], "Tired", 3, "Neutral", 2, "Happy", 1)</f>
        <v>3</v>
      </c>
    </row>
    <row r="1282" spans="1:16" x14ac:dyDescent="0.3">
      <c r="A1282">
        <v>1424</v>
      </c>
      <c r="B1282" s="1">
        <v>43285</v>
      </c>
      <c r="C1282">
        <v>30</v>
      </c>
      <c r="D1282" t="s">
        <v>20</v>
      </c>
      <c r="E1282">
        <v>169.2</v>
      </c>
      <c r="F1282">
        <v>56</v>
      </c>
      <c r="G1282">
        <v>12557</v>
      </c>
      <c r="H1282">
        <v>662.4</v>
      </c>
      <c r="I1282">
        <v>6.4</v>
      </c>
      <c r="J1282">
        <v>63</v>
      </c>
      <c r="K1282" t="s">
        <v>16</v>
      </c>
      <c r="L1282">
        <v>0</v>
      </c>
      <c r="M1282">
        <v>2.76</v>
      </c>
      <c r="N1282">
        <v>6</v>
      </c>
      <c r="O1282" t="s">
        <v>19</v>
      </c>
      <c r="P1282" cm="1">
        <f t="array" ref="P1282">_xlfn.SWITCH(Table2[[#This Row],[mood]], "Tired", 3, "Neutral", 2, "Happy", 1)</f>
        <v>2</v>
      </c>
    </row>
    <row r="1283" spans="1:16" x14ac:dyDescent="0.3">
      <c r="A1283">
        <v>1612</v>
      </c>
      <c r="B1283" s="1">
        <v>43286</v>
      </c>
      <c r="C1283">
        <v>51</v>
      </c>
      <c r="D1283" t="s">
        <v>15</v>
      </c>
      <c r="E1283">
        <v>168.8</v>
      </c>
      <c r="F1283">
        <v>54.6</v>
      </c>
      <c r="G1283">
        <v>6880</v>
      </c>
      <c r="H1283">
        <v>480.3</v>
      </c>
      <c r="I1283">
        <v>7.3</v>
      </c>
      <c r="J1283">
        <v>84</v>
      </c>
      <c r="K1283" t="s">
        <v>16</v>
      </c>
      <c r="L1283">
        <v>0</v>
      </c>
      <c r="M1283">
        <v>1.83</v>
      </c>
      <c r="N1283">
        <v>2</v>
      </c>
      <c r="O1283" t="s">
        <v>21</v>
      </c>
      <c r="P1283" cm="1">
        <f t="array" ref="P1283">_xlfn.SWITCH(Table2[[#This Row],[mood]], "Tired", 3, "Neutral", 2, "Happy", 1)</f>
        <v>1</v>
      </c>
    </row>
    <row r="1284" spans="1:16" x14ac:dyDescent="0.3">
      <c r="A1284">
        <v>1517</v>
      </c>
      <c r="B1284" s="1">
        <v>43287</v>
      </c>
      <c r="C1284">
        <v>59</v>
      </c>
      <c r="D1284" t="s">
        <v>15</v>
      </c>
      <c r="E1284">
        <v>167</v>
      </c>
      <c r="F1284">
        <v>73.3</v>
      </c>
      <c r="G1284">
        <v>15096</v>
      </c>
      <c r="H1284">
        <v>876.8</v>
      </c>
      <c r="I1284">
        <v>8.4</v>
      </c>
      <c r="J1284">
        <v>77</v>
      </c>
      <c r="K1284" t="s">
        <v>23</v>
      </c>
      <c r="L1284">
        <v>61</v>
      </c>
      <c r="M1284">
        <v>2.35</v>
      </c>
      <c r="N1284">
        <v>2</v>
      </c>
      <c r="O1284" t="s">
        <v>19</v>
      </c>
      <c r="P1284" cm="1">
        <f t="array" ref="P1284">_xlfn.SWITCH(Table2[[#This Row],[mood]], "Tired", 3, "Neutral", 2, "Happy", 1)</f>
        <v>2</v>
      </c>
    </row>
    <row r="1285" spans="1:16" x14ac:dyDescent="0.3">
      <c r="A1285">
        <v>1691</v>
      </c>
      <c r="B1285" s="1">
        <v>43288</v>
      </c>
      <c r="C1285">
        <v>38</v>
      </c>
      <c r="D1285" t="s">
        <v>15</v>
      </c>
      <c r="E1285">
        <v>157</v>
      </c>
      <c r="F1285">
        <v>66</v>
      </c>
      <c r="G1285">
        <v>2013</v>
      </c>
      <c r="H1285">
        <v>287.2</v>
      </c>
      <c r="I1285">
        <v>6.3</v>
      </c>
      <c r="J1285">
        <v>71</v>
      </c>
      <c r="K1285" t="s">
        <v>18</v>
      </c>
      <c r="L1285">
        <v>89</v>
      </c>
      <c r="M1285">
        <v>3.67</v>
      </c>
      <c r="N1285">
        <v>4</v>
      </c>
      <c r="O1285" t="s">
        <v>17</v>
      </c>
      <c r="P1285" cm="1">
        <f t="array" ref="P1285">_xlfn.SWITCH(Table2[[#This Row],[mood]], "Tired", 3, "Neutral", 2, "Happy", 1)</f>
        <v>3</v>
      </c>
    </row>
    <row r="1286" spans="1:16" x14ac:dyDescent="0.3">
      <c r="A1286">
        <v>1281</v>
      </c>
      <c r="B1286" s="1">
        <v>43289</v>
      </c>
      <c r="C1286">
        <v>39</v>
      </c>
      <c r="D1286" t="s">
        <v>15</v>
      </c>
      <c r="E1286">
        <v>157.5</v>
      </c>
      <c r="F1286">
        <v>75</v>
      </c>
      <c r="G1286">
        <v>9743</v>
      </c>
      <c r="H1286">
        <v>619.1</v>
      </c>
      <c r="I1286">
        <v>8</v>
      </c>
      <c r="J1286">
        <v>72</v>
      </c>
      <c r="K1286" t="s">
        <v>16</v>
      </c>
      <c r="L1286">
        <v>0</v>
      </c>
      <c r="M1286">
        <v>1.72</v>
      </c>
      <c r="N1286">
        <v>1</v>
      </c>
      <c r="O1286" t="s">
        <v>19</v>
      </c>
      <c r="P1286" cm="1">
        <f t="array" ref="P1286">_xlfn.SWITCH(Table2[[#This Row],[mood]], "Tired", 3, "Neutral", 2, "Happy", 1)</f>
        <v>2</v>
      </c>
    </row>
    <row r="1287" spans="1:16" x14ac:dyDescent="0.3">
      <c r="A1287">
        <v>1319</v>
      </c>
      <c r="B1287" s="1">
        <v>43290</v>
      </c>
      <c r="C1287">
        <v>21</v>
      </c>
      <c r="D1287" t="s">
        <v>15</v>
      </c>
      <c r="E1287">
        <v>178.4</v>
      </c>
      <c r="F1287">
        <v>51.9</v>
      </c>
      <c r="G1287">
        <v>8391</v>
      </c>
      <c r="H1287">
        <v>540.79999999999995</v>
      </c>
      <c r="I1287">
        <v>8.8000000000000007</v>
      </c>
      <c r="J1287">
        <v>75</v>
      </c>
      <c r="K1287" t="s">
        <v>18</v>
      </c>
      <c r="L1287">
        <v>50</v>
      </c>
      <c r="M1287">
        <v>2.73</v>
      </c>
      <c r="N1287">
        <v>1</v>
      </c>
      <c r="O1287" t="s">
        <v>19</v>
      </c>
      <c r="P1287" cm="1">
        <f t="array" ref="P1287">_xlfn.SWITCH(Table2[[#This Row],[mood]], "Tired", 3, "Neutral", 2, "Happy", 1)</f>
        <v>2</v>
      </c>
    </row>
    <row r="1288" spans="1:16" x14ac:dyDescent="0.3">
      <c r="A1288">
        <v>1737</v>
      </c>
      <c r="B1288" s="1">
        <v>43291</v>
      </c>
      <c r="C1288">
        <v>35</v>
      </c>
      <c r="D1288" t="s">
        <v>20</v>
      </c>
      <c r="E1288">
        <v>170.1</v>
      </c>
      <c r="F1288">
        <v>57.2</v>
      </c>
      <c r="G1288">
        <v>18559</v>
      </c>
      <c r="H1288">
        <v>900</v>
      </c>
      <c r="I1288">
        <v>7.6</v>
      </c>
      <c r="J1288">
        <v>78</v>
      </c>
      <c r="K1288" t="s">
        <v>25</v>
      </c>
      <c r="L1288">
        <v>75</v>
      </c>
      <c r="M1288">
        <v>3.31</v>
      </c>
      <c r="N1288">
        <v>1</v>
      </c>
      <c r="O1288" t="s">
        <v>19</v>
      </c>
      <c r="P1288" cm="1">
        <f t="array" ref="P1288">_xlfn.SWITCH(Table2[[#This Row],[mood]], "Tired", 3, "Neutral", 2, "Happy", 1)</f>
        <v>2</v>
      </c>
    </row>
    <row r="1289" spans="1:16" x14ac:dyDescent="0.3">
      <c r="A1289">
        <v>1442</v>
      </c>
      <c r="B1289" s="1">
        <v>43292</v>
      </c>
      <c r="C1289">
        <v>22</v>
      </c>
      <c r="D1289" t="s">
        <v>15</v>
      </c>
      <c r="E1289">
        <v>166.9</v>
      </c>
      <c r="F1289">
        <v>56.9</v>
      </c>
      <c r="G1289">
        <v>10355</v>
      </c>
      <c r="H1289">
        <v>711.1</v>
      </c>
      <c r="I1289">
        <v>8</v>
      </c>
      <c r="J1289">
        <v>68</v>
      </c>
      <c r="K1289" t="s">
        <v>22</v>
      </c>
      <c r="L1289">
        <v>49</v>
      </c>
      <c r="M1289">
        <v>1.81</v>
      </c>
      <c r="N1289">
        <v>5</v>
      </c>
      <c r="O1289" t="s">
        <v>19</v>
      </c>
      <c r="P1289" cm="1">
        <f t="array" ref="P1289">_xlfn.SWITCH(Table2[[#This Row],[mood]], "Tired", 3, "Neutral", 2, "Happy", 1)</f>
        <v>2</v>
      </c>
    </row>
    <row r="1290" spans="1:16" x14ac:dyDescent="0.3">
      <c r="A1290">
        <v>1951</v>
      </c>
      <c r="B1290" s="1">
        <v>43293</v>
      </c>
      <c r="C1290">
        <v>36</v>
      </c>
      <c r="D1290" t="s">
        <v>20</v>
      </c>
      <c r="E1290">
        <v>174.4</v>
      </c>
      <c r="F1290">
        <v>102.5</v>
      </c>
      <c r="G1290">
        <v>6247</v>
      </c>
      <c r="H1290">
        <v>428</v>
      </c>
      <c r="I1290">
        <v>7.6</v>
      </c>
      <c r="J1290">
        <v>69</v>
      </c>
      <c r="K1290" t="s">
        <v>16</v>
      </c>
      <c r="L1290">
        <v>0</v>
      </c>
      <c r="M1290">
        <v>1.51</v>
      </c>
      <c r="N1290">
        <v>9</v>
      </c>
      <c r="O1290" t="s">
        <v>17</v>
      </c>
      <c r="P1290" cm="1">
        <f t="array" ref="P1290">_xlfn.SWITCH(Table2[[#This Row],[mood]], "Tired", 3, "Neutral", 2, "Happy", 1)</f>
        <v>3</v>
      </c>
    </row>
    <row r="1291" spans="1:16" x14ac:dyDescent="0.3">
      <c r="A1291">
        <v>1314</v>
      </c>
      <c r="B1291" s="1">
        <v>43294</v>
      </c>
      <c r="C1291">
        <v>19</v>
      </c>
      <c r="D1291" t="s">
        <v>15</v>
      </c>
      <c r="E1291">
        <v>171</v>
      </c>
      <c r="F1291">
        <v>67.5</v>
      </c>
      <c r="G1291">
        <v>8518</v>
      </c>
      <c r="H1291">
        <v>541.4</v>
      </c>
      <c r="I1291">
        <v>7</v>
      </c>
      <c r="J1291">
        <v>72</v>
      </c>
      <c r="K1291" t="s">
        <v>23</v>
      </c>
      <c r="L1291">
        <v>34</v>
      </c>
      <c r="M1291">
        <v>1.61</v>
      </c>
      <c r="N1291">
        <v>4</v>
      </c>
      <c r="O1291" t="s">
        <v>19</v>
      </c>
      <c r="P1291" cm="1">
        <f t="array" ref="P1291">_xlfn.SWITCH(Table2[[#This Row],[mood]], "Tired", 3, "Neutral", 2, "Happy", 1)</f>
        <v>2</v>
      </c>
    </row>
    <row r="1292" spans="1:16" x14ac:dyDescent="0.3">
      <c r="A1292">
        <v>1876</v>
      </c>
      <c r="B1292" s="1">
        <v>43295</v>
      </c>
      <c r="C1292">
        <v>29</v>
      </c>
      <c r="D1292" t="s">
        <v>15</v>
      </c>
      <c r="E1292">
        <v>162.1</v>
      </c>
      <c r="F1292">
        <v>69</v>
      </c>
      <c r="G1292">
        <v>7290</v>
      </c>
      <c r="H1292">
        <v>500.3</v>
      </c>
      <c r="I1292">
        <v>8.3000000000000007</v>
      </c>
      <c r="J1292">
        <v>77</v>
      </c>
      <c r="K1292" t="s">
        <v>25</v>
      </c>
      <c r="L1292">
        <v>37</v>
      </c>
      <c r="M1292">
        <v>2.78</v>
      </c>
      <c r="N1292">
        <v>8</v>
      </c>
      <c r="O1292" t="s">
        <v>21</v>
      </c>
      <c r="P1292" cm="1">
        <f t="array" ref="P1292">_xlfn.SWITCH(Table2[[#This Row],[mood]], "Tired", 3, "Neutral", 2, "Happy", 1)</f>
        <v>1</v>
      </c>
    </row>
    <row r="1293" spans="1:16" x14ac:dyDescent="0.3">
      <c r="A1293">
        <v>1965</v>
      </c>
      <c r="B1293" s="1">
        <v>43296</v>
      </c>
      <c r="C1293">
        <v>34</v>
      </c>
      <c r="D1293" t="s">
        <v>20</v>
      </c>
      <c r="E1293">
        <v>194.6</v>
      </c>
      <c r="F1293">
        <v>68.8</v>
      </c>
      <c r="G1293">
        <v>2308</v>
      </c>
      <c r="H1293">
        <v>318.8</v>
      </c>
      <c r="I1293">
        <v>9.4</v>
      </c>
      <c r="J1293">
        <v>91</v>
      </c>
      <c r="K1293" t="s">
        <v>18</v>
      </c>
      <c r="L1293">
        <v>51</v>
      </c>
      <c r="M1293">
        <v>1.61</v>
      </c>
      <c r="N1293">
        <v>7</v>
      </c>
      <c r="O1293" t="s">
        <v>17</v>
      </c>
      <c r="P1293" cm="1">
        <f t="array" ref="P1293">_xlfn.SWITCH(Table2[[#This Row],[mood]], "Tired", 3, "Neutral", 2, "Happy", 1)</f>
        <v>3</v>
      </c>
    </row>
    <row r="1294" spans="1:16" x14ac:dyDescent="0.3">
      <c r="A1294">
        <v>1740</v>
      </c>
      <c r="B1294" s="1">
        <v>43297</v>
      </c>
      <c r="C1294">
        <v>27</v>
      </c>
      <c r="D1294" t="s">
        <v>20</v>
      </c>
      <c r="E1294">
        <v>177.4</v>
      </c>
      <c r="F1294">
        <v>93.3</v>
      </c>
      <c r="G1294">
        <v>10684</v>
      </c>
      <c r="H1294">
        <v>634</v>
      </c>
      <c r="I1294">
        <v>8.3000000000000007</v>
      </c>
      <c r="J1294">
        <v>67</v>
      </c>
      <c r="K1294" t="s">
        <v>16</v>
      </c>
      <c r="L1294">
        <v>0</v>
      </c>
      <c r="M1294">
        <v>2.41</v>
      </c>
      <c r="N1294">
        <v>6</v>
      </c>
      <c r="O1294" t="s">
        <v>19</v>
      </c>
      <c r="P1294" cm="1">
        <f t="array" ref="P1294">_xlfn.SWITCH(Table2[[#This Row],[mood]], "Tired", 3, "Neutral", 2, "Happy", 1)</f>
        <v>2</v>
      </c>
    </row>
    <row r="1295" spans="1:16" x14ac:dyDescent="0.3">
      <c r="A1295">
        <v>1376</v>
      </c>
      <c r="B1295" s="1">
        <v>43298</v>
      </c>
      <c r="C1295">
        <v>51</v>
      </c>
      <c r="D1295" t="s">
        <v>15</v>
      </c>
      <c r="E1295">
        <v>171.3</v>
      </c>
      <c r="F1295">
        <v>45.8</v>
      </c>
      <c r="G1295">
        <v>13723</v>
      </c>
      <c r="H1295">
        <v>721.7</v>
      </c>
      <c r="I1295">
        <v>6.7</v>
      </c>
      <c r="J1295">
        <v>58</v>
      </c>
      <c r="K1295" t="s">
        <v>23</v>
      </c>
      <c r="L1295">
        <v>81</v>
      </c>
      <c r="M1295">
        <v>3.46</v>
      </c>
      <c r="N1295">
        <v>9</v>
      </c>
      <c r="O1295" t="s">
        <v>19</v>
      </c>
      <c r="P1295" cm="1">
        <f t="array" ref="P1295">_xlfn.SWITCH(Table2[[#This Row],[mood]], "Tired", 3, "Neutral", 2, "Happy", 1)</f>
        <v>2</v>
      </c>
    </row>
    <row r="1296" spans="1:16" x14ac:dyDescent="0.3">
      <c r="A1296">
        <v>1288</v>
      </c>
      <c r="B1296" s="1">
        <v>43299</v>
      </c>
      <c r="C1296">
        <v>23</v>
      </c>
      <c r="D1296" t="s">
        <v>15</v>
      </c>
      <c r="E1296">
        <v>164.9</v>
      </c>
      <c r="F1296">
        <v>69.099999999999994</v>
      </c>
      <c r="G1296">
        <v>5827</v>
      </c>
      <c r="H1296">
        <v>432.7</v>
      </c>
      <c r="I1296">
        <v>6.7</v>
      </c>
      <c r="J1296">
        <v>89</v>
      </c>
      <c r="K1296" t="s">
        <v>24</v>
      </c>
      <c r="L1296">
        <v>71</v>
      </c>
      <c r="M1296">
        <v>2.46</v>
      </c>
      <c r="N1296">
        <v>10</v>
      </c>
      <c r="O1296" t="s">
        <v>21</v>
      </c>
      <c r="P1296" cm="1">
        <f t="array" ref="P1296">_xlfn.SWITCH(Table2[[#This Row],[mood]], "Tired", 3, "Neutral", 2, "Happy", 1)</f>
        <v>1</v>
      </c>
    </row>
    <row r="1297" spans="1:16" x14ac:dyDescent="0.3">
      <c r="A1297">
        <v>1436</v>
      </c>
      <c r="B1297" s="1">
        <v>43300</v>
      </c>
      <c r="C1297">
        <v>25</v>
      </c>
      <c r="D1297" t="s">
        <v>15</v>
      </c>
      <c r="E1297">
        <v>179.5</v>
      </c>
      <c r="F1297">
        <v>45.7</v>
      </c>
      <c r="G1297">
        <v>19161</v>
      </c>
      <c r="H1297">
        <v>900</v>
      </c>
      <c r="I1297">
        <v>6.8</v>
      </c>
      <c r="J1297">
        <v>66</v>
      </c>
      <c r="K1297" t="s">
        <v>16</v>
      </c>
      <c r="L1297">
        <v>0</v>
      </c>
      <c r="M1297">
        <v>1.96</v>
      </c>
      <c r="N1297">
        <v>1</v>
      </c>
      <c r="O1297" t="s">
        <v>17</v>
      </c>
      <c r="P1297" cm="1">
        <f t="array" ref="P1297">_xlfn.SWITCH(Table2[[#This Row],[mood]], "Tired", 3, "Neutral", 2, "Happy", 1)</f>
        <v>3</v>
      </c>
    </row>
    <row r="1298" spans="1:16" x14ac:dyDescent="0.3">
      <c r="A1298">
        <v>1661</v>
      </c>
      <c r="B1298" s="1">
        <v>43301</v>
      </c>
      <c r="C1298">
        <v>28</v>
      </c>
      <c r="D1298" t="s">
        <v>15</v>
      </c>
      <c r="E1298">
        <v>162.1</v>
      </c>
      <c r="F1298">
        <v>45</v>
      </c>
      <c r="G1298">
        <v>1059</v>
      </c>
      <c r="H1298">
        <v>258.10000000000002</v>
      </c>
      <c r="I1298">
        <v>8.4</v>
      </c>
      <c r="J1298">
        <v>90</v>
      </c>
      <c r="K1298" t="s">
        <v>16</v>
      </c>
      <c r="L1298">
        <v>0</v>
      </c>
      <c r="M1298">
        <v>2.59</v>
      </c>
      <c r="N1298">
        <v>7</v>
      </c>
      <c r="O1298" t="s">
        <v>17</v>
      </c>
      <c r="P1298" cm="1">
        <f t="array" ref="P1298">_xlfn.SWITCH(Table2[[#This Row],[mood]], "Tired", 3, "Neutral", 2, "Happy", 1)</f>
        <v>3</v>
      </c>
    </row>
    <row r="1299" spans="1:16" x14ac:dyDescent="0.3">
      <c r="A1299">
        <v>1276</v>
      </c>
      <c r="B1299" s="1">
        <v>43302</v>
      </c>
      <c r="C1299">
        <v>29</v>
      </c>
      <c r="D1299" t="s">
        <v>20</v>
      </c>
      <c r="E1299">
        <v>161.30000000000001</v>
      </c>
      <c r="F1299">
        <v>59</v>
      </c>
      <c r="G1299">
        <v>7986</v>
      </c>
      <c r="H1299">
        <v>423.9</v>
      </c>
      <c r="I1299">
        <v>6.2</v>
      </c>
      <c r="J1299">
        <v>87</v>
      </c>
      <c r="K1299" t="s">
        <v>18</v>
      </c>
      <c r="L1299">
        <v>53</v>
      </c>
      <c r="M1299">
        <v>2.4500000000000002</v>
      </c>
      <c r="N1299">
        <v>9</v>
      </c>
      <c r="O1299" t="s">
        <v>21</v>
      </c>
      <c r="P1299" cm="1">
        <f t="array" ref="P1299">_xlfn.SWITCH(Table2[[#This Row],[mood]], "Tired", 3, "Neutral", 2, "Happy", 1)</f>
        <v>1</v>
      </c>
    </row>
    <row r="1300" spans="1:16" x14ac:dyDescent="0.3">
      <c r="A1300">
        <v>1709</v>
      </c>
      <c r="B1300" s="1">
        <v>43303</v>
      </c>
      <c r="C1300">
        <v>26</v>
      </c>
      <c r="D1300" t="s">
        <v>15</v>
      </c>
      <c r="E1300">
        <v>186.9</v>
      </c>
      <c r="F1300">
        <v>76.2</v>
      </c>
      <c r="G1300">
        <v>11643</v>
      </c>
      <c r="H1300">
        <v>646</v>
      </c>
      <c r="I1300">
        <v>5.5</v>
      </c>
      <c r="J1300">
        <v>80</v>
      </c>
      <c r="K1300" t="s">
        <v>22</v>
      </c>
      <c r="L1300">
        <v>75</v>
      </c>
      <c r="M1300">
        <v>2.82</v>
      </c>
      <c r="N1300">
        <v>10</v>
      </c>
      <c r="O1300" t="s">
        <v>19</v>
      </c>
      <c r="P1300" cm="1">
        <f t="array" ref="P1300">_xlfn.SWITCH(Table2[[#This Row],[mood]], "Tired", 3, "Neutral", 2, "Happy", 1)</f>
        <v>2</v>
      </c>
    </row>
    <row r="1301" spans="1:16" x14ac:dyDescent="0.3">
      <c r="A1301">
        <v>1581</v>
      </c>
      <c r="B1301" s="1">
        <v>43304</v>
      </c>
      <c r="C1301">
        <v>19</v>
      </c>
      <c r="D1301" t="s">
        <v>20</v>
      </c>
      <c r="E1301">
        <v>170.3</v>
      </c>
      <c r="F1301">
        <v>58</v>
      </c>
      <c r="G1301">
        <v>16216</v>
      </c>
      <c r="H1301">
        <v>849.3</v>
      </c>
      <c r="I1301">
        <v>7.7</v>
      </c>
      <c r="J1301">
        <v>87</v>
      </c>
      <c r="K1301" t="s">
        <v>18</v>
      </c>
      <c r="L1301">
        <v>72</v>
      </c>
      <c r="M1301">
        <v>3.63</v>
      </c>
      <c r="N1301">
        <v>2</v>
      </c>
      <c r="O1301" t="s">
        <v>19</v>
      </c>
      <c r="P1301" cm="1">
        <f t="array" ref="P1301">_xlfn.SWITCH(Table2[[#This Row],[mood]], "Tired", 3, "Neutral", 2, "Happy", 1)</f>
        <v>2</v>
      </c>
    </row>
    <row r="1302" spans="1:16" x14ac:dyDescent="0.3">
      <c r="A1302">
        <v>1502</v>
      </c>
      <c r="B1302" s="1">
        <v>43305</v>
      </c>
      <c r="C1302">
        <v>25</v>
      </c>
      <c r="D1302" t="s">
        <v>15</v>
      </c>
      <c r="E1302">
        <v>162.4</v>
      </c>
      <c r="F1302">
        <v>75.900000000000006</v>
      </c>
      <c r="G1302">
        <v>8860</v>
      </c>
      <c r="H1302">
        <v>547.4</v>
      </c>
      <c r="I1302">
        <v>7</v>
      </c>
      <c r="J1302">
        <v>57</v>
      </c>
      <c r="K1302" t="s">
        <v>22</v>
      </c>
      <c r="L1302">
        <v>68</v>
      </c>
      <c r="M1302">
        <v>2.78</v>
      </c>
      <c r="N1302">
        <v>4</v>
      </c>
      <c r="O1302" t="s">
        <v>17</v>
      </c>
      <c r="P1302" cm="1">
        <f t="array" ref="P1302">_xlfn.SWITCH(Table2[[#This Row],[mood]], "Tired", 3, "Neutral", 2, "Happy", 1)</f>
        <v>3</v>
      </c>
    </row>
    <row r="1303" spans="1:16" x14ac:dyDescent="0.3">
      <c r="A1303">
        <v>1623</v>
      </c>
      <c r="B1303" s="1">
        <v>43306</v>
      </c>
      <c r="C1303">
        <v>28</v>
      </c>
      <c r="D1303" t="s">
        <v>20</v>
      </c>
      <c r="E1303">
        <v>170.1</v>
      </c>
      <c r="F1303">
        <v>71.599999999999994</v>
      </c>
      <c r="G1303">
        <v>14425</v>
      </c>
      <c r="H1303">
        <v>773.6</v>
      </c>
      <c r="I1303">
        <v>9.1999999999999993</v>
      </c>
      <c r="J1303">
        <v>61</v>
      </c>
      <c r="K1303" t="s">
        <v>24</v>
      </c>
      <c r="L1303">
        <v>82</v>
      </c>
      <c r="M1303">
        <v>3.92</v>
      </c>
      <c r="N1303">
        <v>5</v>
      </c>
      <c r="O1303" t="s">
        <v>17</v>
      </c>
      <c r="P1303" cm="1">
        <f t="array" ref="P1303">_xlfn.SWITCH(Table2[[#This Row],[mood]], "Tired", 3, "Neutral", 2, "Happy", 1)</f>
        <v>3</v>
      </c>
    </row>
    <row r="1304" spans="1:16" x14ac:dyDescent="0.3">
      <c r="A1304">
        <v>1515</v>
      </c>
      <c r="B1304" s="1">
        <v>43307</v>
      </c>
      <c r="C1304">
        <v>53</v>
      </c>
      <c r="D1304" t="s">
        <v>20</v>
      </c>
      <c r="E1304">
        <v>178.5</v>
      </c>
      <c r="F1304">
        <v>67.900000000000006</v>
      </c>
      <c r="G1304">
        <v>14806</v>
      </c>
      <c r="H1304">
        <v>806.6</v>
      </c>
      <c r="I1304">
        <v>3.6</v>
      </c>
      <c r="J1304">
        <v>78</v>
      </c>
      <c r="K1304" t="s">
        <v>25</v>
      </c>
      <c r="L1304">
        <v>35</v>
      </c>
      <c r="M1304">
        <v>2.82</v>
      </c>
      <c r="N1304">
        <v>5</v>
      </c>
      <c r="O1304" t="s">
        <v>19</v>
      </c>
      <c r="P1304" cm="1">
        <f t="array" ref="P1304">_xlfn.SWITCH(Table2[[#This Row],[mood]], "Tired", 3, "Neutral", 2, "Happy", 1)</f>
        <v>2</v>
      </c>
    </row>
    <row r="1305" spans="1:16" x14ac:dyDescent="0.3">
      <c r="A1305">
        <v>1349</v>
      </c>
      <c r="B1305" s="1">
        <v>43308</v>
      </c>
      <c r="C1305">
        <v>27</v>
      </c>
      <c r="D1305" t="s">
        <v>15</v>
      </c>
      <c r="E1305">
        <v>176.2</v>
      </c>
      <c r="F1305">
        <v>89</v>
      </c>
      <c r="G1305">
        <v>15950</v>
      </c>
      <c r="H1305">
        <v>863.4</v>
      </c>
      <c r="I1305">
        <v>7.3</v>
      </c>
      <c r="J1305">
        <v>71</v>
      </c>
      <c r="K1305" t="s">
        <v>25</v>
      </c>
      <c r="L1305">
        <v>59</v>
      </c>
      <c r="M1305">
        <v>1.96</v>
      </c>
      <c r="N1305">
        <v>7</v>
      </c>
      <c r="O1305" t="s">
        <v>21</v>
      </c>
      <c r="P1305" cm="1">
        <f t="array" ref="P1305">_xlfn.SWITCH(Table2[[#This Row],[mood]], "Tired", 3, "Neutral", 2, "Happy", 1)</f>
        <v>1</v>
      </c>
    </row>
    <row r="1306" spans="1:16" x14ac:dyDescent="0.3">
      <c r="A1306">
        <v>1842</v>
      </c>
      <c r="B1306" s="1">
        <v>43309</v>
      </c>
      <c r="C1306">
        <v>38</v>
      </c>
      <c r="D1306" t="s">
        <v>20</v>
      </c>
      <c r="E1306">
        <v>179.7</v>
      </c>
      <c r="F1306">
        <v>61.1</v>
      </c>
      <c r="G1306">
        <v>2592</v>
      </c>
      <c r="H1306">
        <v>316.60000000000002</v>
      </c>
      <c r="I1306">
        <v>6.4</v>
      </c>
      <c r="J1306">
        <v>67</v>
      </c>
      <c r="K1306" t="s">
        <v>16</v>
      </c>
      <c r="L1306">
        <v>0</v>
      </c>
      <c r="M1306">
        <v>4.0999999999999996</v>
      </c>
      <c r="N1306">
        <v>10</v>
      </c>
      <c r="O1306" t="s">
        <v>21</v>
      </c>
      <c r="P1306" cm="1">
        <f t="array" ref="P1306">_xlfn.SWITCH(Table2[[#This Row],[mood]], "Tired", 3, "Neutral", 2, "Happy", 1)</f>
        <v>1</v>
      </c>
    </row>
    <row r="1307" spans="1:16" x14ac:dyDescent="0.3">
      <c r="A1307">
        <v>1445</v>
      </c>
      <c r="B1307" s="1">
        <v>43310</v>
      </c>
      <c r="C1307">
        <v>37</v>
      </c>
      <c r="D1307" t="s">
        <v>15</v>
      </c>
      <c r="E1307">
        <v>157.5</v>
      </c>
      <c r="F1307">
        <v>75.7</v>
      </c>
      <c r="G1307">
        <v>15464</v>
      </c>
      <c r="H1307">
        <v>866.1</v>
      </c>
      <c r="I1307">
        <v>8.1999999999999993</v>
      </c>
      <c r="J1307">
        <v>83</v>
      </c>
      <c r="K1307" t="s">
        <v>25</v>
      </c>
      <c r="L1307">
        <v>37</v>
      </c>
      <c r="M1307">
        <v>2.41</v>
      </c>
      <c r="N1307">
        <v>8</v>
      </c>
      <c r="O1307" t="s">
        <v>19</v>
      </c>
      <c r="P1307" cm="1">
        <f t="array" ref="P1307">_xlfn.SWITCH(Table2[[#This Row],[mood]], "Tired", 3, "Neutral", 2, "Happy", 1)</f>
        <v>2</v>
      </c>
    </row>
    <row r="1308" spans="1:16" x14ac:dyDescent="0.3">
      <c r="A1308">
        <v>1829</v>
      </c>
      <c r="B1308" s="1">
        <v>43311</v>
      </c>
      <c r="C1308">
        <v>25</v>
      </c>
      <c r="D1308" t="s">
        <v>20</v>
      </c>
      <c r="E1308">
        <v>179.5</v>
      </c>
      <c r="F1308">
        <v>45</v>
      </c>
      <c r="G1308">
        <v>7097</v>
      </c>
      <c r="H1308">
        <v>409.1</v>
      </c>
      <c r="I1308">
        <v>6.6</v>
      </c>
      <c r="J1308">
        <v>78</v>
      </c>
      <c r="K1308" t="s">
        <v>23</v>
      </c>
      <c r="L1308">
        <v>42</v>
      </c>
      <c r="M1308">
        <v>1.76</v>
      </c>
      <c r="N1308">
        <v>9</v>
      </c>
      <c r="O1308" t="s">
        <v>21</v>
      </c>
      <c r="P1308" cm="1">
        <f t="array" ref="P1308">_xlfn.SWITCH(Table2[[#This Row],[mood]], "Tired", 3, "Neutral", 2, "Happy", 1)</f>
        <v>1</v>
      </c>
    </row>
    <row r="1309" spans="1:16" x14ac:dyDescent="0.3">
      <c r="A1309">
        <v>1349</v>
      </c>
      <c r="B1309" s="1">
        <v>43312</v>
      </c>
      <c r="C1309">
        <v>53</v>
      </c>
      <c r="D1309" t="s">
        <v>15</v>
      </c>
      <c r="E1309">
        <v>168.2</v>
      </c>
      <c r="F1309">
        <v>71.5</v>
      </c>
      <c r="G1309">
        <v>7458</v>
      </c>
      <c r="H1309">
        <v>485.7</v>
      </c>
      <c r="I1309">
        <v>6.1</v>
      </c>
      <c r="J1309">
        <v>85</v>
      </c>
      <c r="K1309" t="s">
        <v>22</v>
      </c>
      <c r="L1309">
        <v>67</v>
      </c>
      <c r="M1309">
        <v>4.13</v>
      </c>
      <c r="N1309">
        <v>5</v>
      </c>
      <c r="O1309" t="s">
        <v>17</v>
      </c>
      <c r="P1309" cm="1">
        <f t="array" ref="P1309">_xlfn.SWITCH(Table2[[#This Row],[mood]], "Tired", 3, "Neutral", 2, "Happy", 1)</f>
        <v>3</v>
      </c>
    </row>
    <row r="1310" spans="1:16" x14ac:dyDescent="0.3">
      <c r="A1310">
        <v>1606</v>
      </c>
      <c r="B1310" s="1">
        <v>43313</v>
      </c>
      <c r="C1310">
        <v>46</v>
      </c>
      <c r="D1310" t="s">
        <v>20</v>
      </c>
      <c r="E1310">
        <v>170.9</v>
      </c>
      <c r="F1310">
        <v>66.099999999999994</v>
      </c>
      <c r="G1310">
        <v>10151</v>
      </c>
      <c r="H1310">
        <v>627.79999999999995</v>
      </c>
      <c r="I1310">
        <v>8.4</v>
      </c>
      <c r="J1310">
        <v>71</v>
      </c>
      <c r="K1310" t="s">
        <v>18</v>
      </c>
      <c r="L1310">
        <v>65</v>
      </c>
      <c r="M1310">
        <v>1.99</v>
      </c>
      <c r="N1310">
        <v>2</v>
      </c>
      <c r="O1310" t="s">
        <v>19</v>
      </c>
      <c r="P1310" cm="1">
        <f t="array" ref="P1310">_xlfn.SWITCH(Table2[[#This Row],[mood]], "Tired", 3, "Neutral", 2, "Happy", 1)</f>
        <v>2</v>
      </c>
    </row>
    <row r="1311" spans="1:16" x14ac:dyDescent="0.3">
      <c r="A1311">
        <v>1663</v>
      </c>
      <c r="B1311" s="1">
        <v>43314</v>
      </c>
      <c r="C1311">
        <v>59</v>
      </c>
      <c r="D1311" t="s">
        <v>15</v>
      </c>
      <c r="E1311">
        <v>182.1</v>
      </c>
      <c r="F1311">
        <v>52.3</v>
      </c>
      <c r="G1311">
        <v>5166</v>
      </c>
      <c r="H1311">
        <v>419.4</v>
      </c>
      <c r="I1311">
        <v>8.9</v>
      </c>
      <c r="J1311">
        <v>75</v>
      </c>
      <c r="K1311" t="s">
        <v>23</v>
      </c>
      <c r="L1311">
        <v>41</v>
      </c>
      <c r="M1311">
        <v>1.96</v>
      </c>
      <c r="N1311">
        <v>2</v>
      </c>
      <c r="O1311" t="s">
        <v>21</v>
      </c>
      <c r="P1311" cm="1">
        <f t="array" ref="P1311">_xlfn.SWITCH(Table2[[#This Row],[mood]], "Tired", 3, "Neutral", 2, "Happy", 1)</f>
        <v>1</v>
      </c>
    </row>
    <row r="1312" spans="1:16" x14ac:dyDescent="0.3">
      <c r="A1312">
        <v>1822</v>
      </c>
      <c r="B1312" s="1">
        <v>43315</v>
      </c>
      <c r="C1312">
        <v>29</v>
      </c>
      <c r="D1312" t="s">
        <v>15</v>
      </c>
      <c r="E1312">
        <v>177</v>
      </c>
      <c r="F1312">
        <v>76</v>
      </c>
      <c r="G1312">
        <v>7488</v>
      </c>
      <c r="H1312">
        <v>466.9</v>
      </c>
      <c r="I1312">
        <v>6.9</v>
      </c>
      <c r="J1312">
        <v>90</v>
      </c>
      <c r="K1312" t="s">
        <v>23</v>
      </c>
      <c r="L1312">
        <v>73</v>
      </c>
      <c r="M1312">
        <v>2.11</v>
      </c>
      <c r="N1312">
        <v>5</v>
      </c>
      <c r="O1312" t="s">
        <v>21</v>
      </c>
      <c r="P1312" cm="1">
        <f t="array" ref="P1312">_xlfn.SWITCH(Table2[[#This Row],[mood]], "Tired", 3, "Neutral", 2, "Happy", 1)</f>
        <v>1</v>
      </c>
    </row>
    <row r="1313" spans="1:16" x14ac:dyDescent="0.3">
      <c r="A1313">
        <v>1136</v>
      </c>
      <c r="B1313" s="1">
        <v>43316</v>
      </c>
      <c r="C1313">
        <v>31</v>
      </c>
      <c r="D1313" t="s">
        <v>20</v>
      </c>
      <c r="E1313">
        <v>173.5</v>
      </c>
      <c r="F1313">
        <v>58.9</v>
      </c>
      <c r="G1313">
        <v>11415</v>
      </c>
      <c r="H1313">
        <v>630</v>
      </c>
      <c r="I1313">
        <v>6.9</v>
      </c>
      <c r="J1313">
        <v>62</v>
      </c>
      <c r="K1313" t="s">
        <v>18</v>
      </c>
      <c r="L1313">
        <v>59</v>
      </c>
      <c r="M1313">
        <v>2.62</v>
      </c>
      <c r="N1313">
        <v>5</v>
      </c>
      <c r="O1313" t="s">
        <v>17</v>
      </c>
      <c r="P1313" cm="1">
        <f t="array" ref="P1313">_xlfn.SWITCH(Table2[[#This Row],[mood]], "Tired", 3, "Neutral", 2, "Happy", 1)</f>
        <v>3</v>
      </c>
    </row>
    <row r="1314" spans="1:16" x14ac:dyDescent="0.3">
      <c r="A1314">
        <v>1758</v>
      </c>
      <c r="B1314" s="1">
        <v>43317</v>
      </c>
      <c r="C1314">
        <v>38</v>
      </c>
      <c r="D1314" t="s">
        <v>20</v>
      </c>
      <c r="E1314">
        <v>150.19999999999999</v>
      </c>
      <c r="F1314">
        <v>96</v>
      </c>
      <c r="G1314">
        <v>13008</v>
      </c>
      <c r="H1314">
        <v>678.2</v>
      </c>
      <c r="I1314">
        <v>8.9</v>
      </c>
      <c r="J1314">
        <v>74</v>
      </c>
      <c r="K1314" t="s">
        <v>24</v>
      </c>
      <c r="L1314">
        <v>49</v>
      </c>
      <c r="M1314">
        <v>3.15</v>
      </c>
      <c r="N1314">
        <v>5</v>
      </c>
      <c r="O1314" t="s">
        <v>17</v>
      </c>
      <c r="P1314" cm="1">
        <f t="array" ref="P1314">_xlfn.SWITCH(Table2[[#This Row],[mood]], "Tired", 3, "Neutral", 2, "Happy", 1)</f>
        <v>3</v>
      </c>
    </row>
    <row r="1315" spans="1:16" x14ac:dyDescent="0.3">
      <c r="A1315">
        <v>1898</v>
      </c>
      <c r="B1315" s="1">
        <v>43318</v>
      </c>
      <c r="C1315">
        <v>39</v>
      </c>
      <c r="D1315" t="s">
        <v>20</v>
      </c>
      <c r="E1315">
        <v>169.5</v>
      </c>
      <c r="F1315">
        <v>45</v>
      </c>
      <c r="G1315">
        <v>12170</v>
      </c>
      <c r="H1315">
        <v>735.6</v>
      </c>
      <c r="I1315">
        <v>8.6999999999999993</v>
      </c>
      <c r="J1315">
        <v>66</v>
      </c>
      <c r="K1315" t="s">
        <v>25</v>
      </c>
      <c r="L1315">
        <v>74</v>
      </c>
      <c r="M1315">
        <v>0.65</v>
      </c>
      <c r="N1315">
        <v>6</v>
      </c>
      <c r="O1315" t="s">
        <v>19</v>
      </c>
      <c r="P1315" cm="1">
        <f t="array" ref="P1315">_xlfn.SWITCH(Table2[[#This Row],[mood]], "Tired", 3, "Neutral", 2, "Happy", 1)</f>
        <v>2</v>
      </c>
    </row>
    <row r="1316" spans="1:16" x14ac:dyDescent="0.3">
      <c r="A1316">
        <v>1242</v>
      </c>
      <c r="B1316" s="1">
        <v>43319</v>
      </c>
      <c r="C1316">
        <v>38</v>
      </c>
      <c r="D1316" t="s">
        <v>20</v>
      </c>
      <c r="E1316">
        <v>162.19999999999999</v>
      </c>
      <c r="F1316">
        <v>73.7</v>
      </c>
      <c r="G1316">
        <v>18430</v>
      </c>
      <c r="H1316">
        <v>844.6</v>
      </c>
      <c r="I1316">
        <v>8.5</v>
      </c>
      <c r="J1316">
        <v>92</v>
      </c>
      <c r="K1316" t="s">
        <v>24</v>
      </c>
      <c r="L1316">
        <v>75</v>
      </c>
      <c r="M1316">
        <v>3.15</v>
      </c>
      <c r="N1316">
        <v>8</v>
      </c>
      <c r="O1316" t="s">
        <v>17</v>
      </c>
      <c r="P1316" cm="1">
        <f t="array" ref="P1316">_xlfn.SWITCH(Table2[[#This Row],[mood]], "Tired", 3, "Neutral", 2, "Happy", 1)</f>
        <v>3</v>
      </c>
    </row>
    <row r="1317" spans="1:16" x14ac:dyDescent="0.3">
      <c r="A1317">
        <v>1542</v>
      </c>
      <c r="B1317" s="1">
        <v>43320</v>
      </c>
      <c r="C1317">
        <v>47</v>
      </c>
      <c r="D1317" t="s">
        <v>15</v>
      </c>
      <c r="E1317">
        <v>177.1</v>
      </c>
      <c r="F1317">
        <v>70.599999999999994</v>
      </c>
      <c r="G1317">
        <v>15516</v>
      </c>
      <c r="H1317">
        <v>756.6</v>
      </c>
      <c r="I1317">
        <v>6.4</v>
      </c>
      <c r="J1317">
        <v>99</v>
      </c>
      <c r="K1317" t="s">
        <v>24</v>
      </c>
      <c r="L1317">
        <v>61</v>
      </c>
      <c r="M1317">
        <v>2.11</v>
      </c>
      <c r="N1317">
        <v>5</v>
      </c>
      <c r="O1317" t="s">
        <v>17</v>
      </c>
      <c r="P1317" cm="1">
        <f t="array" ref="P1317">_xlfn.SWITCH(Table2[[#This Row],[mood]], "Tired", 3, "Neutral", 2, "Happy", 1)</f>
        <v>3</v>
      </c>
    </row>
    <row r="1318" spans="1:16" x14ac:dyDescent="0.3">
      <c r="A1318">
        <v>1039</v>
      </c>
      <c r="B1318" s="1">
        <v>43321</v>
      </c>
      <c r="C1318">
        <v>56</v>
      </c>
      <c r="D1318" t="s">
        <v>20</v>
      </c>
      <c r="E1318">
        <v>179.9</v>
      </c>
      <c r="F1318">
        <v>65.8</v>
      </c>
      <c r="G1318">
        <v>10260</v>
      </c>
      <c r="H1318">
        <v>631.29999999999995</v>
      </c>
      <c r="I1318">
        <v>6</v>
      </c>
      <c r="J1318">
        <v>77</v>
      </c>
      <c r="K1318" t="s">
        <v>25</v>
      </c>
      <c r="L1318">
        <v>61</v>
      </c>
      <c r="M1318">
        <v>2.21</v>
      </c>
      <c r="N1318">
        <v>3</v>
      </c>
      <c r="O1318" t="s">
        <v>19</v>
      </c>
      <c r="P1318" cm="1">
        <f t="array" ref="P1318">_xlfn.SWITCH(Table2[[#This Row],[mood]], "Tired", 3, "Neutral", 2, "Happy", 1)</f>
        <v>2</v>
      </c>
    </row>
    <row r="1319" spans="1:16" x14ac:dyDescent="0.3">
      <c r="A1319">
        <v>1228</v>
      </c>
      <c r="B1319" s="1">
        <v>43322</v>
      </c>
      <c r="C1319">
        <v>37</v>
      </c>
      <c r="D1319" t="s">
        <v>15</v>
      </c>
      <c r="E1319">
        <v>167</v>
      </c>
      <c r="F1319">
        <v>62.1</v>
      </c>
      <c r="G1319">
        <v>8636</v>
      </c>
      <c r="H1319">
        <v>572.6</v>
      </c>
      <c r="I1319">
        <v>9.5</v>
      </c>
      <c r="J1319">
        <v>80</v>
      </c>
      <c r="K1319" t="s">
        <v>24</v>
      </c>
      <c r="L1319">
        <v>81</v>
      </c>
      <c r="M1319">
        <v>3.7</v>
      </c>
      <c r="N1319">
        <v>9</v>
      </c>
      <c r="O1319" t="s">
        <v>21</v>
      </c>
      <c r="P1319" cm="1">
        <f t="array" ref="P1319">_xlfn.SWITCH(Table2[[#This Row],[mood]], "Tired", 3, "Neutral", 2, "Happy", 1)</f>
        <v>1</v>
      </c>
    </row>
    <row r="1320" spans="1:16" x14ac:dyDescent="0.3">
      <c r="A1320">
        <v>1547</v>
      </c>
      <c r="B1320" s="1">
        <v>43323</v>
      </c>
      <c r="C1320">
        <v>41</v>
      </c>
      <c r="D1320" t="s">
        <v>20</v>
      </c>
      <c r="E1320">
        <v>163.30000000000001</v>
      </c>
      <c r="F1320">
        <v>71</v>
      </c>
      <c r="G1320">
        <v>5187</v>
      </c>
      <c r="H1320">
        <v>328.3</v>
      </c>
      <c r="I1320">
        <v>7.9</v>
      </c>
      <c r="J1320">
        <v>74</v>
      </c>
      <c r="K1320" t="s">
        <v>23</v>
      </c>
      <c r="L1320">
        <v>72</v>
      </c>
      <c r="M1320">
        <v>2.65</v>
      </c>
      <c r="N1320">
        <v>4</v>
      </c>
      <c r="O1320" t="s">
        <v>17</v>
      </c>
      <c r="P1320" cm="1">
        <f t="array" ref="P1320">_xlfn.SWITCH(Table2[[#This Row],[mood]], "Tired", 3, "Neutral", 2, "Happy", 1)</f>
        <v>3</v>
      </c>
    </row>
    <row r="1321" spans="1:16" x14ac:dyDescent="0.3">
      <c r="A1321">
        <v>1919</v>
      </c>
      <c r="B1321" s="1">
        <v>43324</v>
      </c>
      <c r="C1321">
        <v>40</v>
      </c>
      <c r="D1321" t="s">
        <v>15</v>
      </c>
      <c r="E1321">
        <v>185.6</v>
      </c>
      <c r="F1321">
        <v>85.9</v>
      </c>
      <c r="G1321">
        <v>4340</v>
      </c>
      <c r="H1321">
        <v>404.9</v>
      </c>
      <c r="I1321">
        <v>5.9</v>
      </c>
      <c r="J1321">
        <v>74</v>
      </c>
      <c r="K1321" t="s">
        <v>16</v>
      </c>
      <c r="L1321">
        <v>0</v>
      </c>
      <c r="M1321">
        <v>2.81</v>
      </c>
      <c r="N1321">
        <v>8</v>
      </c>
      <c r="O1321" t="s">
        <v>19</v>
      </c>
      <c r="P1321" cm="1">
        <f t="array" ref="P1321">_xlfn.SWITCH(Table2[[#This Row],[mood]], "Tired", 3, "Neutral", 2, "Happy", 1)</f>
        <v>2</v>
      </c>
    </row>
    <row r="1322" spans="1:16" x14ac:dyDescent="0.3">
      <c r="A1322">
        <v>1222</v>
      </c>
      <c r="B1322" s="1">
        <v>43325</v>
      </c>
      <c r="C1322">
        <v>24</v>
      </c>
      <c r="D1322" t="s">
        <v>15</v>
      </c>
      <c r="E1322">
        <v>164</v>
      </c>
      <c r="F1322">
        <v>45</v>
      </c>
      <c r="G1322">
        <v>7177</v>
      </c>
      <c r="H1322">
        <v>496.1</v>
      </c>
      <c r="I1322">
        <v>6.8</v>
      </c>
      <c r="J1322">
        <v>76</v>
      </c>
      <c r="K1322" t="s">
        <v>18</v>
      </c>
      <c r="L1322">
        <v>83</v>
      </c>
      <c r="M1322">
        <v>2.4700000000000002</v>
      </c>
      <c r="N1322">
        <v>9</v>
      </c>
      <c r="O1322" t="s">
        <v>17</v>
      </c>
      <c r="P1322" cm="1">
        <f t="array" ref="P1322">_xlfn.SWITCH(Table2[[#This Row],[mood]], "Tired", 3, "Neutral", 2, "Happy", 1)</f>
        <v>3</v>
      </c>
    </row>
    <row r="1323" spans="1:16" x14ac:dyDescent="0.3">
      <c r="A1323">
        <v>1005</v>
      </c>
      <c r="B1323" s="1">
        <v>43326</v>
      </c>
      <c r="C1323">
        <v>26</v>
      </c>
      <c r="D1323" t="s">
        <v>15</v>
      </c>
      <c r="E1323">
        <v>158.1</v>
      </c>
      <c r="F1323">
        <v>57.9</v>
      </c>
      <c r="G1323">
        <v>16941</v>
      </c>
      <c r="H1323">
        <v>900</v>
      </c>
      <c r="I1323">
        <v>7.1</v>
      </c>
      <c r="J1323">
        <v>62</v>
      </c>
      <c r="K1323" t="s">
        <v>16</v>
      </c>
      <c r="L1323">
        <v>0</v>
      </c>
      <c r="M1323">
        <v>3.03</v>
      </c>
      <c r="N1323">
        <v>7</v>
      </c>
      <c r="O1323" t="s">
        <v>17</v>
      </c>
      <c r="P1323" cm="1">
        <f t="array" ref="P1323">_xlfn.SWITCH(Table2[[#This Row],[mood]], "Tired", 3, "Neutral", 2, "Happy", 1)</f>
        <v>3</v>
      </c>
    </row>
    <row r="1324" spans="1:16" x14ac:dyDescent="0.3">
      <c r="A1324">
        <v>1321</v>
      </c>
      <c r="B1324" s="1">
        <v>43327</v>
      </c>
      <c r="C1324">
        <v>18</v>
      </c>
      <c r="D1324" t="s">
        <v>15</v>
      </c>
      <c r="E1324">
        <v>161.69999999999999</v>
      </c>
      <c r="F1324">
        <v>54.2</v>
      </c>
      <c r="G1324">
        <v>4435</v>
      </c>
      <c r="H1324">
        <v>381</v>
      </c>
      <c r="I1324">
        <v>6.8</v>
      </c>
      <c r="J1324">
        <v>82</v>
      </c>
      <c r="K1324" t="s">
        <v>23</v>
      </c>
      <c r="L1324">
        <v>88</v>
      </c>
      <c r="M1324">
        <v>3.63</v>
      </c>
      <c r="N1324">
        <v>3</v>
      </c>
      <c r="O1324" t="s">
        <v>21</v>
      </c>
      <c r="P1324" cm="1">
        <f t="array" ref="P1324">_xlfn.SWITCH(Table2[[#This Row],[mood]], "Tired", 3, "Neutral", 2, "Happy", 1)</f>
        <v>1</v>
      </c>
    </row>
    <row r="1325" spans="1:16" x14ac:dyDescent="0.3">
      <c r="A1325">
        <v>1467</v>
      </c>
      <c r="B1325" s="1">
        <v>43328</v>
      </c>
      <c r="C1325">
        <v>43</v>
      </c>
      <c r="D1325" t="s">
        <v>20</v>
      </c>
      <c r="E1325">
        <v>164.5</v>
      </c>
      <c r="F1325">
        <v>53.5</v>
      </c>
      <c r="G1325">
        <v>8300</v>
      </c>
      <c r="H1325">
        <v>553.29999999999995</v>
      </c>
      <c r="I1325">
        <v>6.6</v>
      </c>
      <c r="J1325">
        <v>65</v>
      </c>
      <c r="K1325" t="s">
        <v>16</v>
      </c>
      <c r="L1325">
        <v>0</v>
      </c>
      <c r="M1325">
        <v>0.77</v>
      </c>
      <c r="N1325">
        <v>10</v>
      </c>
      <c r="O1325" t="s">
        <v>17</v>
      </c>
      <c r="P1325" cm="1">
        <f t="array" ref="P1325">_xlfn.SWITCH(Table2[[#This Row],[mood]], "Tired", 3, "Neutral", 2, "Happy", 1)</f>
        <v>3</v>
      </c>
    </row>
    <row r="1326" spans="1:16" x14ac:dyDescent="0.3">
      <c r="A1326">
        <v>1731</v>
      </c>
      <c r="B1326" s="1">
        <v>43329</v>
      </c>
      <c r="C1326">
        <v>55</v>
      </c>
      <c r="D1326" t="s">
        <v>20</v>
      </c>
      <c r="E1326">
        <v>161.4</v>
      </c>
      <c r="F1326">
        <v>75.099999999999994</v>
      </c>
      <c r="G1326">
        <v>13669</v>
      </c>
      <c r="H1326">
        <v>769.8</v>
      </c>
      <c r="I1326">
        <v>8.8000000000000007</v>
      </c>
      <c r="J1326">
        <v>71</v>
      </c>
      <c r="K1326" t="s">
        <v>23</v>
      </c>
      <c r="L1326">
        <v>36</v>
      </c>
      <c r="M1326">
        <v>3.26</v>
      </c>
      <c r="N1326">
        <v>6</v>
      </c>
      <c r="O1326" t="s">
        <v>17</v>
      </c>
      <c r="P1326" cm="1">
        <f t="array" ref="P1326">_xlfn.SWITCH(Table2[[#This Row],[mood]], "Tired", 3, "Neutral", 2, "Happy", 1)</f>
        <v>3</v>
      </c>
    </row>
    <row r="1327" spans="1:16" x14ac:dyDescent="0.3">
      <c r="A1327">
        <v>1074</v>
      </c>
      <c r="B1327" s="1">
        <v>43330</v>
      </c>
      <c r="C1327">
        <v>55</v>
      </c>
      <c r="D1327" t="s">
        <v>15</v>
      </c>
      <c r="E1327">
        <v>178.5</v>
      </c>
      <c r="F1327">
        <v>78.8</v>
      </c>
      <c r="G1327">
        <v>1965</v>
      </c>
      <c r="H1327">
        <v>302.2</v>
      </c>
      <c r="I1327">
        <v>7.8</v>
      </c>
      <c r="J1327">
        <v>75</v>
      </c>
      <c r="K1327" t="s">
        <v>22</v>
      </c>
      <c r="L1327">
        <v>82</v>
      </c>
      <c r="M1327">
        <v>3.58</v>
      </c>
      <c r="N1327">
        <v>7</v>
      </c>
      <c r="O1327" t="s">
        <v>17</v>
      </c>
      <c r="P1327" cm="1">
        <f t="array" ref="P1327">_xlfn.SWITCH(Table2[[#This Row],[mood]], "Tired", 3, "Neutral", 2, "Happy", 1)</f>
        <v>3</v>
      </c>
    </row>
    <row r="1328" spans="1:16" x14ac:dyDescent="0.3">
      <c r="A1328">
        <v>1003</v>
      </c>
      <c r="B1328" s="1">
        <v>43331</v>
      </c>
      <c r="C1328">
        <v>39</v>
      </c>
      <c r="D1328" t="s">
        <v>20</v>
      </c>
      <c r="E1328">
        <v>150</v>
      </c>
      <c r="F1328">
        <v>86</v>
      </c>
      <c r="G1328">
        <v>8444</v>
      </c>
      <c r="H1328">
        <v>550</v>
      </c>
      <c r="I1328">
        <v>10</v>
      </c>
      <c r="J1328">
        <v>67</v>
      </c>
      <c r="K1328" t="s">
        <v>25</v>
      </c>
      <c r="L1328">
        <v>60</v>
      </c>
      <c r="M1328">
        <v>2.85</v>
      </c>
      <c r="N1328">
        <v>7</v>
      </c>
      <c r="O1328" t="s">
        <v>21</v>
      </c>
      <c r="P1328" cm="1">
        <f t="array" ref="P1328">_xlfn.SWITCH(Table2[[#This Row],[mood]], "Tired", 3, "Neutral", 2, "Happy", 1)</f>
        <v>1</v>
      </c>
    </row>
    <row r="1329" spans="1:16" x14ac:dyDescent="0.3">
      <c r="A1329">
        <v>1846</v>
      </c>
      <c r="B1329" s="1">
        <v>43332</v>
      </c>
      <c r="C1329">
        <v>27</v>
      </c>
      <c r="D1329" t="s">
        <v>20</v>
      </c>
      <c r="E1329">
        <v>161.19999999999999</v>
      </c>
      <c r="F1329">
        <v>79.099999999999994</v>
      </c>
      <c r="G1329">
        <v>11626</v>
      </c>
      <c r="H1329">
        <v>660.8</v>
      </c>
      <c r="I1329">
        <v>8.9</v>
      </c>
      <c r="J1329">
        <v>81</v>
      </c>
      <c r="K1329" t="s">
        <v>25</v>
      </c>
      <c r="L1329">
        <v>77</v>
      </c>
      <c r="M1329">
        <v>2.0299999999999998</v>
      </c>
      <c r="N1329">
        <v>8</v>
      </c>
      <c r="O1329" t="s">
        <v>17</v>
      </c>
      <c r="P1329" cm="1">
        <f t="array" ref="P1329">_xlfn.SWITCH(Table2[[#This Row],[mood]], "Tired", 3, "Neutral", 2, "Happy", 1)</f>
        <v>3</v>
      </c>
    </row>
    <row r="1330" spans="1:16" x14ac:dyDescent="0.3">
      <c r="A1330">
        <v>1645</v>
      </c>
      <c r="B1330" s="1">
        <v>43333</v>
      </c>
      <c r="C1330">
        <v>23</v>
      </c>
      <c r="D1330" t="s">
        <v>15</v>
      </c>
      <c r="E1330">
        <v>169.5</v>
      </c>
      <c r="F1330">
        <v>80.3</v>
      </c>
      <c r="G1330">
        <v>15610</v>
      </c>
      <c r="H1330">
        <v>820.4</v>
      </c>
      <c r="I1330">
        <v>7.2</v>
      </c>
      <c r="J1330">
        <v>70</v>
      </c>
      <c r="K1330" t="s">
        <v>16</v>
      </c>
      <c r="L1330">
        <v>0</v>
      </c>
      <c r="M1330">
        <v>1.69</v>
      </c>
      <c r="N1330">
        <v>10</v>
      </c>
      <c r="O1330" t="s">
        <v>19</v>
      </c>
      <c r="P1330" cm="1">
        <f t="array" ref="P1330">_xlfn.SWITCH(Table2[[#This Row],[mood]], "Tired", 3, "Neutral", 2, "Happy", 1)</f>
        <v>2</v>
      </c>
    </row>
    <row r="1331" spans="1:16" x14ac:dyDescent="0.3">
      <c r="A1331">
        <v>1117</v>
      </c>
      <c r="B1331" s="1">
        <v>43334</v>
      </c>
      <c r="C1331">
        <v>34</v>
      </c>
      <c r="D1331" t="s">
        <v>20</v>
      </c>
      <c r="E1331">
        <v>172.1</v>
      </c>
      <c r="F1331">
        <v>48.8</v>
      </c>
      <c r="G1331">
        <v>1500</v>
      </c>
      <c r="H1331">
        <v>271.5</v>
      </c>
      <c r="I1331">
        <v>9.1</v>
      </c>
      <c r="J1331">
        <v>86</v>
      </c>
      <c r="K1331" t="s">
        <v>23</v>
      </c>
      <c r="L1331">
        <v>57</v>
      </c>
      <c r="M1331">
        <v>4.1500000000000004</v>
      </c>
      <c r="N1331">
        <v>5</v>
      </c>
      <c r="O1331" t="s">
        <v>19</v>
      </c>
      <c r="P1331" cm="1">
        <f t="array" ref="P1331">_xlfn.SWITCH(Table2[[#This Row],[mood]], "Tired", 3, "Neutral", 2, "Happy", 1)</f>
        <v>2</v>
      </c>
    </row>
    <row r="1332" spans="1:16" x14ac:dyDescent="0.3">
      <c r="A1332">
        <v>1880</v>
      </c>
      <c r="B1332" s="1">
        <v>43335</v>
      </c>
      <c r="C1332">
        <v>55</v>
      </c>
      <c r="D1332" t="s">
        <v>20</v>
      </c>
      <c r="E1332">
        <v>186.9</v>
      </c>
      <c r="F1332">
        <v>92.3</v>
      </c>
      <c r="G1332">
        <v>5554</v>
      </c>
      <c r="H1332">
        <v>463.4</v>
      </c>
      <c r="I1332">
        <v>7.5</v>
      </c>
      <c r="J1332">
        <v>66</v>
      </c>
      <c r="K1332" t="s">
        <v>25</v>
      </c>
      <c r="L1332">
        <v>85</v>
      </c>
      <c r="M1332">
        <v>1.87</v>
      </c>
      <c r="N1332">
        <v>5</v>
      </c>
      <c r="O1332" t="s">
        <v>21</v>
      </c>
      <c r="P1332" cm="1">
        <f t="array" ref="P1332">_xlfn.SWITCH(Table2[[#This Row],[mood]], "Tired", 3, "Neutral", 2, "Happy", 1)</f>
        <v>1</v>
      </c>
    </row>
    <row r="1333" spans="1:16" x14ac:dyDescent="0.3">
      <c r="A1333">
        <v>1605</v>
      </c>
      <c r="B1333" s="1">
        <v>43336</v>
      </c>
      <c r="C1333">
        <v>41</v>
      </c>
      <c r="D1333" t="s">
        <v>20</v>
      </c>
      <c r="E1333">
        <v>185.5</v>
      </c>
      <c r="F1333">
        <v>66.900000000000006</v>
      </c>
      <c r="G1333">
        <v>17433</v>
      </c>
      <c r="H1333">
        <v>900</v>
      </c>
      <c r="I1333">
        <v>10</v>
      </c>
      <c r="J1333">
        <v>73</v>
      </c>
      <c r="K1333" t="s">
        <v>22</v>
      </c>
      <c r="L1333">
        <v>64</v>
      </c>
      <c r="M1333">
        <v>3.56</v>
      </c>
      <c r="N1333">
        <v>2</v>
      </c>
      <c r="O1333" t="s">
        <v>21</v>
      </c>
      <c r="P1333" cm="1">
        <f t="array" ref="P1333">_xlfn.SWITCH(Table2[[#This Row],[mood]], "Tired", 3, "Neutral", 2, "Happy", 1)</f>
        <v>1</v>
      </c>
    </row>
    <row r="1334" spans="1:16" x14ac:dyDescent="0.3">
      <c r="A1334">
        <v>1503</v>
      </c>
      <c r="B1334" s="1">
        <v>43337</v>
      </c>
      <c r="C1334">
        <v>27</v>
      </c>
      <c r="D1334" t="s">
        <v>15</v>
      </c>
      <c r="E1334">
        <v>154</v>
      </c>
      <c r="F1334">
        <v>85.5</v>
      </c>
      <c r="G1334">
        <v>18371</v>
      </c>
      <c r="H1334">
        <v>900</v>
      </c>
      <c r="I1334">
        <v>6.5</v>
      </c>
      <c r="J1334">
        <v>64</v>
      </c>
      <c r="K1334" t="s">
        <v>16</v>
      </c>
      <c r="L1334">
        <v>0</v>
      </c>
      <c r="M1334">
        <v>2.77</v>
      </c>
      <c r="N1334">
        <v>2</v>
      </c>
      <c r="O1334" t="s">
        <v>21</v>
      </c>
      <c r="P1334" cm="1">
        <f t="array" ref="P1334">_xlfn.SWITCH(Table2[[#This Row],[mood]], "Tired", 3, "Neutral", 2, "Happy", 1)</f>
        <v>1</v>
      </c>
    </row>
    <row r="1335" spans="1:16" x14ac:dyDescent="0.3">
      <c r="A1335">
        <v>1997</v>
      </c>
      <c r="B1335" s="1">
        <v>43338</v>
      </c>
      <c r="C1335">
        <v>25</v>
      </c>
      <c r="D1335" t="s">
        <v>20</v>
      </c>
      <c r="E1335">
        <v>150.9</v>
      </c>
      <c r="F1335">
        <v>49.4</v>
      </c>
      <c r="G1335">
        <v>14291</v>
      </c>
      <c r="H1335">
        <v>790.5</v>
      </c>
      <c r="I1335">
        <v>7.7</v>
      </c>
      <c r="J1335">
        <v>85</v>
      </c>
      <c r="K1335" t="s">
        <v>18</v>
      </c>
      <c r="L1335">
        <v>39</v>
      </c>
      <c r="M1335">
        <v>3.93</v>
      </c>
      <c r="N1335">
        <v>4</v>
      </c>
      <c r="O1335" t="s">
        <v>17</v>
      </c>
      <c r="P1335" cm="1">
        <f t="array" ref="P1335">_xlfn.SWITCH(Table2[[#This Row],[mood]], "Tired", 3, "Neutral", 2, "Happy", 1)</f>
        <v>3</v>
      </c>
    </row>
    <row r="1336" spans="1:16" x14ac:dyDescent="0.3">
      <c r="A1336">
        <v>1946</v>
      </c>
      <c r="B1336" s="1">
        <v>43339</v>
      </c>
      <c r="C1336">
        <v>38</v>
      </c>
      <c r="D1336" t="s">
        <v>15</v>
      </c>
      <c r="E1336">
        <v>170.2</v>
      </c>
      <c r="F1336">
        <v>66.400000000000006</v>
      </c>
      <c r="G1336">
        <v>7771</v>
      </c>
      <c r="H1336">
        <v>571.6</v>
      </c>
      <c r="I1336">
        <v>6.1</v>
      </c>
      <c r="J1336">
        <v>72</v>
      </c>
      <c r="K1336" t="s">
        <v>24</v>
      </c>
      <c r="L1336">
        <v>55</v>
      </c>
      <c r="M1336">
        <v>2.2799999999999998</v>
      </c>
      <c r="N1336">
        <v>7</v>
      </c>
      <c r="O1336" t="s">
        <v>21</v>
      </c>
      <c r="P1336" cm="1">
        <f t="array" ref="P1336">_xlfn.SWITCH(Table2[[#This Row],[mood]], "Tired", 3, "Neutral", 2, "Happy", 1)</f>
        <v>1</v>
      </c>
    </row>
    <row r="1337" spans="1:16" x14ac:dyDescent="0.3">
      <c r="A1337">
        <v>1573</v>
      </c>
      <c r="B1337" s="1">
        <v>43340</v>
      </c>
      <c r="C1337">
        <v>23</v>
      </c>
      <c r="D1337" t="s">
        <v>20</v>
      </c>
      <c r="E1337">
        <v>163.30000000000001</v>
      </c>
      <c r="F1337">
        <v>84.1</v>
      </c>
      <c r="G1337">
        <v>18499</v>
      </c>
      <c r="H1337">
        <v>900</v>
      </c>
      <c r="I1337">
        <v>6.4</v>
      </c>
      <c r="J1337">
        <v>69</v>
      </c>
      <c r="K1337" t="s">
        <v>25</v>
      </c>
      <c r="L1337">
        <v>61</v>
      </c>
      <c r="M1337">
        <v>1.37</v>
      </c>
      <c r="N1337">
        <v>8</v>
      </c>
      <c r="O1337" t="s">
        <v>19</v>
      </c>
      <c r="P1337" cm="1">
        <f t="array" ref="P1337">_xlfn.SWITCH(Table2[[#This Row],[mood]], "Tired", 3, "Neutral", 2, "Happy", 1)</f>
        <v>2</v>
      </c>
    </row>
    <row r="1338" spans="1:16" x14ac:dyDescent="0.3">
      <c r="A1338">
        <v>1440</v>
      </c>
      <c r="B1338" s="1">
        <v>43341</v>
      </c>
      <c r="C1338">
        <v>38</v>
      </c>
      <c r="D1338" t="s">
        <v>20</v>
      </c>
      <c r="E1338">
        <v>158.1</v>
      </c>
      <c r="F1338">
        <v>70.400000000000006</v>
      </c>
      <c r="G1338">
        <v>4932</v>
      </c>
      <c r="H1338">
        <v>344.3</v>
      </c>
      <c r="I1338">
        <v>6.5</v>
      </c>
      <c r="J1338">
        <v>73</v>
      </c>
      <c r="K1338" t="s">
        <v>23</v>
      </c>
      <c r="L1338">
        <v>41</v>
      </c>
      <c r="M1338">
        <v>2.5</v>
      </c>
      <c r="N1338">
        <v>3</v>
      </c>
      <c r="O1338" t="s">
        <v>19</v>
      </c>
      <c r="P1338" cm="1">
        <f t="array" ref="P1338">_xlfn.SWITCH(Table2[[#This Row],[mood]], "Tired", 3, "Neutral", 2, "Happy", 1)</f>
        <v>2</v>
      </c>
    </row>
    <row r="1339" spans="1:16" x14ac:dyDescent="0.3">
      <c r="A1339">
        <v>1193</v>
      </c>
      <c r="B1339" s="1">
        <v>43342</v>
      </c>
      <c r="C1339">
        <v>56</v>
      </c>
      <c r="D1339" t="s">
        <v>20</v>
      </c>
      <c r="E1339">
        <v>170.2</v>
      </c>
      <c r="F1339">
        <v>58.7</v>
      </c>
      <c r="G1339">
        <v>5434</v>
      </c>
      <c r="H1339">
        <v>380.7</v>
      </c>
      <c r="I1339">
        <v>8.9</v>
      </c>
      <c r="J1339">
        <v>74</v>
      </c>
      <c r="K1339" t="s">
        <v>25</v>
      </c>
      <c r="L1339">
        <v>79</v>
      </c>
      <c r="M1339">
        <v>1.46</v>
      </c>
      <c r="N1339">
        <v>1</v>
      </c>
      <c r="O1339" t="s">
        <v>17</v>
      </c>
      <c r="P1339" cm="1">
        <f t="array" ref="P1339">_xlfn.SWITCH(Table2[[#This Row],[mood]], "Tired", 3, "Neutral", 2, "Happy", 1)</f>
        <v>3</v>
      </c>
    </row>
    <row r="1340" spans="1:16" x14ac:dyDescent="0.3">
      <c r="A1340">
        <v>1846</v>
      </c>
      <c r="B1340" s="1">
        <v>43343</v>
      </c>
      <c r="C1340">
        <v>41</v>
      </c>
      <c r="D1340" t="s">
        <v>15</v>
      </c>
      <c r="E1340">
        <v>172.3</v>
      </c>
      <c r="F1340">
        <v>89.6</v>
      </c>
      <c r="G1340">
        <v>4567</v>
      </c>
      <c r="H1340">
        <v>474.1</v>
      </c>
      <c r="I1340">
        <v>7.3</v>
      </c>
      <c r="J1340">
        <v>79</v>
      </c>
      <c r="K1340" t="s">
        <v>23</v>
      </c>
      <c r="L1340">
        <v>30</v>
      </c>
      <c r="M1340">
        <v>4.37</v>
      </c>
      <c r="N1340">
        <v>4</v>
      </c>
      <c r="O1340" t="s">
        <v>17</v>
      </c>
      <c r="P1340" cm="1">
        <f t="array" ref="P1340">_xlfn.SWITCH(Table2[[#This Row],[mood]], "Tired", 3, "Neutral", 2, "Happy", 1)</f>
        <v>3</v>
      </c>
    </row>
    <row r="1341" spans="1:16" x14ac:dyDescent="0.3">
      <c r="A1341">
        <v>1714</v>
      </c>
      <c r="B1341" s="1">
        <v>43344</v>
      </c>
      <c r="C1341">
        <v>50</v>
      </c>
      <c r="D1341" t="s">
        <v>15</v>
      </c>
      <c r="E1341">
        <v>161.6</v>
      </c>
      <c r="F1341">
        <v>52.4</v>
      </c>
      <c r="G1341">
        <v>2658</v>
      </c>
      <c r="H1341">
        <v>270.60000000000002</v>
      </c>
      <c r="I1341">
        <v>3.3</v>
      </c>
      <c r="J1341">
        <v>80</v>
      </c>
      <c r="K1341" t="s">
        <v>16</v>
      </c>
      <c r="L1341">
        <v>0</v>
      </c>
      <c r="M1341">
        <v>2.94</v>
      </c>
      <c r="N1341">
        <v>6</v>
      </c>
      <c r="O1341" t="s">
        <v>17</v>
      </c>
      <c r="P1341" cm="1">
        <f t="array" ref="P1341">_xlfn.SWITCH(Table2[[#This Row],[mood]], "Tired", 3, "Neutral", 2, "Happy", 1)</f>
        <v>3</v>
      </c>
    </row>
    <row r="1342" spans="1:16" x14ac:dyDescent="0.3">
      <c r="A1342">
        <v>1391</v>
      </c>
      <c r="B1342" s="1">
        <v>43345</v>
      </c>
      <c r="C1342">
        <v>35</v>
      </c>
      <c r="D1342" t="s">
        <v>20</v>
      </c>
      <c r="E1342">
        <v>163.80000000000001</v>
      </c>
      <c r="F1342">
        <v>69.7</v>
      </c>
      <c r="G1342">
        <v>11068</v>
      </c>
      <c r="H1342">
        <v>671.2</v>
      </c>
      <c r="I1342">
        <v>7.1</v>
      </c>
      <c r="J1342">
        <v>73</v>
      </c>
      <c r="K1342" t="s">
        <v>16</v>
      </c>
      <c r="L1342">
        <v>0</v>
      </c>
      <c r="M1342">
        <v>3.04</v>
      </c>
      <c r="N1342">
        <v>6</v>
      </c>
      <c r="O1342" t="s">
        <v>17</v>
      </c>
      <c r="P1342" cm="1">
        <f t="array" ref="P1342">_xlfn.SWITCH(Table2[[#This Row],[mood]], "Tired", 3, "Neutral", 2, "Happy", 1)</f>
        <v>3</v>
      </c>
    </row>
    <row r="1343" spans="1:16" x14ac:dyDescent="0.3">
      <c r="A1343">
        <v>1025</v>
      </c>
      <c r="B1343" s="1">
        <v>43346</v>
      </c>
      <c r="C1343">
        <v>45</v>
      </c>
      <c r="D1343" t="s">
        <v>15</v>
      </c>
      <c r="E1343">
        <v>162.4</v>
      </c>
      <c r="F1343">
        <v>79.599999999999994</v>
      </c>
      <c r="G1343">
        <v>15161</v>
      </c>
      <c r="H1343">
        <v>757</v>
      </c>
      <c r="I1343">
        <v>5.5</v>
      </c>
      <c r="J1343">
        <v>75</v>
      </c>
      <c r="K1343" t="s">
        <v>24</v>
      </c>
      <c r="L1343">
        <v>41</v>
      </c>
      <c r="M1343">
        <v>3.05</v>
      </c>
      <c r="N1343">
        <v>9</v>
      </c>
      <c r="O1343" t="s">
        <v>19</v>
      </c>
      <c r="P1343" cm="1">
        <f t="array" ref="P1343">_xlfn.SWITCH(Table2[[#This Row],[mood]], "Tired", 3, "Neutral", 2, "Happy", 1)</f>
        <v>2</v>
      </c>
    </row>
    <row r="1344" spans="1:16" x14ac:dyDescent="0.3">
      <c r="A1344">
        <v>1434</v>
      </c>
      <c r="B1344" s="1">
        <v>43347</v>
      </c>
      <c r="C1344">
        <v>49</v>
      </c>
      <c r="D1344" t="s">
        <v>20</v>
      </c>
      <c r="E1344">
        <v>165.9</v>
      </c>
      <c r="F1344">
        <v>101.4</v>
      </c>
      <c r="G1344">
        <v>8944</v>
      </c>
      <c r="H1344">
        <v>622</v>
      </c>
      <c r="I1344">
        <v>6.3</v>
      </c>
      <c r="J1344">
        <v>50</v>
      </c>
      <c r="K1344" t="s">
        <v>25</v>
      </c>
      <c r="L1344">
        <v>82</v>
      </c>
      <c r="M1344">
        <v>2.0099999999999998</v>
      </c>
      <c r="N1344">
        <v>7</v>
      </c>
      <c r="O1344" t="s">
        <v>19</v>
      </c>
      <c r="P1344" cm="1">
        <f t="array" ref="P1344">_xlfn.SWITCH(Table2[[#This Row],[mood]], "Tired", 3, "Neutral", 2, "Happy", 1)</f>
        <v>2</v>
      </c>
    </row>
    <row r="1345" spans="1:16" x14ac:dyDescent="0.3">
      <c r="A1345">
        <v>1172</v>
      </c>
      <c r="B1345" s="1">
        <v>43348</v>
      </c>
      <c r="C1345">
        <v>29</v>
      </c>
      <c r="D1345" t="s">
        <v>15</v>
      </c>
      <c r="E1345">
        <v>175.4</v>
      </c>
      <c r="F1345">
        <v>63.1</v>
      </c>
      <c r="G1345">
        <v>6800</v>
      </c>
      <c r="H1345">
        <v>449</v>
      </c>
      <c r="I1345">
        <v>8.6999999999999993</v>
      </c>
      <c r="J1345">
        <v>70</v>
      </c>
      <c r="K1345" t="s">
        <v>24</v>
      </c>
      <c r="L1345">
        <v>50</v>
      </c>
      <c r="M1345">
        <v>2.41</v>
      </c>
      <c r="N1345">
        <v>9</v>
      </c>
      <c r="O1345" t="s">
        <v>21</v>
      </c>
      <c r="P1345" cm="1">
        <f t="array" ref="P1345">_xlfn.SWITCH(Table2[[#This Row],[mood]], "Tired", 3, "Neutral", 2, "Happy", 1)</f>
        <v>1</v>
      </c>
    </row>
    <row r="1346" spans="1:16" x14ac:dyDescent="0.3">
      <c r="A1346">
        <v>1299</v>
      </c>
      <c r="B1346" s="1">
        <v>43349</v>
      </c>
      <c r="C1346">
        <v>59</v>
      </c>
      <c r="D1346" t="s">
        <v>15</v>
      </c>
      <c r="E1346">
        <v>159.19999999999999</v>
      </c>
      <c r="F1346">
        <v>65.900000000000006</v>
      </c>
      <c r="G1346">
        <v>15408</v>
      </c>
      <c r="H1346">
        <v>820.5</v>
      </c>
      <c r="I1346">
        <v>5</v>
      </c>
      <c r="J1346">
        <v>89</v>
      </c>
      <c r="K1346" t="s">
        <v>23</v>
      </c>
      <c r="L1346">
        <v>30</v>
      </c>
      <c r="M1346">
        <v>2.58</v>
      </c>
      <c r="N1346">
        <v>10</v>
      </c>
      <c r="O1346" t="s">
        <v>17</v>
      </c>
      <c r="P1346" cm="1">
        <f t="array" ref="P1346">_xlfn.SWITCH(Table2[[#This Row],[mood]], "Tired", 3, "Neutral", 2, "Happy", 1)</f>
        <v>3</v>
      </c>
    </row>
    <row r="1347" spans="1:16" x14ac:dyDescent="0.3">
      <c r="A1347">
        <v>1644</v>
      </c>
      <c r="B1347" s="1">
        <v>43350</v>
      </c>
      <c r="C1347">
        <v>44</v>
      </c>
      <c r="D1347" t="s">
        <v>20</v>
      </c>
      <c r="E1347">
        <v>163.6</v>
      </c>
      <c r="F1347">
        <v>63.3</v>
      </c>
      <c r="G1347">
        <v>9017</v>
      </c>
      <c r="H1347">
        <v>549.29999999999995</v>
      </c>
      <c r="I1347">
        <v>5.2</v>
      </c>
      <c r="J1347">
        <v>79</v>
      </c>
      <c r="K1347" t="s">
        <v>22</v>
      </c>
      <c r="L1347">
        <v>55</v>
      </c>
      <c r="M1347">
        <v>3.86</v>
      </c>
      <c r="N1347">
        <v>5</v>
      </c>
      <c r="O1347" t="s">
        <v>19</v>
      </c>
      <c r="P1347" cm="1">
        <f t="array" ref="P1347">_xlfn.SWITCH(Table2[[#This Row],[mood]], "Tired", 3, "Neutral", 2, "Happy", 1)</f>
        <v>2</v>
      </c>
    </row>
    <row r="1348" spans="1:16" x14ac:dyDescent="0.3">
      <c r="A1348">
        <v>1325</v>
      </c>
      <c r="B1348" s="1">
        <v>43351</v>
      </c>
      <c r="C1348">
        <v>27</v>
      </c>
      <c r="D1348" t="s">
        <v>20</v>
      </c>
      <c r="E1348">
        <v>166</v>
      </c>
      <c r="F1348">
        <v>73.599999999999994</v>
      </c>
      <c r="G1348">
        <v>3815</v>
      </c>
      <c r="H1348">
        <v>377.8</v>
      </c>
      <c r="I1348">
        <v>4.5</v>
      </c>
      <c r="J1348">
        <v>64</v>
      </c>
      <c r="K1348" t="s">
        <v>22</v>
      </c>
      <c r="L1348">
        <v>54</v>
      </c>
      <c r="M1348">
        <v>1.69</v>
      </c>
      <c r="N1348">
        <v>5</v>
      </c>
      <c r="O1348" t="s">
        <v>19</v>
      </c>
      <c r="P1348" cm="1">
        <f t="array" ref="P1348">_xlfn.SWITCH(Table2[[#This Row],[mood]], "Tired", 3, "Neutral", 2, "Happy", 1)</f>
        <v>2</v>
      </c>
    </row>
    <row r="1349" spans="1:16" x14ac:dyDescent="0.3">
      <c r="A1349">
        <v>1409</v>
      </c>
      <c r="B1349" s="1">
        <v>43352</v>
      </c>
      <c r="C1349">
        <v>59</v>
      </c>
      <c r="D1349" t="s">
        <v>20</v>
      </c>
      <c r="E1349">
        <v>169.9</v>
      </c>
      <c r="F1349">
        <v>78.8</v>
      </c>
      <c r="G1349">
        <v>1970</v>
      </c>
      <c r="H1349">
        <v>287.39999999999998</v>
      </c>
      <c r="I1349">
        <v>6.4</v>
      </c>
      <c r="J1349">
        <v>71</v>
      </c>
      <c r="K1349" t="s">
        <v>18</v>
      </c>
      <c r="L1349">
        <v>42</v>
      </c>
      <c r="M1349">
        <v>1.99</v>
      </c>
      <c r="N1349">
        <v>5</v>
      </c>
      <c r="O1349" t="s">
        <v>21</v>
      </c>
      <c r="P1349" cm="1">
        <f t="array" ref="P1349">_xlfn.SWITCH(Table2[[#This Row],[mood]], "Tired", 3, "Neutral", 2, "Happy", 1)</f>
        <v>1</v>
      </c>
    </row>
    <row r="1350" spans="1:16" x14ac:dyDescent="0.3">
      <c r="A1350">
        <v>1117</v>
      </c>
      <c r="B1350" s="1">
        <v>43353</v>
      </c>
      <c r="C1350">
        <v>49</v>
      </c>
      <c r="D1350" t="s">
        <v>20</v>
      </c>
      <c r="E1350">
        <v>172.8</v>
      </c>
      <c r="F1350">
        <v>86.4</v>
      </c>
      <c r="G1350">
        <v>14285</v>
      </c>
      <c r="H1350">
        <v>816.9</v>
      </c>
      <c r="I1350">
        <v>4.5</v>
      </c>
      <c r="J1350">
        <v>69</v>
      </c>
      <c r="K1350" t="s">
        <v>23</v>
      </c>
      <c r="L1350">
        <v>48</v>
      </c>
      <c r="M1350">
        <v>2.25</v>
      </c>
      <c r="N1350">
        <v>5</v>
      </c>
      <c r="O1350" t="s">
        <v>19</v>
      </c>
      <c r="P1350" cm="1">
        <f t="array" ref="P1350">_xlfn.SWITCH(Table2[[#This Row],[mood]], "Tired", 3, "Neutral", 2, "Happy", 1)</f>
        <v>2</v>
      </c>
    </row>
    <row r="1351" spans="1:16" x14ac:dyDescent="0.3">
      <c r="A1351">
        <v>1835</v>
      </c>
      <c r="B1351" s="1">
        <v>43354</v>
      </c>
      <c r="C1351">
        <v>59</v>
      </c>
      <c r="D1351" t="s">
        <v>15</v>
      </c>
      <c r="E1351">
        <v>190.4</v>
      </c>
      <c r="F1351">
        <v>81.3</v>
      </c>
      <c r="G1351">
        <v>1207</v>
      </c>
      <c r="H1351">
        <v>281</v>
      </c>
      <c r="I1351">
        <v>4.5999999999999996</v>
      </c>
      <c r="J1351">
        <v>86</v>
      </c>
      <c r="K1351" t="s">
        <v>23</v>
      </c>
      <c r="L1351">
        <v>42</v>
      </c>
      <c r="M1351">
        <v>2.0299999999999998</v>
      </c>
      <c r="N1351">
        <v>4</v>
      </c>
      <c r="O1351" t="s">
        <v>19</v>
      </c>
      <c r="P1351" cm="1">
        <f t="array" ref="P1351">_xlfn.SWITCH(Table2[[#This Row],[mood]], "Tired", 3, "Neutral", 2, "Happy", 1)</f>
        <v>2</v>
      </c>
    </row>
    <row r="1352" spans="1:16" x14ac:dyDescent="0.3">
      <c r="A1352">
        <v>1786</v>
      </c>
      <c r="B1352" s="1">
        <v>43355</v>
      </c>
      <c r="C1352">
        <v>43</v>
      </c>
      <c r="D1352" t="s">
        <v>15</v>
      </c>
      <c r="E1352">
        <v>175.7</v>
      </c>
      <c r="F1352">
        <v>62.5</v>
      </c>
      <c r="G1352">
        <v>17643</v>
      </c>
      <c r="H1352">
        <v>900</v>
      </c>
      <c r="I1352">
        <v>6.7</v>
      </c>
      <c r="J1352">
        <v>85</v>
      </c>
      <c r="K1352" t="s">
        <v>23</v>
      </c>
      <c r="L1352">
        <v>35</v>
      </c>
      <c r="M1352">
        <v>1.48</v>
      </c>
      <c r="N1352">
        <v>6</v>
      </c>
      <c r="O1352" t="s">
        <v>17</v>
      </c>
      <c r="P1352" cm="1">
        <f t="array" ref="P1352">_xlfn.SWITCH(Table2[[#This Row],[mood]], "Tired", 3, "Neutral", 2, "Happy", 1)</f>
        <v>3</v>
      </c>
    </row>
    <row r="1353" spans="1:16" x14ac:dyDescent="0.3">
      <c r="A1353">
        <v>1723</v>
      </c>
      <c r="B1353" s="1">
        <v>43356</v>
      </c>
      <c r="C1353">
        <v>42</v>
      </c>
      <c r="D1353" t="s">
        <v>15</v>
      </c>
      <c r="E1353">
        <v>176</v>
      </c>
      <c r="F1353">
        <v>82.2</v>
      </c>
      <c r="G1353">
        <v>6025</v>
      </c>
      <c r="H1353">
        <v>473.6</v>
      </c>
      <c r="I1353">
        <v>7.5</v>
      </c>
      <c r="J1353">
        <v>67</v>
      </c>
      <c r="K1353" t="s">
        <v>16</v>
      </c>
      <c r="L1353">
        <v>0</v>
      </c>
      <c r="M1353">
        <v>0.61</v>
      </c>
      <c r="N1353">
        <v>1</v>
      </c>
      <c r="O1353" t="s">
        <v>21</v>
      </c>
      <c r="P1353" cm="1">
        <f t="array" ref="P1353">_xlfn.SWITCH(Table2[[#This Row],[mood]], "Tired", 3, "Neutral", 2, "Happy", 1)</f>
        <v>1</v>
      </c>
    </row>
    <row r="1354" spans="1:16" x14ac:dyDescent="0.3">
      <c r="A1354">
        <v>1224</v>
      </c>
      <c r="B1354" s="1">
        <v>43357</v>
      </c>
      <c r="C1354">
        <v>28</v>
      </c>
      <c r="D1354" t="s">
        <v>20</v>
      </c>
      <c r="E1354">
        <v>167.3</v>
      </c>
      <c r="F1354">
        <v>71.400000000000006</v>
      </c>
      <c r="G1354">
        <v>5358</v>
      </c>
      <c r="H1354">
        <v>449.3</v>
      </c>
      <c r="I1354">
        <v>5.6</v>
      </c>
      <c r="J1354">
        <v>75</v>
      </c>
      <c r="K1354" t="s">
        <v>16</v>
      </c>
      <c r="L1354">
        <v>0</v>
      </c>
      <c r="M1354">
        <v>1.22</v>
      </c>
      <c r="N1354">
        <v>2</v>
      </c>
      <c r="O1354" t="s">
        <v>17</v>
      </c>
      <c r="P1354" cm="1">
        <f t="array" ref="P1354">_xlfn.SWITCH(Table2[[#This Row],[mood]], "Tired", 3, "Neutral", 2, "Happy", 1)</f>
        <v>3</v>
      </c>
    </row>
    <row r="1355" spans="1:16" x14ac:dyDescent="0.3">
      <c r="A1355">
        <v>1531</v>
      </c>
      <c r="B1355" s="1">
        <v>43358</v>
      </c>
      <c r="C1355">
        <v>40</v>
      </c>
      <c r="D1355" t="s">
        <v>20</v>
      </c>
      <c r="E1355">
        <v>160.19999999999999</v>
      </c>
      <c r="F1355">
        <v>81.2</v>
      </c>
      <c r="G1355">
        <v>17888</v>
      </c>
      <c r="H1355">
        <v>895.6</v>
      </c>
      <c r="I1355">
        <v>7.5</v>
      </c>
      <c r="J1355">
        <v>64</v>
      </c>
      <c r="K1355" t="s">
        <v>22</v>
      </c>
      <c r="L1355">
        <v>69</v>
      </c>
      <c r="M1355">
        <v>3.27</v>
      </c>
      <c r="N1355">
        <v>9</v>
      </c>
      <c r="O1355" t="s">
        <v>17</v>
      </c>
      <c r="P1355" cm="1">
        <f t="array" ref="P1355">_xlfn.SWITCH(Table2[[#This Row],[mood]], "Tired", 3, "Neutral", 2, "Happy", 1)</f>
        <v>3</v>
      </c>
    </row>
    <row r="1356" spans="1:16" x14ac:dyDescent="0.3">
      <c r="A1356">
        <v>1112</v>
      </c>
      <c r="B1356" s="1">
        <v>43359</v>
      </c>
      <c r="C1356">
        <v>51</v>
      </c>
      <c r="D1356" t="s">
        <v>15</v>
      </c>
      <c r="E1356">
        <v>164.7</v>
      </c>
      <c r="F1356">
        <v>82</v>
      </c>
      <c r="G1356">
        <v>13490</v>
      </c>
      <c r="H1356">
        <v>715.9</v>
      </c>
      <c r="I1356">
        <v>7.2</v>
      </c>
      <c r="J1356">
        <v>69</v>
      </c>
      <c r="K1356" t="s">
        <v>22</v>
      </c>
      <c r="L1356">
        <v>62</v>
      </c>
      <c r="M1356">
        <v>2.4900000000000002</v>
      </c>
      <c r="N1356">
        <v>6</v>
      </c>
      <c r="O1356" t="s">
        <v>21</v>
      </c>
      <c r="P1356" cm="1">
        <f t="array" ref="P1356">_xlfn.SWITCH(Table2[[#This Row],[mood]], "Tired", 3, "Neutral", 2, "Happy", 1)</f>
        <v>1</v>
      </c>
    </row>
    <row r="1357" spans="1:16" x14ac:dyDescent="0.3">
      <c r="A1357">
        <v>1139</v>
      </c>
      <c r="B1357" s="1">
        <v>43360</v>
      </c>
      <c r="C1357">
        <v>57</v>
      </c>
      <c r="D1357" t="s">
        <v>20</v>
      </c>
      <c r="E1357">
        <v>162.9</v>
      </c>
      <c r="F1357">
        <v>94.5</v>
      </c>
      <c r="G1357">
        <v>2759</v>
      </c>
      <c r="H1357">
        <v>388</v>
      </c>
      <c r="I1357">
        <v>7.8</v>
      </c>
      <c r="J1357">
        <v>69</v>
      </c>
      <c r="K1357" t="s">
        <v>22</v>
      </c>
      <c r="L1357">
        <v>38</v>
      </c>
      <c r="M1357">
        <v>3.08</v>
      </c>
      <c r="N1357">
        <v>6</v>
      </c>
      <c r="O1357" t="s">
        <v>21</v>
      </c>
      <c r="P1357" cm="1">
        <f t="array" ref="P1357">_xlfn.SWITCH(Table2[[#This Row],[mood]], "Tired", 3, "Neutral", 2, "Happy", 1)</f>
        <v>1</v>
      </c>
    </row>
    <row r="1358" spans="1:16" x14ac:dyDescent="0.3">
      <c r="A1358">
        <v>1558</v>
      </c>
      <c r="B1358" s="1">
        <v>43361</v>
      </c>
      <c r="C1358">
        <v>40</v>
      </c>
      <c r="D1358" t="s">
        <v>15</v>
      </c>
      <c r="E1358">
        <v>173.9</v>
      </c>
      <c r="F1358">
        <v>64.7</v>
      </c>
      <c r="G1358">
        <v>15301</v>
      </c>
      <c r="H1358">
        <v>847.4</v>
      </c>
      <c r="I1358">
        <v>5.4</v>
      </c>
      <c r="J1358">
        <v>68</v>
      </c>
      <c r="K1358" t="s">
        <v>25</v>
      </c>
      <c r="L1358">
        <v>37</v>
      </c>
      <c r="M1358">
        <v>2.09</v>
      </c>
      <c r="N1358">
        <v>10</v>
      </c>
      <c r="O1358" t="s">
        <v>17</v>
      </c>
      <c r="P1358" cm="1">
        <f t="array" ref="P1358">_xlfn.SWITCH(Table2[[#This Row],[mood]], "Tired", 3, "Neutral", 2, "Happy", 1)</f>
        <v>3</v>
      </c>
    </row>
    <row r="1359" spans="1:16" x14ac:dyDescent="0.3">
      <c r="A1359">
        <v>1000</v>
      </c>
      <c r="B1359" s="1">
        <v>43362</v>
      </c>
      <c r="C1359">
        <v>46</v>
      </c>
      <c r="D1359" t="s">
        <v>15</v>
      </c>
      <c r="E1359">
        <v>153.5</v>
      </c>
      <c r="F1359">
        <v>61.8</v>
      </c>
      <c r="G1359">
        <v>15387</v>
      </c>
      <c r="H1359">
        <v>835.7</v>
      </c>
      <c r="I1359">
        <v>10</v>
      </c>
      <c r="J1359">
        <v>79</v>
      </c>
      <c r="K1359" t="s">
        <v>25</v>
      </c>
      <c r="L1359">
        <v>25</v>
      </c>
      <c r="M1359">
        <v>2.4300000000000002</v>
      </c>
      <c r="N1359">
        <v>4</v>
      </c>
      <c r="O1359" t="s">
        <v>17</v>
      </c>
      <c r="P1359" cm="1">
        <f t="array" ref="P1359">_xlfn.SWITCH(Table2[[#This Row],[mood]], "Tired", 3, "Neutral", 2, "Happy", 1)</f>
        <v>3</v>
      </c>
    </row>
    <row r="1360" spans="1:16" x14ac:dyDescent="0.3">
      <c r="A1360">
        <v>1089</v>
      </c>
      <c r="B1360" s="1">
        <v>43363</v>
      </c>
      <c r="C1360">
        <v>48</v>
      </c>
      <c r="D1360" t="s">
        <v>15</v>
      </c>
      <c r="E1360">
        <v>175.9</v>
      </c>
      <c r="F1360">
        <v>76.7</v>
      </c>
      <c r="G1360">
        <v>14667</v>
      </c>
      <c r="H1360">
        <v>746.6</v>
      </c>
      <c r="I1360">
        <v>5.3</v>
      </c>
      <c r="J1360">
        <v>88</v>
      </c>
      <c r="K1360" t="s">
        <v>22</v>
      </c>
      <c r="L1360">
        <v>54</v>
      </c>
      <c r="M1360">
        <v>3.63</v>
      </c>
      <c r="N1360">
        <v>5</v>
      </c>
      <c r="O1360" t="s">
        <v>17</v>
      </c>
      <c r="P1360" cm="1">
        <f t="array" ref="P1360">_xlfn.SWITCH(Table2[[#This Row],[mood]], "Tired", 3, "Neutral", 2, "Happy", 1)</f>
        <v>3</v>
      </c>
    </row>
    <row r="1361" spans="1:16" x14ac:dyDescent="0.3">
      <c r="A1361">
        <v>1653</v>
      </c>
      <c r="B1361" s="1">
        <v>43364</v>
      </c>
      <c r="C1361">
        <v>24</v>
      </c>
      <c r="D1361" t="s">
        <v>15</v>
      </c>
      <c r="E1361">
        <v>168.8</v>
      </c>
      <c r="F1361">
        <v>87.7</v>
      </c>
      <c r="G1361">
        <v>4794</v>
      </c>
      <c r="H1361">
        <v>302.3</v>
      </c>
      <c r="I1361">
        <v>6.1</v>
      </c>
      <c r="J1361">
        <v>74</v>
      </c>
      <c r="K1361" t="s">
        <v>24</v>
      </c>
      <c r="L1361">
        <v>33</v>
      </c>
      <c r="M1361">
        <v>3.59</v>
      </c>
      <c r="N1361">
        <v>9</v>
      </c>
      <c r="O1361" t="s">
        <v>17</v>
      </c>
      <c r="P1361" cm="1">
        <f t="array" ref="P1361">_xlfn.SWITCH(Table2[[#This Row],[mood]], "Tired", 3, "Neutral", 2, "Happy", 1)</f>
        <v>3</v>
      </c>
    </row>
    <row r="1362" spans="1:16" x14ac:dyDescent="0.3">
      <c r="A1362">
        <v>1319</v>
      </c>
      <c r="B1362" s="1">
        <v>43365</v>
      </c>
      <c r="C1362">
        <v>57</v>
      </c>
      <c r="D1362" t="s">
        <v>15</v>
      </c>
      <c r="E1362">
        <v>177.3</v>
      </c>
      <c r="F1362">
        <v>70.900000000000006</v>
      </c>
      <c r="G1362">
        <v>4590</v>
      </c>
      <c r="H1362">
        <v>369</v>
      </c>
      <c r="I1362">
        <v>7.8</v>
      </c>
      <c r="J1362">
        <v>64</v>
      </c>
      <c r="K1362" t="s">
        <v>25</v>
      </c>
      <c r="L1362">
        <v>83</v>
      </c>
      <c r="M1362">
        <v>3.16</v>
      </c>
      <c r="N1362">
        <v>2</v>
      </c>
      <c r="O1362" t="s">
        <v>21</v>
      </c>
      <c r="P1362" cm="1">
        <f t="array" ref="P1362">_xlfn.SWITCH(Table2[[#This Row],[mood]], "Tired", 3, "Neutral", 2, "Happy", 1)</f>
        <v>1</v>
      </c>
    </row>
    <row r="1363" spans="1:16" x14ac:dyDescent="0.3">
      <c r="A1363">
        <v>1549</v>
      </c>
      <c r="B1363" s="1">
        <v>43366</v>
      </c>
      <c r="C1363">
        <v>50</v>
      </c>
      <c r="D1363" t="s">
        <v>20</v>
      </c>
      <c r="E1363">
        <v>162.80000000000001</v>
      </c>
      <c r="F1363">
        <v>88.7</v>
      </c>
      <c r="G1363">
        <v>15698</v>
      </c>
      <c r="H1363">
        <v>805.3</v>
      </c>
      <c r="I1363">
        <v>7.2</v>
      </c>
      <c r="J1363">
        <v>77</v>
      </c>
      <c r="K1363" t="s">
        <v>16</v>
      </c>
      <c r="L1363">
        <v>0</v>
      </c>
      <c r="M1363">
        <v>2.64</v>
      </c>
      <c r="N1363">
        <v>3</v>
      </c>
      <c r="O1363" t="s">
        <v>19</v>
      </c>
      <c r="P1363" cm="1">
        <f t="array" ref="P1363">_xlfn.SWITCH(Table2[[#This Row],[mood]], "Tired", 3, "Neutral", 2, "Happy", 1)</f>
        <v>2</v>
      </c>
    </row>
    <row r="1364" spans="1:16" x14ac:dyDescent="0.3">
      <c r="A1364">
        <v>1804</v>
      </c>
      <c r="B1364" s="1">
        <v>43367</v>
      </c>
      <c r="C1364">
        <v>38</v>
      </c>
      <c r="D1364" t="s">
        <v>20</v>
      </c>
      <c r="E1364">
        <v>161</v>
      </c>
      <c r="F1364">
        <v>80.400000000000006</v>
      </c>
      <c r="G1364">
        <v>13332</v>
      </c>
      <c r="H1364">
        <v>717.8</v>
      </c>
      <c r="I1364">
        <v>8.3000000000000007</v>
      </c>
      <c r="J1364">
        <v>77</v>
      </c>
      <c r="K1364" t="s">
        <v>25</v>
      </c>
      <c r="L1364">
        <v>54</v>
      </c>
      <c r="M1364">
        <v>2.86</v>
      </c>
      <c r="N1364">
        <v>10</v>
      </c>
      <c r="O1364" t="s">
        <v>21</v>
      </c>
      <c r="P1364" cm="1">
        <f t="array" ref="P1364">_xlfn.SWITCH(Table2[[#This Row],[mood]], "Tired", 3, "Neutral", 2, "Happy", 1)</f>
        <v>1</v>
      </c>
    </row>
    <row r="1365" spans="1:16" x14ac:dyDescent="0.3">
      <c r="A1365">
        <v>1893</v>
      </c>
      <c r="B1365" s="1">
        <v>43368</v>
      </c>
      <c r="C1365">
        <v>19</v>
      </c>
      <c r="D1365" t="s">
        <v>20</v>
      </c>
      <c r="E1365">
        <v>165.9</v>
      </c>
      <c r="F1365">
        <v>67</v>
      </c>
      <c r="G1365">
        <v>7970</v>
      </c>
      <c r="H1365">
        <v>561.4</v>
      </c>
      <c r="I1365">
        <v>6.5</v>
      </c>
      <c r="J1365">
        <v>73</v>
      </c>
      <c r="K1365" t="s">
        <v>25</v>
      </c>
      <c r="L1365">
        <v>21</v>
      </c>
      <c r="M1365">
        <v>2.76</v>
      </c>
      <c r="N1365">
        <v>8</v>
      </c>
      <c r="O1365" t="s">
        <v>19</v>
      </c>
      <c r="P1365" cm="1">
        <f t="array" ref="P1365">_xlfn.SWITCH(Table2[[#This Row],[mood]], "Tired", 3, "Neutral", 2, "Happy", 1)</f>
        <v>2</v>
      </c>
    </row>
    <row r="1366" spans="1:16" x14ac:dyDescent="0.3">
      <c r="A1366">
        <v>1138</v>
      </c>
      <c r="B1366" s="1">
        <v>43369</v>
      </c>
      <c r="C1366">
        <v>35</v>
      </c>
      <c r="D1366" t="s">
        <v>15</v>
      </c>
      <c r="E1366">
        <v>165.7</v>
      </c>
      <c r="F1366">
        <v>78.5</v>
      </c>
      <c r="G1366">
        <v>10593</v>
      </c>
      <c r="H1366">
        <v>700.1</v>
      </c>
      <c r="I1366">
        <v>5.2</v>
      </c>
      <c r="J1366">
        <v>94</v>
      </c>
      <c r="K1366" t="s">
        <v>25</v>
      </c>
      <c r="L1366">
        <v>25</v>
      </c>
      <c r="M1366">
        <v>2.38</v>
      </c>
      <c r="N1366">
        <v>9</v>
      </c>
      <c r="O1366" t="s">
        <v>21</v>
      </c>
      <c r="P1366" cm="1">
        <f t="array" ref="P1366">_xlfn.SWITCH(Table2[[#This Row],[mood]], "Tired", 3, "Neutral", 2, "Happy", 1)</f>
        <v>1</v>
      </c>
    </row>
    <row r="1367" spans="1:16" x14ac:dyDescent="0.3">
      <c r="A1367">
        <v>1510</v>
      </c>
      <c r="B1367" s="1">
        <v>43370</v>
      </c>
      <c r="C1367">
        <v>50</v>
      </c>
      <c r="D1367" t="s">
        <v>15</v>
      </c>
      <c r="E1367">
        <v>178.1</v>
      </c>
      <c r="F1367">
        <v>63.5</v>
      </c>
      <c r="G1367">
        <v>4329</v>
      </c>
      <c r="H1367">
        <v>428.6</v>
      </c>
      <c r="I1367">
        <v>4.7</v>
      </c>
      <c r="J1367">
        <v>77</v>
      </c>
      <c r="K1367" t="s">
        <v>18</v>
      </c>
      <c r="L1367">
        <v>44</v>
      </c>
      <c r="M1367">
        <v>2.2200000000000002</v>
      </c>
      <c r="N1367">
        <v>5</v>
      </c>
      <c r="O1367" t="s">
        <v>17</v>
      </c>
      <c r="P1367" cm="1">
        <f t="array" ref="P1367">_xlfn.SWITCH(Table2[[#This Row],[mood]], "Tired", 3, "Neutral", 2, "Happy", 1)</f>
        <v>3</v>
      </c>
    </row>
    <row r="1368" spans="1:16" x14ac:dyDescent="0.3">
      <c r="A1368">
        <v>1867</v>
      </c>
      <c r="B1368" s="1">
        <v>43371</v>
      </c>
      <c r="C1368">
        <v>54</v>
      </c>
      <c r="D1368" t="s">
        <v>15</v>
      </c>
      <c r="E1368">
        <v>178</v>
      </c>
      <c r="F1368">
        <v>73.599999999999994</v>
      </c>
      <c r="G1368">
        <v>12036</v>
      </c>
      <c r="H1368">
        <v>651.20000000000005</v>
      </c>
      <c r="I1368">
        <v>9.6999999999999993</v>
      </c>
      <c r="J1368">
        <v>81</v>
      </c>
      <c r="K1368" t="s">
        <v>25</v>
      </c>
      <c r="L1368">
        <v>69</v>
      </c>
      <c r="M1368">
        <v>3.29</v>
      </c>
      <c r="N1368">
        <v>3</v>
      </c>
      <c r="O1368" t="s">
        <v>19</v>
      </c>
      <c r="P1368" cm="1">
        <f t="array" ref="P1368">_xlfn.SWITCH(Table2[[#This Row],[mood]], "Tired", 3, "Neutral", 2, "Happy", 1)</f>
        <v>2</v>
      </c>
    </row>
    <row r="1369" spans="1:16" x14ac:dyDescent="0.3">
      <c r="A1369">
        <v>1844</v>
      </c>
      <c r="B1369" s="1">
        <v>43372</v>
      </c>
      <c r="C1369">
        <v>51</v>
      </c>
      <c r="D1369" t="s">
        <v>15</v>
      </c>
      <c r="E1369">
        <v>189.1</v>
      </c>
      <c r="F1369">
        <v>53.9</v>
      </c>
      <c r="G1369">
        <v>15372</v>
      </c>
      <c r="H1369">
        <v>841.8</v>
      </c>
      <c r="I1369">
        <v>6.5</v>
      </c>
      <c r="J1369">
        <v>53</v>
      </c>
      <c r="K1369" t="s">
        <v>24</v>
      </c>
      <c r="L1369">
        <v>26</v>
      </c>
      <c r="M1369">
        <v>1.59</v>
      </c>
      <c r="N1369">
        <v>1</v>
      </c>
      <c r="O1369" t="s">
        <v>21</v>
      </c>
      <c r="P1369" cm="1">
        <f t="array" ref="P1369">_xlfn.SWITCH(Table2[[#This Row],[mood]], "Tired", 3, "Neutral", 2, "Happy", 1)</f>
        <v>1</v>
      </c>
    </row>
    <row r="1370" spans="1:16" x14ac:dyDescent="0.3">
      <c r="A1370">
        <v>1258</v>
      </c>
      <c r="B1370" s="1">
        <v>43373</v>
      </c>
      <c r="C1370">
        <v>37</v>
      </c>
      <c r="D1370" t="s">
        <v>20</v>
      </c>
      <c r="E1370">
        <v>165</v>
      </c>
      <c r="F1370">
        <v>69</v>
      </c>
      <c r="G1370">
        <v>3092</v>
      </c>
      <c r="H1370">
        <v>299.3</v>
      </c>
      <c r="I1370">
        <v>6.7</v>
      </c>
      <c r="J1370">
        <v>65</v>
      </c>
      <c r="K1370" t="s">
        <v>18</v>
      </c>
      <c r="L1370">
        <v>82</v>
      </c>
      <c r="M1370">
        <v>3.54</v>
      </c>
      <c r="N1370">
        <v>2</v>
      </c>
      <c r="O1370" t="s">
        <v>21</v>
      </c>
      <c r="P1370" cm="1">
        <f t="array" ref="P1370">_xlfn.SWITCH(Table2[[#This Row],[mood]], "Tired", 3, "Neutral", 2, "Happy", 1)</f>
        <v>1</v>
      </c>
    </row>
    <row r="1371" spans="1:16" x14ac:dyDescent="0.3">
      <c r="A1371">
        <v>1672</v>
      </c>
      <c r="B1371" s="1">
        <v>43374</v>
      </c>
      <c r="C1371">
        <v>52</v>
      </c>
      <c r="D1371" t="s">
        <v>20</v>
      </c>
      <c r="E1371">
        <v>150</v>
      </c>
      <c r="F1371">
        <v>85</v>
      </c>
      <c r="G1371">
        <v>19059</v>
      </c>
      <c r="H1371">
        <v>870.3</v>
      </c>
      <c r="I1371">
        <v>9.6999999999999993</v>
      </c>
      <c r="J1371">
        <v>80</v>
      </c>
      <c r="K1371" t="s">
        <v>16</v>
      </c>
      <c r="L1371">
        <v>0</v>
      </c>
      <c r="M1371">
        <v>2.31</v>
      </c>
      <c r="N1371">
        <v>4</v>
      </c>
      <c r="O1371" t="s">
        <v>21</v>
      </c>
      <c r="P1371" cm="1">
        <f t="array" ref="P1371">_xlfn.SWITCH(Table2[[#This Row],[mood]], "Tired", 3, "Neutral", 2, "Happy", 1)</f>
        <v>1</v>
      </c>
    </row>
    <row r="1372" spans="1:16" x14ac:dyDescent="0.3">
      <c r="A1372">
        <v>1901</v>
      </c>
      <c r="B1372" s="1">
        <v>43375</v>
      </c>
      <c r="C1372">
        <v>35</v>
      </c>
      <c r="D1372" t="s">
        <v>15</v>
      </c>
      <c r="E1372">
        <v>165.9</v>
      </c>
      <c r="F1372">
        <v>81.5</v>
      </c>
      <c r="G1372">
        <v>1287</v>
      </c>
      <c r="H1372">
        <v>247.7</v>
      </c>
      <c r="I1372">
        <v>6.3</v>
      </c>
      <c r="J1372">
        <v>78</v>
      </c>
      <c r="K1372" t="s">
        <v>16</v>
      </c>
      <c r="L1372">
        <v>0</v>
      </c>
      <c r="M1372">
        <v>1.58</v>
      </c>
      <c r="N1372">
        <v>4</v>
      </c>
      <c r="O1372" t="s">
        <v>17</v>
      </c>
      <c r="P1372" cm="1">
        <f t="array" ref="P1372">_xlfn.SWITCH(Table2[[#This Row],[mood]], "Tired", 3, "Neutral", 2, "Happy", 1)</f>
        <v>3</v>
      </c>
    </row>
    <row r="1373" spans="1:16" x14ac:dyDescent="0.3">
      <c r="A1373">
        <v>1689</v>
      </c>
      <c r="B1373" s="1">
        <v>43376</v>
      </c>
      <c r="C1373">
        <v>41</v>
      </c>
      <c r="D1373" t="s">
        <v>15</v>
      </c>
      <c r="E1373">
        <v>172.3</v>
      </c>
      <c r="F1373">
        <v>79.3</v>
      </c>
      <c r="G1373">
        <v>18169</v>
      </c>
      <c r="H1373">
        <v>900</v>
      </c>
      <c r="I1373">
        <v>7</v>
      </c>
      <c r="J1373">
        <v>71</v>
      </c>
      <c r="K1373" t="s">
        <v>25</v>
      </c>
      <c r="L1373">
        <v>84</v>
      </c>
      <c r="M1373">
        <v>2.12</v>
      </c>
      <c r="N1373">
        <v>5</v>
      </c>
      <c r="O1373" t="s">
        <v>21</v>
      </c>
      <c r="P1373" cm="1">
        <f t="array" ref="P1373">_xlfn.SWITCH(Table2[[#This Row],[mood]], "Tired", 3, "Neutral", 2, "Happy", 1)</f>
        <v>1</v>
      </c>
    </row>
    <row r="1374" spans="1:16" x14ac:dyDescent="0.3">
      <c r="A1374">
        <v>1009</v>
      </c>
      <c r="B1374" s="1">
        <v>43377</v>
      </c>
      <c r="C1374">
        <v>25</v>
      </c>
      <c r="D1374" t="s">
        <v>15</v>
      </c>
      <c r="E1374">
        <v>177.1</v>
      </c>
      <c r="F1374">
        <v>74.3</v>
      </c>
      <c r="G1374">
        <v>3316</v>
      </c>
      <c r="H1374">
        <v>315.89999999999998</v>
      </c>
      <c r="I1374">
        <v>5.5</v>
      </c>
      <c r="J1374">
        <v>80</v>
      </c>
      <c r="K1374" t="s">
        <v>23</v>
      </c>
      <c r="L1374">
        <v>78</v>
      </c>
      <c r="M1374">
        <v>1.89</v>
      </c>
      <c r="N1374">
        <v>9</v>
      </c>
      <c r="O1374" t="s">
        <v>21</v>
      </c>
      <c r="P1374" cm="1">
        <f t="array" ref="P1374">_xlfn.SWITCH(Table2[[#This Row],[mood]], "Tired", 3, "Neutral", 2, "Happy", 1)</f>
        <v>1</v>
      </c>
    </row>
    <row r="1375" spans="1:16" x14ac:dyDescent="0.3">
      <c r="A1375">
        <v>1260</v>
      </c>
      <c r="B1375" s="1">
        <v>43378</v>
      </c>
      <c r="C1375">
        <v>47</v>
      </c>
      <c r="D1375" t="s">
        <v>20</v>
      </c>
      <c r="E1375">
        <v>173</v>
      </c>
      <c r="F1375">
        <v>72.400000000000006</v>
      </c>
      <c r="G1375">
        <v>17259</v>
      </c>
      <c r="H1375">
        <v>900</v>
      </c>
      <c r="I1375">
        <v>5</v>
      </c>
      <c r="J1375">
        <v>84</v>
      </c>
      <c r="K1375" t="s">
        <v>18</v>
      </c>
      <c r="L1375">
        <v>43</v>
      </c>
      <c r="M1375">
        <v>2.1</v>
      </c>
      <c r="N1375">
        <v>2</v>
      </c>
      <c r="O1375" t="s">
        <v>17</v>
      </c>
      <c r="P1375" cm="1">
        <f t="array" ref="P1375">_xlfn.SWITCH(Table2[[#This Row],[mood]], "Tired", 3, "Neutral", 2, "Happy", 1)</f>
        <v>3</v>
      </c>
    </row>
    <row r="1376" spans="1:16" x14ac:dyDescent="0.3">
      <c r="A1376">
        <v>1918</v>
      </c>
      <c r="B1376" s="1">
        <v>43379</v>
      </c>
      <c r="C1376">
        <v>27</v>
      </c>
      <c r="D1376" t="s">
        <v>20</v>
      </c>
      <c r="E1376">
        <v>165</v>
      </c>
      <c r="F1376">
        <v>51</v>
      </c>
      <c r="G1376">
        <v>3838</v>
      </c>
      <c r="H1376">
        <v>320.2</v>
      </c>
      <c r="I1376">
        <v>9.8000000000000007</v>
      </c>
      <c r="J1376">
        <v>70</v>
      </c>
      <c r="K1376" t="s">
        <v>16</v>
      </c>
      <c r="L1376">
        <v>0</v>
      </c>
      <c r="M1376">
        <v>2.08</v>
      </c>
      <c r="N1376">
        <v>2</v>
      </c>
      <c r="O1376" t="s">
        <v>19</v>
      </c>
      <c r="P1376" cm="1">
        <f t="array" ref="P1376">_xlfn.SWITCH(Table2[[#This Row],[mood]], "Tired", 3, "Neutral", 2, "Happy", 1)</f>
        <v>2</v>
      </c>
    </row>
    <row r="1377" spans="1:16" x14ac:dyDescent="0.3">
      <c r="A1377">
        <v>1649</v>
      </c>
      <c r="B1377" s="1">
        <v>43380</v>
      </c>
      <c r="C1377">
        <v>40</v>
      </c>
      <c r="D1377" t="s">
        <v>20</v>
      </c>
      <c r="E1377">
        <v>187.1</v>
      </c>
      <c r="F1377">
        <v>66.900000000000006</v>
      </c>
      <c r="G1377">
        <v>12829</v>
      </c>
      <c r="H1377">
        <v>747.6</v>
      </c>
      <c r="I1377">
        <v>9.9</v>
      </c>
      <c r="J1377">
        <v>69</v>
      </c>
      <c r="K1377" t="s">
        <v>25</v>
      </c>
      <c r="L1377">
        <v>57</v>
      </c>
      <c r="M1377">
        <v>2.06</v>
      </c>
      <c r="N1377">
        <v>5</v>
      </c>
      <c r="O1377" t="s">
        <v>19</v>
      </c>
      <c r="P1377" cm="1">
        <f t="array" ref="P1377">_xlfn.SWITCH(Table2[[#This Row],[mood]], "Tired", 3, "Neutral", 2, "Happy", 1)</f>
        <v>2</v>
      </c>
    </row>
    <row r="1378" spans="1:16" x14ac:dyDescent="0.3">
      <c r="A1378">
        <v>1171</v>
      </c>
      <c r="B1378" s="1">
        <v>43381</v>
      </c>
      <c r="C1378">
        <v>28</v>
      </c>
      <c r="D1378" t="s">
        <v>15</v>
      </c>
      <c r="E1378">
        <v>159.69999999999999</v>
      </c>
      <c r="F1378">
        <v>72.7</v>
      </c>
      <c r="G1378">
        <v>9137</v>
      </c>
      <c r="H1378">
        <v>553.29999999999995</v>
      </c>
      <c r="I1378">
        <v>8.5</v>
      </c>
      <c r="J1378">
        <v>72</v>
      </c>
      <c r="K1378" t="s">
        <v>24</v>
      </c>
      <c r="L1378">
        <v>81</v>
      </c>
      <c r="M1378">
        <v>2.2799999999999998</v>
      </c>
      <c r="N1378">
        <v>2</v>
      </c>
      <c r="O1378" t="s">
        <v>17</v>
      </c>
      <c r="P1378" cm="1">
        <f t="array" ref="P1378">_xlfn.SWITCH(Table2[[#This Row],[mood]], "Tired", 3, "Neutral", 2, "Happy", 1)</f>
        <v>3</v>
      </c>
    </row>
    <row r="1379" spans="1:16" x14ac:dyDescent="0.3">
      <c r="A1379">
        <v>1897</v>
      </c>
      <c r="B1379" s="1">
        <v>43382</v>
      </c>
      <c r="C1379">
        <v>19</v>
      </c>
      <c r="D1379" t="s">
        <v>15</v>
      </c>
      <c r="E1379">
        <v>167.3</v>
      </c>
      <c r="F1379">
        <v>53.1</v>
      </c>
      <c r="G1379">
        <v>2265</v>
      </c>
      <c r="H1379">
        <v>366.8</v>
      </c>
      <c r="I1379">
        <v>8.5</v>
      </c>
      <c r="J1379">
        <v>80</v>
      </c>
      <c r="K1379" t="s">
        <v>22</v>
      </c>
      <c r="L1379">
        <v>84</v>
      </c>
      <c r="M1379">
        <v>2.4500000000000002</v>
      </c>
      <c r="N1379">
        <v>10</v>
      </c>
      <c r="O1379" t="s">
        <v>19</v>
      </c>
      <c r="P1379" cm="1">
        <f t="array" ref="P1379">_xlfn.SWITCH(Table2[[#This Row],[mood]], "Tired", 3, "Neutral", 2, "Happy", 1)</f>
        <v>2</v>
      </c>
    </row>
    <row r="1380" spans="1:16" x14ac:dyDescent="0.3">
      <c r="A1380">
        <v>1012</v>
      </c>
      <c r="B1380" s="1">
        <v>43383</v>
      </c>
      <c r="C1380">
        <v>43</v>
      </c>
      <c r="D1380" t="s">
        <v>20</v>
      </c>
      <c r="E1380">
        <v>159.19999999999999</v>
      </c>
      <c r="F1380">
        <v>45</v>
      </c>
      <c r="G1380">
        <v>3983</v>
      </c>
      <c r="H1380">
        <v>343.7</v>
      </c>
      <c r="I1380">
        <v>8.1</v>
      </c>
      <c r="J1380">
        <v>69</v>
      </c>
      <c r="K1380" t="s">
        <v>16</v>
      </c>
      <c r="L1380">
        <v>0</v>
      </c>
      <c r="M1380">
        <v>3.03</v>
      </c>
      <c r="N1380">
        <v>5</v>
      </c>
      <c r="O1380" t="s">
        <v>21</v>
      </c>
      <c r="P1380" cm="1">
        <f t="array" ref="P1380">_xlfn.SWITCH(Table2[[#This Row],[mood]], "Tired", 3, "Neutral", 2, "Happy", 1)</f>
        <v>1</v>
      </c>
    </row>
    <row r="1381" spans="1:16" x14ac:dyDescent="0.3">
      <c r="A1381">
        <v>1167</v>
      </c>
      <c r="B1381" s="1">
        <v>43384</v>
      </c>
      <c r="C1381">
        <v>53</v>
      </c>
      <c r="D1381" t="s">
        <v>15</v>
      </c>
      <c r="E1381">
        <v>170.2</v>
      </c>
      <c r="F1381">
        <v>86.9</v>
      </c>
      <c r="G1381">
        <v>15689</v>
      </c>
      <c r="H1381">
        <v>800.4</v>
      </c>
      <c r="I1381">
        <v>5.9</v>
      </c>
      <c r="J1381">
        <v>84</v>
      </c>
      <c r="K1381" t="s">
        <v>25</v>
      </c>
      <c r="L1381">
        <v>71</v>
      </c>
      <c r="M1381">
        <v>2.33</v>
      </c>
      <c r="N1381">
        <v>5</v>
      </c>
      <c r="O1381" t="s">
        <v>21</v>
      </c>
      <c r="P1381" cm="1">
        <f t="array" ref="P1381">_xlfn.SWITCH(Table2[[#This Row],[mood]], "Tired", 3, "Neutral", 2, "Happy", 1)</f>
        <v>1</v>
      </c>
    </row>
    <row r="1382" spans="1:16" x14ac:dyDescent="0.3">
      <c r="A1382">
        <v>1641</v>
      </c>
      <c r="B1382" s="1">
        <v>43385</v>
      </c>
      <c r="C1382">
        <v>50</v>
      </c>
      <c r="D1382" t="s">
        <v>20</v>
      </c>
      <c r="E1382">
        <v>185.9</v>
      </c>
      <c r="F1382">
        <v>70.8</v>
      </c>
      <c r="G1382">
        <v>15107</v>
      </c>
      <c r="H1382">
        <v>877.9</v>
      </c>
      <c r="I1382">
        <v>7.4</v>
      </c>
      <c r="J1382">
        <v>70</v>
      </c>
      <c r="K1382" t="s">
        <v>23</v>
      </c>
      <c r="L1382">
        <v>82</v>
      </c>
      <c r="M1382">
        <v>2.73</v>
      </c>
      <c r="N1382">
        <v>7</v>
      </c>
      <c r="O1382" t="s">
        <v>19</v>
      </c>
      <c r="P1382" cm="1">
        <f t="array" ref="P1382">_xlfn.SWITCH(Table2[[#This Row],[mood]], "Tired", 3, "Neutral", 2, "Happy", 1)</f>
        <v>2</v>
      </c>
    </row>
    <row r="1383" spans="1:16" x14ac:dyDescent="0.3">
      <c r="A1383">
        <v>1595</v>
      </c>
      <c r="B1383" s="1">
        <v>43386</v>
      </c>
      <c r="C1383">
        <v>30</v>
      </c>
      <c r="D1383" t="s">
        <v>15</v>
      </c>
      <c r="E1383">
        <v>168.6</v>
      </c>
      <c r="F1383">
        <v>73.099999999999994</v>
      </c>
      <c r="G1383">
        <v>9143</v>
      </c>
      <c r="H1383">
        <v>536.9</v>
      </c>
      <c r="I1383">
        <v>6.2</v>
      </c>
      <c r="J1383">
        <v>69</v>
      </c>
      <c r="K1383" t="s">
        <v>24</v>
      </c>
      <c r="L1383">
        <v>30</v>
      </c>
      <c r="M1383">
        <v>2.5099999999999998</v>
      </c>
      <c r="N1383">
        <v>4</v>
      </c>
      <c r="O1383" t="s">
        <v>19</v>
      </c>
      <c r="P1383" cm="1">
        <f t="array" ref="P1383">_xlfn.SWITCH(Table2[[#This Row],[mood]], "Tired", 3, "Neutral", 2, "Happy", 1)</f>
        <v>2</v>
      </c>
    </row>
    <row r="1384" spans="1:16" x14ac:dyDescent="0.3">
      <c r="A1384">
        <v>1320</v>
      </c>
      <c r="B1384" s="1">
        <v>43387</v>
      </c>
      <c r="C1384">
        <v>57</v>
      </c>
      <c r="D1384" t="s">
        <v>20</v>
      </c>
      <c r="E1384">
        <v>168.7</v>
      </c>
      <c r="F1384">
        <v>78.3</v>
      </c>
      <c r="G1384">
        <v>9030</v>
      </c>
      <c r="H1384">
        <v>571.79999999999995</v>
      </c>
      <c r="I1384">
        <v>3.1</v>
      </c>
      <c r="J1384">
        <v>98</v>
      </c>
      <c r="K1384" t="s">
        <v>16</v>
      </c>
      <c r="L1384">
        <v>0</v>
      </c>
      <c r="M1384">
        <v>2.88</v>
      </c>
      <c r="N1384">
        <v>2</v>
      </c>
      <c r="O1384" t="s">
        <v>19</v>
      </c>
      <c r="P1384" cm="1">
        <f t="array" ref="P1384">_xlfn.SWITCH(Table2[[#This Row],[mood]], "Tired", 3, "Neutral", 2, "Happy", 1)</f>
        <v>2</v>
      </c>
    </row>
    <row r="1385" spans="1:16" x14ac:dyDescent="0.3">
      <c r="A1385">
        <v>1318</v>
      </c>
      <c r="B1385" s="1">
        <v>43388</v>
      </c>
      <c r="C1385">
        <v>42</v>
      </c>
      <c r="D1385" t="s">
        <v>15</v>
      </c>
      <c r="E1385">
        <v>153</v>
      </c>
      <c r="F1385">
        <v>55.3</v>
      </c>
      <c r="G1385">
        <v>14122</v>
      </c>
      <c r="H1385">
        <v>736.4</v>
      </c>
      <c r="I1385">
        <v>8.6999999999999993</v>
      </c>
      <c r="J1385">
        <v>63</v>
      </c>
      <c r="K1385" t="s">
        <v>18</v>
      </c>
      <c r="L1385">
        <v>73</v>
      </c>
      <c r="M1385">
        <v>2.5299999999999998</v>
      </c>
      <c r="N1385">
        <v>8</v>
      </c>
      <c r="O1385" t="s">
        <v>17</v>
      </c>
      <c r="P1385" cm="1">
        <f t="array" ref="P1385">_xlfn.SWITCH(Table2[[#This Row],[mood]], "Tired", 3, "Neutral", 2, "Happy", 1)</f>
        <v>3</v>
      </c>
    </row>
    <row r="1386" spans="1:16" x14ac:dyDescent="0.3">
      <c r="A1386">
        <v>1612</v>
      </c>
      <c r="B1386" s="1">
        <v>43389</v>
      </c>
      <c r="C1386">
        <v>21</v>
      </c>
      <c r="D1386" t="s">
        <v>20</v>
      </c>
      <c r="E1386">
        <v>167.1</v>
      </c>
      <c r="F1386">
        <v>63.9</v>
      </c>
      <c r="G1386">
        <v>11652</v>
      </c>
      <c r="H1386">
        <v>712.3</v>
      </c>
      <c r="I1386">
        <v>7.8</v>
      </c>
      <c r="J1386">
        <v>83</v>
      </c>
      <c r="K1386" t="s">
        <v>24</v>
      </c>
      <c r="L1386">
        <v>69</v>
      </c>
      <c r="M1386">
        <v>2.0499999999999998</v>
      </c>
      <c r="N1386">
        <v>1</v>
      </c>
      <c r="O1386" t="s">
        <v>19</v>
      </c>
      <c r="P1386" cm="1">
        <f t="array" ref="P1386">_xlfn.SWITCH(Table2[[#This Row],[mood]], "Tired", 3, "Neutral", 2, "Happy", 1)</f>
        <v>2</v>
      </c>
    </row>
    <row r="1387" spans="1:16" x14ac:dyDescent="0.3">
      <c r="A1387">
        <v>1328</v>
      </c>
      <c r="B1387" s="1">
        <v>43390</v>
      </c>
      <c r="C1387">
        <v>59</v>
      </c>
      <c r="D1387" t="s">
        <v>20</v>
      </c>
      <c r="E1387">
        <v>181.5</v>
      </c>
      <c r="F1387">
        <v>92.6</v>
      </c>
      <c r="G1387">
        <v>1611</v>
      </c>
      <c r="H1387">
        <v>329.3</v>
      </c>
      <c r="I1387">
        <v>5</v>
      </c>
      <c r="J1387">
        <v>57</v>
      </c>
      <c r="K1387" t="s">
        <v>25</v>
      </c>
      <c r="L1387">
        <v>57</v>
      </c>
      <c r="M1387">
        <v>1.86</v>
      </c>
      <c r="N1387">
        <v>10</v>
      </c>
      <c r="O1387" t="s">
        <v>17</v>
      </c>
      <c r="P1387" cm="1">
        <f t="array" ref="P1387">_xlfn.SWITCH(Table2[[#This Row],[mood]], "Tired", 3, "Neutral", 2, "Happy", 1)</f>
        <v>3</v>
      </c>
    </row>
    <row r="1388" spans="1:16" x14ac:dyDescent="0.3">
      <c r="A1388">
        <v>1784</v>
      </c>
      <c r="B1388" s="1">
        <v>43391</v>
      </c>
      <c r="C1388">
        <v>36</v>
      </c>
      <c r="D1388" t="s">
        <v>20</v>
      </c>
      <c r="E1388">
        <v>167.5</v>
      </c>
      <c r="F1388">
        <v>62.7</v>
      </c>
      <c r="G1388">
        <v>4523</v>
      </c>
      <c r="H1388">
        <v>347.2</v>
      </c>
      <c r="I1388">
        <v>6.5</v>
      </c>
      <c r="J1388">
        <v>82</v>
      </c>
      <c r="K1388" t="s">
        <v>16</v>
      </c>
      <c r="L1388">
        <v>0</v>
      </c>
      <c r="M1388">
        <v>2.65</v>
      </c>
      <c r="N1388">
        <v>1</v>
      </c>
      <c r="O1388" t="s">
        <v>19</v>
      </c>
      <c r="P1388" cm="1">
        <f t="array" ref="P1388">_xlfn.SWITCH(Table2[[#This Row],[mood]], "Tired", 3, "Neutral", 2, "Happy", 1)</f>
        <v>2</v>
      </c>
    </row>
    <row r="1389" spans="1:16" x14ac:dyDescent="0.3">
      <c r="A1389">
        <v>1776</v>
      </c>
      <c r="B1389" s="1">
        <v>43392</v>
      </c>
      <c r="C1389">
        <v>35</v>
      </c>
      <c r="D1389" t="s">
        <v>20</v>
      </c>
      <c r="E1389">
        <v>166.8</v>
      </c>
      <c r="F1389">
        <v>66</v>
      </c>
      <c r="G1389">
        <v>6424</v>
      </c>
      <c r="H1389">
        <v>484.3</v>
      </c>
      <c r="I1389">
        <v>8.6</v>
      </c>
      <c r="J1389">
        <v>102</v>
      </c>
      <c r="K1389" t="s">
        <v>16</v>
      </c>
      <c r="L1389">
        <v>0</v>
      </c>
      <c r="M1389">
        <v>3.39</v>
      </c>
      <c r="N1389">
        <v>7</v>
      </c>
      <c r="O1389" t="s">
        <v>17</v>
      </c>
      <c r="P1389" cm="1">
        <f t="array" ref="P1389">_xlfn.SWITCH(Table2[[#This Row],[mood]], "Tired", 3, "Neutral", 2, "Happy", 1)</f>
        <v>3</v>
      </c>
    </row>
    <row r="1390" spans="1:16" x14ac:dyDescent="0.3">
      <c r="A1390">
        <v>1970</v>
      </c>
      <c r="B1390" s="1">
        <v>43393</v>
      </c>
      <c r="C1390">
        <v>54</v>
      </c>
      <c r="D1390" t="s">
        <v>20</v>
      </c>
      <c r="E1390">
        <v>181.1</v>
      </c>
      <c r="F1390">
        <v>60</v>
      </c>
      <c r="G1390">
        <v>10939</v>
      </c>
      <c r="H1390">
        <v>669.5</v>
      </c>
      <c r="I1390">
        <v>7.2</v>
      </c>
      <c r="J1390">
        <v>86</v>
      </c>
      <c r="K1390" t="s">
        <v>23</v>
      </c>
      <c r="L1390">
        <v>87</v>
      </c>
      <c r="M1390">
        <v>2.34</v>
      </c>
      <c r="N1390">
        <v>4</v>
      </c>
      <c r="O1390" t="s">
        <v>17</v>
      </c>
      <c r="P1390" cm="1">
        <f t="array" ref="P1390">_xlfn.SWITCH(Table2[[#This Row],[mood]], "Tired", 3, "Neutral", 2, "Happy", 1)</f>
        <v>3</v>
      </c>
    </row>
    <row r="1391" spans="1:16" x14ac:dyDescent="0.3">
      <c r="A1391">
        <v>1910</v>
      </c>
      <c r="B1391" s="1">
        <v>43394</v>
      </c>
      <c r="C1391">
        <v>47</v>
      </c>
      <c r="D1391" t="s">
        <v>20</v>
      </c>
      <c r="E1391">
        <v>166.9</v>
      </c>
      <c r="F1391">
        <v>58.9</v>
      </c>
      <c r="G1391">
        <v>2628</v>
      </c>
      <c r="H1391">
        <v>311.39999999999998</v>
      </c>
      <c r="I1391">
        <v>4.5</v>
      </c>
      <c r="J1391">
        <v>88</v>
      </c>
      <c r="K1391" t="s">
        <v>16</v>
      </c>
      <c r="L1391">
        <v>0</v>
      </c>
      <c r="M1391">
        <v>2.0099999999999998</v>
      </c>
      <c r="N1391">
        <v>3</v>
      </c>
      <c r="O1391" t="s">
        <v>21</v>
      </c>
      <c r="P1391" cm="1">
        <f t="array" ref="P1391">_xlfn.SWITCH(Table2[[#This Row],[mood]], "Tired", 3, "Neutral", 2, "Happy", 1)</f>
        <v>1</v>
      </c>
    </row>
    <row r="1392" spans="1:16" x14ac:dyDescent="0.3">
      <c r="A1392">
        <v>1919</v>
      </c>
      <c r="B1392" s="1">
        <v>43395</v>
      </c>
      <c r="C1392">
        <v>36</v>
      </c>
      <c r="D1392" t="s">
        <v>15</v>
      </c>
      <c r="E1392">
        <v>182.9</v>
      </c>
      <c r="F1392">
        <v>86.6</v>
      </c>
      <c r="G1392">
        <v>14176</v>
      </c>
      <c r="H1392">
        <v>843.3</v>
      </c>
      <c r="I1392">
        <v>5.2</v>
      </c>
      <c r="J1392">
        <v>74</v>
      </c>
      <c r="K1392" t="s">
        <v>24</v>
      </c>
      <c r="L1392">
        <v>25</v>
      </c>
      <c r="M1392">
        <v>2.3199999999999998</v>
      </c>
      <c r="N1392">
        <v>1</v>
      </c>
      <c r="O1392" t="s">
        <v>19</v>
      </c>
      <c r="P1392" cm="1">
        <f t="array" ref="P1392">_xlfn.SWITCH(Table2[[#This Row],[mood]], "Tired", 3, "Neutral", 2, "Happy", 1)</f>
        <v>2</v>
      </c>
    </row>
    <row r="1393" spans="1:16" x14ac:dyDescent="0.3">
      <c r="A1393">
        <v>1549</v>
      </c>
      <c r="B1393" s="1">
        <v>43396</v>
      </c>
      <c r="C1393">
        <v>40</v>
      </c>
      <c r="D1393" t="s">
        <v>15</v>
      </c>
      <c r="E1393">
        <v>157.19999999999999</v>
      </c>
      <c r="F1393">
        <v>45</v>
      </c>
      <c r="G1393">
        <v>8907</v>
      </c>
      <c r="H1393">
        <v>632.20000000000005</v>
      </c>
      <c r="I1393">
        <v>9.8000000000000007</v>
      </c>
      <c r="J1393">
        <v>84</v>
      </c>
      <c r="K1393" t="s">
        <v>16</v>
      </c>
      <c r="L1393">
        <v>0</v>
      </c>
      <c r="M1393">
        <v>2.11</v>
      </c>
      <c r="N1393">
        <v>8</v>
      </c>
      <c r="O1393" t="s">
        <v>21</v>
      </c>
      <c r="P1393" cm="1">
        <f t="array" ref="P1393">_xlfn.SWITCH(Table2[[#This Row],[mood]], "Tired", 3, "Neutral", 2, "Happy", 1)</f>
        <v>1</v>
      </c>
    </row>
    <row r="1394" spans="1:16" x14ac:dyDescent="0.3">
      <c r="A1394">
        <v>1418</v>
      </c>
      <c r="B1394" s="1">
        <v>43397</v>
      </c>
      <c r="C1394">
        <v>33</v>
      </c>
      <c r="D1394" t="s">
        <v>15</v>
      </c>
      <c r="E1394">
        <v>176.8</v>
      </c>
      <c r="F1394">
        <v>63.1</v>
      </c>
      <c r="G1394">
        <v>4372</v>
      </c>
      <c r="H1394">
        <v>332.2</v>
      </c>
      <c r="I1394">
        <v>7.1</v>
      </c>
      <c r="J1394">
        <v>77</v>
      </c>
      <c r="K1394" t="s">
        <v>24</v>
      </c>
      <c r="L1394">
        <v>57</v>
      </c>
      <c r="M1394">
        <v>2.0299999999999998</v>
      </c>
      <c r="N1394">
        <v>8</v>
      </c>
      <c r="O1394" t="s">
        <v>21</v>
      </c>
      <c r="P1394" cm="1">
        <f t="array" ref="P1394">_xlfn.SWITCH(Table2[[#This Row],[mood]], "Tired", 3, "Neutral", 2, "Happy", 1)</f>
        <v>1</v>
      </c>
    </row>
    <row r="1395" spans="1:16" x14ac:dyDescent="0.3">
      <c r="A1395">
        <v>1605</v>
      </c>
      <c r="B1395" s="1">
        <v>43398</v>
      </c>
      <c r="C1395">
        <v>18</v>
      </c>
      <c r="D1395" t="s">
        <v>20</v>
      </c>
      <c r="E1395">
        <v>186.5</v>
      </c>
      <c r="F1395">
        <v>73.400000000000006</v>
      </c>
      <c r="G1395">
        <v>14102</v>
      </c>
      <c r="H1395">
        <v>824.5</v>
      </c>
      <c r="I1395">
        <v>8.6</v>
      </c>
      <c r="J1395">
        <v>95</v>
      </c>
      <c r="K1395" t="s">
        <v>22</v>
      </c>
      <c r="L1395">
        <v>76</v>
      </c>
      <c r="M1395">
        <v>1.49</v>
      </c>
      <c r="N1395">
        <v>4</v>
      </c>
      <c r="O1395" t="s">
        <v>17</v>
      </c>
      <c r="P1395" cm="1">
        <f t="array" ref="P1395">_xlfn.SWITCH(Table2[[#This Row],[mood]], "Tired", 3, "Neutral", 2, "Happy", 1)</f>
        <v>3</v>
      </c>
    </row>
    <row r="1396" spans="1:16" x14ac:dyDescent="0.3">
      <c r="A1396">
        <v>1094</v>
      </c>
      <c r="B1396" s="1">
        <v>43399</v>
      </c>
      <c r="C1396">
        <v>29</v>
      </c>
      <c r="D1396" t="s">
        <v>20</v>
      </c>
      <c r="E1396">
        <v>180.1</v>
      </c>
      <c r="F1396">
        <v>95.5</v>
      </c>
      <c r="G1396">
        <v>10789</v>
      </c>
      <c r="H1396">
        <v>656.9</v>
      </c>
      <c r="I1396">
        <v>9.8000000000000007</v>
      </c>
      <c r="J1396">
        <v>64</v>
      </c>
      <c r="K1396" t="s">
        <v>22</v>
      </c>
      <c r="L1396">
        <v>83</v>
      </c>
      <c r="M1396">
        <v>2.33</v>
      </c>
      <c r="N1396">
        <v>2</v>
      </c>
      <c r="O1396" t="s">
        <v>17</v>
      </c>
      <c r="P1396" cm="1">
        <f t="array" ref="P1396">_xlfn.SWITCH(Table2[[#This Row],[mood]], "Tired", 3, "Neutral", 2, "Happy", 1)</f>
        <v>3</v>
      </c>
    </row>
    <row r="1397" spans="1:16" x14ac:dyDescent="0.3">
      <c r="A1397">
        <v>1816</v>
      </c>
      <c r="B1397" s="1">
        <v>43400</v>
      </c>
      <c r="C1397">
        <v>41</v>
      </c>
      <c r="D1397" t="s">
        <v>15</v>
      </c>
      <c r="E1397">
        <v>151.30000000000001</v>
      </c>
      <c r="F1397">
        <v>53</v>
      </c>
      <c r="G1397">
        <v>4139</v>
      </c>
      <c r="H1397">
        <v>377.8</v>
      </c>
      <c r="I1397">
        <v>6.3</v>
      </c>
      <c r="J1397">
        <v>87</v>
      </c>
      <c r="K1397" t="s">
        <v>25</v>
      </c>
      <c r="L1397">
        <v>73</v>
      </c>
      <c r="M1397">
        <v>2.67</v>
      </c>
      <c r="N1397">
        <v>4</v>
      </c>
      <c r="O1397" t="s">
        <v>17</v>
      </c>
      <c r="P1397" cm="1">
        <f t="array" ref="P1397">_xlfn.SWITCH(Table2[[#This Row],[mood]], "Tired", 3, "Neutral", 2, "Happy", 1)</f>
        <v>3</v>
      </c>
    </row>
    <row r="1398" spans="1:16" x14ac:dyDescent="0.3">
      <c r="A1398">
        <v>1580</v>
      </c>
      <c r="B1398" s="1">
        <v>43401</v>
      </c>
      <c r="C1398">
        <v>51</v>
      </c>
      <c r="D1398" t="s">
        <v>20</v>
      </c>
      <c r="E1398">
        <v>163.6</v>
      </c>
      <c r="F1398">
        <v>50.4</v>
      </c>
      <c r="G1398">
        <v>12643</v>
      </c>
      <c r="H1398">
        <v>694.1</v>
      </c>
      <c r="I1398">
        <v>7.5</v>
      </c>
      <c r="J1398">
        <v>79</v>
      </c>
      <c r="K1398" t="s">
        <v>18</v>
      </c>
      <c r="L1398">
        <v>33</v>
      </c>
      <c r="M1398">
        <v>1.74</v>
      </c>
      <c r="N1398">
        <v>7</v>
      </c>
      <c r="O1398" t="s">
        <v>17</v>
      </c>
      <c r="P1398" cm="1">
        <f t="array" ref="P1398">_xlfn.SWITCH(Table2[[#This Row],[mood]], "Tired", 3, "Neutral", 2, "Happy", 1)</f>
        <v>3</v>
      </c>
    </row>
    <row r="1399" spans="1:16" x14ac:dyDescent="0.3">
      <c r="A1399">
        <v>1317</v>
      </c>
      <c r="B1399" s="1">
        <v>43402</v>
      </c>
      <c r="C1399">
        <v>25</v>
      </c>
      <c r="D1399" t="s">
        <v>20</v>
      </c>
      <c r="E1399">
        <v>167.6</v>
      </c>
      <c r="F1399">
        <v>57.1</v>
      </c>
      <c r="G1399">
        <v>19643</v>
      </c>
      <c r="H1399">
        <v>900</v>
      </c>
      <c r="I1399">
        <v>4.0999999999999996</v>
      </c>
      <c r="J1399">
        <v>66</v>
      </c>
      <c r="K1399" t="s">
        <v>18</v>
      </c>
      <c r="L1399">
        <v>83</v>
      </c>
      <c r="M1399">
        <v>1.89</v>
      </c>
      <c r="N1399">
        <v>4</v>
      </c>
      <c r="O1399" t="s">
        <v>21</v>
      </c>
      <c r="P1399" cm="1">
        <f t="array" ref="P1399">_xlfn.SWITCH(Table2[[#This Row],[mood]], "Tired", 3, "Neutral", 2, "Happy", 1)</f>
        <v>1</v>
      </c>
    </row>
    <row r="1400" spans="1:16" x14ac:dyDescent="0.3">
      <c r="A1400">
        <v>1955</v>
      </c>
      <c r="B1400" s="1">
        <v>43403</v>
      </c>
      <c r="C1400">
        <v>35</v>
      </c>
      <c r="D1400" t="s">
        <v>20</v>
      </c>
      <c r="E1400">
        <v>180.1</v>
      </c>
      <c r="F1400">
        <v>80.5</v>
      </c>
      <c r="G1400">
        <v>3250</v>
      </c>
      <c r="H1400">
        <v>344.2</v>
      </c>
      <c r="I1400">
        <v>6.1</v>
      </c>
      <c r="J1400">
        <v>72</v>
      </c>
      <c r="K1400" t="s">
        <v>23</v>
      </c>
      <c r="L1400">
        <v>69</v>
      </c>
      <c r="M1400">
        <v>1.84</v>
      </c>
      <c r="N1400">
        <v>3</v>
      </c>
      <c r="O1400" t="s">
        <v>17</v>
      </c>
      <c r="P1400" cm="1">
        <f t="array" ref="P1400">_xlfn.SWITCH(Table2[[#This Row],[mood]], "Tired", 3, "Neutral", 2, "Happy", 1)</f>
        <v>3</v>
      </c>
    </row>
    <row r="1401" spans="1:16" x14ac:dyDescent="0.3">
      <c r="A1401">
        <v>1235</v>
      </c>
      <c r="B1401" s="1">
        <v>43404</v>
      </c>
      <c r="C1401">
        <v>22</v>
      </c>
      <c r="D1401" t="s">
        <v>20</v>
      </c>
      <c r="E1401">
        <v>156.69999999999999</v>
      </c>
      <c r="F1401">
        <v>71.900000000000006</v>
      </c>
      <c r="G1401">
        <v>7121</v>
      </c>
      <c r="H1401">
        <v>500.2</v>
      </c>
      <c r="I1401">
        <v>7.9</v>
      </c>
      <c r="J1401">
        <v>59</v>
      </c>
      <c r="K1401" t="s">
        <v>25</v>
      </c>
      <c r="L1401">
        <v>66</v>
      </c>
      <c r="M1401">
        <v>1.53</v>
      </c>
      <c r="N1401">
        <v>10</v>
      </c>
      <c r="O1401" t="s">
        <v>21</v>
      </c>
      <c r="P1401" cm="1">
        <f t="array" ref="P1401">_xlfn.SWITCH(Table2[[#This Row],[mood]], "Tired", 3, "Neutral", 2, "Happy", 1)</f>
        <v>1</v>
      </c>
    </row>
    <row r="1402" spans="1:16" x14ac:dyDescent="0.3">
      <c r="A1402">
        <v>1945</v>
      </c>
      <c r="B1402" s="1">
        <v>43405</v>
      </c>
      <c r="C1402">
        <v>43</v>
      </c>
      <c r="D1402" t="s">
        <v>20</v>
      </c>
      <c r="E1402">
        <v>159.80000000000001</v>
      </c>
      <c r="F1402">
        <v>48.4</v>
      </c>
      <c r="G1402">
        <v>9181</v>
      </c>
      <c r="H1402">
        <v>667</v>
      </c>
      <c r="I1402">
        <v>6.7</v>
      </c>
      <c r="J1402">
        <v>50</v>
      </c>
      <c r="K1402" t="s">
        <v>18</v>
      </c>
      <c r="L1402">
        <v>73</v>
      </c>
      <c r="M1402">
        <v>1.83</v>
      </c>
      <c r="N1402">
        <v>1</v>
      </c>
      <c r="O1402" t="s">
        <v>21</v>
      </c>
      <c r="P1402" cm="1">
        <f t="array" ref="P1402">_xlfn.SWITCH(Table2[[#This Row],[mood]], "Tired", 3, "Neutral", 2, "Happy", 1)</f>
        <v>1</v>
      </c>
    </row>
    <row r="1403" spans="1:16" x14ac:dyDescent="0.3">
      <c r="A1403">
        <v>1333</v>
      </c>
      <c r="B1403" s="1">
        <v>43406</v>
      </c>
      <c r="C1403">
        <v>47</v>
      </c>
      <c r="D1403" t="s">
        <v>15</v>
      </c>
      <c r="E1403">
        <v>153.9</v>
      </c>
      <c r="F1403">
        <v>71.5</v>
      </c>
      <c r="G1403">
        <v>16303</v>
      </c>
      <c r="H1403">
        <v>818.4</v>
      </c>
      <c r="I1403">
        <v>7.7</v>
      </c>
      <c r="J1403">
        <v>63</v>
      </c>
      <c r="K1403" t="s">
        <v>16</v>
      </c>
      <c r="L1403">
        <v>0</v>
      </c>
      <c r="M1403">
        <v>2.36</v>
      </c>
      <c r="N1403">
        <v>9</v>
      </c>
      <c r="O1403" t="s">
        <v>19</v>
      </c>
      <c r="P1403" cm="1">
        <f t="array" ref="P1403">_xlfn.SWITCH(Table2[[#This Row],[mood]], "Tired", 3, "Neutral", 2, "Happy", 1)</f>
        <v>2</v>
      </c>
    </row>
    <row r="1404" spans="1:16" x14ac:dyDescent="0.3">
      <c r="A1404">
        <v>1884</v>
      </c>
      <c r="B1404" s="1">
        <v>43407</v>
      </c>
      <c r="C1404">
        <v>30</v>
      </c>
      <c r="D1404" t="s">
        <v>15</v>
      </c>
      <c r="E1404">
        <v>161.69999999999999</v>
      </c>
      <c r="F1404">
        <v>93.3</v>
      </c>
      <c r="G1404">
        <v>17667</v>
      </c>
      <c r="H1404">
        <v>826.3</v>
      </c>
      <c r="I1404">
        <v>8.4</v>
      </c>
      <c r="J1404">
        <v>71</v>
      </c>
      <c r="K1404" t="s">
        <v>24</v>
      </c>
      <c r="L1404">
        <v>58</v>
      </c>
      <c r="M1404">
        <v>1.56</v>
      </c>
      <c r="N1404">
        <v>5</v>
      </c>
      <c r="O1404" t="s">
        <v>19</v>
      </c>
      <c r="P1404" cm="1">
        <f t="array" ref="P1404">_xlfn.SWITCH(Table2[[#This Row],[mood]], "Tired", 3, "Neutral", 2, "Happy", 1)</f>
        <v>2</v>
      </c>
    </row>
    <row r="1405" spans="1:16" x14ac:dyDescent="0.3">
      <c r="A1405">
        <v>1375</v>
      </c>
      <c r="B1405" s="1">
        <v>43408</v>
      </c>
      <c r="C1405">
        <v>36</v>
      </c>
      <c r="D1405" t="s">
        <v>15</v>
      </c>
      <c r="E1405">
        <v>157.5</v>
      </c>
      <c r="F1405">
        <v>74</v>
      </c>
      <c r="G1405">
        <v>6725</v>
      </c>
      <c r="H1405">
        <v>410</v>
      </c>
      <c r="I1405">
        <v>7.8</v>
      </c>
      <c r="J1405">
        <v>76</v>
      </c>
      <c r="K1405" t="s">
        <v>25</v>
      </c>
      <c r="L1405">
        <v>84</v>
      </c>
      <c r="M1405">
        <v>2.4</v>
      </c>
      <c r="N1405">
        <v>2</v>
      </c>
      <c r="O1405" t="s">
        <v>17</v>
      </c>
      <c r="P1405" cm="1">
        <f t="array" ref="P1405">_xlfn.SWITCH(Table2[[#This Row],[mood]], "Tired", 3, "Neutral", 2, "Happy", 1)</f>
        <v>3</v>
      </c>
    </row>
    <row r="1406" spans="1:16" x14ac:dyDescent="0.3">
      <c r="A1406">
        <v>1458</v>
      </c>
      <c r="B1406" s="1">
        <v>43409</v>
      </c>
      <c r="C1406">
        <v>46</v>
      </c>
      <c r="D1406" t="s">
        <v>15</v>
      </c>
      <c r="E1406">
        <v>186</v>
      </c>
      <c r="F1406">
        <v>72.5</v>
      </c>
      <c r="G1406">
        <v>16584</v>
      </c>
      <c r="H1406">
        <v>900</v>
      </c>
      <c r="I1406">
        <v>7.5</v>
      </c>
      <c r="J1406">
        <v>62</v>
      </c>
      <c r="K1406" t="s">
        <v>24</v>
      </c>
      <c r="L1406">
        <v>79</v>
      </c>
      <c r="M1406">
        <v>2.0099999999999998</v>
      </c>
      <c r="N1406">
        <v>6</v>
      </c>
      <c r="O1406" t="s">
        <v>21</v>
      </c>
      <c r="P1406" cm="1">
        <f t="array" ref="P1406">_xlfn.SWITCH(Table2[[#This Row],[mood]], "Tired", 3, "Neutral", 2, "Happy", 1)</f>
        <v>1</v>
      </c>
    </row>
    <row r="1407" spans="1:16" x14ac:dyDescent="0.3">
      <c r="A1407">
        <v>1136</v>
      </c>
      <c r="B1407" s="1">
        <v>43410</v>
      </c>
      <c r="C1407">
        <v>20</v>
      </c>
      <c r="D1407" t="s">
        <v>15</v>
      </c>
      <c r="E1407">
        <v>163.5</v>
      </c>
      <c r="F1407">
        <v>73.400000000000006</v>
      </c>
      <c r="G1407">
        <v>14219</v>
      </c>
      <c r="H1407">
        <v>746.4</v>
      </c>
      <c r="I1407">
        <v>7.3</v>
      </c>
      <c r="J1407">
        <v>72</v>
      </c>
      <c r="K1407" t="s">
        <v>23</v>
      </c>
      <c r="L1407">
        <v>52</v>
      </c>
      <c r="M1407">
        <v>1.85</v>
      </c>
      <c r="N1407">
        <v>2</v>
      </c>
      <c r="O1407" t="s">
        <v>21</v>
      </c>
      <c r="P1407" cm="1">
        <f t="array" ref="P1407">_xlfn.SWITCH(Table2[[#This Row],[mood]], "Tired", 3, "Neutral", 2, "Happy", 1)</f>
        <v>1</v>
      </c>
    </row>
    <row r="1408" spans="1:16" x14ac:dyDescent="0.3">
      <c r="A1408">
        <v>1929</v>
      </c>
      <c r="B1408" s="1">
        <v>43411</v>
      </c>
      <c r="C1408">
        <v>43</v>
      </c>
      <c r="D1408" t="s">
        <v>20</v>
      </c>
      <c r="E1408">
        <v>176.9</v>
      </c>
      <c r="F1408">
        <v>76.2</v>
      </c>
      <c r="G1408">
        <v>9794</v>
      </c>
      <c r="H1408">
        <v>660</v>
      </c>
      <c r="I1408">
        <v>6.1</v>
      </c>
      <c r="J1408">
        <v>77</v>
      </c>
      <c r="K1408" t="s">
        <v>16</v>
      </c>
      <c r="L1408">
        <v>0</v>
      </c>
      <c r="M1408">
        <v>2.76</v>
      </c>
      <c r="N1408">
        <v>6</v>
      </c>
      <c r="O1408" t="s">
        <v>21</v>
      </c>
      <c r="P1408" cm="1">
        <f t="array" ref="P1408">_xlfn.SWITCH(Table2[[#This Row],[mood]], "Tired", 3, "Neutral", 2, "Happy", 1)</f>
        <v>1</v>
      </c>
    </row>
    <row r="1409" spans="1:16" x14ac:dyDescent="0.3">
      <c r="A1409">
        <v>1587</v>
      </c>
      <c r="B1409" s="1">
        <v>43412</v>
      </c>
      <c r="C1409">
        <v>57</v>
      </c>
      <c r="D1409" t="s">
        <v>20</v>
      </c>
      <c r="E1409">
        <v>170.2</v>
      </c>
      <c r="F1409">
        <v>51</v>
      </c>
      <c r="G1409">
        <v>15112</v>
      </c>
      <c r="H1409">
        <v>804.8</v>
      </c>
      <c r="I1409">
        <v>5.6</v>
      </c>
      <c r="J1409">
        <v>69</v>
      </c>
      <c r="K1409" t="s">
        <v>25</v>
      </c>
      <c r="L1409">
        <v>55</v>
      </c>
      <c r="M1409">
        <v>2.0499999999999998</v>
      </c>
      <c r="N1409">
        <v>9</v>
      </c>
      <c r="O1409" t="s">
        <v>19</v>
      </c>
      <c r="P1409" cm="1">
        <f t="array" ref="P1409">_xlfn.SWITCH(Table2[[#This Row],[mood]], "Tired", 3, "Neutral", 2, "Happy", 1)</f>
        <v>2</v>
      </c>
    </row>
    <row r="1410" spans="1:16" x14ac:dyDescent="0.3">
      <c r="A1410">
        <v>1994</v>
      </c>
      <c r="B1410" s="1">
        <v>43413</v>
      </c>
      <c r="C1410">
        <v>29</v>
      </c>
      <c r="D1410" t="s">
        <v>20</v>
      </c>
      <c r="E1410">
        <v>170</v>
      </c>
      <c r="F1410">
        <v>66.5</v>
      </c>
      <c r="G1410">
        <v>12544</v>
      </c>
      <c r="H1410">
        <v>653</v>
      </c>
      <c r="I1410">
        <v>9</v>
      </c>
      <c r="J1410">
        <v>64</v>
      </c>
      <c r="K1410" t="s">
        <v>16</v>
      </c>
      <c r="L1410">
        <v>0</v>
      </c>
      <c r="M1410">
        <v>2.17</v>
      </c>
      <c r="N1410">
        <v>2</v>
      </c>
      <c r="O1410" t="s">
        <v>21</v>
      </c>
      <c r="P1410" cm="1">
        <f t="array" ref="P1410">_xlfn.SWITCH(Table2[[#This Row],[mood]], "Tired", 3, "Neutral", 2, "Happy", 1)</f>
        <v>1</v>
      </c>
    </row>
    <row r="1411" spans="1:16" x14ac:dyDescent="0.3">
      <c r="A1411">
        <v>1546</v>
      </c>
      <c r="B1411" s="1">
        <v>43414</v>
      </c>
      <c r="C1411">
        <v>19</v>
      </c>
      <c r="D1411" t="s">
        <v>20</v>
      </c>
      <c r="E1411">
        <v>164.1</v>
      </c>
      <c r="F1411">
        <v>67.3</v>
      </c>
      <c r="G1411">
        <v>5075</v>
      </c>
      <c r="H1411">
        <v>503.1</v>
      </c>
      <c r="I1411">
        <v>8.1999999999999993</v>
      </c>
      <c r="J1411">
        <v>68</v>
      </c>
      <c r="K1411" t="s">
        <v>16</v>
      </c>
      <c r="L1411">
        <v>0</v>
      </c>
      <c r="M1411">
        <v>3.41</v>
      </c>
      <c r="N1411">
        <v>1</v>
      </c>
      <c r="O1411" t="s">
        <v>21</v>
      </c>
      <c r="P1411" cm="1">
        <f t="array" ref="P1411">_xlfn.SWITCH(Table2[[#This Row],[mood]], "Tired", 3, "Neutral", 2, "Happy", 1)</f>
        <v>1</v>
      </c>
    </row>
    <row r="1412" spans="1:16" x14ac:dyDescent="0.3">
      <c r="A1412">
        <v>1512</v>
      </c>
      <c r="B1412" s="1">
        <v>43415</v>
      </c>
      <c r="C1412">
        <v>28</v>
      </c>
      <c r="D1412" t="s">
        <v>15</v>
      </c>
      <c r="E1412">
        <v>177.7</v>
      </c>
      <c r="F1412">
        <v>62.7</v>
      </c>
      <c r="G1412">
        <v>13778</v>
      </c>
      <c r="H1412">
        <v>817</v>
      </c>
      <c r="I1412">
        <v>5.8</v>
      </c>
      <c r="J1412">
        <v>88</v>
      </c>
      <c r="K1412" t="s">
        <v>16</v>
      </c>
      <c r="L1412">
        <v>0</v>
      </c>
      <c r="M1412">
        <v>1.86</v>
      </c>
      <c r="N1412">
        <v>7</v>
      </c>
      <c r="O1412" t="s">
        <v>21</v>
      </c>
      <c r="P1412" cm="1">
        <f t="array" ref="P1412">_xlfn.SWITCH(Table2[[#This Row],[mood]], "Tired", 3, "Neutral", 2, "Happy", 1)</f>
        <v>1</v>
      </c>
    </row>
    <row r="1413" spans="1:16" x14ac:dyDescent="0.3">
      <c r="A1413">
        <v>1295</v>
      </c>
      <c r="B1413" s="1">
        <v>43416</v>
      </c>
      <c r="C1413">
        <v>45</v>
      </c>
      <c r="D1413" t="s">
        <v>15</v>
      </c>
      <c r="E1413">
        <v>171.5</v>
      </c>
      <c r="F1413">
        <v>80.3</v>
      </c>
      <c r="G1413">
        <v>7162</v>
      </c>
      <c r="H1413">
        <v>477.5</v>
      </c>
      <c r="I1413">
        <v>7.1</v>
      </c>
      <c r="J1413">
        <v>58</v>
      </c>
      <c r="K1413" t="s">
        <v>23</v>
      </c>
      <c r="L1413">
        <v>66</v>
      </c>
      <c r="M1413">
        <v>3.6</v>
      </c>
      <c r="N1413">
        <v>8</v>
      </c>
      <c r="O1413" t="s">
        <v>19</v>
      </c>
      <c r="P1413" cm="1">
        <f t="array" ref="P1413">_xlfn.SWITCH(Table2[[#This Row],[mood]], "Tired", 3, "Neutral", 2, "Happy", 1)</f>
        <v>2</v>
      </c>
    </row>
    <row r="1414" spans="1:16" x14ac:dyDescent="0.3">
      <c r="A1414">
        <v>1319</v>
      </c>
      <c r="B1414" s="1">
        <v>43417</v>
      </c>
      <c r="C1414">
        <v>35</v>
      </c>
      <c r="D1414" t="s">
        <v>15</v>
      </c>
      <c r="E1414">
        <v>171</v>
      </c>
      <c r="F1414">
        <v>60.5</v>
      </c>
      <c r="G1414">
        <v>8636</v>
      </c>
      <c r="H1414">
        <v>595.29999999999995</v>
      </c>
      <c r="I1414">
        <v>4.9000000000000004</v>
      </c>
      <c r="J1414">
        <v>87</v>
      </c>
      <c r="K1414" t="s">
        <v>22</v>
      </c>
      <c r="L1414">
        <v>88</v>
      </c>
      <c r="M1414">
        <v>2.2599999999999998</v>
      </c>
      <c r="N1414">
        <v>2</v>
      </c>
      <c r="O1414" t="s">
        <v>17</v>
      </c>
      <c r="P1414" cm="1">
        <f t="array" ref="P1414">_xlfn.SWITCH(Table2[[#This Row],[mood]], "Tired", 3, "Neutral", 2, "Happy", 1)</f>
        <v>3</v>
      </c>
    </row>
    <row r="1415" spans="1:16" x14ac:dyDescent="0.3">
      <c r="A1415">
        <v>1917</v>
      </c>
      <c r="B1415" s="1">
        <v>43418</v>
      </c>
      <c r="C1415">
        <v>30</v>
      </c>
      <c r="D1415" t="s">
        <v>20</v>
      </c>
      <c r="E1415">
        <v>164.1</v>
      </c>
      <c r="F1415">
        <v>64.599999999999994</v>
      </c>
      <c r="G1415">
        <v>9002</v>
      </c>
      <c r="H1415">
        <v>566.20000000000005</v>
      </c>
      <c r="I1415">
        <v>6.3</v>
      </c>
      <c r="J1415">
        <v>89</v>
      </c>
      <c r="K1415" t="s">
        <v>23</v>
      </c>
      <c r="L1415">
        <v>33</v>
      </c>
      <c r="M1415">
        <v>1.7</v>
      </c>
      <c r="N1415">
        <v>4</v>
      </c>
      <c r="O1415" t="s">
        <v>17</v>
      </c>
      <c r="P1415" cm="1">
        <f t="array" ref="P1415">_xlfn.SWITCH(Table2[[#This Row],[mood]], "Tired", 3, "Neutral", 2, "Happy", 1)</f>
        <v>3</v>
      </c>
    </row>
    <row r="1416" spans="1:16" x14ac:dyDescent="0.3">
      <c r="A1416">
        <v>1571</v>
      </c>
      <c r="B1416" s="1">
        <v>43419</v>
      </c>
      <c r="C1416">
        <v>54</v>
      </c>
      <c r="D1416" t="s">
        <v>15</v>
      </c>
      <c r="E1416">
        <v>165.7</v>
      </c>
      <c r="F1416">
        <v>51.1</v>
      </c>
      <c r="G1416">
        <v>14453</v>
      </c>
      <c r="H1416">
        <v>800</v>
      </c>
      <c r="I1416">
        <v>7.8</v>
      </c>
      <c r="J1416">
        <v>71</v>
      </c>
      <c r="K1416" t="s">
        <v>16</v>
      </c>
      <c r="L1416">
        <v>0</v>
      </c>
      <c r="M1416">
        <v>2.11</v>
      </c>
      <c r="N1416">
        <v>8</v>
      </c>
      <c r="O1416" t="s">
        <v>17</v>
      </c>
      <c r="P1416" cm="1">
        <f t="array" ref="P1416">_xlfn.SWITCH(Table2[[#This Row],[mood]], "Tired", 3, "Neutral", 2, "Happy", 1)</f>
        <v>3</v>
      </c>
    </row>
    <row r="1417" spans="1:16" x14ac:dyDescent="0.3">
      <c r="A1417">
        <v>1831</v>
      </c>
      <c r="B1417" s="1">
        <v>43420</v>
      </c>
      <c r="C1417">
        <v>39</v>
      </c>
      <c r="D1417" t="s">
        <v>20</v>
      </c>
      <c r="E1417">
        <v>175.9</v>
      </c>
      <c r="F1417">
        <v>75.7</v>
      </c>
      <c r="G1417">
        <v>15633</v>
      </c>
      <c r="H1417">
        <v>900</v>
      </c>
      <c r="I1417">
        <v>7.4</v>
      </c>
      <c r="J1417">
        <v>80</v>
      </c>
      <c r="K1417" t="s">
        <v>22</v>
      </c>
      <c r="L1417">
        <v>71</v>
      </c>
      <c r="M1417">
        <v>2.5499999999999998</v>
      </c>
      <c r="N1417">
        <v>4</v>
      </c>
      <c r="O1417" t="s">
        <v>19</v>
      </c>
      <c r="P1417" cm="1">
        <f t="array" ref="P1417">_xlfn.SWITCH(Table2[[#This Row],[mood]], "Tired", 3, "Neutral", 2, "Happy", 1)</f>
        <v>2</v>
      </c>
    </row>
    <row r="1418" spans="1:16" x14ac:dyDescent="0.3">
      <c r="A1418">
        <v>1348</v>
      </c>
      <c r="B1418" s="1">
        <v>43421</v>
      </c>
      <c r="C1418">
        <v>29</v>
      </c>
      <c r="D1418" t="s">
        <v>15</v>
      </c>
      <c r="E1418">
        <v>172.3</v>
      </c>
      <c r="F1418">
        <v>84.1</v>
      </c>
      <c r="G1418">
        <v>18877</v>
      </c>
      <c r="H1418">
        <v>879.1</v>
      </c>
      <c r="I1418">
        <v>7.2</v>
      </c>
      <c r="J1418">
        <v>67</v>
      </c>
      <c r="K1418" t="s">
        <v>25</v>
      </c>
      <c r="L1418">
        <v>69</v>
      </c>
      <c r="M1418">
        <v>3.38</v>
      </c>
      <c r="N1418">
        <v>9</v>
      </c>
      <c r="O1418" t="s">
        <v>19</v>
      </c>
      <c r="P1418" cm="1">
        <f t="array" ref="P1418">_xlfn.SWITCH(Table2[[#This Row],[mood]], "Tired", 3, "Neutral", 2, "Happy", 1)</f>
        <v>2</v>
      </c>
    </row>
    <row r="1419" spans="1:16" x14ac:dyDescent="0.3">
      <c r="A1419">
        <v>1839</v>
      </c>
      <c r="B1419" s="1">
        <v>43422</v>
      </c>
      <c r="C1419">
        <v>19</v>
      </c>
      <c r="D1419" t="s">
        <v>15</v>
      </c>
      <c r="E1419">
        <v>171.2</v>
      </c>
      <c r="F1419">
        <v>64.599999999999994</v>
      </c>
      <c r="G1419">
        <v>13992</v>
      </c>
      <c r="H1419">
        <v>741.7</v>
      </c>
      <c r="I1419">
        <v>5.7</v>
      </c>
      <c r="J1419">
        <v>78</v>
      </c>
      <c r="K1419" t="s">
        <v>24</v>
      </c>
      <c r="L1419">
        <v>84</v>
      </c>
      <c r="M1419">
        <v>3.06</v>
      </c>
      <c r="N1419">
        <v>1</v>
      </c>
      <c r="O1419" t="s">
        <v>17</v>
      </c>
      <c r="P1419" cm="1">
        <f t="array" ref="P1419">_xlfn.SWITCH(Table2[[#This Row],[mood]], "Tired", 3, "Neutral", 2, "Happy", 1)</f>
        <v>3</v>
      </c>
    </row>
    <row r="1420" spans="1:16" x14ac:dyDescent="0.3">
      <c r="A1420">
        <v>1778</v>
      </c>
      <c r="B1420" s="1">
        <v>43423</v>
      </c>
      <c r="C1420">
        <v>54</v>
      </c>
      <c r="D1420" t="s">
        <v>20</v>
      </c>
      <c r="E1420">
        <v>162.5</v>
      </c>
      <c r="F1420">
        <v>82.1</v>
      </c>
      <c r="G1420">
        <v>13126</v>
      </c>
      <c r="H1420">
        <v>726.5</v>
      </c>
      <c r="I1420">
        <v>5.4</v>
      </c>
      <c r="J1420">
        <v>97</v>
      </c>
      <c r="K1420" t="s">
        <v>24</v>
      </c>
      <c r="L1420">
        <v>83</v>
      </c>
      <c r="M1420">
        <v>2.54</v>
      </c>
      <c r="N1420">
        <v>10</v>
      </c>
      <c r="O1420" t="s">
        <v>17</v>
      </c>
      <c r="P1420" cm="1">
        <f t="array" ref="P1420">_xlfn.SWITCH(Table2[[#This Row],[mood]], "Tired", 3, "Neutral", 2, "Happy", 1)</f>
        <v>3</v>
      </c>
    </row>
    <row r="1421" spans="1:16" x14ac:dyDescent="0.3">
      <c r="A1421">
        <v>1872</v>
      </c>
      <c r="B1421" s="1">
        <v>43424</v>
      </c>
      <c r="C1421">
        <v>24</v>
      </c>
      <c r="D1421" t="s">
        <v>20</v>
      </c>
      <c r="E1421">
        <v>189.4</v>
      </c>
      <c r="F1421">
        <v>67.8</v>
      </c>
      <c r="G1421">
        <v>14090</v>
      </c>
      <c r="H1421">
        <v>780.3</v>
      </c>
      <c r="I1421">
        <v>8.4</v>
      </c>
      <c r="J1421">
        <v>88</v>
      </c>
      <c r="K1421" t="s">
        <v>24</v>
      </c>
      <c r="L1421">
        <v>42</v>
      </c>
      <c r="M1421">
        <v>3.38</v>
      </c>
      <c r="N1421">
        <v>7</v>
      </c>
      <c r="O1421" t="s">
        <v>19</v>
      </c>
      <c r="P1421" cm="1">
        <f t="array" ref="P1421">_xlfn.SWITCH(Table2[[#This Row],[mood]], "Tired", 3, "Neutral", 2, "Happy", 1)</f>
        <v>2</v>
      </c>
    </row>
    <row r="1422" spans="1:16" x14ac:dyDescent="0.3">
      <c r="A1422">
        <v>1228</v>
      </c>
      <c r="B1422" s="1">
        <v>43425</v>
      </c>
      <c r="C1422">
        <v>43</v>
      </c>
      <c r="D1422" t="s">
        <v>15</v>
      </c>
      <c r="E1422">
        <v>165.2</v>
      </c>
      <c r="F1422">
        <v>45</v>
      </c>
      <c r="G1422">
        <v>17756</v>
      </c>
      <c r="H1422">
        <v>847.8</v>
      </c>
      <c r="I1422">
        <v>9.5</v>
      </c>
      <c r="J1422">
        <v>70</v>
      </c>
      <c r="K1422" t="s">
        <v>23</v>
      </c>
      <c r="L1422">
        <v>89</v>
      </c>
      <c r="M1422">
        <v>1.18</v>
      </c>
      <c r="N1422">
        <v>3</v>
      </c>
      <c r="O1422" t="s">
        <v>17</v>
      </c>
      <c r="P1422" cm="1">
        <f t="array" ref="P1422">_xlfn.SWITCH(Table2[[#This Row],[mood]], "Tired", 3, "Neutral", 2, "Happy", 1)</f>
        <v>3</v>
      </c>
    </row>
    <row r="1423" spans="1:16" x14ac:dyDescent="0.3">
      <c r="A1423">
        <v>1269</v>
      </c>
      <c r="B1423" s="1">
        <v>43426</v>
      </c>
      <c r="C1423">
        <v>43</v>
      </c>
      <c r="D1423" t="s">
        <v>15</v>
      </c>
      <c r="E1423">
        <v>169.7</v>
      </c>
      <c r="F1423">
        <v>69.2</v>
      </c>
      <c r="G1423">
        <v>8071</v>
      </c>
      <c r="H1423">
        <v>568.70000000000005</v>
      </c>
      <c r="I1423">
        <v>7.8</v>
      </c>
      <c r="J1423">
        <v>62</v>
      </c>
      <c r="K1423" t="s">
        <v>25</v>
      </c>
      <c r="L1423">
        <v>78</v>
      </c>
      <c r="M1423">
        <v>2.67</v>
      </c>
      <c r="N1423">
        <v>10</v>
      </c>
      <c r="O1423" t="s">
        <v>21</v>
      </c>
      <c r="P1423" cm="1">
        <f t="array" ref="P1423">_xlfn.SWITCH(Table2[[#This Row],[mood]], "Tired", 3, "Neutral", 2, "Happy", 1)</f>
        <v>1</v>
      </c>
    </row>
    <row r="1424" spans="1:16" x14ac:dyDescent="0.3">
      <c r="A1424">
        <v>1827</v>
      </c>
      <c r="B1424" s="1">
        <v>43427</v>
      </c>
      <c r="C1424">
        <v>41</v>
      </c>
      <c r="D1424" t="s">
        <v>20</v>
      </c>
      <c r="E1424">
        <v>168.1</v>
      </c>
      <c r="F1424">
        <v>67.400000000000006</v>
      </c>
      <c r="G1424">
        <v>14749</v>
      </c>
      <c r="H1424">
        <v>732.3</v>
      </c>
      <c r="I1424">
        <v>6.7</v>
      </c>
      <c r="J1424">
        <v>72</v>
      </c>
      <c r="K1424" t="s">
        <v>25</v>
      </c>
      <c r="L1424">
        <v>73</v>
      </c>
      <c r="M1424">
        <v>2.72</v>
      </c>
      <c r="N1424">
        <v>3</v>
      </c>
      <c r="O1424" t="s">
        <v>19</v>
      </c>
      <c r="P1424" cm="1">
        <f t="array" ref="P1424">_xlfn.SWITCH(Table2[[#This Row],[mood]], "Tired", 3, "Neutral", 2, "Happy", 1)</f>
        <v>2</v>
      </c>
    </row>
    <row r="1425" spans="1:16" x14ac:dyDescent="0.3">
      <c r="A1425">
        <v>1797</v>
      </c>
      <c r="B1425" s="1">
        <v>43428</v>
      </c>
      <c r="C1425">
        <v>29</v>
      </c>
      <c r="D1425" t="s">
        <v>15</v>
      </c>
      <c r="E1425">
        <v>189.5</v>
      </c>
      <c r="F1425">
        <v>71.5</v>
      </c>
      <c r="G1425">
        <v>12983</v>
      </c>
      <c r="H1425">
        <v>656.8</v>
      </c>
      <c r="I1425">
        <v>8.8000000000000007</v>
      </c>
      <c r="J1425">
        <v>78</v>
      </c>
      <c r="K1425" t="s">
        <v>22</v>
      </c>
      <c r="L1425">
        <v>45</v>
      </c>
      <c r="M1425">
        <v>2.73</v>
      </c>
      <c r="N1425">
        <v>7</v>
      </c>
      <c r="O1425" t="s">
        <v>17</v>
      </c>
      <c r="P1425" cm="1">
        <f t="array" ref="P1425">_xlfn.SWITCH(Table2[[#This Row],[mood]], "Tired", 3, "Neutral", 2, "Happy", 1)</f>
        <v>3</v>
      </c>
    </row>
    <row r="1426" spans="1:16" x14ac:dyDescent="0.3">
      <c r="A1426">
        <v>1290</v>
      </c>
      <c r="B1426" s="1">
        <v>43429</v>
      </c>
      <c r="C1426">
        <v>33</v>
      </c>
      <c r="D1426" t="s">
        <v>15</v>
      </c>
      <c r="E1426">
        <v>167.1</v>
      </c>
      <c r="F1426">
        <v>73.8</v>
      </c>
      <c r="G1426">
        <v>7586</v>
      </c>
      <c r="H1426">
        <v>490.9</v>
      </c>
      <c r="I1426">
        <v>5.7</v>
      </c>
      <c r="J1426">
        <v>82</v>
      </c>
      <c r="K1426" t="s">
        <v>25</v>
      </c>
      <c r="L1426">
        <v>63</v>
      </c>
      <c r="M1426">
        <v>1.37</v>
      </c>
      <c r="N1426">
        <v>6</v>
      </c>
      <c r="O1426" t="s">
        <v>17</v>
      </c>
      <c r="P1426" cm="1">
        <f t="array" ref="P1426">_xlfn.SWITCH(Table2[[#This Row],[mood]], "Tired", 3, "Neutral", 2, "Happy", 1)</f>
        <v>3</v>
      </c>
    </row>
    <row r="1427" spans="1:16" x14ac:dyDescent="0.3">
      <c r="A1427">
        <v>1724</v>
      </c>
      <c r="B1427" s="1">
        <v>43430</v>
      </c>
      <c r="C1427">
        <v>40</v>
      </c>
      <c r="D1427" t="s">
        <v>20</v>
      </c>
      <c r="E1427">
        <v>166.2</v>
      </c>
      <c r="F1427">
        <v>59.7</v>
      </c>
      <c r="G1427">
        <v>11641</v>
      </c>
      <c r="H1427">
        <v>760.4</v>
      </c>
      <c r="I1427">
        <v>8.6</v>
      </c>
      <c r="J1427">
        <v>74</v>
      </c>
      <c r="K1427" t="s">
        <v>24</v>
      </c>
      <c r="L1427">
        <v>32</v>
      </c>
      <c r="M1427">
        <v>1.79</v>
      </c>
      <c r="N1427">
        <v>3</v>
      </c>
      <c r="O1427" t="s">
        <v>19</v>
      </c>
      <c r="P1427" cm="1">
        <f t="array" ref="P1427">_xlfn.SWITCH(Table2[[#This Row],[mood]], "Tired", 3, "Neutral", 2, "Happy", 1)</f>
        <v>2</v>
      </c>
    </row>
    <row r="1428" spans="1:16" x14ac:dyDescent="0.3">
      <c r="A1428">
        <v>1164</v>
      </c>
      <c r="B1428" s="1">
        <v>43431</v>
      </c>
      <c r="C1428">
        <v>57</v>
      </c>
      <c r="D1428" t="s">
        <v>15</v>
      </c>
      <c r="E1428">
        <v>171.2</v>
      </c>
      <c r="F1428">
        <v>92.1</v>
      </c>
      <c r="G1428">
        <v>4967</v>
      </c>
      <c r="H1428">
        <v>525.79999999999995</v>
      </c>
      <c r="I1428">
        <v>6.1</v>
      </c>
      <c r="J1428">
        <v>93</v>
      </c>
      <c r="K1428" t="s">
        <v>25</v>
      </c>
      <c r="L1428">
        <v>73</v>
      </c>
      <c r="M1428">
        <v>2.38</v>
      </c>
      <c r="N1428">
        <v>2</v>
      </c>
      <c r="O1428" t="s">
        <v>19</v>
      </c>
      <c r="P1428" cm="1">
        <f t="array" ref="P1428">_xlfn.SWITCH(Table2[[#This Row],[mood]], "Tired", 3, "Neutral", 2, "Happy", 1)</f>
        <v>2</v>
      </c>
    </row>
    <row r="1429" spans="1:16" x14ac:dyDescent="0.3">
      <c r="A1429">
        <v>1004</v>
      </c>
      <c r="B1429" s="1">
        <v>43432</v>
      </c>
      <c r="C1429">
        <v>26</v>
      </c>
      <c r="D1429" t="s">
        <v>20</v>
      </c>
      <c r="E1429">
        <v>163.1</v>
      </c>
      <c r="F1429">
        <v>69</v>
      </c>
      <c r="G1429">
        <v>1822</v>
      </c>
      <c r="H1429">
        <v>297.3</v>
      </c>
      <c r="I1429">
        <v>6.2</v>
      </c>
      <c r="J1429">
        <v>75</v>
      </c>
      <c r="K1429" t="s">
        <v>22</v>
      </c>
      <c r="L1429">
        <v>59</v>
      </c>
      <c r="M1429">
        <v>3.28</v>
      </c>
      <c r="N1429">
        <v>6</v>
      </c>
      <c r="O1429" t="s">
        <v>21</v>
      </c>
      <c r="P1429" cm="1">
        <f t="array" ref="P1429">_xlfn.SWITCH(Table2[[#This Row],[mood]], "Tired", 3, "Neutral", 2, "Happy", 1)</f>
        <v>1</v>
      </c>
    </row>
    <row r="1430" spans="1:16" x14ac:dyDescent="0.3">
      <c r="A1430">
        <v>1850</v>
      </c>
      <c r="B1430" s="1">
        <v>43433</v>
      </c>
      <c r="C1430">
        <v>49</v>
      </c>
      <c r="D1430" t="s">
        <v>15</v>
      </c>
      <c r="E1430">
        <v>171.1</v>
      </c>
      <c r="F1430">
        <v>67</v>
      </c>
      <c r="G1430">
        <v>1221</v>
      </c>
      <c r="H1430">
        <v>236.9</v>
      </c>
      <c r="I1430">
        <v>6.5</v>
      </c>
      <c r="J1430">
        <v>70</v>
      </c>
      <c r="K1430" t="s">
        <v>25</v>
      </c>
      <c r="L1430">
        <v>23</v>
      </c>
      <c r="M1430">
        <v>3.84</v>
      </c>
      <c r="N1430">
        <v>10</v>
      </c>
      <c r="O1430" t="s">
        <v>19</v>
      </c>
      <c r="P1430" cm="1">
        <f t="array" ref="P1430">_xlfn.SWITCH(Table2[[#This Row],[mood]], "Tired", 3, "Neutral", 2, "Happy", 1)</f>
        <v>2</v>
      </c>
    </row>
    <row r="1431" spans="1:16" x14ac:dyDescent="0.3">
      <c r="A1431">
        <v>1378</v>
      </c>
      <c r="B1431" s="1">
        <v>43434</v>
      </c>
      <c r="C1431">
        <v>32</v>
      </c>
      <c r="D1431" t="s">
        <v>20</v>
      </c>
      <c r="E1431">
        <v>193.7</v>
      </c>
      <c r="F1431">
        <v>81.2</v>
      </c>
      <c r="G1431">
        <v>7880</v>
      </c>
      <c r="H1431">
        <v>523</v>
      </c>
      <c r="I1431">
        <v>6.8</v>
      </c>
      <c r="J1431">
        <v>80</v>
      </c>
      <c r="K1431" t="s">
        <v>25</v>
      </c>
      <c r="L1431">
        <v>72</v>
      </c>
      <c r="M1431">
        <v>2.0299999999999998</v>
      </c>
      <c r="N1431">
        <v>7</v>
      </c>
      <c r="O1431" t="s">
        <v>19</v>
      </c>
      <c r="P1431" cm="1">
        <f t="array" ref="P1431">_xlfn.SWITCH(Table2[[#This Row],[mood]], "Tired", 3, "Neutral", 2, "Happy", 1)</f>
        <v>2</v>
      </c>
    </row>
    <row r="1432" spans="1:16" x14ac:dyDescent="0.3">
      <c r="A1432">
        <v>1077</v>
      </c>
      <c r="B1432" s="1">
        <v>43435</v>
      </c>
      <c r="C1432">
        <v>54</v>
      </c>
      <c r="D1432" t="s">
        <v>15</v>
      </c>
      <c r="E1432">
        <v>173</v>
      </c>
      <c r="F1432">
        <v>70.3</v>
      </c>
      <c r="G1432">
        <v>13129</v>
      </c>
      <c r="H1432">
        <v>741.9</v>
      </c>
      <c r="I1432">
        <v>8.4</v>
      </c>
      <c r="J1432">
        <v>82</v>
      </c>
      <c r="K1432" t="s">
        <v>24</v>
      </c>
      <c r="L1432">
        <v>20</v>
      </c>
      <c r="M1432">
        <v>1.58</v>
      </c>
      <c r="N1432">
        <v>9</v>
      </c>
      <c r="O1432" t="s">
        <v>21</v>
      </c>
      <c r="P1432" cm="1">
        <f t="array" ref="P1432">_xlfn.SWITCH(Table2[[#This Row],[mood]], "Tired", 3, "Neutral", 2, "Happy", 1)</f>
        <v>1</v>
      </c>
    </row>
    <row r="1433" spans="1:16" x14ac:dyDescent="0.3">
      <c r="A1433">
        <v>1409</v>
      </c>
      <c r="B1433" s="1">
        <v>43436</v>
      </c>
      <c r="C1433">
        <v>30</v>
      </c>
      <c r="D1433" t="s">
        <v>20</v>
      </c>
      <c r="E1433">
        <v>172.6</v>
      </c>
      <c r="F1433">
        <v>108.5</v>
      </c>
      <c r="G1433">
        <v>16543</v>
      </c>
      <c r="H1433">
        <v>900</v>
      </c>
      <c r="I1433">
        <v>5</v>
      </c>
      <c r="J1433">
        <v>67</v>
      </c>
      <c r="K1433" t="s">
        <v>25</v>
      </c>
      <c r="L1433">
        <v>25</v>
      </c>
      <c r="M1433">
        <v>3.07</v>
      </c>
      <c r="N1433">
        <v>9</v>
      </c>
      <c r="O1433" t="s">
        <v>17</v>
      </c>
      <c r="P1433" cm="1">
        <f t="array" ref="P1433">_xlfn.SWITCH(Table2[[#This Row],[mood]], "Tired", 3, "Neutral", 2, "Happy", 1)</f>
        <v>3</v>
      </c>
    </row>
    <row r="1434" spans="1:16" x14ac:dyDescent="0.3">
      <c r="A1434">
        <v>1573</v>
      </c>
      <c r="B1434" s="1">
        <v>43437</v>
      </c>
      <c r="C1434">
        <v>22</v>
      </c>
      <c r="D1434" t="s">
        <v>15</v>
      </c>
      <c r="E1434">
        <v>162.80000000000001</v>
      </c>
      <c r="F1434">
        <v>66.900000000000006</v>
      </c>
      <c r="G1434">
        <v>4888</v>
      </c>
      <c r="H1434">
        <v>334.6</v>
      </c>
      <c r="I1434">
        <v>6.1</v>
      </c>
      <c r="J1434">
        <v>66</v>
      </c>
      <c r="K1434" t="s">
        <v>23</v>
      </c>
      <c r="L1434">
        <v>74</v>
      </c>
      <c r="M1434">
        <v>4.33</v>
      </c>
      <c r="N1434">
        <v>9</v>
      </c>
      <c r="O1434" t="s">
        <v>19</v>
      </c>
      <c r="P1434" cm="1">
        <f t="array" ref="P1434">_xlfn.SWITCH(Table2[[#This Row],[mood]], "Tired", 3, "Neutral", 2, "Happy", 1)</f>
        <v>2</v>
      </c>
    </row>
    <row r="1435" spans="1:16" x14ac:dyDescent="0.3">
      <c r="A1435">
        <v>1131</v>
      </c>
      <c r="B1435" s="1">
        <v>43438</v>
      </c>
      <c r="C1435">
        <v>28</v>
      </c>
      <c r="D1435" t="s">
        <v>20</v>
      </c>
      <c r="E1435">
        <v>187.1</v>
      </c>
      <c r="F1435">
        <v>75.3</v>
      </c>
      <c r="G1435">
        <v>14499</v>
      </c>
      <c r="H1435">
        <v>839.7</v>
      </c>
      <c r="I1435">
        <v>7.3</v>
      </c>
      <c r="J1435">
        <v>59</v>
      </c>
      <c r="K1435" t="s">
        <v>22</v>
      </c>
      <c r="L1435">
        <v>85</v>
      </c>
      <c r="M1435">
        <v>3.27</v>
      </c>
      <c r="N1435">
        <v>10</v>
      </c>
      <c r="O1435" t="s">
        <v>17</v>
      </c>
      <c r="P1435" cm="1">
        <f t="array" ref="P1435">_xlfn.SWITCH(Table2[[#This Row],[mood]], "Tired", 3, "Neutral", 2, "Happy", 1)</f>
        <v>3</v>
      </c>
    </row>
    <row r="1436" spans="1:16" x14ac:dyDescent="0.3">
      <c r="A1436">
        <v>1600</v>
      </c>
      <c r="B1436" s="1">
        <v>43439</v>
      </c>
      <c r="C1436">
        <v>27</v>
      </c>
      <c r="D1436" t="s">
        <v>15</v>
      </c>
      <c r="E1436">
        <v>189.4</v>
      </c>
      <c r="F1436">
        <v>58.8</v>
      </c>
      <c r="G1436">
        <v>11352</v>
      </c>
      <c r="H1436">
        <v>582.70000000000005</v>
      </c>
      <c r="I1436">
        <v>7.8</v>
      </c>
      <c r="J1436">
        <v>72</v>
      </c>
      <c r="K1436" t="s">
        <v>22</v>
      </c>
      <c r="L1436">
        <v>37</v>
      </c>
      <c r="M1436">
        <v>1.98</v>
      </c>
      <c r="N1436">
        <v>1</v>
      </c>
      <c r="O1436" t="s">
        <v>21</v>
      </c>
      <c r="P1436" cm="1">
        <f t="array" ref="P1436">_xlfn.SWITCH(Table2[[#This Row],[mood]], "Tired", 3, "Neutral", 2, "Happy", 1)</f>
        <v>1</v>
      </c>
    </row>
    <row r="1437" spans="1:16" x14ac:dyDescent="0.3">
      <c r="A1437">
        <v>1748</v>
      </c>
      <c r="B1437" s="1">
        <v>43440</v>
      </c>
      <c r="C1437">
        <v>30</v>
      </c>
      <c r="D1437" t="s">
        <v>15</v>
      </c>
      <c r="E1437">
        <v>178.5</v>
      </c>
      <c r="F1437">
        <v>83.1</v>
      </c>
      <c r="G1437">
        <v>11117</v>
      </c>
      <c r="H1437">
        <v>620.6</v>
      </c>
      <c r="I1437">
        <v>4.4000000000000004</v>
      </c>
      <c r="J1437">
        <v>87</v>
      </c>
      <c r="K1437" t="s">
        <v>22</v>
      </c>
      <c r="L1437">
        <v>48</v>
      </c>
      <c r="M1437">
        <v>4.5</v>
      </c>
      <c r="N1437">
        <v>4</v>
      </c>
      <c r="O1437" t="s">
        <v>19</v>
      </c>
      <c r="P1437" cm="1">
        <f t="array" ref="P1437">_xlfn.SWITCH(Table2[[#This Row],[mood]], "Tired", 3, "Neutral", 2, "Happy", 1)</f>
        <v>2</v>
      </c>
    </row>
    <row r="1438" spans="1:16" x14ac:dyDescent="0.3">
      <c r="A1438">
        <v>1041</v>
      </c>
      <c r="B1438" s="1">
        <v>43441</v>
      </c>
      <c r="C1438">
        <v>58</v>
      </c>
      <c r="D1438" t="s">
        <v>15</v>
      </c>
      <c r="E1438">
        <v>176.5</v>
      </c>
      <c r="F1438">
        <v>74.599999999999994</v>
      </c>
      <c r="G1438">
        <v>13772</v>
      </c>
      <c r="H1438">
        <v>750.8</v>
      </c>
      <c r="I1438">
        <v>5.8</v>
      </c>
      <c r="J1438">
        <v>82</v>
      </c>
      <c r="K1438" t="s">
        <v>25</v>
      </c>
      <c r="L1438">
        <v>72</v>
      </c>
      <c r="M1438">
        <v>2.98</v>
      </c>
      <c r="N1438">
        <v>4</v>
      </c>
      <c r="O1438" t="s">
        <v>21</v>
      </c>
      <c r="P1438" cm="1">
        <f t="array" ref="P1438">_xlfn.SWITCH(Table2[[#This Row],[mood]], "Tired", 3, "Neutral", 2, "Happy", 1)</f>
        <v>1</v>
      </c>
    </row>
    <row r="1439" spans="1:16" x14ac:dyDescent="0.3">
      <c r="A1439">
        <v>1088</v>
      </c>
      <c r="B1439" s="1">
        <v>43442</v>
      </c>
      <c r="C1439">
        <v>32</v>
      </c>
      <c r="D1439" t="s">
        <v>15</v>
      </c>
      <c r="E1439">
        <v>167.7</v>
      </c>
      <c r="F1439">
        <v>64.900000000000006</v>
      </c>
      <c r="G1439">
        <v>4993</v>
      </c>
      <c r="H1439">
        <v>420.3</v>
      </c>
      <c r="I1439">
        <v>4.4000000000000004</v>
      </c>
      <c r="J1439">
        <v>86</v>
      </c>
      <c r="K1439" t="s">
        <v>23</v>
      </c>
      <c r="L1439">
        <v>52</v>
      </c>
      <c r="M1439">
        <v>1.95</v>
      </c>
      <c r="N1439">
        <v>10</v>
      </c>
      <c r="O1439" t="s">
        <v>17</v>
      </c>
      <c r="P1439" cm="1">
        <f t="array" ref="P1439">_xlfn.SWITCH(Table2[[#This Row],[mood]], "Tired", 3, "Neutral", 2, "Happy", 1)</f>
        <v>3</v>
      </c>
    </row>
    <row r="1440" spans="1:16" x14ac:dyDescent="0.3">
      <c r="A1440">
        <v>1401</v>
      </c>
      <c r="B1440" s="1">
        <v>43443</v>
      </c>
      <c r="C1440">
        <v>59</v>
      </c>
      <c r="D1440" t="s">
        <v>15</v>
      </c>
      <c r="E1440">
        <v>173.9</v>
      </c>
      <c r="F1440">
        <v>56.9</v>
      </c>
      <c r="G1440">
        <v>19982</v>
      </c>
      <c r="H1440">
        <v>900</v>
      </c>
      <c r="I1440">
        <v>6</v>
      </c>
      <c r="J1440">
        <v>68</v>
      </c>
      <c r="K1440" t="s">
        <v>16</v>
      </c>
      <c r="L1440">
        <v>0</v>
      </c>
      <c r="M1440">
        <v>3.85</v>
      </c>
      <c r="N1440">
        <v>8</v>
      </c>
      <c r="O1440" t="s">
        <v>21</v>
      </c>
      <c r="P1440" cm="1">
        <f t="array" ref="P1440">_xlfn.SWITCH(Table2[[#This Row],[mood]], "Tired", 3, "Neutral", 2, "Happy", 1)</f>
        <v>1</v>
      </c>
    </row>
    <row r="1441" spans="1:16" x14ac:dyDescent="0.3">
      <c r="A1441">
        <v>1295</v>
      </c>
      <c r="B1441" s="1">
        <v>43444</v>
      </c>
      <c r="C1441">
        <v>24</v>
      </c>
      <c r="D1441" t="s">
        <v>15</v>
      </c>
      <c r="E1441">
        <v>161.6</v>
      </c>
      <c r="F1441">
        <v>50.4</v>
      </c>
      <c r="G1441">
        <v>2666</v>
      </c>
      <c r="H1441">
        <v>315.39999999999998</v>
      </c>
      <c r="I1441">
        <v>6.3</v>
      </c>
      <c r="J1441">
        <v>73</v>
      </c>
      <c r="K1441" t="s">
        <v>16</v>
      </c>
      <c r="L1441">
        <v>0</v>
      </c>
      <c r="M1441">
        <v>1.89</v>
      </c>
      <c r="N1441">
        <v>3</v>
      </c>
      <c r="O1441" t="s">
        <v>19</v>
      </c>
      <c r="P1441" cm="1">
        <f t="array" ref="P1441">_xlfn.SWITCH(Table2[[#This Row],[mood]], "Tired", 3, "Neutral", 2, "Happy", 1)</f>
        <v>2</v>
      </c>
    </row>
    <row r="1442" spans="1:16" x14ac:dyDescent="0.3">
      <c r="A1442">
        <v>1839</v>
      </c>
      <c r="B1442" s="1">
        <v>43445</v>
      </c>
      <c r="C1442">
        <v>57</v>
      </c>
      <c r="D1442" t="s">
        <v>15</v>
      </c>
      <c r="E1442">
        <v>158.69999999999999</v>
      </c>
      <c r="F1442">
        <v>76.3</v>
      </c>
      <c r="G1442">
        <v>17312</v>
      </c>
      <c r="H1442">
        <v>894.5</v>
      </c>
      <c r="I1442">
        <v>7.8</v>
      </c>
      <c r="J1442">
        <v>56</v>
      </c>
      <c r="K1442" t="s">
        <v>22</v>
      </c>
      <c r="L1442">
        <v>23</v>
      </c>
      <c r="M1442">
        <v>2.0699999999999998</v>
      </c>
      <c r="N1442">
        <v>1</v>
      </c>
      <c r="O1442" t="s">
        <v>19</v>
      </c>
      <c r="P1442" cm="1">
        <f t="array" ref="P1442">_xlfn.SWITCH(Table2[[#This Row],[mood]], "Tired", 3, "Neutral", 2, "Happy", 1)</f>
        <v>2</v>
      </c>
    </row>
    <row r="1443" spans="1:16" x14ac:dyDescent="0.3">
      <c r="A1443">
        <v>1294</v>
      </c>
      <c r="B1443" s="1">
        <v>43446</v>
      </c>
      <c r="C1443">
        <v>45</v>
      </c>
      <c r="D1443" t="s">
        <v>15</v>
      </c>
      <c r="E1443">
        <v>155.1</v>
      </c>
      <c r="F1443">
        <v>49.2</v>
      </c>
      <c r="G1443">
        <v>12273</v>
      </c>
      <c r="H1443">
        <v>614.9</v>
      </c>
      <c r="I1443">
        <v>3.6</v>
      </c>
      <c r="J1443">
        <v>85</v>
      </c>
      <c r="K1443" t="s">
        <v>18</v>
      </c>
      <c r="L1443">
        <v>27</v>
      </c>
      <c r="M1443">
        <v>3.01</v>
      </c>
      <c r="N1443">
        <v>3</v>
      </c>
      <c r="O1443" t="s">
        <v>17</v>
      </c>
      <c r="P1443" cm="1">
        <f t="array" ref="P1443">_xlfn.SWITCH(Table2[[#This Row],[mood]], "Tired", 3, "Neutral", 2, "Happy", 1)</f>
        <v>3</v>
      </c>
    </row>
    <row r="1444" spans="1:16" x14ac:dyDescent="0.3">
      <c r="A1444">
        <v>1615</v>
      </c>
      <c r="B1444" s="1">
        <v>43447</v>
      </c>
      <c r="C1444">
        <v>49</v>
      </c>
      <c r="D1444" t="s">
        <v>15</v>
      </c>
      <c r="E1444">
        <v>174.1</v>
      </c>
      <c r="F1444">
        <v>89.6</v>
      </c>
      <c r="G1444">
        <v>15338</v>
      </c>
      <c r="H1444">
        <v>842.3</v>
      </c>
      <c r="I1444">
        <v>8</v>
      </c>
      <c r="J1444">
        <v>88</v>
      </c>
      <c r="K1444" t="s">
        <v>16</v>
      </c>
      <c r="L1444">
        <v>0</v>
      </c>
      <c r="M1444">
        <v>2.48</v>
      </c>
      <c r="N1444">
        <v>6</v>
      </c>
      <c r="O1444" t="s">
        <v>17</v>
      </c>
      <c r="P1444" cm="1">
        <f t="array" ref="P1444">_xlfn.SWITCH(Table2[[#This Row],[mood]], "Tired", 3, "Neutral", 2, "Happy", 1)</f>
        <v>3</v>
      </c>
    </row>
    <row r="1445" spans="1:16" x14ac:dyDescent="0.3">
      <c r="A1445">
        <v>1525</v>
      </c>
      <c r="B1445" s="1">
        <v>43448</v>
      </c>
      <c r="C1445">
        <v>52</v>
      </c>
      <c r="D1445" t="s">
        <v>20</v>
      </c>
      <c r="E1445">
        <v>156.19999999999999</v>
      </c>
      <c r="F1445">
        <v>51.1</v>
      </c>
      <c r="G1445">
        <v>5757</v>
      </c>
      <c r="H1445">
        <v>470.8</v>
      </c>
      <c r="I1445">
        <v>6.2</v>
      </c>
      <c r="J1445">
        <v>64</v>
      </c>
      <c r="K1445" t="s">
        <v>16</v>
      </c>
      <c r="L1445">
        <v>0</v>
      </c>
      <c r="M1445">
        <v>2.5299999999999998</v>
      </c>
      <c r="N1445">
        <v>7</v>
      </c>
      <c r="O1445" t="s">
        <v>17</v>
      </c>
      <c r="P1445" cm="1">
        <f t="array" ref="P1445">_xlfn.SWITCH(Table2[[#This Row],[mood]], "Tired", 3, "Neutral", 2, "Happy", 1)</f>
        <v>3</v>
      </c>
    </row>
    <row r="1446" spans="1:16" x14ac:dyDescent="0.3">
      <c r="A1446">
        <v>1799</v>
      </c>
      <c r="B1446" s="1">
        <v>43449</v>
      </c>
      <c r="C1446">
        <v>32</v>
      </c>
      <c r="D1446" t="s">
        <v>20</v>
      </c>
      <c r="E1446">
        <v>165</v>
      </c>
      <c r="F1446">
        <v>67.3</v>
      </c>
      <c r="G1446">
        <v>12360</v>
      </c>
      <c r="H1446">
        <v>761.5</v>
      </c>
      <c r="I1446">
        <v>6.5</v>
      </c>
      <c r="J1446">
        <v>91</v>
      </c>
      <c r="K1446" t="s">
        <v>24</v>
      </c>
      <c r="L1446">
        <v>45</v>
      </c>
      <c r="M1446">
        <v>2.5299999999999998</v>
      </c>
      <c r="N1446">
        <v>9</v>
      </c>
      <c r="O1446" t="s">
        <v>17</v>
      </c>
      <c r="P1446" cm="1">
        <f t="array" ref="P1446">_xlfn.SWITCH(Table2[[#This Row],[mood]], "Tired", 3, "Neutral", 2, "Happy", 1)</f>
        <v>3</v>
      </c>
    </row>
    <row r="1447" spans="1:16" x14ac:dyDescent="0.3">
      <c r="A1447">
        <v>1690</v>
      </c>
      <c r="B1447" s="1">
        <v>43450</v>
      </c>
      <c r="C1447">
        <v>53</v>
      </c>
      <c r="D1447" t="s">
        <v>15</v>
      </c>
      <c r="E1447">
        <v>169.4</v>
      </c>
      <c r="F1447">
        <v>56.8</v>
      </c>
      <c r="G1447">
        <v>18938</v>
      </c>
      <c r="H1447">
        <v>900</v>
      </c>
      <c r="I1447">
        <v>8.5</v>
      </c>
      <c r="J1447">
        <v>73</v>
      </c>
      <c r="K1447" t="s">
        <v>18</v>
      </c>
      <c r="L1447">
        <v>53</v>
      </c>
      <c r="M1447">
        <v>3.28</v>
      </c>
      <c r="N1447">
        <v>5</v>
      </c>
      <c r="O1447" t="s">
        <v>19</v>
      </c>
      <c r="P1447" cm="1">
        <f t="array" ref="P1447">_xlfn.SWITCH(Table2[[#This Row],[mood]], "Tired", 3, "Neutral", 2, "Happy", 1)</f>
        <v>2</v>
      </c>
    </row>
    <row r="1448" spans="1:16" x14ac:dyDescent="0.3">
      <c r="A1448">
        <v>1636</v>
      </c>
      <c r="B1448" s="1">
        <v>43451</v>
      </c>
      <c r="C1448">
        <v>38</v>
      </c>
      <c r="D1448" t="s">
        <v>20</v>
      </c>
      <c r="E1448">
        <v>180</v>
      </c>
      <c r="F1448">
        <v>70.5</v>
      </c>
      <c r="G1448">
        <v>7115</v>
      </c>
      <c r="H1448">
        <v>505.1</v>
      </c>
      <c r="I1448">
        <v>9</v>
      </c>
      <c r="J1448">
        <v>64</v>
      </c>
      <c r="K1448" t="s">
        <v>18</v>
      </c>
      <c r="L1448">
        <v>68</v>
      </c>
      <c r="M1448">
        <v>0.87</v>
      </c>
      <c r="N1448">
        <v>5</v>
      </c>
      <c r="O1448" t="s">
        <v>19</v>
      </c>
      <c r="P1448" cm="1">
        <f t="array" ref="P1448">_xlfn.SWITCH(Table2[[#This Row],[mood]], "Tired", 3, "Neutral", 2, "Happy", 1)</f>
        <v>2</v>
      </c>
    </row>
    <row r="1449" spans="1:16" x14ac:dyDescent="0.3">
      <c r="A1449">
        <v>1421</v>
      </c>
      <c r="B1449" s="1">
        <v>43452</v>
      </c>
      <c r="C1449">
        <v>23</v>
      </c>
      <c r="D1449" t="s">
        <v>15</v>
      </c>
      <c r="E1449">
        <v>164.2</v>
      </c>
      <c r="F1449">
        <v>70.400000000000006</v>
      </c>
      <c r="G1449">
        <v>6437</v>
      </c>
      <c r="H1449">
        <v>528.1</v>
      </c>
      <c r="I1449">
        <v>6</v>
      </c>
      <c r="J1449">
        <v>72</v>
      </c>
      <c r="K1449" t="s">
        <v>22</v>
      </c>
      <c r="L1449">
        <v>68</v>
      </c>
      <c r="M1449">
        <v>2.7</v>
      </c>
      <c r="N1449">
        <v>3</v>
      </c>
      <c r="O1449" t="s">
        <v>19</v>
      </c>
      <c r="P1449" cm="1">
        <f t="array" ref="P1449">_xlfn.SWITCH(Table2[[#This Row],[mood]], "Tired", 3, "Neutral", 2, "Happy", 1)</f>
        <v>2</v>
      </c>
    </row>
    <row r="1450" spans="1:16" x14ac:dyDescent="0.3">
      <c r="A1450">
        <v>1864</v>
      </c>
      <c r="B1450" s="1">
        <v>43453</v>
      </c>
      <c r="C1450">
        <v>18</v>
      </c>
      <c r="D1450" t="s">
        <v>15</v>
      </c>
      <c r="E1450">
        <v>181.1</v>
      </c>
      <c r="F1450">
        <v>76.7</v>
      </c>
      <c r="G1450">
        <v>10272</v>
      </c>
      <c r="H1450">
        <v>611.79999999999995</v>
      </c>
      <c r="I1450">
        <v>6</v>
      </c>
      <c r="J1450">
        <v>81</v>
      </c>
      <c r="K1450" t="s">
        <v>18</v>
      </c>
      <c r="L1450">
        <v>46</v>
      </c>
      <c r="M1450">
        <v>2.2999999999999998</v>
      </c>
      <c r="N1450">
        <v>3</v>
      </c>
      <c r="O1450" t="s">
        <v>21</v>
      </c>
      <c r="P1450" cm="1">
        <f t="array" ref="P1450">_xlfn.SWITCH(Table2[[#This Row],[mood]], "Tired", 3, "Neutral", 2, "Happy", 1)</f>
        <v>1</v>
      </c>
    </row>
    <row r="1451" spans="1:16" x14ac:dyDescent="0.3">
      <c r="A1451">
        <v>1022</v>
      </c>
      <c r="B1451" s="1">
        <v>43454</v>
      </c>
      <c r="C1451">
        <v>21</v>
      </c>
      <c r="D1451" t="s">
        <v>20</v>
      </c>
      <c r="E1451">
        <v>179.4</v>
      </c>
      <c r="F1451">
        <v>47.1</v>
      </c>
      <c r="G1451">
        <v>13126</v>
      </c>
      <c r="H1451">
        <v>652.5</v>
      </c>
      <c r="I1451">
        <v>6.5</v>
      </c>
      <c r="J1451">
        <v>74</v>
      </c>
      <c r="K1451" t="s">
        <v>18</v>
      </c>
      <c r="L1451">
        <v>84</v>
      </c>
      <c r="M1451">
        <v>1.97</v>
      </c>
      <c r="N1451">
        <v>9</v>
      </c>
      <c r="O1451" t="s">
        <v>21</v>
      </c>
      <c r="P1451" cm="1">
        <f t="array" ref="P1451">_xlfn.SWITCH(Table2[[#This Row],[mood]], "Tired", 3, "Neutral", 2, "Happy", 1)</f>
        <v>1</v>
      </c>
    </row>
    <row r="1452" spans="1:16" x14ac:dyDescent="0.3">
      <c r="A1452">
        <v>1574</v>
      </c>
      <c r="B1452" s="1">
        <v>43455</v>
      </c>
      <c r="C1452">
        <v>28</v>
      </c>
      <c r="D1452" t="s">
        <v>15</v>
      </c>
      <c r="E1452">
        <v>159.30000000000001</v>
      </c>
      <c r="F1452">
        <v>58.5</v>
      </c>
      <c r="G1452">
        <v>17471</v>
      </c>
      <c r="H1452">
        <v>900</v>
      </c>
      <c r="I1452">
        <v>6</v>
      </c>
      <c r="J1452">
        <v>69</v>
      </c>
      <c r="K1452" t="s">
        <v>16</v>
      </c>
      <c r="L1452">
        <v>0</v>
      </c>
      <c r="M1452">
        <v>1.97</v>
      </c>
      <c r="N1452">
        <v>3</v>
      </c>
      <c r="O1452" t="s">
        <v>17</v>
      </c>
      <c r="P1452" cm="1">
        <f t="array" ref="P1452">_xlfn.SWITCH(Table2[[#This Row],[mood]], "Tired", 3, "Neutral", 2, "Happy", 1)</f>
        <v>3</v>
      </c>
    </row>
    <row r="1453" spans="1:16" x14ac:dyDescent="0.3">
      <c r="A1453">
        <v>1142</v>
      </c>
      <c r="B1453" s="1">
        <v>43456</v>
      </c>
      <c r="C1453">
        <v>43</v>
      </c>
      <c r="D1453" t="s">
        <v>15</v>
      </c>
      <c r="E1453">
        <v>181.2</v>
      </c>
      <c r="F1453">
        <v>84.6</v>
      </c>
      <c r="G1453">
        <v>8115</v>
      </c>
      <c r="H1453">
        <v>561.6</v>
      </c>
      <c r="I1453">
        <v>4.8</v>
      </c>
      <c r="J1453">
        <v>81</v>
      </c>
      <c r="K1453" t="s">
        <v>23</v>
      </c>
      <c r="L1453">
        <v>68</v>
      </c>
      <c r="M1453">
        <v>0.65</v>
      </c>
      <c r="N1453">
        <v>3</v>
      </c>
      <c r="O1453" t="s">
        <v>17</v>
      </c>
      <c r="P1453" cm="1">
        <f t="array" ref="P1453">_xlfn.SWITCH(Table2[[#This Row],[mood]], "Tired", 3, "Neutral", 2, "Happy", 1)</f>
        <v>3</v>
      </c>
    </row>
    <row r="1454" spans="1:16" x14ac:dyDescent="0.3">
      <c r="A1454">
        <v>1992</v>
      </c>
      <c r="B1454" s="1">
        <v>43457</v>
      </c>
      <c r="C1454">
        <v>54</v>
      </c>
      <c r="D1454" t="s">
        <v>20</v>
      </c>
      <c r="E1454">
        <v>167.2</v>
      </c>
      <c r="F1454">
        <v>79.900000000000006</v>
      </c>
      <c r="G1454">
        <v>3703</v>
      </c>
      <c r="H1454">
        <v>348.2</v>
      </c>
      <c r="I1454">
        <v>7</v>
      </c>
      <c r="J1454">
        <v>82</v>
      </c>
      <c r="K1454" t="s">
        <v>24</v>
      </c>
      <c r="L1454">
        <v>82</v>
      </c>
      <c r="M1454">
        <v>1.94</v>
      </c>
      <c r="N1454">
        <v>9</v>
      </c>
      <c r="O1454" t="s">
        <v>17</v>
      </c>
      <c r="P1454" cm="1">
        <f t="array" ref="P1454">_xlfn.SWITCH(Table2[[#This Row],[mood]], "Tired", 3, "Neutral", 2, "Happy", 1)</f>
        <v>3</v>
      </c>
    </row>
    <row r="1455" spans="1:16" x14ac:dyDescent="0.3">
      <c r="A1455">
        <v>1664</v>
      </c>
      <c r="B1455" s="1">
        <v>43458</v>
      </c>
      <c r="C1455">
        <v>40</v>
      </c>
      <c r="D1455" t="s">
        <v>20</v>
      </c>
      <c r="E1455">
        <v>165</v>
      </c>
      <c r="F1455">
        <v>45</v>
      </c>
      <c r="G1455">
        <v>12151</v>
      </c>
      <c r="H1455">
        <v>682.9</v>
      </c>
      <c r="I1455">
        <v>6</v>
      </c>
      <c r="J1455">
        <v>73</v>
      </c>
      <c r="K1455" t="s">
        <v>25</v>
      </c>
      <c r="L1455">
        <v>51</v>
      </c>
      <c r="M1455">
        <v>3.4</v>
      </c>
      <c r="N1455">
        <v>4</v>
      </c>
      <c r="O1455" t="s">
        <v>19</v>
      </c>
      <c r="P1455" cm="1">
        <f t="array" ref="P1455">_xlfn.SWITCH(Table2[[#This Row],[mood]], "Tired", 3, "Neutral", 2, "Happy", 1)</f>
        <v>2</v>
      </c>
    </row>
    <row r="1456" spans="1:16" x14ac:dyDescent="0.3">
      <c r="A1456">
        <v>1144</v>
      </c>
      <c r="B1456" s="1">
        <v>43459</v>
      </c>
      <c r="C1456">
        <v>46</v>
      </c>
      <c r="D1456" t="s">
        <v>15</v>
      </c>
      <c r="E1456">
        <v>167.2</v>
      </c>
      <c r="F1456">
        <v>75.7</v>
      </c>
      <c r="G1456">
        <v>19802</v>
      </c>
      <c r="H1456">
        <v>900</v>
      </c>
      <c r="I1456">
        <v>7.1</v>
      </c>
      <c r="J1456">
        <v>71</v>
      </c>
      <c r="K1456" t="s">
        <v>22</v>
      </c>
      <c r="L1456">
        <v>38</v>
      </c>
      <c r="M1456">
        <v>3.08</v>
      </c>
      <c r="N1456">
        <v>6</v>
      </c>
      <c r="O1456" t="s">
        <v>21</v>
      </c>
      <c r="P1456" cm="1">
        <f t="array" ref="P1456">_xlfn.SWITCH(Table2[[#This Row],[mood]], "Tired", 3, "Neutral", 2, "Happy", 1)</f>
        <v>1</v>
      </c>
    </row>
    <row r="1457" spans="1:16" x14ac:dyDescent="0.3">
      <c r="A1457">
        <v>1224</v>
      </c>
      <c r="B1457" s="1">
        <v>43460</v>
      </c>
      <c r="C1457">
        <v>38</v>
      </c>
      <c r="D1457" t="s">
        <v>20</v>
      </c>
      <c r="E1457">
        <v>170</v>
      </c>
      <c r="F1457">
        <v>54.5</v>
      </c>
      <c r="G1457">
        <v>5147</v>
      </c>
      <c r="H1457">
        <v>389</v>
      </c>
      <c r="I1457">
        <v>9.6</v>
      </c>
      <c r="J1457">
        <v>70</v>
      </c>
      <c r="K1457" t="s">
        <v>16</v>
      </c>
      <c r="L1457">
        <v>0</v>
      </c>
      <c r="M1457">
        <v>2.37</v>
      </c>
      <c r="N1457">
        <v>1</v>
      </c>
      <c r="O1457" t="s">
        <v>17</v>
      </c>
      <c r="P1457" cm="1">
        <f t="array" ref="P1457">_xlfn.SWITCH(Table2[[#This Row],[mood]], "Tired", 3, "Neutral", 2, "Happy", 1)</f>
        <v>3</v>
      </c>
    </row>
    <row r="1458" spans="1:16" x14ac:dyDescent="0.3">
      <c r="A1458">
        <v>1502</v>
      </c>
      <c r="B1458" s="1">
        <v>43461</v>
      </c>
      <c r="C1458">
        <v>44</v>
      </c>
      <c r="D1458" t="s">
        <v>20</v>
      </c>
      <c r="E1458">
        <v>165.8</v>
      </c>
      <c r="F1458">
        <v>61.1</v>
      </c>
      <c r="G1458">
        <v>2747</v>
      </c>
      <c r="H1458">
        <v>332</v>
      </c>
      <c r="I1458">
        <v>6.8</v>
      </c>
      <c r="J1458">
        <v>80</v>
      </c>
      <c r="K1458" t="s">
        <v>16</v>
      </c>
      <c r="L1458">
        <v>0</v>
      </c>
      <c r="M1458">
        <v>1.51</v>
      </c>
      <c r="N1458">
        <v>2</v>
      </c>
      <c r="O1458" t="s">
        <v>17</v>
      </c>
      <c r="P1458" cm="1">
        <f t="array" ref="P1458">_xlfn.SWITCH(Table2[[#This Row],[mood]], "Tired", 3, "Neutral", 2, "Happy", 1)</f>
        <v>3</v>
      </c>
    </row>
    <row r="1459" spans="1:16" x14ac:dyDescent="0.3">
      <c r="A1459">
        <v>1961</v>
      </c>
      <c r="B1459" s="1">
        <v>43462</v>
      </c>
      <c r="C1459">
        <v>56</v>
      </c>
      <c r="D1459" t="s">
        <v>15</v>
      </c>
      <c r="E1459">
        <v>161.6</v>
      </c>
      <c r="F1459">
        <v>66.599999999999994</v>
      </c>
      <c r="G1459">
        <v>9232</v>
      </c>
      <c r="H1459">
        <v>523.20000000000005</v>
      </c>
      <c r="I1459">
        <v>5.9</v>
      </c>
      <c r="J1459">
        <v>59</v>
      </c>
      <c r="K1459" t="s">
        <v>22</v>
      </c>
      <c r="L1459">
        <v>86</v>
      </c>
      <c r="M1459">
        <v>3.08</v>
      </c>
      <c r="N1459">
        <v>3</v>
      </c>
      <c r="O1459" t="s">
        <v>19</v>
      </c>
      <c r="P1459" cm="1">
        <f t="array" ref="P1459">_xlfn.SWITCH(Table2[[#This Row],[mood]], "Tired", 3, "Neutral", 2, "Happy", 1)</f>
        <v>2</v>
      </c>
    </row>
    <row r="1460" spans="1:16" x14ac:dyDescent="0.3">
      <c r="A1460">
        <v>1973</v>
      </c>
      <c r="B1460" s="1">
        <v>43463</v>
      </c>
      <c r="C1460">
        <v>57</v>
      </c>
      <c r="D1460" t="s">
        <v>20</v>
      </c>
      <c r="E1460">
        <v>162.5</v>
      </c>
      <c r="F1460">
        <v>93.4</v>
      </c>
      <c r="G1460">
        <v>16151</v>
      </c>
      <c r="H1460">
        <v>805.5</v>
      </c>
      <c r="I1460">
        <v>6.6</v>
      </c>
      <c r="J1460">
        <v>67</v>
      </c>
      <c r="K1460" t="s">
        <v>18</v>
      </c>
      <c r="L1460">
        <v>28</v>
      </c>
      <c r="M1460">
        <v>3.42</v>
      </c>
      <c r="N1460">
        <v>2</v>
      </c>
      <c r="O1460" t="s">
        <v>21</v>
      </c>
      <c r="P1460" cm="1">
        <f t="array" ref="P1460">_xlfn.SWITCH(Table2[[#This Row],[mood]], "Tired", 3, "Neutral", 2, "Happy", 1)</f>
        <v>1</v>
      </c>
    </row>
    <row r="1461" spans="1:16" x14ac:dyDescent="0.3">
      <c r="A1461">
        <v>1820</v>
      </c>
      <c r="B1461" s="1">
        <v>43464</v>
      </c>
      <c r="C1461">
        <v>30</v>
      </c>
      <c r="D1461" t="s">
        <v>20</v>
      </c>
      <c r="E1461">
        <v>171.4</v>
      </c>
      <c r="F1461">
        <v>54.4</v>
      </c>
      <c r="G1461">
        <v>11330</v>
      </c>
      <c r="H1461">
        <v>587.20000000000005</v>
      </c>
      <c r="I1461">
        <v>7.2</v>
      </c>
      <c r="J1461">
        <v>73</v>
      </c>
      <c r="K1461" t="s">
        <v>25</v>
      </c>
      <c r="L1461">
        <v>54</v>
      </c>
      <c r="M1461">
        <v>3.22</v>
      </c>
      <c r="N1461">
        <v>10</v>
      </c>
      <c r="O1461" t="s">
        <v>17</v>
      </c>
      <c r="P1461" cm="1">
        <f t="array" ref="P1461">_xlfn.SWITCH(Table2[[#This Row],[mood]], "Tired", 3, "Neutral", 2, "Happy", 1)</f>
        <v>3</v>
      </c>
    </row>
    <row r="1462" spans="1:16" x14ac:dyDescent="0.3">
      <c r="A1462">
        <v>1615</v>
      </c>
      <c r="B1462" s="1">
        <v>43465</v>
      </c>
      <c r="C1462">
        <v>40</v>
      </c>
      <c r="D1462" t="s">
        <v>15</v>
      </c>
      <c r="E1462">
        <v>168.4</v>
      </c>
      <c r="F1462">
        <v>48.9</v>
      </c>
      <c r="G1462">
        <v>17422</v>
      </c>
      <c r="H1462">
        <v>900</v>
      </c>
      <c r="I1462">
        <v>6.8</v>
      </c>
      <c r="J1462">
        <v>67</v>
      </c>
      <c r="K1462" t="s">
        <v>16</v>
      </c>
      <c r="L1462">
        <v>0</v>
      </c>
      <c r="M1462">
        <v>1.82</v>
      </c>
      <c r="N1462">
        <v>3</v>
      </c>
      <c r="O1462" t="s">
        <v>17</v>
      </c>
      <c r="P1462" cm="1">
        <f t="array" ref="P1462">_xlfn.SWITCH(Table2[[#This Row],[mood]], "Tired", 3, "Neutral", 2, "Happy", 1)</f>
        <v>3</v>
      </c>
    </row>
    <row r="1463" spans="1:16" x14ac:dyDescent="0.3">
      <c r="A1463">
        <v>1103</v>
      </c>
      <c r="B1463" s="1">
        <v>43466</v>
      </c>
      <c r="C1463">
        <v>33</v>
      </c>
      <c r="D1463" t="s">
        <v>20</v>
      </c>
      <c r="E1463">
        <v>175.3</v>
      </c>
      <c r="F1463">
        <v>76.8</v>
      </c>
      <c r="G1463">
        <v>12276</v>
      </c>
      <c r="H1463">
        <v>694.7</v>
      </c>
      <c r="I1463">
        <v>6.2</v>
      </c>
      <c r="J1463">
        <v>78</v>
      </c>
      <c r="K1463" t="s">
        <v>25</v>
      </c>
      <c r="L1463">
        <v>56</v>
      </c>
      <c r="M1463">
        <v>1.89</v>
      </c>
      <c r="N1463">
        <v>5</v>
      </c>
      <c r="O1463" t="s">
        <v>17</v>
      </c>
      <c r="P1463" cm="1">
        <f t="array" ref="P1463">_xlfn.SWITCH(Table2[[#This Row],[mood]], "Tired", 3, "Neutral", 2, "Happy", 1)</f>
        <v>3</v>
      </c>
    </row>
    <row r="1464" spans="1:16" x14ac:dyDescent="0.3">
      <c r="A1464">
        <v>1946</v>
      </c>
      <c r="B1464" s="1">
        <v>43467</v>
      </c>
      <c r="C1464">
        <v>47</v>
      </c>
      <c r="D1464" t="s">
        <v>20</v>
      </c>
      <c r="E1464">
        <v>170.5</v>
      </c>
      <c r="F1464">
        <v>69.599999999999994</v>
      </c>
      <c r="G1464">
        <v>19535</v>
      </c>
      <c r="H1464">
        <v>900</v>
      </c>
      <c r="I1464">
        <v>4.5</v>
      </c>
      <c r="J1464">
        <v>77</v>
      </c>
      <c r="K1464" t="s">
        <v>25</v>
      </c>
      <c r="L1464">
        <v>47</v>
      </c>
      <c r="M1464">
        <v>3.66</v>
      </c>
      <c r="N1464">
        <v>1</v>
      </c>
      <c r="O1464" t="s">
        <v>17</v>
      </c>
      <c r="P1464" cm="1">
        <f t="array" ref="P1464">_xlfn.SWITCH(Table2[[#This Row],[mood]], "Tired", 3, "Neutral", 2, "Happy", 1)</f>
        <v>3</v>
      </c>
    </row>
    <row r="1465" spans="1:16" x14ac:dyDescent="0.3">
      <c r="A1465">
        <v>1038</v>
      </c>
      <c r="B1465" s="1">
        <v>43468</v>
      </c>
      <c r="C1465">
        <v>21</v>
      </c>
      <c r="D1465" t="s">
        <v>15</v>
      </c>
      <c r="E1465">
        <v>170.8</v>
      </c>
      <c r="F1465">
        <v>88.1</v>
      </c>
      <c r="G1465">
        <v>4937</v>
      </c>
      <c r="H1465">
        <v>342.6</v>
      </c>
      <c r="I1465">
        <v>8</v>
      </c>
      <c r="J1465">
        <v>100</v>
      </c>
      <c r="K1465" t="s">
        <v>22</v>
      </c>
      <c r="L1465">
        <v>28</v>
      </c>
      <c r="M1465">
        <v>1.65</v>
      </c>
      <c r="N1465">
        <v>1</v>
      </c>
      <c r="O1465" t="s">
        <v>21</v>
      </c>
      <c r="P1465" cm="1">
        <f t="array" ref="P1465">_xlfn.SWITCH(Table2[[#This Row],[mood]], "Tired", 3, "Neutral", 2, "Happy", 1)</f>
        <v>1</v>
      </c>
    </row>
    <row r="1466" spans="1:16" x14ac:dyDescent="0.3">
      <c r="A1466">
        <v>1946</v>
      </c>
      <c r="B1466" s="1">
        <v>43469</v>
      </c>
      <c r="C1466">
        <v>57</v>
      </c>
      <c r="D1466" t="s">
        <v>15</v>
      </c>
      <c r="E1466">
        <v>175.9</v>
      </c>
      <c r="F1466">
        <v>64.7</v>
      </c>
      <c r="G1466">
        <v>7886</v>
      </c>
      <c r="H1466">
        <v>506.4</v>
      </c>
      <c r="I1466">
        <v>5.7</v>
      </c>
      <c r="J1466">
        <v>67</v>
      </c>
      <c r="K1466" t="s">
        <v>22</v>
      </c>
      <c r="L1466">
        <v>54</v>
      </c>
      <c r="M1466">
        <v>2.83</v>
      </c>
      <c r="N1466">
        <v>7</v>
      </c>
      <c r="O1466" t="s">
        <v>21</v>
      </c>
      <c r="P1466" cm="1">
        <f t="array" ref="P1466">_xlfn.SWITCH(Table2[[#This Row],[mood]], "Tired", 3, "Neutral", 2, "Happy", 1)</f>
        <v>1</v>
      </c>
    </row>
    <row r="1467" spans="1:16" x14ac:dyDescent="0.3">
      <c r="A1467">
        <v>1197</v>
      </c>
      <c r="B1467" s="1">
        <v>43470</v>
      </c>
      <c r="C1467">
        <v>33</v>
      </c>
      <c r="D1467" t="s">
        <v>15</v>
      </c>
      <c r="E1467">
        <v>184.2</v>
      </c>
      <c r="F1467">
        <v>88.2</v>
      </c>
      <c r="G1467">
        <v>11282</v>
      </c>
      <c r="H1467">
        <v>678.9</v>
      </c>
      <c r="I1467">
        <v>9.1999999999999993</v>
      </c>
      <c r="J1467">
        <v>75</v>
      </c>
      <c r="K1467" t="s">
        <v>16</v>
      </c>
      <c r="L1467">
        <v>0</v>
      </c>
      <c r="M1467">
        <v>1.26</v>
      </c>
      <c r="N1467">
        <v>9</v>
      </c>
      <c r="O1467" t="s">
        <v>17</v>
      </c>
      <c r="P1467" cm="1">
        <f t="array" ref="P1467">_xlfn.SWITCH(Table2[[#This Row],[mood]], "Tired", 3, "Neutral", 2, "Happy", 1)</f>
        <v>3</v>
      </c>
    </row>
    <row r="1468" spans="1:16" x14ac:dyDescent="0.3">
      <c r="A1468">
        <v>1645</v>
      </c>
      <c r="B1468" s="1">
        <v>43471</v>
      </c>
      <c r="C1468">
        <v>48</v>
      </c>
      <c r="D1468" t="s">
        <v>20</v>
      </c>
      <c r="E1468">
        <v>184.6</v>
      </c>
      <c r="F1468">
        <v>70.2</v>
      </c>
      <c r="G1468">
        <v>1208</v>
      </c>
      <c r="H1468">
        <v>321.89999999999998</v>
      </c>
      <c r="I1468">
        <v>6.4</v>
      </c>
      <c r="J1468">
        <v>65</v>
      </c>
      <c r="K1468" t="s">
        <v>16</v>
      </c>
      <c r="L1468">
        <v>0</v>
      </c>
      <c r="M1468">
        <v>2.29</v>
      </c>
      <c r="N1468">
        <v>9</v>
      </c>
      <c r="O1468" t="s">
        <v>19</v>
      </c>
      <c r="P1468" cm="1">
        <f t="array" ref="P1468">_xlfn.SWITCH(Table2[[#This Row],[mood]], "Tired", 3, "Neutral", 2, "Happy", 1)</f>
        <v>2</v>
      </c>
    </row>
    <row r="1469" spans="1:16" x14ac:dyDescent="0.3">
      <c r="A1469">
        <v>1578</v>
      </c>
      <c r="B1469" s="1">
        <v>43472</v>
      </c>
      <c r="C1469">
        <v>59</v>
      </c>
      <c r="D1469" t="s">
        <v>15</v>
      </c>
      <c r="E1469">
        <v>183.4</v>
      </c>
      <c r="F1469">
        <v>77.900000000000006</v>
      </c>
      <c r="G1469">
        <v>1599</v>
      </c>
      <c r="H1469">
        <v>233.8</v>
      </c>
      <c r="I1469">
        <v>6.2</v>
      </c>
      <c r="J1469">
        <v>94</v>
      </c>
      <c r="K1469" t="s">
        <v>16</v>
      </c>
      <c r="L1469">
        <v>0</v>
      </c>
      <c r="M1469">
        <v>2.91</v>
      </c>
      <c r="N1469">
        <v>7</v>
      </c>
      <c r="O1469" t="s">
        <v>17</v>
      </c>
      <c r="P1469" cm="1">
        <f t="array" ref="P1469">_xlfn.SWITCH(Table2[[#This Row],[mood]], "Tired", 3, "Neutral", 2, "Happy", 1)</f>
        <v>3</v>
      </c>
    </row>
    <row r="1470" spans="1:16" x14ac:dyDescent="0.3">
      <c r="A1470">
        <v>1390</v>
      </c>
      <c r="B1470" s="1">
        <v>43473</v>
      </c>
      <c r="C1470">
        <v>42</v>
      </c>
      <c r="D1470" t="s">
        <v>15</v>
      </c>
      <c r="E1470">
        <v>178.7</v>
      </c>
      <c r="F1470">
        <v>94.4</v>
      </c>
      <c r="G1470">
        <v>4709</v>
      </c>
      <c r="H1470">
        <v>368.2</v>
      </c>
      <c r="I1470">
        <v>6.3</v>
      </c>
      <c r="J1470">
        <v>92</v>
      </c>
      <c r="K1470" t="s">
        <v>23</v>
      </c>
      <c r="L1470">
        <v>71</v>
      </c>
      <c r="M1470">
        <v>2.48</v>
      </c>
      <c r="N1470">
        <v>2</v>
      </c>
      <c r="O1470" t="s">
        <v>19</v>
      </c>
      <c r="P1470" cm="1">
        <f t="array" ref="P1470">_xlfn.SWITCH(Table2[[#This Row],[mood]], "Tired", 3, "Neutral", 2, "Happy", 1)</f>
        <v>2</v>
      </c>
    </row>
    <row r="1471" spans="1:16" x14ac:dyDescent="0.3">
      <c r="A1471">
        <v>1178</v>
      </c>
      <c r="B1471" s="1">
        <v>43474</v>
      </c>
      <c r="C1471">
        <v>29</v>
      </c>
      <c r="D1471" t="s">
        <v>20</v>
      </c>
      <c r="E1471">
        <v>190.9</v>
      </c>
      <c r="F1471">
        <v>67.5</v>
      </c>
      <c r="G1471">
        <v>17597</v>
      </c>
      <c r="H1471">
        <v>864.3</v>
      </c>
      <c r="I1471">
        <v>7.2</v>
      </c>
      <c r="J1471">
        <v>59</v>
      </c>
      <c r="K1471" t="s">
        <v>22</v>
      </c>
      <c r="L1471">
        <v>36</v>
      </c>
      <c r="M1471">
        <v>2.87</v>
      </c>
      <c r="N1471">
        <v>7</v>
      </c>
      <c r="O1471" t="s">
        <v>17</v>
      </c>
      <c r="P1471" cm="1">
        <f t="array" ref="P1471">_xlfn.SWITCH(Table2[[#This Row],[mood]], "Tired", 3, "Neutral", 2, "Happy", 1)</f>
        <v>3</v>
      </c>
    </row>
    <row r="1472" spans="1:16" x14ac:dyDescent="0.3">
      <c r="A1472">
        <v>1967</v>
      </c>
      <c r="B1472" s="1">
        <v>43475</v>
      </c>
      <c r="C1472">
        <v>43</v>
      </c>
      <c r="D1472" t="s">
        <v>15</v>
      </c>
      <c r="E1472">
        <v>174.4</v>
      </c>
      <c r="F1472">
        <v>85.7</v>
      </c>
      <c r="G1472">
        <v>6723</v>
      </c>
      <c r="H1472">
        <v>462.9</v>
      </c>
      <c r="I1472">
        <v>5.7</v>
      </c>
      <c r="J1472">
        <v>73</v>
      </c>
      <c r="K1472" t="s">
        <v>22</v>
      </c>
      <c r="L1472">
        <v>28</v>
      </c>
      <c r="M1472">
        <v>1.64</v>
      </c>
      <c r="N1472">
        <v>9</v>
      </c>
      <c r="O1472" t="s">
        <v>17</v>
      </c>
      <c r="P1472" cm="1">
        <f t="array" ref="P1472">_xlfn.SWITCH(Table2[[#This Row],[mood]], "Tired", 3, "Neutral", 2, "Happy", 1)</f>
        <v>3</v>
      </c>
    </row>
    <row r="1473" spans="1:16" x14ac:dyDescent="0.3">
      <c r="A1473">
        <v>1553</v>
      </c>
      <c r="B1473" s="1">
        <v>43476</v>
      </c>
      <c r="C1473">
        <v>54</v>
      </c>
      <c r="D1473" t="s">
        <v>15</v>
      </c>
      <c r="E1473">
        <v>173.3</v>
      </c>
      <c r="F1473">
        <v>60.8</v>
      </c>
      <c r="G1473">
        <v>15004</v>
      </c>
      <c r="H1473">
        <v>749.2</v>
      </c>
      <c r="I1473">
        <v>6</v>
      </c>
      <c r="J1473">
        <v>75</v>
      </c>
      <c r="K1473" t="s">
        <v>23</v>
      </c>
      <c r="L1473">
        <v>73</v>
      </c>
      <c r="M1473">
        <v>1.93</v>
      </c>
      <c r="N1473">
        <v>7</v>
      </c>
      <c r="O1473" t="s">
        <v>19</v>
      </c>
      <c r="P1473" cm="1">
        <f t="array" ref="P1473">_xlfn.SWITCH(Table2[[#This Row],[mood]], "Tired", 3, "Neutral", 2, "Happy", 1)</f>
        <v>2</v>
      </c>
    </row>
    <row r="1474" spans="1:16" x14ac:dyDescent="0.3">
      <c r="A1474">
        <v>1447</v>
      </c>
      <c r="B1474" s="1">
        <v>43477</v>
      </c>
      <c r="C1474">
        <v>50</v>
      </c>
      <c r="D1474" t="s">
        <v>15</v>
      </c>
      <c r="E1474">
        <v>192.4</v>
      </c>
      <c r="F1474">
        <v>73.400000000000006</v>
      </c>
      <c r="G1474">
        <v>10768</v>
      </c>
      <c r="H1474">
        <v>558.9</v>
      </c>
      <c r="I1474">
        <v>7.9</v>
      </c>
      <c r="J1474">
        <v>72</v>
      </c>
      <c r="K1474" t="s">
        <v>22</v>
      </c>
      <c r="L1474">
        <v>24</v>
      </c>
      <c r="M1474">
        <v>2.84</v>
      </c>
      <c r="N1474">
        <v>2</v>
      </c>
      <c r="O1474" t="s">
        <v>17</v>
      </c>
      <c r="P1474" cm="1">
        <f t="array" ref="P1474">_xlfn.SWITCH(Table2[[#This Row],[mood]], "Tired", 3, "Neutral", 2, "Happy", 1)</f>
        <v>3</v>
      </c>
    </row>
    <row r="1475" spans="1:16" x14ac:dyDescent="0.3">
      <c r="A1475">
        <v>1499</v>
      </c>
      <c r="B1475" s="1">
        <v>43478</v>
      </c>
      <c r="C1475">
        <v>45</v>
      </c>
      <c r="D1475" t="s">
        <v>15</v>
      </c>
      <c r="E1475">
        <v>150</v>
      </c>
      <c r="F1475">
        <v>48.3</v>
      </c>
      <c r="G1475">
        <v>11316</v>
      </c>
      <c r="H1475">
        <v>665.6</v>
      </c>
      <c r="I1475">
        <v>5.5</v>
      </c>
      <c r="J1475">
        <v>70</v>
      </c>
      <c r="K1475" t="s">
        <v>18</v>
      </c>
      <c r="L1475">
        <v>82</v>
      </c>
      <c r="M1475">
        <v>2.99</v>
      </c>
      <c r="N1475">
        <v>7</v>
      </c>
      <c r="O1475" t="s">
        <v>21</v>
      </c>
      <c r="P1475" cm="1">
        <f t="array" ref="P1475">_xlfn.SWITCH(Table2[[#This Row],[mood]], "Tired", 3, "Neutral", 2, "Happy", 1)</f>
        <v>1</v>
      </c>
    </row>
    <row r="1476" spans="1:16" x14ac:dyDescent="0.3">
      <c r="A1476">
        <v>1014</v>
      </c>
      <c r="B1476" s="1">
        <v>43479</v>
      </c>
      <c r="C1476">
        <v>26</v>
      </c>
      <c r="D1476" t="s">
        <v>20</v>
      </c>
      <c r="E1476">
        <v>167.9</v>
      </c>
      <c r="F1476">
        <v>62.4</v>
      </c>
      <c r="G1476">
        <v>19792</v>
      </c>
      <c r="H1476">
        <v>900</v>
      </c>
      <c r="I1476">
        <v>7.8</v>
      </c>
      <c r="J1476">
        <v>83</v>
      </c>
      <c r="K1476" t="s">
        <v>18</v>
      </c>
      <c r="L1476">
        <v>66</v>
      </c>
      <c r="M1476">
        <v>2.65</v>
      </c>
      <c r="N1476">
        <v>4</v>
      </c>
      <c r="O1476" t="s">
        <v>19</v>
      </c>
      <c r="P1476" cm="1">
        <f t="array" ref="P1476">_xlfn.SWITCH(Table2[[#This Row],[mood]], "Tired", 3, "Neutral", 2, "Happy", 1)</f>
        <v>2</v>
      </c>
    </row>
    <row r="1477" spans="1:16" x14ac:dyDescent="0.3">
      <c r="A1477">
        <v>1622</v>
      </c>
      <c r="B1477" s="1">
        <v>43480</v>
      </c>
      <c r="C1477">
        <v>29</v>
      </c>
      <c r="D1477" t="s">
        <v>15</v>
      </c>
      <c r="E1477">
        <v>182.5</v>
      </c>
      <c r="F1477">
        <v>54.1</v>
      </c>
      <c r="G1477">
        <v>8972</v>
      </c>
      <c r="H1477">
        <v>501.9</v>
      </c>
      <c r="I1477">
        <v>8.1999999999999993</v>
      </c>
      <c r="J1477">
        <v>93</v>
      </c>
      <c r="K1477" t="s">
        <v>23</v>
      </c>
      <c r="L1477">
        <v>38</v>
      </c>
      <c r="M1477">
        <v>3.16</v>
      </c>
      <c r="N1477">
        <v>8</v>
      </c>
      <c r="O1477" t="s">
        <v>21</v>
      </c>
      <c r="P1477" cm="1">
        <f t="array" ref="P1477">_xlfn.SWITCH(Table2[[#This Row],[mood]], "Tired", 3, "Neutral", 2, "Happy", 1)</f>
        <v>1</v>
      </c>
    </row>
    <row r="1478" spans="1:16" x14ac:dyDescent="0.3">
      <c r="A1478">
        <v>1668</v>
      </c>
      <c r="B1478" s="1">
        <v>43481</v>
      </c>
      <c r="C1478">
        <v>22</v>
      </c>
      <c r="D1478" t="s">
        <v>15</v>
      </c>
      <c r="E1478">
        <v>179.8</v>
      </c>
      <c r="F1478">
        <v>88.3</v>
      </c>
      <c r="G1478">
        <v>18206</v>
      </c>
      <c r="H1478">
        <v>894.5</v>
      </c>
      <c r="I1478">
        <v>8</v>
      </c>
      <c r="J1478">
        <v>83</v>
      </c>
      <c r="K1478" t="s">
        <v>16</v>
      </c>
      <c r="L1478">
        <v>0</v>
      </c>
      <c r="M1478">
        <v>1.34</v>
      </c>
      <c r="N1478">
        <v>3</v>
      </c>
      <c r="O1478" t="s">
        <v>19</v>
      </c>
      <c r="P1478" cm="1">
        <f t="array" ref="P1478">_xlfn.SWITCH(Table2[[#This Row],[mood]], "Tired", 3, "Neutral", 2, "Happy", 1)</f>
        <v>2</v>
      </c>
    </row>
    <row r="1479" spans="1:16" x14ac:dyDescent="0.3">
      <c r="A1479">
        <v>1288</v>
      </c>
      <c r="B1479" s="1">
        <v>43482</v>
      </c>
      <c r="C1479">
        <v>45</v>
      </c>
      <c r="D1479" t="s">
        <v>20</v>
      </c>
      <c r="E1479">
        <v>195.7</v>
      </c>
      <c r="F1479">
        <v>96.1</v>
      </c>
      <c r="G1479">
        <v>19979</v>
      </c>
      <c r="H1479">
        <v>900</v>
      </c>
      <c r="I1479">
        <v>7.4</v>
      </c>
      <c r="J1479">
        <v>84</v>
      </c>
      <c r="K1479" t="s">
        <v>23</v>
      </c>
      <c r="L1479">
        <v>64</v>
      </c>
      <c r="M1479">
        <v>2.17</v>
      </c>
      <c r="N1479">
        <v>5</v>
      </c>
      <c r="O1479" t="s">
        <v>21</v>
      </c>
      <c r="P1479" cm="1">
        <f t="array" ref="P1479">_xlfn.SWITCH(Table2[[#This Row],[mood]], "Tired", 3, "Neutral", 2, "Happy", 1)</f>
        <v>1</v>
      </c>
    </row>
    <row r="1480" spans="1:16" x14ac:dyDescent="0.3">
      <c r="A1480">
        <v>1477</v>
      </c>
      <c r="B1480" s="1">
        <v>43483</v>
      </c>
      <c r="C1480">
        <v>52</v>
      </c>
      <c r="D1480" t="s">
        <v>15</v>
      </c>
      <c r="E1480">
        <v>171.1</v>
      </c>
      <c r="F1480">
        <v>64.7</v>
      </c>
      <c r="G1480">
        <v>16546</v>
      </c>
      <c r="H1480">
        <v>900</v>
      </c>
      <c r="I1480">
        <v>4.3</v>
      </c>
      <c r="J1480">
        <v>71</v>
      </c>
      <c r="K1480" t="s">
        <v>18</v>
      </c>
      <c r="L1480">
        <v>52</v>
      </c>
      <c r="M1480">
        <v>3.78</v>
      </c>
      <c r="N1480">
        <v>3</v>
      </c>
      <c r="O1480" t="s">
        <v>17</v>
      </c>
      <c r="P1480" cm="1">
        <f t="array" ref="P1480">_xlfn.SWITCH(Table2[[#This Row],[mood]], "Tired", 3, "Neutral", 2, "Happy", 1)</f>
        <v>3</v>
      </c>
    </row>
    <row r="1481" spans="1:16" x14ac:dyDescent="0.3">
      <c r="A1481">
        <v>1230</v>
      </c>
      <c r="B1481" s="1">
        <v>43484</v>
      </c>
      <c r="C1481">
        <v>22</v>
      </c>
      <c r="D1481" t="s">
        <v>20</v>
      </c>
      <c r="E1481">
        <v>165.7</v>
      </c>
      <c r="F1481">
        <v>58.4</v>
      </c>
      <c r="G1481">
        <v>11291</v>
      </c>
      <c r="H1481">
        <v>510</v>
      </c>
      <c r="I1481">
        <v>5.2</v>
      </c>
      <c r="J1481">
        <v>85</v>
      </c>
      <c r="K1481" t="s">
        <v>25</v>
      </c>
      <c r="L1481">
        <v>62</v>
      </c>
      <c r="M1481">
        <v>3.4</v>
      </c>
      <c r="N1481">
        <v>7</v>
      </c>
      <c r="O1481" t="s">
        <v>17</v>
      </c>
      <c r="P1481" cm="1">
        <f t="array" ref="P1481">_xlfn.SWITCH(Table2[[#This Row],[mood]], "Tired", 3, "Neutral", 2, "Happy", 1)</f>
        <v>3</v>
      </c>
    </row>
    <row r="1482" spans="1:16" x14ac:dyDescent="0.3">
      <c r="A1482">
        <v>1922</v>
      </c>
      <c r="B1482" s="1">
        <v>43485</v>
      </c>
      <c r="C1482">
        <v>51</v>
      </c>
      <c r="D1482" t="s">
        <v>20</v>
      </c>
      <c r="E1482">
        <v>166.7</v>
      </c>
      <c r="F1482">
        <v>50.3</v>
      </c>
      <c r="G1482">
        <v>12794</v>
      </c>
      <c r="H1482">
        <v>734</v>
      </c>
      <c r="I1482">
        <v>5</v>
      </c>
      <c r="J1482">
        <v>85</v>
      </c>
      <c r="K1482" t="s">
        <v>22</v>
      </c>
      <c r="L1482">
        <v>45</v>
      </c>
      <c r="M1482">
        <v>2.94</v>
      </c>
      <c r="N1482">
        <v>3</v>
      </c>
      <c r="O1482" t="s">
        <v>19</v>
      </c>
      <c r="P1482" cm="1">
        <f t="array" ref="P1482">_xlfn.SWITCH(Table2[[#This Row],[mood]], "Tired", 3, "Neutral", 2, "Happy", 1)</f>
        <v>2</v>
      </c>
    </row>
    <row r="1483" spans="1:16" x14ac:dyDescent="0.3">
      <c r="A1483">
        <v>1419</v>
      </c>
      <c r="B1483" s="1">
        <v>43486</v>
      </c>
      <c r="C1483">
        <v>51</v>
      </c>
      <c r="D1483" t="s">
        <v>20</v>
      </c>
      <c r="E1483">
        <v>173.2</v>
      </c>
      <c r="F1483">
        <v>74</v>
      </c>
      <c r="G1483">
        <v>12659</v>
      </c>
      <c r="H1483">
        <v>740.3</v>
      </c>
      <c r="I1483">
        <v>6.4</v>
      </c>
      <c r="J1483">
        <v>70</v>
      </c>
      <c r="K1483" t="s">
        <v>24</v>
      </c>
      <c r="L1483">
        <v>64</v>
      </c>
      <c r="M1483">
        <v>2.39</v>
      </c>
      <c r="N1483">
        <v>10</v>
      </c>
      <c r="O1483" t="s">
        <v>21</v>
      </c>
      <c r="P1483" cm="1">
        <f t="array" ref="P1483">_xlfn.SWITCH(Table2[[#This Row],[mood]], "Tired", 3, "Neutral", 2, "Happy", 1)</f>
        <v>1</v>
      </c>
    </row>
    <row r="1484" spans="1:16" x14ac:dyDescent="0.3">
      <c r="A1484">
        <v>1156</v>
      </c>
      <c r="B1484" s="1">
        <v>43487</v>
      </c>
      <c r="C1484">
        <v>30</v>
      </c>
      <c r="D1484" t="s">
        <v>15</v>
      </c>
      <c r="E1484">
        <v>186.2</v>
      </c>
      <c r="F1484">
        <v>61</v>
      </c>
      <c r="G1484">
        <v>8983</v>
      </c>
      <c r="H1484">
        <v>523.70000000000005</v>
      </c>
      <c r="I1484">
        <v>7</v>
      </c>
      <c r="J1484">
        <v>73</v>
      </c>
      <c r="K1484" t="s">
        <v>24</v>
      </c>
      <c r="L1484">
        <v>54</v>
      </c>
      <c r="M1484">
        <v>3.22</v>
      </c>
      <c r="N1484">
        <v>5</v>
      </c>
      <c r="O1484" t="s">
        <v>17</v>
      </c>
      <c r="P1484" cm="1">
        <f t="array" ref="P1484">_xlfn.SWITCH(Table2[[#This Row],[mood]], "Tired", 3, "Neutral", 2, "Happy", 1)</f>
        <v>3</v>
      </c>
    </row>
    <row r="1485" spans="1:16" x14ac:dyDescent="0.3">
      <c r="A1485">
        <v>1549</v>
      </c>
      <c r="B1485" s="1">
        <v>43488</v>
      </c>
      <c r="C1485">
        <v>56</v>
      </c>
      <c r="D1485" t="s">
        <v>20</v>
      </c>
      <c r="E1485">
        <v>186.3</v>
      </c>
      <c r="F1485">
        <v>61.8</v>
      </c>
      <c r="G1485">
        <v>7500</v>
      </c>
      <c r="H1485">
        <v>482.5</v>
      </c>
      <c r="I1485">
        <v>5.2</v>
      </c>
      <c r="J1485">
        <v>59</v>
      </c>
      <c r="K1485" t="s">
        <v>23</v>
      </c>
      <c r="L1485">
        <v>72</v>
      </c>
      <c r="M1485">
        <v>2.8</v>
      </c>
      <c r="N1485">
        <v>1</v>
      </c>
      <c r="O1485" t="s">
        <v>21</v>
      </c>
      <c r="P1485" cm="1">
        <f t="array" ref="P1485">_xlfn.SWITCH(Table2[[#This Row],[mood]], "Tired", 3, "Neutral", 2, "Happy", 1)</f>
        <v>1</v>
      </c>
    </row>
    <row r="1486" spans="1:16" x14ac:dyDescent="0.3">
      <c r="A1486">
        <v>1440</v>
      </c>
      <c r="B1486" s="1">
        <v>43489</v>
      </c>
      <c r="C1486">
        <v>59</v>
      </c>
      <c r="D1486" t="s">
        <v>20</v>
      </c>
      <c r="E1486">
        <v>169.4</v>
      </c>
      <c r="F1486">
        <v>94.4</v>
      </c>
      <c r="G1486">
        <v>2634</v>
      </c>
      <c r="H1486">
        <v>322</v>
      </c>
      <c r="I1486">
        <v>6.7</v>
      </c>
      <c r="J1486">
        <v>61</v>
      </c>
      <c r="K1486" t="s">
        <v>24</v>
      </c>
      <c r="L1486">
        <v>29</v>
      </c>
      <c r="M1486">
        <v>1.44</v>
      </c>
      <c r="N1486">
        <v>4</v>
      </c>
      <c r="O1486" t="s">
        <v>21</v>
      </c>
      <c r="P1486" cm="1">
        <f t="array" ref="P1486">_xlfn.SWITCH(Table2[[#This Row],[mood]], "Tired", 3, "Neutral", 2, "Happy", 1)</f>
        <v>1</v>
      </c>
    </row>
    <row r="1487" spans="1:16" x14ac:dyDescent="0.3">
      <c r="A1487">
        <v>1096</v>
      </c>
      <c r="B1487" s="1">
        <v>43490</v>
      </c>
      <c r="C1487">
        <v>31</v>
      </c>
      <c r="D1487" t="s">
        <v>20</v>
      </c>
      <c r="E1487">
        <v>172.5</v>
      </c>
      <c r="F1487">
        <v>65.599999999999994</v>
      </c>
      <c r="G1487">
        <v>15059</v>
      </c>
      <c r="H1487">
        <v>800.9</v>
      </c>
      <c r="I1487">
        <v>8</v>
      </c>
      <c r="J1487">
        <v>71</v>
      </c>
      <c r="K1487" t="s">
        <v>25</v>
      </c>
      <c r="L1487">
        <v>60</v>
      </c>
      <c r="M1487">
        <v>3.2</v>
      </c>
      <c r="N1487">
        <v>6</v>
      </c>
      <c r="O1487" t="s">
        <v>19</v>
      </c>
      <c r="P1487" cm="1">
        <f t="array" ref="P1487">_xlfn.SWITCH(Table2[[#This Row],[mood]], "Tired", 3, "Neutral", 2, "Happy", 1)</f>
        <v>2</v>
      </c>
    </row>
    <row r="1488" spans="1:16" x14ac:dyDescent="0.3">
      <c r="A1488">
        <v>1996</v>
      </c>
      <c r="B1488" s="1">
        <v>43491</v>
      </c>
      <c r="C1488">
        <v>28</v>
      </c>
      <c r="D1488" t="s">
        <v>15</v>
      </c>
      <c r="E1488">
        <v>163.9</v>
      </c>
      <c r="F1488">
        <v>78.8</v>
      </c>
      <c r="G1488">
        <v>5814</v>
      </c>
      <c r="H1488">
        <v>517.5</v>
      </c>
      <c r="I1488">
        <v>5.5</v>
      </c>
      <c r="J1488">
        <v>64</v>
      </c>
      <c r="K1488" t="s">
        <v>24</v>
      </c>
      <c r="L1488">
        <v>36</v>
      </c>
      <c r="M1488">
        <v>1.89</v>
      </c>
      <c r="N1488">
        <v>2</v>
      </c>
      <c r="O1488" t="s">
        <v>17</v>
      </c>
      <c r="P1488" cm="1">
        <f t="array" ref="P1488">_xlfn.SWITCH(Table2[[#This Row],[mood]], "Tired", 3, "Neutral", 2, "Happy", 1)</f>
        <v>3</v>
      </c>
    </row>
    <row r="1489" spans="1:16" x14ac:dyDescent="0.3">
      <c r="A1489">
        <v>1410</v>
      </c>
      <c r="B1489" s="1">
        <v>43492</v>
      </c>
      <c r="C1489">
        <v>59</v>
      </c>
      <c r="D1489" t="s">
        <v>15</v>
      </c>
      <c r="E1489">
        <v>164.9</v>
      </c>
      <c r="F1489">
        <v>70.8</v>
      </c>
      <c r="G1489">
        <v>18551</v>
      </c>
      <c r="H1489">
        <v>900</v>
      </c>
      <c r="I1489">
        <v>5.8</v>
      </c>
      <c r="J1489">
        <v>83</v>
      </c>
      <c r="K1489" t="s">
        <v>18</v>
      </c>
      <c r="L1489">
        <v>85</v>
      </c>
      <c r="M1489">
        <v>3.03</v>
      </c>
      <c r="N1489">
        <v>6</v>
      </c>
      <c r="O1489" t="s">
        <v>19</v>
      </c>
      <c r="P1489" cm="1">
        <f t="array" ref="P1489">_xlfn.SWITCH(Table2[[#This Row],[mood]], "Tired", 3, "Neutral", 2, "Happy", 1)</f>
        <v>2</v>
      </c>
    </row>
    <row r="1490" spans="1:16" x14ac:dyDescent="0.3">
      <c r="A1490">
        <v>1950</v>
      </c>
      <c r="B1490" s="1">
        <v>43493</v>
      </c>
      <c r="C1490">
        <v>55</v>
      </c>
      <c r="D1490" t="s">
        <v>15</v>
      </c>
      <c r="E1490">
        <v>180.5</v>
      </c>
      <c r="F1490">
        <v>49.7</v>
      </c>
      <c r="G1490">
        <v>5076</v>
      </c>
      <c r="H1490">
        <v>446.1</v>
      </c>
      <c r="I1490">
        <v>8.8000000000000007</v>
      </c>
      <c r="J1490">
        <v>73</v>
      </c>
      <c r="K1490" t="s">
        <v>23</v>
      </c>
      <c r="L1490">
        <v>30</v>
      </c>
      <c r="M1490">
        <v>1.37</v>
      </c>
      <c r="N1490">
        <v>10</v>
      </c>
      <c r="O1490" t="s">
        <v>19</v>
      </c>
      <c r="P1490" cm="1">
        <f t="array" ref="P1490">_xlfn.SWITCH(Table2[[#This Row],[mood]], "Tired", 3, "Neutral", 2, "Happy", 1)</f>
        <v>2</v>
      </c>
    </row>
    <row r="1491" spans="1:16" x14ac:dyDescent="0.3">
      <c r="A1491">
        <v>1288</v>
      </c>
      <c r="B1491" s="1">
        <v>43494</v>
      </c>
      <c r="C1491">
        <v>21</v>
      </c>
      <c r="D1491" t="s">
        <v>15</v>
      </c>
      <c r="E1491">
        <v>186</v>
      </c>
      <c r="F1491">
        <v>45</v>
      </c>
      <c r="G1491">
        <v>9390</v>
      </c>
      <c r="H1491">
        <v>598.1</v>
      </c>
      <c r="I1491">
        <v>5.6</v>
      </c>
      <c r="J1491">
        <v>80</v>
      </c>
      <c r="K1491" t="s">
        <v>16</v>
      </c>
      <c r="L1491">
        <v>0</v>
      </c>
      <c r="M1491">
        <v>3.62</v>
      </c>
      <c r="N1491">
        <v>7</v>
      </c>
      <c r="O1491" t="s">
        <v>17</v>
      </c>
      <c r="P1491" cm="1">
        <f t="array" ref="P1491">_xlfn.SWITCH(Table2[[#This Row],[mood]], "Tired", 3, "Neutral", 2, "Happy", 1)</f>
        <v>3</v>
      </c>
    </row>
    <row r="1492" spans="1:16" x14ac:dyDescent="0.3">
      <c r="A1492">
        <v>1253</v>
      </c>
      <c r="B1492" s="1">
        <v>43495</v>
      </c>
      <c r="C1492">
        <v>50</v>
      </c>
      <c r="D1492" t="s">
        <v>15</v>
      </c>
      <c r="E1492">
        <v>163</v>
      </c>
      <c r="F1492">
        <v>77.3</v>
      </c>
      <c r="G1492">
        <v>6442</v>
      </c>
      <c r="H1492">
        <v>492.4</v>
      </c>
      <c r="I1492">
        <v>7.5</v>
      </c>
      <c r="J1492">
        <v>63</v>
      </c>
      <c r="K1492" t="s">
        <v>24</v>
      </c>
      <c r="L1492">
        <v>86</v>
      </c>
      <c r="M1492">
        <v>2.31</v>
      </c>
      <c r="N1492">
        <v>8</v>
      </c>
      <c r="O1492" t="s">
        <v>21</v>
      </c>
      <c r="P1492" cm="1">
        <f t="array" ref="P1492">_xlfn.SWITCH(Table2[[#This Row],[mood]], "Tired", 3, "Neutral", 2, "Happy", 1)</f>
        <v>1</v>
      </c>
    </row>
    <row r="1493" spans="1:16" x14ac:dyDescent="0.3">
      <c r="A1493">
        <v>1195</v>
      </c>
      <c r="B1493" s="1">
        <v>43496</v>
      </c>
      <c r="C1493">
        <v>24</v>
      </c>
      <c r="D1493" t="s">
        <v>15</v>
      </c>
      <c r="E1493">
        <v>172.4</v>
      </c>
      <c r="F1493">
        <v>95.6</v>
      </c>
      <c r="G1493">
        <v>4505</v>
      </c>
      <c r="H1493">
        <v>341.3</v>
      </c>
      <c r="I1493">
        <v>8.9</v>
      </c>
      <c r="J1493">
        <v>88</v>
      </c>
      <c r="K1493" t="s">
        <v>22</v>
      </c>
      <c r="L1493">
        <v>65</v>
      </c>
      <c r="M1493">
        <v>1.72</v>
      </c>
      <c r="N1493">
        <v>3</v>
      </c>
      <c r="O1493" t="s">
        <v>19</v>
      </c>
      <c r="P1493" cm="1">
        <f t="array" ref="P1493">_xlfn.SWITCH(Table2[[#This Row],[mood]], "Tired", 3, "Neutral", 2, "Happy", 1)</f>
        <v>2</v>
      </c>
    </row>
    <row r="1494" spans="1:16" x14ac:dyDescent="0.3">
      <c r="A1494">
        <v>1597</v>
      </c>
      <c r="B1494" s="1">
        <v>43497</v>
      </c>
      <c r="C1494">
        <v>58</v>
      </c>
      <c r="D1494" t="s">
        <v>15</v>
      </c>
      <c r="E1494">
        <v>167.6</v>
      </c>
      <c r="F1494">
        <v>74.7</v>
      </c>
      <c r="G1494">
        <v>18186</v>
      </c>
      <c r="H1494">
        <v>900</v>
      </c>
      <c r="I1494">
        <v>5.2</v>
      </c>
      <c r="J1494">
        <v>80</v>
      </c>
      <c r="K1494" t="s">
        <v>23</v>
      </c>
      <c r="L1494">
        <v>39</v>
      </c>
      <c r="M1494">
        <v>2.02</v>
      </c>
      <c r="N1494">
        <v>10</v>
      </c>
      <c r="O1494" t="s">
        <v>17</v>
      </c>
      <c r="P1494" cm="1">
        <f t="array" ref="P1494">_xlfn.SWITCH(Table2[[#This Row],[mood]], "Tired", 3, "Neutral", 2, "Happy", 1)</f>
        <v>3</v>
      </c>
    </row>
    <row r="1495" spans="1:16" x14ac:dyDescent="0.3">
      <c r="A1495">
        <v>1833</v>
      </c>
      <c r="B1495" s="1">
        <v>43498</v>
      </c>
      <c r="C1495">
        <v>25</v>
      </c>
      <c r="D1495" t="s">
        <v>20</v>
      </c>
      <c r="E1495">
        <v>178.6</v>
      </c>
      <c r="F1495">
        <v>79.400000000000006</v>
      </c>
      <c r="G1495">
        <v>1502</v>
      </c>
      <c r="H1495">
        <v>256.8</v>
      </c>
      <c r="I1495">
        <v>5.3</v>
      </c>
      <c r="J1495">
        <v>79</v>
      </c>
      <c r="K1495" t="s">
        <v>25</v>
      </c>
      <c r="L1495">
        <v>32</v>
      </c>
      <c r="M1495">
        <v>2.2599999999999998</v>
      </c>
      <c r="N1495">
        <v>3</v>
      </c>
      <c r="O1495" t="s">
        <v>21</v>
      </c>
      <c r="P1495" cm="1">
        <f t="array" ref="P1495">_xlfn.SWITCH(Table2[[#This Row],[mood]], "Tired", 3, "Neutral", 2, "Happy", 1)</f>
        <v>1</v>
      </c>
    </row>
    <row r="1496" spans="1:16" x14ac:dyDescent="0.3">
      <c r="A1496">
        <v>1521</v>
      </c>
      <c r="B1496" s="1">
        <v>43499</v>
      </c>
      <c r="C1496">
        <v>54</v>
      </c>
      <c r="D1496" t="s">
        <v>20</v>
      </c>
      <c r="E1496">
        <v>166.1</v>
      </c>
      <c r="F1496">
        <v>56.4</v>
      </c>
      <c r="G1496">
        <v>13756</v>
      </c>
      <c r="H1496">
        <v>714.4</v>
      </c>
      <c r="I1496">
        <v>6.7</v>
      </c>
      <c r="J1496">
        <v>84</v>
      </c>
      <c r="K1496" t="s">
        <v>18</v>
      </c>
      <c r="L1496">
        <v>36</v>
      </c>
      <c r="M1496">
        <v>2.5</v>
      </c>
      <c r="N1496">
        <v>5</v>
      </c>
      <c r="O1496" t="s">
        <v>21</v>
      </c>
      <c r="P1496" cm="1">
        <f t="array" ref="P1496">_xlfn.SWITCH(Table2[[#This Row],[mood]], "Tired", 3, "Neutral", 2, "Happy", 1)</f>
        <v>1</v>
      </c>
    </row>
    <row r="1497" spans="1:16" x14ac:dyDescent="0.3">
      <c r="A1497">
        <v>1516</v>
      </c>
      <c r="B1497" s="1">
        <v>43500</v>
      </c>
      <c r="C1497">
        <v>27</v>
      </c>
      <c r="D1497" t="s">
        <v>20</v>
      </c>
      <c r="E1497">
        <v>150.69999999999999</v>
      </c>
      <c r="F1497">
        <v>85.2</v>
      </c>
      <c r="G1497">
        <v>15262</v>
      </c>
      <c r="H1497">
        <v>856.7</v>
      </c>
      <c r="I1497">
        <v>7.1</v>
      </c>
      <c r="J1497">
        <v>78</v>
      </c>
      <c r="K1497" t="s">
        <v>24</v>
      </c>
      <c r="L1497">
        <v>51</v>
      </c>
      <c r="M1497">
        <v>3.42</v>
      </c>
      <c r="N1497">
        <v>3</v>
      </c>
      <c r="O1497" t="s">
        <v>21</v>
      </c>
      <c r="P1497" cm="1">
        <f t="array" ref="P1497">_xlfn.SWITCH(Table2[[#This Row],[mood]], "Tired", 3, "Neutral", 2, "Happy", 1)</f>
        <v>1</v>
      </c>
    </row>
    <row r="1498" spans="1:16" x14ac:dyDescent="0.3">
      <c r="A1498">
        <v>1634</v>
      </c>
      <c r="B1498" s="1">
        <v>43501</v>
      </c>
      <c r="C1498">
        <v>32</v>
      </c>
      <c r="D1498" t="s">
        <v>20</v>
      </c>
      <c r="E1498">
        <v>180</v>
      </c>
      <c r="F1498">
        <v>85</v>
      </c>
      <c r="G1498">
        <v>17141</v>
      </c>
      <c r="H1498">
        <v>784.9</v>
      </c>
      <c r="I1498">
        <v>6</v>
      </c>
      <c r="J1498">
        <v>65</v>
      </c>
      <c r="K1498" t="s">
        <v>18</v>
      </c>
      <c r="L1498">
        <v>35</v>
      </c>
      <c r="M1498">
        <v>2.5499999999999998</v>
      </c>
      <c r="N1498">
        <v>9</v>
      </c>
      <c r="O1498" t="s">
        <v>19</v>
      </c>
      <c r="P1498" cm="1">
        <f t="array" ref="P1498">_xlfn.SWITCH(Table2[[#This Row],[mood]], "Tired", 3, "Neutral", 2, "Happy", 1)</f>
        <v>2</v>
      </c>
    </row>
    <row r="1499" spans="1:16" x14ac:dyDescent="0.3">
      <c r="A1499">
        <v>1841</v>
      </c>
      <c r="B1499" s="1">
        <v>43502</v>
      </c>
      <c r="C1499">
        <v>55</v>
      </c>
      <c r="D1499" t="s">
        <v>15</v>
      </c>
      <c r="E1499">
        <v>167</v>
      </c>
      <c r="F1499">
        <v>59.6</v>
      </c>
      <c r="G1499">
        <v>11605</v>
      </c>
      <c r="H1499">
        <v>731.5</v>
      </c>
      <c r="I1499">
        <v>10</v>
      </c>
      <c r="J1499">
        <v>81</v>
      </c>
      <c r="K1499" t="s">
        <v>25</v>
      </c>
      <c r="L1499">
        <v>42</v>
      </c>
      <c r="M1499">
        <v>0.98</v>
      </c>
      <c r="N1499">
        <v>7</v>
      </c>
      <c r="O1499" t="s">
        <v>19</v>
      </c>
      <c r="P1499" cm="1">
        <f t="array" ref="P1499">_xlfn.SWITCH(Table2[[#This Row],[mood]], "Tired", 3, "Neutral", 2, "Happy", 1)</f>
        <v>2</v>
      </c>
    </row>
    <row r="1500" spans="1:16" x14ac:dyDescent="0.3">
      <c r="A1500">
        <v>1864</v>
      </c>
      <c r="B1500" s="1">
        <v>43503</v>
      </c>
      <c r="C1500">
        <v>32</v>
      </c>
      <c r="D1500" t="s">
        <v>20</v>
      </c>
      <c r="E1500">
        <v>168</v>
      </c>
      <c r="F1500">
        <v>78.2</v>
      </c>
      <c r="G1500">
        <v>8939</v>
      </c>
      <c r="H1500">
        <v>446.6</v>
      </c>
      <c r="I1500">
        <v>7.8</v>
      </c>
      <c r="J1500">
        <v>67</v>
      </c>
      <c r="K1500" t="s">
        <v>16</v>
      </c>
      <c r="L1500">
        <v>0</v>
      </c>
      <c r="M1500">
        <v>1.64</v>
      </c>
      <c r="N1500">
        <v>5</v>
      </c>
      <c r="O1500" t="s">
        <v>17</v>
      </c>
      <c r="P1500" cm="1">
        <f t="array" ref="P1500">_xlfn.SWITCH(Table2[[#This Row],[mood]], "Tired", 3, "Neutral", 2, "Happy", 1)</f>
        <v>3</v>
      </c>
    </row>
    <row r="1501" spans="1:16" x14ac:dyDescent="0.3">
      <c r="A1501">
        <v>1117</v>
      </c>
      <c r="B1501" s="1">
        <v>43504</v>
      </c>
      <c r="C1501">
        <v>22</v>
      </c>
      <c r="D1501" t="s">
        <v>20</v>
      </c>
      <c r="E1501">
        <v>174.4</v>
      </c>
      <c r="F1501">
        <v>45</v>
      </c>
      <c r="G1501">
        <v>5719</v>
      </c>
      <c r="H1501">
        <v>421.1</v>
      </c>
      <c r="I1501">
        <v>5.8</v>
      </c>
      <c r="J1501">
        <v>77</v>
      </c>
      <c r="K1501" t="s">
        <v>24</v>
      </c>
      <c r="L1501">
        <v>33</v>
      </c>
      <c r="M1501">
        <v>4.43</v>
      </c>
      <c r="N1501">
        <v>5</v>
      </c>
      <c r="O1501" t="s">
        <v>21</v>
      </c>
      <c r="P1501" cm="1">
        <f t="array" ref="P1501">_xlfn.SWITCH(Table2[[#This Row],[mood]], "Tired", 3, "Neutral", 2, "Happy", 1)</f>
        <v>1</v>
      </c>
    </row>
    <row r="1502" spans="1:16" x14ac:dyDescent="0.3">
      <c r="A1502">
        <v>1805</v>
      </c>
      <c r="B1502" s="1">
        <v>43505</v>
      </c>
      <c r="C1502">
        <v>46</v>
      </c>
      <c r="D1502" t="s">
        <v>20</v>
      </c>
      <c r="E1502">
        <v>173.5</v>
      </c>
      <c r="F1502">
        <v>80.900000000000006</v>
      </c>
      <c r="G1502">
        <v>8748</v>
      </c>
      <c r="H1502">
        <v>597</v>
      </c>
      <c r="I1502">
        <v>5</v>
      </c>
      <c r="J1502">
        <v>67</v>
      </c>
      <c r="K1502" t="s">
        <v>16</v>
      </c>
      <c r="L1502">
        <v>0</v>
      </c>
      <c r="M1502">
        <v>2.59</v>
      </c>
      <c r="N1502">
        <v>1</v>
      </c>
      <c r="O1502" t="s">
        <v>21</v>
      </c>
      <c r="P1502" cm="1">
        <f t="array" ref="P1502">_xlfn.SWITCH(Table2[[#This Row],[mood]], "Tired", 3, "Neutral", 2, "Happy", 1)</f>
        <v>1</v>
      </c>
    </row>
    <row r="1503" spans="1:16" x14ac:dyDescent="0.3">
      <c r="A1503">
        <v>1908</v>
      </c>
      <c r="B1503" s="1">
        <v>43506</v>
      </c>
      <c r="C1503">
        <v>36</v>
      </c>
      <c r="D1503" t="s">
        <v>20</v>
      </c>
      <c r="E1503">
        <v>174.6</v>
      </c>
      <c r="F1503">
        <v>61.4</v>
      </c>
      <c r="G1503">
        <v>3870</v>
      </c>
      <c r="H1503">
        <v>295.39999999999998</v>
      </c>
      <c r="I1503">
        <v>6.9</v>
      </c>
      <c r="J1503">
        <v>92</v>
      </c>
      <c r="K1503" t="s">
        <v>16</v>
      </c>
      <c r="L1503">
        <v>0</v>
      </c>
      <c r="M1503">
        <v>3.17</v>
      </c>
      <c r="N1503">
        <v>9</v>
      </c>
      <c r="O1503" t="s">
        <v>17</v>
      </c>
      <c r="P1503" cm="1">
        <f t="array" ref="P1503">_xlfn.SWITCH(Table2[[#This Row],[mood]], "Tired", 3, "Neutral", 2, "Happy", 1)</f>
        <v>3</v>
      </c>
    </row>
    <row r="1504" spans="1:16" x14ac:dyDescent="0.3">
      <c r="A1504">
        <v>1158</v>
      </c>
      <c r="B1504" s="1">
        <v>43507</v>
      </c>
      <c r="C1504">
        <v>27</v>
      </c>
      <c r="D1504" t="s">
        <v>15</v>
      </c>
      <c r="E1504">
        <v>153.69999999999999</v>
      </c>
      <c r="F1504">
        <v>51.6</v>
      </c>
      <c r="G1504">
        <v>5758</v>
      </c>
      <c r="H1504">
        <v>451.5</v>
      </c>
      <c r="I1504">
        <v>7.7</v>
      </c>
      <c r="J1504">
        <v>82</v>
      </c>
      <c r="K1504" t="s">
        <v>23</v>
      </c>
      <c r="L1504">
        <v>52</v>
      </c>
      <c r="M1504">
        <v>2.2799999999999998</v>
      </c>
      <c r="N1504">
        <v>2</v>
      </c>
      <c r="O1504" t="s">
        <v>21</v>
      </c>
      <c r="P1504" cm="1">
        <f t="array" ref="P1504">_xlfn.SWITCH(Table2[[#This Row],[mood]], "Tired", 3, "Neutral", 2, "Happy", 1)</f>
        <v>1</v>
      </c>
    </row>
    <row r="1505" spans="1:16" x14ac:dyDescent="0.3">
      <c r="A1505">
        <v>1814</v>
      </c>
      <c r="B1505" s="1">
        <v>43508</v>
      </c>
      <c r="C1505">
        <v>29</v>
      </c>
      <c r="D1505" t="s">
        <v>15</v>
      </c>
      <c r="E1505">
        <v>175.6</v>
      </c>
      <c r="F1505">
        <v>76</v>
      </c>
      <c r="G1505">
        <v>14038</v>
      </c>
      <c r="H1505">
        <v>777.3</v>
      </c>
      <c r="I1505">
        <v>9.8000000000000007</v>
      </c>
      <c r="J1505">
        <v>85</v>
      </c>
      <c r="K1505" t="s">
        <v>16</v>
      </c>
      <c r="L1505">
        <v>0</v>
      </c>
      <c r="M1505">
        <v>1.8</v>
      </c>
      <c r="N1505">
        <v>7</v>
      </c>
      <c r="O1505" t="s">
        <v>21</v>
      </c>
      <c r="P1505" cm="1">
        <f t="array" ref="P1505">_xlfn.SWITCH(Table2[[#This Row],[mood]], "Tired", 3, "Neutral", 2, "Happy", 1)</f>
        <v>1</v>
      </c>
    </row>
    <row r="1506" spans="1:16" x14ac:dyDescent="0.3">
      <c r="A1506">
        <v>1227</v>
      </c>
      <c r="B1506" s="1">
        <v>43509</v>
      </c>
      <c r="C1506">
        <v>21</v>
      </c>
      <c r="D1506" t="s">
        <v>15</v>
      </c>
      <c r="E1506">
        <v>150.9</v>
      </c>
      <c r="F1506">
        <v>45</v>
      </c>
      <c r="G1506">
        <v>6968</v>
      </c>
      <c r="H1506">
        <v>495.1</v>
      </c>
      <c r="I1506">
        <v>7.1</v>
      </c>
      <c r="J1506">
        <v>67</v>
      </c>
      <c r="K1506" t="s">
        <v>23</v>
      </c>
      <c r="L1506">
        <v>73</v>
      </c>
      <c r="M1506">
        <v>2.16</v>
      </c>
      <c r="N1506">
        <v>7</v>
      </c>
      <c r="O1506" t="s">
        <v>17</v>
      </c>
      <c r="P1506" cm="1">
        <f t="array" ref="P1506">_xlfn.SWITCH(Table2[[#This Row],[mood]], "Tired", 3, "Neutral", 2, "Happy", 1)</f>
        <v>3</v>
      </c>
    </row>
    <row r="1507" spans="1:16" x14ac:dyDescent="0.3">
      <c r="A1507">
        <v>1876</v>
      </c>
      <c r="B1507" s="1">
        <v>43510</v>
      </c>
      <c r="C1507">
        <v>48</v>
      </c>
      <c r="D1507" t="s">
        <v>20</v>
      </c>
      <c r="E1507">
        <v>177.7</v>
      </c>
      <c r="F1507">
        <v>75.099999999999994</v>
      </c>
      <c r="G1507">
        <v>12659</v>
      </c>
      <c r="H1507">
        <v>688.9</v>
      </c>
      <c r="I1507">
        <v>6.6</v>
      </c>
      <c r="J1507">
        <v>78</v>
      </c>
      <c r="K1507" t="s">
        <v>16</v>
      </c>
      <c r="L1507">
        <v>0</v>
      </c>
      <c r="M1507">
        <v>2.59</v>
      </c>
      <c r="N1507">
        <v>2</v>
      </c>
      <c r="O1507" t="s">
        <v>17</v>
      </c>
      <c r="P1507" cm="1">
        <f t="array" ref="P1507">_xlfn.SWITCH(Table2[[#This Row],[mood]], "Tired", 3, "Neutral", 2, "Happy", 1)</f>
        <v>3</v>
      </c>
    </row>
    <row r="1508" spans="1:16" x14ac:dyDescent="0.3">
      <c r="A1508">
        <v>1215</v>
      </c>
      <c r="B1508" s="1">
        <v>43511</v>
      </c>
      <c r="C1508">
        <v>35</v>
      </c>
      <c r="D1508" t="s">
        <v>15</v>
      </c>
      <c r="E1508">
        <v>181.2</v>
      </c>
      <c r="F1508">
        <v>53</v>
      </c>
      <c r="G1508">
        <v>18482</v>
      </c>
      <c r="H1508">
        <v>900</v>
      </c>
      <c r="I1508">
        <v>5.5</v>
      </c>
      <c r="J1508">
        <v>77</v>
      </c>
      <c r="K1508" t="s">
        <v>22</v>
      </c>
      <c r="L1508">
        <v>42</v>
      </c>
      <c r="M1508">
        <v>2.1800000000000002</v>
      </c>
      <c r="N1508">
        <v>8</v>
      </c>
      <c r="O1508" t="s">
        <v>19</v>
      </c>
      <c r="P1508" cm="1">
        <f t="array" ref="P1508">_xlfn.SWITCH(Table2[[#This Row],[mood]], "Tired", 3, "Neutral", 2, "Happy", 1)</f>
        <v>2</v>
      </c>
    </row>
    <row r="1509" spans="1:16" x14ac:dyDescent="0.3">
      <c r="A1509">
        <v>1947</v>
      </c>
      <c r="B1509" s="1">
        <v>43512</v>
      </c>
      <c r="C1509">
        <v>33</v>
      </c>
      <c r="D1509" t="s">
        <v>20</v>
      </c>
      <c r="E1509">
        <v>156.30000000000001</v>
      </c>
      <c r="F1509">
        <v>49.8</v>
      </c>
      <c r="G1509">
        <v>17766</v>
      </c>
      <c r="H1509">
        <v>832.1</v>
      </c>
      <c r="I1509">
        <v>7.6</v>
      </c>
      <c r="J1509">
        <v>76</v>
      </c>
      <c r="K1509" t="s">
        <v>25</v>
      </c>
      <c r="L1509">
        <v>48</v>
      </c>
      <c r="M1509">
        <v>3.84</v>
      </c>
      <c r="N1509">
        <v>8</v>
      </c>
      <c r="O1509" t="s">
        <v>19</v>
      </c>
      <c r="P1509" cm="1">
        <f t="array" ref="P1509">_xlfn.SWITCH(Table2[[#This Row],[mood]], "Tired", 3, "Neutral", 2, "Happy", 1)</f>
        <v>2</v>
      </c>
    </row>
    <row r="1510" spans="1:16" x14ac:dyDescent="0.3">
      <c r="A1510">
        <v>1695</v>
      </c>
      <c r="B1510" s="1">
        <v>43513</v>
      </c>
      <c r="C1510">
        <v>57</v>
      </c>
      <c r="D1510" t="s">
        <v>15</v>
      </c>
      <c r="E1510">
        <v>173.3</v>
      </c>
      <c r="F1510">
        <v>70.900000000000006</v>
      </c>
      <c r="G1510">
        <v>8790</v>
      </c>
      <c r="H1510">
        <v>546.4</v>
      </c>
      <c r="I1510">
        <v>8.5</v>
      </c>
      <c r="J1510">
        <v>56</v>
      </c>
      <c r="K1510" t="s">
        <v>24</v>
      </c>
      <c r="L1510">
        <v>25</v>
      </c>
      <c r="M1510">
        <v>2.0699999999999998</v>
      </c>
      <c r="N1510">
        <v>9</v>
      </c>
      <c r="O1510" t="s">
        <v>19</v>
      </c>
      <c r="P1510" cm="1">
        <f t="array" ref="P1510">_xlfn.SWITCH(Table2[[#This Row],[mood]], "Tired", 3, "Neutral", 2, "Happy", 1)</f>
        <v>2</v>
      </c>
    </row>
    <row r="1511" spans="1:16" x14ac:dyDescent="0.3">
      <c r="A1511">
        <v>1014</v>
      </c>
      <c r="B1511" s="1">
        <v>43514</v>
      </c>
      <c r="C1511">
        <v>53</v>
      </c>
      <c r="D1511" t="s">
        <v>15</v>
      </c>
      <c r="E1511">
        <v>180.6</v>
      </c>
      <c r="F1511">
        <v>67.400000000000006</v>
      </c>
      <c r="G1511">
        <v>10585</v>
      </c>
      <c r="H1511">
        <v>669.3</v>
      </c>
      <c r="I1511">
        <v>4.3</v>
      </c>
      <c r="J1511">
        <v>95</v>
      </c>
      <c r="K1511" t="s">
        <v>18</v>
      </c>
      <c r="L1511">
        <v>58</v>
      </c>
      <c r="M1511">
        <v>1.76</v>
      </c>
      <c r="N1511">
        <v>2</v>
      </c>
      <c r="O1511" t="s">
        <v>17</v>
      </c>
      <c r="P1511" cm="1">
        <f t="array" ref="P1511">_xlfn.SWITCH(Table2[[#This Row],[mood]], "Tired", 3, "Neutral", 2, "Happy", 1)</f>
        <v>3</v>
      </c>
    </row>
    <row r="1512" spans="1:16" x14ac:dyDescent="0.3">
      <c r="A1512">
        <v>1156</v>
      </c>
      <c r="B1512" s="1">
        <v>43515</v>
      </c>
      <c r="C1512">
        <v>42</v>
      </c>
      <c r="D1512" t="s">
        <v>15</v>
      </c>
      <c r="E1512">
        <v>165.5</v>
      </c>
      <c r="F1512">
        <v>91.9</v>
      </c>
      <c r="G1512">
        <v>5271</v>
      </c>
      <c r="H1512">
        <v>388</v>
      </c>
      <c r="I1512">
        <v>7.1</v>
      </c>
      <c r="J1512">
        <v>75</v>
      </c>
      <c r="K1512" t="s">
        <v>18</v>
      </c>
      <c r="L1512">
        <v>24</v>
      </c>
      <c r="M1512">
        <v>3.07</v>
      </c>
      <c r="N1512">
        <v>1</v>
      </c>
      <c r="O1512" t="s">
        <v>19</v>
      </c>
      <c r="P1512" cm="1">
        <f t="array" ref="P1512">_xlfn.SWITCH(Table2[[#This Row],[mood]], "Tired", 3, "Neutral", 2, "Happy", 1)</f>
        <v>2</v>
      </c>
    </row>
    <row r="1513" spans="1:16" x14ac:dyDescent="0.3">
      <c r="A1513">
        <v>1647</v>
      </c>
      <c r="B1513" s="1">
        <v>43516</v>
      </c>
      <c r="C1513">
        <v>40</v>
      </c>
      <c r="D1513" t="s">
        <v>15</v>
      </c>
      <c r="E1513">
        <v>176.7</v>
      </c>
      <c r="F1513">
        <v>50.7</v>
      </c>
      <c r="G1513">
        <v>5323</v>
      </c>
      <c r="H1513">
        <v>392.6</v>
      </c>
      <c r="I1513">
        <v>5.5</v>
      </c>
      <c r="J1513">
        <v>80</v>
      </c>
      <c r="K1513" t="s">
        <v>24</v>
      </c>
      <c r="L1513">
        <v>59</v>
      </c>
      <c r="M1513">
        <v>3.15</v>
      </c>
      <c r="N1513">
        <v>9</v>
      </c>
      <c r="O1513" t="s">
        <v>21</v>
      </c>
      <c r="P1513" cm="1">
        <f t="array" ref="P1513">_xlfn.SWITCH(Table2[[#This Row],[mood]], "Tired", 3, "Neutral", 2, "Happy", 1)</f>
        <v>1</v>
      </c>
    </row>
    <row r="1514" spans="1:16" x14ac:dyDescent="0.3">
      <c r="A1514">
        <v>1260</v>
      </c>
      <c r="B1514" s="1">
        <v>43517</v>
      </c>
      <c r="C1514">
        <v>29</v>
      </c>
      <c r="D1514" t="s">
        <v>15</v>
      </c>
      <c r="E1514">
        <v>150</v>
      </c>
      <c r="F1514">
        <v>90.6</v>
      </c>
      <c r="G1514">
        <v>3038</v>
      </c>
      <c r="H1514">
        <v>401</v>
      </c>
      <c r="I1514">
        <v>5</v>
      </c>
      <c r="J1514">
        <v>62</v>
      </c>
      <c r="K1514" t="s">
        <v>25</v>
      </c>
      <c r="L1514">
        <v>40</v>
      </c>
      <c r="M1514">
        <v>2.52</v>
      </c>
      <c r="N1514">
        <v>3</v>
      </c>
      <c r="O1514" t="s">
        <v>19</v>
      </c>
      <c r="P1514" cm="1">
        <f t="array" ref="P1514">_xlfn.SWITCH(Table2[[#This Row],[mood]], "Tired", 3, "Neutral", 2, "Happy", 1)</f>
        <v>2</v>
      </c>
    </row>
    <row r="1515" spans="1:16" x14ac:dyDescent="0.3">
      <c r="A1515">
        <v>1156</v>
      </c>
      <c r="B1515" s="1">
        <v>43518</v>
      </c>
      <c r="C1515">
        <v>51</v>
      </c>
      <c r="D1515" t="s">
        <v>20</v>
      </c>
      <c r="E1515">
        <v>181</v>
      </c>
      <c r="F1515">
        <v>52.9</v>
      </c>
      <c r="G1515">
        <v>16977</v>
      </c>
      <c r="H1515">
        <v>870.9</v>
      </c>
      <c r="I1515">
        <v>9.5</v>
      </c>
      <c r="J1515">
        <v>90</v>
      </c>
      <c r="K1515" t="s">
        <v>25</v>
      </c>
      <c r="L1515">
        <v>78</v>
      </c>
      <c r="M1515">
        <v>2.08</v>
      </c>
      <c r="N1515">
        <v>10</v>
      </c>
      <c r="O1515" t="s">
        <v>19</v>
      </c>
      <c r="P1515" cm="1">
        <f t="array" ref="P1515">_xlfn.SWITCH(Table2[[#This Row],[mood]], "Tired", 3, "Neutral", 2, "Happy", 1)</f>
        <v>2</v>
      </c>
    </row>
    <row r="1516" spans="1:16" x14ac:dyDescent="0.3">
      <c r="A1516">
        <v>1046</v>
      </c>
      <c r="B1516" s="1">
        <v>43519</v>
      </c>
      <c r="C1516">
        <v>53</v>
      </c>
      <c r="D1516" t="s">
        <v>15</v>
      </c>
      <c r="E1516">
        <v>170.3</v>
      </c>
      <c r="F1516">
        <v>83.8</v>
      </c>
      <c r="G1516">
        <v>6461</v>
      </c>
      <c r="H1516">
        <v>476</v>
      </c>
      <c r="I1516">
        <v>8.3000000000000007</v>
      </c>
      <c r="J1516">
        <v>89</v>
      </c>
      <c r="K1516" t="s">
        <v>16</v>
      </c>
      <c r="L1516">
        <v>0</v>
      </c>
      <c r="M1516">
        <v>1.17</v>
      </c>
      <c r="N1516">
        <v>2</v>
      </c>
      <c r="O1516" t="s">
        <v>19</v>
      </c>
      <c r="P1516" cm="1">
        <f t="array" ref="P1516">_xlfn.SWITCH(Table2[[#This Row],[mood]], "Tired", 3, "Neutral", 2, "Happy", 1)</f>
        <v>2</v>
      </c>
    </row>
    <row r="1517" spans="1:16" x14ac:dyDescent="0.3">
      <c r="A1517">
        <v>1323</v>
      </c>
      <c r="B1517" s="1">
        <v>43520</v>
      </c>
      <c r="C1517">
        <v>54</v>
      </c>
      <c r="D1517" t="s">
        <v>20</v>
      </c>
      <c r="E1517">
        <v>167.4</v>
      </c>
      <c r="F1517">
        <v>86.6</v>
      </c>
      <c r="G1517">
        <v>9063</v>
      </c>
      <c r="H1517">
        <v>589.29999999999995</v>
      </c>
      <c r="I1517">
        <v>6.1</v>
      </c>
      <c r="J1517">
        <v>84</v>
      </c>
      <c r="K1517" t="s">
        <v>18</v>
      </c>
      <c r="L1517">
        <v>43</v>
      </c>
      <c r="M1517">
        <v>3.35</v>
      </c>
      <c r="N1517">
        <v>10</v>
      </c>
      <c r="O1517" t="s">
        <v>17</v>
      </c>
      <c r="P1517" cm="1">
        <f t="array" ref="P1517">_xlfn.SWITCH(Table2[[#This Row],[mood]], "Tired", 3, "Neutral", 2, "Happy", 1)</f>
        <v>3</v>
      </c>
    </row>
    <row r="1518" spans="1:16" x14ac:dyDescent="0.3">
      <c r="A1518">
        <v>1843</v>
      </c>
      <c r="B1518" s="1">
        <v>43521</v>
      </c>
      <c r="C1518">
        <v>20</v>
      </c>
      <c r="D1518" t="s">
        <v>20</v>
      </c>
      <c r="E1518">
        <v>179.8</v>
      </c>
      <c r="F1518">
        <v>74.8</v>
      </c>
      <c r="G1518">
        <v>19369</v>
      </c>
      <c r="H1518">
        <v>900</v>
      </c>
      <c r="I1518">
        <v>6.8</v>
      </c>
      <c r="J1518">
        <v>78</v>
      </c>
      <c r="K1518" t="s">
        <v>24</v>
      </c>
      <c r="L1518">
        <v>22</v>
      </c>
      <c r="M1518">
        <v>3.11</v>
      </c>
      <c r="N1518">
        <v>2</v>
      </c>
      <c r="O1518" t="s">
        <v>21</v>
      </c>
      <c r="P1518" cm="1">
        <f t="array" ref="P1518">_xlfn.SWITCH(Table2[[#This Row],[mood]], "Tired", 3, "Neutral", 2, "Happy", 1)</f>
        <v>1</v>
      </c>
    </row>
    <row r="1519" spans="1:16" x14ac:dyDescent="0.3">
      <c r="A1519">
        <v>1684</v>
      </c>
      <c r="B1519" s="1">
        <v>43522</v>
      </c>
      <c r="C1519">
        <v>26</v>
      </c>
      <c r="D1519" t="s">
        <v>20</v>
      </c>
      <c r="E1519">
        <v>187.3</v>
      </c>
      <c r="F1519">
        <v>58.1</v>
      </c>
      <c r="G1519">
        <v>2262</v>
      </c>
      <c r="H1519">
        <v>324.5</v>
      </c>
      <c r="I1519">
        <v>6.5</v>
      </c>
      <c r="J1519">
        <v>98</v>
      </c>
      <c r="K1519" t="s">
        <v>16</v>
      </c>
      <c r="L1519">
        <v>0</v>
      </c>
      <c r="M1519">
        <v>2.19</v>
      </c>
      <c r="N1519">
        <v>2</v>
      </c>
      <c r="O1519" t="s">
        <v>17</v>
      </c>
      <c r="P1519" cm="1">
        <f t="array" ref="P1519">_xlfn.SWITCH(Table2[[#This Row],[mood]], "Tired", 3, "Neutral", 2, "Happy", 1)</f>
        <v>3</v>
      </c>
    </row>
    <row r="1520" spans="1:16" x14ac:dyDescent="0.3">
      <c r="A1520">
        <v>1129</v>
      </c>
      <c r="B1520" s="1">
        <v>43523</v>
      </c>
      <c r="C1520">
        <v>35</v>
      </c>
      <c r="D1520" t="s">
        <v>20</v>
      </c>
      <c r="E1520">
        <v>174.9</v>
      </c>
      <c r="F1520">
        <v>47.2</v>
      </c>
      <c r="G1520">
        <v>6731</v>
      </c>
      <c r="H1520">
        <v>518.70000000000005</v>
      </c>
      <c r="I1520">
        <v>5.3</v>
      </c>
      <c r="J1520">
        <v>85</v>
      </c>
      <c r="K1520" t="s">
        <v>24</v>
      </c>
      <c r="L1520">
        <v>89</v>
      </c>
      <c r="M1520">
        <v>2.54</v>
      </c>
      <c r="N1520">
        <v>8</v>
      </c>
      <c r="O1520" t="s">
        <v>21</v>
      </c>
      <c r="P1520" cm="1">
        <f t="array" ref="P1520">_xlfn.SWITCH(Table2[[#This Row],[mood]], "Tired", 3, "Neutral", 2, "Happy", 1)</f>
        <v>1</v>
      </c>
    </row>
    <row r="1521" spans="1:16" x14ac:dyDescent="0.3">
      <c r="A1521">
        <v>1410</v>
      </c>
      <c r="B1521" s="1">
        <v>43524</v>
      </c>
      <c r="C1521">
        <v>52</v>
      </c>
      <c r="D1521" t="s">
        <v>20</v>
      </c>
      <c r="E1521">
        <v>186.1</v>
      </c>
      <c r="F1521">
        <v>45</v>
      </c>
      <c r="G1521">
        <v>10903</v>
      </c>
      <c r="H1521">
        <v>681.3</v>
      </c>
      <c r="I1521">
        <v>6.2</v>
      </c>
      <c r="J1521">
        <v>61</v>
      </c>
      <c r="K1521" t="s">
        <v>18</v>
      </c>
      <c r="L1521">
        <v>89</v>
      </c>
      <c r="M1521">
        <v>2.34</v>
      </c>
      <c r="N1521">
        <v>3</v>
      </c>
      <c r="O1521" t="s">
        <v>19</v>
      </c>
      <c r="P1521" cm="1">
        <f t="array" ref="P1521">_xlfn.SWITCH(Table2[[#This Row],[mood]], "Tired", 3, "Neutral", 2, "Happy", 1)</f>
        <v>2</v>
      </c>
    </row>
    <row r="1522" spans="1:16" x14ac:dyDescent="0.3">
      <c r="A1522">
        <v>1094</v>
      </c>
      <c r="B1522" s="1">
        <v>43525</v>
      </c>
      <c r="C1522">
        <v>51</v>
      </c>
      <c r="D1522" t="s">
        <v>15</v>
      </c>
      <c r="E1522">
        <v>154.5</v>
      </c>
      <c r="F1522">
        <v>97.8</v>
      </c>
      <c r="G1522">
        <v>1349</v>
      </c>
      <c r="H1522">
        <v>304.7</v>
      </c>
      <c r="I1522">
        <v>8.1999999999999993</v>
      </c>
      <c r="J1522">
        <v>77</v>
      </c>
      <c r="K1522" t="s">
        <v>24</v>
      </c>
      <c r="L1522">
        <v>82</v>
      </c>
      <c r="M1522">
        <v>3.64</v>
      </c>
      <c r="N1522">
        <v>1</v>
      </c>
      <c r="O1522" t="s">
        <v>19</v>
      </c>
      <c r="P1522" cm="1">
        <f t="array" ref="P1522">_xlfn.SWITCH(Table2[[#This Row],[mood]], "Tired", 3, "Neutral", 2, "Happy", 1)</f>
        <v>2</v>
      </c>
    </row>
    <row r="1523" spans="1:16" x14ac:dyDescent="0.3">
      <c r="A1523">
        <v>1626</v>
      </c>
      <c r="B1523" s="1">
        <v>43526</v>
      </c>
      <c r="C1523">
        <v>58</v>
      </c>
      <c r="D1523" t="s">
        <v>15</v>
      </c>
      <c r="E1523">
        <v>176.7</v>
      </c>
      <c r="F1523">
        <v>65.5</v>
      </c>
      <c r="G1523">
        <v>1440</v>
      </c>
      <c r="H1523">
        <v>153.5</v>
      </c>
      <c r="I1523">
        <v>6.2</v>
      </c>
      <c r="J1523">
        <v>81</v>
      </c>
      <c r="K1523" t="s">
        <v>24</v>
      </c>
      <c r="L1523">
        <v>66</v>
      </c>
      <c r="M1523">
        <v>1.77</v>
      </c>
      <c r="N1523">
        <v>8</v>
      </c>
      <c r="O1523" t="s">
        <v>21</v>
      </c>
      <c r="P1523" cm="1">
        <f t="array" ref="P1523">_xlfn.SWITCH(Table2[[#This Row],[mood]], "Tired", 3, "Neutral", 2, "Happy", 1)</f>
        <v>1</v>
      </c>
    </row>
    <row r="1524" spans="1:16" x14ac:dyDescent="0.3">
      <c r="A1524">
        <v>1754</v>
      </c>
      <c r="B1524" s="1">
        <v>43527</v>
      </c>
      <c r="C1524">
        <v>31</v>
      </c>
      <c r="D1524" t="s">
        <v>15</v>
      </c>
      <c r="E1524">
        <v>168.7</v>
      </c>
      <c r="F1524">
        <v>53.4</v>
      </c>
      <c r="G1524">
        <v>14899</v>
      </c>
      <c r="H1524">
        <v>737.4</v>
      </c>
      <c r="I1524">
        <v>7.7</v>
      </c>
      <c r="J1524">
        <v>76</v>
      </c>
      <c r="K1524" t="s">
        <v>16</v>
      </c>
      <c r="L1524">
        <v>0</v>
      </c>
      <c r="M1524">
        <v>2.0699999999999998</v>
      </c>
      <c r="N1524">
        <v>2</v>
      </c>
      <c r="O1524" t="s">
        <v>17</v>
      </c>
      <c r="P1524" cm="1">
        <f t="array" ref="P1524">_xlfn.SWITCH(Table2[[#This Row],[mood]], "Tired", 3, "Neutral", 2, "Happy", 1)</f>
        <v>3</v>
      </c>
    </row>
    <row r="1525" spans="1:16" x14ac:dyDescent="0.3">
      <c r="A1525">
        <v>1931</v>
      </c>
      <c r="B1525" s="1">
        <v>43528</v>
      </c>
      <c r="C1525">
        <v>21</v>
      </c>
      <c r="D1525" t="s">
        <v>15</v>
      </c>
      <c r="E1525">
        <v>162.1</v>
      </c>
      <c r="F1525">
        <v>52.9</v>
      </c>
      <c r="G1525">
        <v>19946</v>
      </c>
      <c r="H1525">
        <v>900</v>
      </c>
      <c r="I1525">
        <v>6.2</v>
      </c>
      <c r="J1525">
        <v>81</v>
      </c>
      <c r="K1525" t="s">
        <v>23</v>
      </c>
      <c r="L1525">
        <v>32</v>
      </c>
      <c r="M1525">
        <v>2</v>
      </c>
      <c r="N1525">
        <v>6</v>
      </c>
      <c r="O1525" t="s">
        <v>17</v>
      </c>
      <c r="P1525" cm="1">
        <f t="array" ref="P1525">_xlfn.SWITCH(Table2[[#This Row],[mood]], "Tired", 3, "Neutral", 2, "Happy", 1)</f>
        <v>3</v>
      </c>
    </row>
    <row r="1526" spans="1:16" x14ac:dyDescent="0.3">
      <c r="A1526">
        <v>1291</v>
      </c>
      <c r="B1526" s="1">
        <v>43529</v>
      </c>
      <c r="C1526">
        <v>46</v>
      </c>
      <c r="D1526" t="s">
        <v>20</v>
      </c>
      <c r="E1526">
        <v>150.69999999999999</v>
      </c>
      <c r="F1526">
        <v>72.5</v>
      </c>
      <c r="G1526">
        <v>4152</v>
      </c>
      <c r="H1526">
        <v>326.3</v>
      </c>
      <c r="I1526">
        <v>5.2</v>
      </c>
      <c r="J1526">
        <v>89</v>
      </c>
      <c r="K1526" t="s">
        <v>23</v>
      </c>
      <c r="L1526">
        <v>64</v>
      </c>
      <c r="M1526">
        <v>2.72</v>
      </c>
      <c r="N1526">
        <v>8</v>
      </c>
      <c r="O1526" t="s">
        <v>19</v>
      </c>
      <c r="P1526" cm="1">
        <f t="array" ref="P1526">_xlfn.SWITCH(Table2[[#This Row],[mood]], "Tired", 3, "Neutral", 2, "Happy", 1)</f>
        <v>2</v>
      </c>
    </row>
    <row r="1527" spans="1:16" x14ac:dyDescent="0.3">
      <c r="A1527">
        <v>1793</v>
      </c>
      <c r="B1527" s="1">
        <v>43530</v>
      </c>
      <c r="C1527">
        <v>58</v>
      </c>
      <c r="D1527" t="s">
        <v>15</v>
      </c>
      <c r="E1527">
        <v>176.1</v>
      </c>
      <c r="F1527">
        <v>64.099999999999994</v>
      </c>
      <c r="G1527">
        <v>11247</v>
      </c>
      <c r="H1527">
        <v>613.9</v>
      </c>
      <c r="I1527">
        <v>8.8000000000000007</v>
      </c>
      <c r="J1527">
        <v>73</v>
      </c>
      <c r="K1527" t="s">
        <v>22</v>
      </c>
      <c r="L1527">
        <v>51</v>
      </c>
      <c r="M1527">
        <v>2.54</v>
      </c>
      <c r="N1527">
        <v>10</v>
      </c>
      <c r="O1527" t="s">
        <v>21</v>
      </c>
      <c r="P1527" cm="1">
        <f t="array" ref="P1527">_xlfn.SWITCH(Table2[[#This Row],[mood]], "Tired", 3, "Neutral", 2, "Happy", 1)</f>
        <v>1</v>
      </c>
    </row>
    <row r="1528" spans="1:16" x14ac:dyDescent="0.3">
      <c r="A1528">
        <v>1810</v>
      </c>
      <c r="B1528" s="1">
        <v>43531</v>
      </c>
      <c r="C1528">
        <v>32</v>
      </c>
      <c r="D1528" t="s">
        <v>15</v>
      </c>
      <c r="E1528">
        <v>178.8</v>
      </c>
      <c r="F1528">
        <v>45</v>
      </c>
      <c r="G1528">
        <v>19717</v>
      </c>
      <c r="H1528">
        <v>900</v>
      </c>
      <c r="I1528">
        <v>3.8</v>
      </c>
      <c r="J1528">
        <v>71</v>
      </c>
      <c r="K1528" t="s">
        <v>16</v>
      </c>
      <c r="L1528">
        <v>0</v>
      </c>
      <c r="M1528">
        <v>2.64</v>
      </c>
      <c r="N1528">
        <v>9</v>
      </c>
      <c r="O1528" t="s">
        <v>21</v>
      </c>
      <c r="P1528" cm="1">
        <f t="array" ref="P1528">_xlfn.SWITCH(Table2[[#This Row],[mood]], "Tired", 3, "Neutral", 2, "Happy", 1)</f>
        <v>1</v>
      </c>
    </row>
    <row r="1529" spans="1:16" x14ac:dyDescent="0.3">
      <c r="A1529">
        <v>1282</v>
      </c>
      <c r="B1529" s="1">
        <v>43532</v>
      </c>
      <c r="C1529">
        <v>45</v>
      </c>
      <c r="D1529" t="s">
        <v>20</v>
      </c>
      <c r="E1529">
        <v>183.4</v>
      </c>
      <c r="F1529">
        <v>83</v>
      </c>
      <c r="G1529">
        <v>10614</v>
      </c>
      <c r="H1529">
        <v>629.9</v>
      </c>
      <c r="I1529">
        <v>9.6999999999999993</v>
      </c>
      <c r="J1529">
        <v>64</v>
      </c>
      <c r="K1529" t="s">
        <v>22</v>
      </c>
      <c r="L1529">
        <v>61</v>
      </c>
      <c r="M1529">
        <v>1.88</v>
      </c>
      <c r="N1529">
        <v>1</v>
      </c>
      <c r="O1529" t="s">
        <v>21</v>
      </c>
      <c r="P1529" cm="1">
        <f t="array" ref="P1529">_xlfn.SWITCH(Table2[[#This Row],[mood]], "Tired", 3, "Neutral", 2, "Happy", 1)</f>
        <v>1</v>
      </c>
    </row>
    <row r="1530" spans="1:16" x14ac:dyDescent="0.3">
      <c r="A1530">
        <v>1068</v>
      </c>
      <c r="B1530" s="1">
        <v>43533</v>
      </c>
      <c r="C1530">
        <v>59</v>
      </c>
      <c r="D1530" t="s">
        <v>20</v>
      </c>
      <c r="E1530">
        <v>181.8</v>
      </c>
      <c r="F1530">
        <v>75</v>
      </c>
      <c r="G1530">
        <v>17457</v>
      </c>
      <c r="H1530">
        <v>891.4</v>
      </c>
      <c r="I1530">
        <v>8.5</v>
      </c>
      <c r="J1530">
        <v>56</v>
      </c>
      <c r="K1530" t="s">
        <v>25</v>
      </c>
      <c r="L1530">
        <v>61</v>
      </c>
      <c r="M1530">
        <v>3.54</v>
      </c>
      <c r="N1530">
        <v>9</v>
      </c>
      <c r="O1530" t="s">
        <v>21</v>
      </c>
      <c r="P1530" cm="1">
        <f t="array" ref="P1530">_xlfn.SWITCH(Table2[[#This Row],[mood]], "Tired", 3, "Neutral", 2, "Happy", 1)</f>
        <v>1</v>
      </c>
    </row>
    <row r="1531" spans="1:16" x14ac:dyDescent="0.3">
      <c r="A1531">
        <v>1659</v>
      </c>
      <c r="B1531" s="1">
        <v>43534</v>
      </c>
      <c r="C1531">
        <v>33</v>
      </c>
      <c r="D1531" t="s">
        <v>15</v>
      </c>
      <c r="E1531">
        <v>162.30000000000001</v>
      </c>
      <c r="F1531">
        <v>97.6</v>
      </c>
      <c r="G1531">
        <v>7949</v>
      </c>
      <c r="H1531">
        <v>506.7</v>
      </c>
      <c r="I1531">
        <v>7.3</v>
      </c>
      <c r="J1531">
        <v>72</v>
      </c>
      <c r="K1531" t="s">
        <v>23</v>
      </c>
      <c r="L1531">
        <v>26</v>
      </c>
      <c r="M1531">
        <v>2.1800000000000002</v>
      </c>
      <c r="N1531">
        <v>8</v>
      </c>
      <c r="O1531" t="s">
        <v>19</v>
      </c>
      <c r="P1531" cm="1">
        <f t="array" ref="P1531">_xlfn.SWITCH(Table2[[#This Row],[mood]], "Tired", 3, "Neutral", 2, "Happy", 1)</f>
        <v>2</v>
      </c>
    </row>
    <row r="1532" spans="1:16" x14ac:dyDescent="0.3">
      <c r="A1532">
        <v>1010</v>
      </c>
      <c r="B1532" s="1">
        <v>43535</v>
      </c>
      <c r="C1532">
        <v>29</v>
      </c>
      <c r="D1532" t="s">
        <v>15</v>
      </c>
      <c r="E1532">
        <v>182.9</v>
      </c>
      <c r="F1532">
        <v>87.1</v>
      </c>
      <c r="G1532">
        <v>3205</v>
      </c>
      <c r="H1532">
        <v>308.2</v>
      </c>
      <c r="I1532">
        <v>6.3</v>
      </c>
      <c r="J1532">
        <v>68</v>
      </c>
      <c r="K1532" t="s">
        <v>23</v>
      </c>
      <c r="L1532">
        <v>22</v>
      </c>
      <c r="M1532">
        <v>3.33</v>
      </c>
      <c r="N1532">
        <v>6</v>
      </c>
      <c r="O1532" t="s">
        <v>17</v>
      </c>
      <c r="P1532" cm="1">
        <f t="array" ref="P1532">_xlfn.SWITCH(Table2[[#This Row],[mood]], "Tired", 3, "Neutral", 2, "Happy", 1)</f>
        <v>3</v>
      </c>
    </row>
    <row r="1533" spans="1:16" x14ac:dyDescent="0.3">
      <c r="A1533">
        <v>1253</v>
      </c>
      <c r="B1533" s="1">
        <v>43536</v>
      </c>
      <c r="C1533">
        <v>22</v>
      </c>
      <c r="D1533" t="s">
        <v>20</v>
      </c>
      <c r="E1533">
        <v>184</v>
      </c>
      <c r="F1533">
        <v>45</v>
      </c>
      <c r="G1533">
        <v>18855</v>
      </c>
      <c r="H1533">
        <v>900</v>
      </c>
      <c r="I1533">
        <v>6.4</v>
      </c>
      <c r="J1533">
        <v>73</v>
      </c>
      <c r="K1533" t="s">
        <v>23</v>
      </c>
      <c r="L1533">
        <v>56</v>
      </c>
      <c r="M1533">
        <v>4.7</v>
      </c>
      <c r="N1533">
        <v>5</v>
      </c>
      <c r="O1533" t="s">
        <v>19</v>
      </c>
      <c r="P1533" cm="1">
        <f t="array" ref="P1533">_xlfn.SWITCH(Table2[[#This Row],[mood]], "Tired", 3, "Neutral", 2, "Happy", 1)</f>
        <v>2</v>
      </c>
    </row>
    <row r="1534" spans="1:16" x14ac:dyDescent="0.3">
      <c r="A1534">
        <v>1841</v>
      </c>
      <c r="B1534" s="1">
        <v>43537</v>
      </c>
      <c r="C1534">
        <v>51</v>
      </c>
      <c r="D1534" t="s">
        <v>15</v>
      </c>
      <c r="E1534">
        <v>167.4</v>
      </c>
      <c r="F1534">
        <v>91.3</v>
      </c>
      <c r="G1534">
        <v>14133</v>
      </c>
      <c r="H1534">
        <v>834.7</v>
      </c>
      <c r="I1534">
        <v>7.3</v>
      </c>
      <c r="J1534">
        <v>69</v>
      </c>
      <c r="K1534" t="s">
        <v>23</v>
      </c>
      <c r="L1534">
        <v>22</v>
      </c>
      <c r="M1534">
        <v>1.89</v>
      </c>
      <c r="N1534">
        <v>6</v>
      </c>
      <c r="O1534" t="s">
        <v>21</v>
      </c>
      <c r="P1534" cm="1">
        <f t="array" ref="P1534">_xlfn.SWITCH(Table2[[#This Row],[mood]], "Tired", 3, "Neutral", 2, "Happy", 1)</f>
        <v>1</v>
      </c>
    </row>
    <row r="1535" spans="1:16" x14ac:dyDescent="0.3">
      <c r="A1535">
        <v>1871</v>
      </c>
      <c r="B1535" s="1">
        <v>43538</v>
      </c>
      <c r="C1535">
        <v>59</v>
      </c>
      <c r="D1535" t="s">
        <v>15</v>
      </c>
      <c r="E1535">
        <v>170.3</v>
      </c>
      <c r="F1535">
        <v>88.1</v>
      </c>
      <c r="G1535">
        <v>19114</v>
      </c>
      <c r="H1535">
        <v>876.3</v>
      </c>
      <c r="I1535">
        <v>7.3</v>
      </c>
      <c r="J1535">
        <v>64</v>
      </c>
      <c r="K1535" t="s">
        <v>25</v>
      </c>
      <c r="L1535">
        <v>37</v>
      </c>
      <c r="M1535">
        <v>2.74</v>
      </c>
      <c r="N1535">
        <v>2</v>
      </c>
      <c r="O1535" t="s">
        <v>17</v>
      </c>
      <c r="P1535" cm="1">
        <f t="array" ref="P1535">_xlfn.SWITCH(Table2[[#This Row],[mood]], "Tired", 3, "Neutral", 2, "Happy", 1)</f>
        <v>3</v>
      </c>
    </row>
    <row r="1536" spans="1:16" x14ac:dyDescent="0.3">
      <c r="A1536">
        <v>1549</v>
      </c>
      <c r="B1536" s="1">
        <v>43539</v>
      </c>
      <c r="C1536">
        <v>18</v>
      </c>
      <c r="D1536" t="s">
        <v>15</v>
      </c>
      <c r="E1536">
        <v>160.69999999999999</v>
      </c>
      <c r="F1536">
        <v>59</v>
      </c>
      <c r="G1536">
        <v>1035</v>
      </c>
      <c r="H1536">
        <v>305.10000000000002</v>
      </c>
      <c r="I1536">
        <v>5.6</v>
      </c>
      <c r="J1536">
        <v>69</v>
      </c>
      <c r="K1536" t="s">
        <v>18</v>
      </c>
      <c r="L1536">
        <v>61</v>
      </c>
      <c r="M1536">
        <v>2.41</v>
      </c>
      <c r="N1536">
        <v>3</v>
      </c>
      <c r="O1536" t="s">
        <v>19</v>
      </c>
      <c r="P1536" cm="1">
        <f t="array" ref="P1536">_xlfn.SWITCH(Table2[[#This Row],[mood]], "Tired", 3, "Neutral", 2, "Happy", 1)</f>
        <v>2</v>
      </c>
    </row>
    <row r="1537" spans="1:16" x14ac:dyDescent="0.3">
      <c r="A1537">
        <v>1133</v>
      </c>
      <c r="B1537" s="1">
        <v>43540</v>
      </c>
      <c r="C1537">
        <v>56</v>
      </c>
      <c r="D1537" t="s">
        <v>15</v>
      </c>
      <c r="E1537">
        <v>184.8</v>
      </c>
      <c r="F1537">
        <v>63.5</v>
      </c>
      <c r="G1537">
        <v>18404</v>
      </c>
      <c r="H1537">
        <v>900</v>
      </c>
      <c r="I1537">
        <v>7.1</v>
      </c>
      <c r="J1537">
        <v>80</v>
      </c>
      <c r="K1537" t="s">
        <v>25</v>
      </c>
      <c r="L1537">
        <v>28</v>
      </c>
      <c r="M1537">
        <v>3.92</v>
      </c>
      <c r="N1537">
        <v>9</v>
      </c>
      <c r="O1537" t="s">
        <v>21</v>
      </c>
      <c r="P1537" cm="1">
        <f t="array" ref="P1537">_xlfn.SWITCH(Table2[[#This Row],[mood]], "Tired", 3, "Neutral", 2, "Happy", 1)</f>
        <v>1</v>
      </c>
    </row>
    <row r="1538" spans="1:16" x14ac:dyDescent="0.3">
      <c r="A1538">
        <v>1711</v>
      </c>
      <c r="B1538" s="1">
        <v>43541</v>
      </c>
      <c r="C1538">
        <v>49</v>
      </c>
      <c r="D1538" t="s">
        <v>20</v>
      </c>
      <c r="E1538">
        <v>154.9</v>
      </c>
      <c r="F1538">
        <v>76.2</v>
      </c>
      <c r="G1538">
        <v>6534</v>
      </c>
      <c r="H1538">
        <v>524.70000000000005</v>
      </c>
      <c r="I1538">
        <v>7.4</v>
      </c>
      <c r="J1538">
        <v>70</v>
      </c>
      <c r="K1538" t="s">
        <v>18</v>
      </c>
      <c r="L1538">
        <v>76</v>
      </c>
      <c r="M1538">
        <v>2.2999999999999998</v>
      </c>
      <c r="N1538">
        <v>3</v>
      </c>
      <c r="O1538" t="s">
        <v>19</v>
      </c>
      <c r="P1538" cm="1">
        <f t="array" ref="P1538">_xlfn.SWITCH(Table2[[#This Row],[mood]], "Tired", 3, "Neutral", 2, "Happy", 1)</f>
        <v>2</v>
      </c>
    </row>
    <row r="1539" spans="1:16" x14ac:dyDescent="0.3">
      <c r="A1539">
        <v>1022</v>
      </c>
      <c r="B1539" s="1">
        <v>43542</v>
      </c>
      <c r="C1539">
        <v>43</v>
      </c>
      <c r="D1539" t="s">
        <v>20</v>
      </c>
      <c r="E1539">
        <v>175.3</v>
      </c>
      <c r="F1539">
        <v>54.8</v>
      </c>
      <c r="G1539">
        <v>9009</v>
      </c>
      <c r="H1539">
        <v>510.9</v>
      </c>
      <c r="I1539">
        <v>6.5</v>
      </c>
      <c r="J1539">
        <v>73</v>
      </c>
      <c r="K1539" t="s">
        <v>22</v>
      </c>
      <c r="L1539">
        <v>43</v>
      </c>
      <c r="M1539">
        <v>2.67</v>
      </c>
      <c r="N1539">
        <v>10</v>
      </c>
      <c r="O1539" t="s">
        <v>21</v>
      </c>
      <c r="P1539" cm="1">
        <f t="array" ref="P1539">_xlfn.SWITCH(Table2[[#This Row],[mood]], "Tired", 3, "Neutral", 2, "Happy", 1)</f>
        <v>1</v>
      </c>
    </row>
    <row r="1540" spans="1:16" x14ac:dyDescent="0.3">
      <c r="A1540">
        <v>1814</v>
      </c>
      <c r="B1540" s="1">
        <v>43543</v>
      </c>
      <c r="C1540">
        <v>34</v>
      </c>
      <c r="D1540" t="s">
        <v>20</v>
      </c>
      <c r="E1540">
        <v>164</v>
      </c>
      <c r="F1540">
        <v>66.400000000000006</v>
      </c>
      <c r="G1540">
        <v>11952</v>
      </c>
      <c r="H1540">
        <v>653.79999999999995</v>
      </c>
      <c r="I1540">
        <v>10</v>
      </c>
      <c r="J1540">
        <v>96</v>
      </c>
      <c r="K1540" t="s">
        <v>23</v>
      </c>
      <c r="L1540">
        <v>26</v>
      </c>
      <c r="M1540">
        <v>2.66</v>
      </c>
      <c r="N1540">
        <v>7</v>
      </c>
      <c r="O1540" t="s">
        <v>19</v>
      </c>
      <c r="P1540" cm="1">
        <f t="array" ref="P1540">_xlfn.SWITCH(Table2[[#This Row],[mood]], "Tired", 3, "Neutral", 2, "Happy", 1)</f>
        <v>2</v>
      </c>
    </row>
    <row r="1541" spans="1:16" x14ac:dyDescent="0.3">
      <c r="A1541">
        <v>1345</v>
      </c>
      <c r="B1541" s="1">
        <v>43544</v>
      </c>
      <c r="C1541">
        <v>44</v>
      </c>
      <c r="D1541" t="s">
        <v>15</v>
      </c>
      <c r="E1541">
        <v>158.9</v>
      </c>
      <c r="F1541">
        <v>85</v>
      </c>
      <c r="G1541">
        <v>3535</v>
      </c>
      <c r="H1541">
        <v>393.1</v>
      </c>
      <c r="I1541">
        <v>6.8</v>
      </c>
      <c r="J1541">
        <v>86</v>
      </c>
      <c r="K1541" t="s">
        <v>16</v>
      </c>
      <c r="L1541">
        <v>0</v>
      </c>
      <c r="M1541">
        <v>2.4300000000000002</v>
      </c>
      <c r="N1541">
        <v>4</v>
      </c>
      <c r="O1541" t="s">
        <v>19</v>
      </c>
      <c r="P1541" cm="1">
        <f t="array" ref="P1541">_xlfn.SWITCH(Table2[[#This Row],[mood]], "Tired", 3, "Neutral", 2, "Happy", 1)</f>
        <v>2</v>
      </c>
    </row>
    <row r="1542" spans="1:16" x14ac:dyDescent="0.3">
      <c r="A1542">
        <v>1301</v>
      </c>
      <c r="B1542" s="1">
        <v>43545</v>
      </c>
      <c r="C1542">
        <v>41</v>
      </c>
      <c r="D1542" t="s">
        <v>15</v>
      </c>
      <c r="E1542">
        <v>151.30000000000001</v>
      </c>
      <c r="F1542">
        <v>77.8</v>
      </c>
      <c r="G1542">
        <v>5963</v>
      </c>
      <c r="H1542">
        <v>426.1</v>
      </c>
      <c r="I1542">
        <v>4.4000000000000004</v>
      </c>
      <c r="J1542">
        <v>77</v>
      </c>
      <c r="K1542" t="s">
        <v>16</v>
      </c>
      <c r="L1542">
        <v>0</v>
      </c>
      <c r="M1542">
        <v>3.03</v>
      </c>
      <c r="N1542">
        <v>9</v>
      </c>
      <c r="O1542" t="s">
        <v>19</v>
      </c>
      <c r="P1542" cm="1">
        <f t="array" ref="P1542">_xlfn.SWITCH(Table2[[#This Row],[mood]], "Tired", 3, "Neutral", 2, "Happy", 1)</f>
        <v>2</v>
      </c>
    </row>
    <row r="1543" spans="1:16" x14ac:dyDescent="0.3">
      <c r="A1543">
        <v>1362</v>
      </c>
      <c r="B1543" s="1">
        <v>43546</v>
      </c>
      <c r="C1543">
        <v>52</v>
      </c>
      <c r="D1543" t="s">
        <v>15</v>
      </c>
      <c r="E1543">
        <v>167.8</v>
      </c>
      <c r="F1543">
        <v>60</v>
      </c>
      <c r="G1543">
        <v>13707</v>
      </c>
      <c r="H1543">
        <v>723</v>
      </c>
      <c r="I1543">
        <v>5.5</v>
      </c>
      <c r="J1543">
        <v>78</v>
      </c>
      <c r="K1543" t="s">
        <v>18</v>
      </c>
      <c r="L1543">
        <v>75</v>
      </c>
      <c r="M1543">
        <v>2.57</v>
      </c>
      <c r="N1543">
        <v>4</v>
      </c>
      <c r="O1543" t="s">
        <v>21</v>
      </c>
      <c r="P1543" cm="1">
        <f t="array" ref="P1543">_xlfn.SWITCH(Table2[[#This Row],[mood]], "Tired", 3, "Neutral", 2, "Happy", 1)</f>
        <v>1</v>
      </c>
    </row>
    <row r="1544" spans="1:16" x14ac:dyDescent="0.3">
      <c r="A1544">
        <v>1395</v>
      </c>
      <c r="B1544" s="1">
        <v>43547</v>
      </c>
      <c r="C1544">
        <v>59</v>
      </c>
      <c r="D1544" t="s">
        <v>15</v>
      </c>
      <c r="E1544">
        <v>157.4</v>
      </c>
      <c r="F1544">
        <v>85.3</v>
      </c>
      <c r="G1544">
        <v>13860</v>
      </c>
      <c r="H1544">
        <v>749.4</v>
      </c>
      <c r="I1544">
        <v>8.1</v>
      </c>
      <c r="J1544">
        <v>68</v>
      </c>
      <c r="K1544" t="s">
        <v>25</v>
      </c>
      <c r="L1544">
        <v>77</v>
      </c>
      <c r="M1544">
        <v>2.84</v>
      </c>
      <c r="N1544">
        <v>10</v>
      </c>
      <c r="O1544" t="s">
        <v>17</v>
      </c>
      <c r="P1544" cm="1">
        <f t="array" ref="P1544">_xlfn.SWITCH(Table2[[#This Row],[mood]], "Tired", 3, "Neutral", 2, "Happy", 1)</f>
        <v>3</v>
      </c>
    </row>
    <row r="1545" spans="1:16" x14ac:dyDescent="0.3">
      <c r="A1545">
        <v>1217</v>
      </c>
      <c r="B1545" s="1">
        <v>43548</v>
      </c>
      <c r="C1545">
        <v>56</v>
      </c>
      <c r="D1545" t="s">
        <v>15</v>
      </c>
      <c r="E1545">
        <v>170.6</v>
      </c>
      <c r="F1545">
        <v>74.5</v>
      </c>
      <c r="G1545">
        <v>15247</v>
      </c>
      <c r="H1545">
        <v>753.8</v>
      </c>
      <c r="I1545">
        <v>5.9</v>
      </c>
      <c r="J1545">
        <v>71</v>
      </c>
      <c r="K1545" t="s">
        <v>18</v>
      </c>
      <c r="L1545">
        <v>37</v>
      </c>
      <c r="M1545">
        <v>2.65</v>
      </c>
      <c r="N1545">
        <v>10</v>
      </c>
      <c r="O1545" t="s">
        <v>17</v>
      </c>
      <c r="P1545" cm="1">
        <f t="array" ref="P1545">_xlfn.SWITCH(Table2[[#This Row],[mood]], "Tired", 3, "Neutral", 2, "Happy", 1)</f>
        <v>3</v>
      </c>
    </row>
    <row r="1546" spans="1:16" x14ac:dyDescent="0.3">
      <c r="A1546">
        <v>1140</v>
      </c>
      <c r="B1546" s="1">
        <v>43549</v>
      </c>
      <c r="C1546">
        <v>43</v>
      </c>
      <c r="D1546" t="s">
        <v>20</v>
      </c>
      <c r="E1546">
        <v>187.7</v>
      </c>
      <c r="F1546">
        <v>74</v>
      </c>
      <c r="G1546">
        <v>18410</v>
      </c>
      <c r="H1546">
        <v>900</v>
      </c>
      <c r="I1546">
        <v>5.5</v>
      </c>
      <c r="J1546">
        <v>72</v>
      </c>
      <c r="K1546" t="s">
        <v>24</v>
      </c>
      <c r="L1546">
        <v>58</v>
      </c>
      <c r="M1546">
        <v>2.08</v>
      </c>
      <c r="N1546">
        <v>6</v>
      </c>
      <c r="O1546" t="s">
        <v>21</v>
      </c>
      <c r="P1546" cm="1">
        <f t="array" ref="P1546">_xlfn.SWITCH(Table2[[#This Row],[mood]], "Tired", 3, "Neutral", 2, "Happy", 1)</f>
        <v>1</v>
      </c>
    </row>
    <row r="1547" spans="1:16" x14ac:dyDescent="0.3">
      <c r="A1547">
        <v>1615</v>
      </c>
      <c r="B1547" s="1">
        <v>43550</v>
      </c>
      <c r="C1547">
        <v>55</v>
      </c>
      <c r="D1547" t="s">
        <v>15</v>
      </c>
      <c r="E1547">
        <v>172</v>
      </c>
      <c r="F1547">
        <v>62.3</v>
      </c>
      <c r="G1547">
        <v>18670</v>
      </c>
      <c r="H1547">
        <v>886.5</v>
      </c>
      <c r="I1547">
        <v>9.1</v>
      </c>
      <c r="J1547">
        <v>76</v>
      </c>
      <c r="K1547" t="s">
        <v>22</v>
      </c>
      <c r="L1547">
        <v>69</v>
      </c>
      <c r="M1547">
        <v>2.31</v>
      </c>
      <c r="N1547">
        <v>2</v>
      </c>
      <c r="O1547" t="s">
        <v>17</v>
      </c>
      <c r="P1547" cm="1">
        <f t="array" ref="P1547">_xlfn.SWITCH(Table2[[#This Row],[mood]], "Tired", 3, "Neutral", 2, "Happy", 1)</f>
        <v>3</v>
      </c>
    </row>
    <row r="1548" spans="1:16" x14ac:dyDescent="0.3">
      <c r="A1548">
        <v>1957</v>
      </c>
      <c r="B1548" s="1">
        <v>43551</v>
      </c>
      <c r="C1548">
        <v>40</v>
      </c>
      <c r="D1548" t="s">
        <v>15</v>
      </c>
      <c r="E1548">
        <v>190</v>
      </c>
      <c r="F1548">
        <v>69.900000000000006</v>
      </c>
      <c r="G1548">
        <v>9512</v>
      </c>
      <c r="H1548">
        <v>616.6</v>
      </c>
      <c r="I1548">
        <v>7.3</v>
      </c>
      <c r="J1548">
        <v>75</v>
      </c>
      <c r="K1548" t="s">
        <v>22</v>
      </c>
      <c r="L1548">
        <v>52</v>
      </c>
      <c r="M1548">
        <v>2.89</v>
      </c>
      <c r="N1548">
        <v>7</v>
      </c>
      <c r="O1548" t="s">
        <v>17</v>
      </c>
      <c r="P1548" cm="1">
        <f t="array" ref="P1548">_xlfn.SWITCH(Table2[[#This Row],[mood]], "Tired", 3, "Neutral", 2, "Happy", 1)</f>
        <v>3</v>
      </c>
    </row>
    <row r="1549" spans="1:16" x14ac:dyDescent="0.3">
      <c r="A1549">
        <v>1209</v>
      </c>
      <c r="B1549" s="1">
        <v>43552</v>
      </c>
      <c r="C1549">
        <v>39</v>
      </c>
      <c r="D1549" t="s">
        <v>20</v>
      </c>
      <c r="E1549">
        <v>160.19999999999999</v>
      </c>
      <c r="F1549">
        <v>58.4</v>
      </c>
      <c r="G1549">
        <v>14887</v>
      </c>
      <c r="H1549">
        <v>753.3</v>
      </c>
      <c r="I1549">
        <v>6.1</v>
      </c>
      <c r="J1549">
        <v>64</v>
      </c>
      <c r="K1549" t="s">
        <v>23</v>
      </c>
      <c r="L1549">
        <v>47</v>
      </c>
      <c r="M1549">
        <v>2.89</v>
      </c>
      <c r="N1549">
        <v>3</v>
      </c>
      <c r="O1549" t="s">
        <v>19</v>
      </c>
      <c r="P1549" cm="1">
        <f t="array" ref="P1549">_xlfn.SWITCH(Table2[[#This Row],[mood]], "Tired", 3, "Neutral", 2, "Happy", 1)</f>
        <v>2</v>
      </c>
    </row>
    <row r="1550" spans="1:16" x14ac:dyDescent="0.3">
      <c r="A1550">
        <v>1984</v>
      </c>
      <c r="B1550" s="1">
        <v>43553</v>
      </c>
      <c r="C1550">
        <v>21</v>
      </c>
      <c r="D1550" t="s">
        <v>15</v>
      </c>
      <c r="E1550">
        <v>157.19999999999999</v>
      </c>
      <c r="F1550">
        <v>45</v>
      </c>
      <c r="G1550">
        <v>3293</v>
      </c>
      <c r="H1550">
        <v>334.3</v>
      </c>
      <c r="I1550">
        <v>3</v>
      </c>
      <c r="J1550">
        <v>81</v>
      </c>
      <c r="K1550" t="s">
        <v>23</v>
      </c>
      <c r="L1550">
        <v>75</v>
      </c>
      <c r="M1550">
        <v>3.37</v>
      </c>
      <c r="N1550">
        <v>1</v>
      </c>
      <c r="O1550" t="s">
        <v>19</v>
      </c>
      <c r="P1550" cm="1">
        <f t="array" ref="P1550">_xlfn.SWITCH(Table2[[#This Row],[mood]], "Tired", 3, "Neutral", 2, "Happy", 1)</f>
        <v>2</v>
      </c>
    </row>
    <row r="1551" spans="1:16" x14ac:dyDescent="0.3">
      <c r="A1551">
        <v>1992</v>
      </c>
      <c r="B1551" s="1">
        <v>43554</v>
      </c>
      <c r="C1551">
        <v>26</v>
      </c>
      <c r="D1551" t="s">
        <v>20</v>
      </c>
      <c r="E1551">
        <v>159.69999999999999</v>
      </c>
      <c r="F1551">
        <v>65.8</v>
      </c>
      <c r="G1551">
        <v>18996</v>
      </c>
      <c r="H1551">
        <v>900</v>
      </c>
      <c r="I1551">
        <v>7.9</v>
      </c>
      <c r="J1551">
        <v>69</v>
      </c>
      <c r="K1551" t="s">
        <v>25</v>
      </c>
      <c r="L1551">
        <v>44</v>
      </c>
      <c r="M1551">
        <v>3.8</v>
      </c>
      <c r="N1551">
        <v>7</v>
      </c>
      <c r="O1551" t="s">
        <v>21</v>
      </c>
      <c r="P1551" cm="1">
        <f t="array" ref="P1551">_xlfn.SWITCH(Table2[[#This Row],[mood]], "Tired", 3, "Neutral", 2, "Happy", 1)</f>
        <v>1</v>
      </c>
    </row>
    <row r="1552" spans="1:16" x14ac:dyDescent="0.3">
      <c r="A1552">
        <v>1622</v>
      </c>
      <c r="B1552" s="1">
        <v>43555</v>
      </c>
      <c r="C1552">
        <v>21</v>
      </c>
      <c r="D1552" t="s">
        <v>20</v>
      </c>
      <c r="E1552">
        <v>169.3</v>
      </c>
      <c r="F1552">
        <v>68.2</v>
      </c>
      <c r="G1552">
        <v>17860</v>
      </c>
      <c r="H1552">
        <v>900</v>
      </c>
      <c r="I1552">
        <v>7</v>
      </c>
      <c r="J1552">
        <v>94</v>
      </c>
      <c r="K1552" t="s">
        <v>18</v>
      </c>
      <c r="L1552">
        <v>33</v>
      </c>
      <c r="M1552">
        <v>2.14</v>
      </c>
      <c r="N1552">
        <v>5</v>
      </c>
      <c r="O1552" t="s">
        <v>21</v>
      </c>
      <c r="P1552" cm="1">
        <f t="array" ref="P1552">_xlfn.SWITCH(Table2[[#This Row],[mood]], "Tired", 3, "Neutral", 2, "Happy", 1)</f>
        <v>1</v>
      </c>
    </row>
    <row r="1553" spans="1:16" x14ac:dyDescent="0.3">
      <c r="A1553">
        <v>1615</v>
      </c>
      <c r="B1553" s="1">
        <v>43556</v>
      </c>
      <c r="C1553">
        <v>24</v>
      </c>
      <c r="D1553" t="s">
        <v>20</v>
      </c>
      <c r="E1553">
        <v>197.2</v>
      </c>
      <c r="F1553">
        <v>72.099999999999994</v>
      </c>
      <c r="G1553">
        <v>12356</v>
      </c>
      <c r="H1553">
        <v>735.4</v>
      </c>
      <c r="I1553">
        <v>9</v>
      </c>
      <c r="J1553">
        <v>87</v>
      </c>
      <c r="K1553" t="s">
        <v>24</v>
      </c>
      <c r="L1553">
        <v>74</v>
      </c>
      <c r="M1553">
        <v>2.59</v>
      </c>
      <c r="N1553">
        <v>7</v>
      </c>
      <c r="O1553" t="s">
        <v>19</v>
      </c>
      <c r="P1553" cm="1">
        <f t="array" ref="P1553">_xlfn.SWITCH(Table2[[#This Row],[mood]], "Tired", 3, "Neutral", 2, "Happy", 1)</f>
        <v>2</v>
      </c>
    </row>
    <row r="1554" spans="1:16" x14ac:dyDescent="0.3">
      <c r="A1554">
        <v>1827</v>
      </c>
      <c r="B1554" s="1">
        <v>43557</v>
      </c>
      <c r="C1554">
        <v>40</v>
      </c>
      <c r="D1554" t="s">
        <v>20</v>
      </c>
      <c r="E1554">
        <v>153.4</v>
      </c>
      <c r="F1554">
        <v>88.2</v>
      </c>
      <c r="G1554">
        <v>11018</v>
      </c>
      <c r="H1554">
        <v>655</v>
      </c>
      <c r="I1554">
        <v>5.4</v>
      </c>
      <c r="J1554">
        <v>58</v>
      </c>
      <c r="K1554" t="s">
        <v>22</v>
      </c>
      <c r="L1554">
        <v>26</v>
      </c>
      <c r="M1554">
        <v>2.36</v>
      </c>
      <c r="N1554">
        <v>1</v>
      </c>
      <c r="O1554" t="s">
        <v>21</v>
      </c>
      <c r="P1554" cm="1">
        <f t="array" ref="P1554">_xlfn.SWITCH(Table2[[#This Row],[mood]], "Tired", 3, "Neutral", 2, "Happy", 1)</f>
        <v>1</v>
      </c>
    </row>
    <row r="1555" spans="1:16" x14ac:dyDescent="0.3">
      <c r="A1555">
        <v>1682</v>
      </c>
      <c r="B1555" s="1">
        <v>43558</v>
      </c>
      <c r="C1555">
        <v>19</v>
      </c>
      <c r="D1555" t="s">
        <v>20</v>
      </c>
      <c r="E1555">
        <v>176.2</v>
      </c>
      <c r="F1555">
        <v>60.2</v>
      </c>
      <c r="G1555">
        <v>13820</v>
      </c>
      <c r="H1555">
        <v>717.8</v>
      </c>
      <c r="I1555">
        <v>6.4</v>
      </c>
      <c r="J1555">
        <v>72</v>
      </c>
      <c r="K1555" t="s">
        <v>18</v>
      </c>
      <c r="L1555">
        <v>23</v>
      </c>
      <c r="M1555">
        <v>1.72</v>
      </c>
      <c r="N1555">
        <v>5</v>
      </c>
      <c r="O1555" t="s">
        <v>21</v>
      </c>
      <c r="P1555" cm="1">
        <f t="array" ref="P1555">_xlfn.SWITCH(Table2[[#This Row],[mood]], "Tired", 3, "Neutral", 2, "Happy", 1)</f>
        <v>1</v>
      </c>
    </row>
    <row r="1556" spans="1:16" x14ac:dyDescent="0.3">
      <c r="A1556">
        <v>1459</v>
      </c>
      <c r="B1556" s="1">
        <v>43559</v>
      </c>
      <c r="C1556">
        <v>41</v>
      </c>
      <c r="D1556" t="s">
        <v>15</v>
      </c>
      <c r="E1556">
        <v>163</v>
      </c>
      <c r="F1556">
        <v>64.5</v>
      </c>
      <c r="G1556">
        <v>16933</v>
      </c>
      <c r="H1556">
        <v>849.2</v>
      </c>
      <c r="I1556">
        <v>7.4</v>
      </c>
      <c r="J1556">
        <v>91</v>
      </c>
      <c r="K1556" t="s">
        <v>24</v>
      </c>
      <c r="L1556">
        <v>49</v>
      </c>
      <c r="M1556">
        <v>2.9</v>
      </c>
      <c r="N1556">
        <v>2</v>
      </c>
      <c r="O1556" t="s">
        <v>17</v>
      </c>
      <c r="P1556" cm="1">
        <f t="array" ref="P1556">_xlfn.SWITCH(Table2[[#This Row],[mood]], "Tired", 3, "Neutral", 2, "Happy", 1)</f>
        <v>3</v>
      </c>
    </row>
    <row r="1557" spans="1:16" x14ac:dyDescent="0.3">
      <c r="A1557">
        <v>1355</v>
      </c>
      <c r="B1557" s="1">
        <v>43560</v>
      </c>
      <c r="C1557">
        <v>57</v>
      </c>
      <c r="D1557" t="s">
        <v>20</v>
      </c>
      <c r="E1557">
        <v>167.8</v>
      </c>
      <c r="F1557">
        <v>81.5</v>
      </c>
      <c r="G1557">
        <v>2947</v>
      </c>
      <c r="H1557">
        <v>435.9</v>
      </c>
      <c r="I1557">
        <v>8.9</v>
      </c>
      <c r="J1557">
        <v>82</v>
      </c>
      <c r="K1557" t="s">
        <v>16</v>
      </c>
      <c r="L1557">
        <v>0</v>
      </c>
      <c r="M1557">
        <v>3.04</v>
      </c>
      <c r="N1557">
        <v>1</v>
      </c>
      <c r="O1557" t="s">
        <v>21</v>
      </c>
      <c r="P1557" cm="1">
        <f t="array" ref="P1557">_xlfn.SWITCH(Table2[[#This Row],[mood]], "Tired", 3, "Neutral", 2, "Happy", 1)</f>
        <v>1</v>
      </c>
    </row>
    <row r="1558" spans="1:16" x14ac:dyDescent="0.3">
      <c r="A1558">
        <v>1323</v>
      </c>
      <c r="B1558" s="1">
        <v>43561</v>
      </c>
      <c r="C1558">
        <v>48</v>
      </c>
      <c r="D1558" t="s">
        <v>20</v>
      </c>
      <c r="E1558">
        <v>157.4</v>
      </c>
      <c r="F1558">
        <v>58.7</v>
      </c>
      <c r="G1558">
        <v>16310</v>
      </c>
      <c r="H1558">
        <v>899.8</v>
      </c>
      <c r="I1558">
        <v>7.4</v>
      </c>
      <c r="J1558">
        <v>76</v>
      </c>
      <c r="K1558" t="s">
        <v>18</v>
      </c>
      <c r="L1558">
        <v>76</v>
      </c>
      <c r="M1558">
        <v>1.75</v>
      </c>
      <c r="N1558">
        <v>6</v>
      </c>
      <c r="O1558" t="s">
        <v>21</v>
      </c>
      <c r="P1558" cm="1">
        <f t="array" ref="P1558">_xlfn.SWITCH(Table2[[#This Row],[mood]], "Tired", 3, "Neutral", 2, "Happy", 1)</f>
        <v>1</v>
      </c>
    </row>
    <row r="1559" spans="1:16" x14ac:dyDescent="0.3">
      <c r="A1559">
        <v>1132</v>
      </c>
      <c r="B1559" s="1">
        <v>43562</v>
      </c>
      <c r="C1559">
        <v>48</v>
      </c>
      <c r="D1559" t="s">
        <v>15</v>
      </c>
      <c r="E1559">
        <v>178.8</v>
      </c>
      <c r="F1559">
        <v>72.3</v>
      </c>
      <c r="G1559">
        <v>17303</v>
      </c>
      <c r="H1559">
        <v>882.2</v>
      </c>
      <c r="I1559">
        <v>5.9</v>
      </c>
      <c r="J1559">
        <v>52</v>
      </c>
      <c r="K1559" t="s">
        <v>23</v>
      </c>
      <c r="L1559">
        <v>56</v>
      </c>
      <c r="M1559">
        <v>2.2400000000000002</v>
      </c>
      <c r="N1559">
        <v>5</v>
      </c>
      <c r="O1559" t="s">
        <v>19</v>
      </c>
      <c r="P1559" cm="1">
        <f t="array" ref="P1559">_xlfn.SWITCH(Table2[[#This Row],[mood]], "Tired", 3, "Neutral", 2, "Happy", 1)</f>
        <v>2</v>
      </c>
    </row>
    <row r="1560" spans="1:16" x14ac:dyDescent="0.3">
      <c r="A1560">
        <v>1887</v>
      </c>
      <c r="B1560" s="1">
        <v>43563</v>
      </c>
      <c r="C1560">
        <v>57</v>
      </c>
      <c r="D1560" t="s">
        <v>15</v>
      </c>
      <c r="E1560">
        <v>169.6</v>
      </c>
      <c r="F1560">
        <v>63.9</v>
      </c>
      <c r="G1560">
        <v>16014</v>
      </c>
      <c r="H1560">
        <v>811.9</v>
      </c>
      <c r="I1560">
        <v>8.9</v>
      </c>
      <c r="J1560">
        <v>73</v>
      </c>
      <c r="K1560" t="s">
        <v>16</v>
      </c>
      <c r="L1560">
        <v>0</v>
      </c>
      <c r="M1560">
        <v>2.17</v>
      </c>
      <c r="N1560">
        <v>4</v>
      </c>
      <c r="O1560" t="s">
        <v>21</v>
      </c>
      <c r="P1560" cm="1">
        <f t="array" ref="P1560">_xlfn.SWITCH(Table2[[#This Row],[mood]], "Tired", 3, "Neutral", 2, "Happy", 1)</f>
        <v>1</v>
      </c>
    </row>
    <row r="1561" spans="1:16" x14ac:dyDescent="0.3">
      <c r="A1561">
        <v>1804</v>
      </c>
      <c r="B1561" s="1">
        <v>43564</v>
      </c>
      <c r="C1561">
        <v>51</v>
      </c>
      <c r="D1561" t="s">
        <v>20</v>
      </c>
      <c r="E1561">
        <v>180.9</v>
      </c>
      <c r="F1561">
        <v>66.3</v>
      </c>
      <c r="G1561">
        <v>18977</v>
      </c>
      <c r="H1561">
        <v>887.1</v>
      </c>
      <c r="I1561">
        <v>6.5</v>
      </c>
      <c r="J1561">
        <v>77</v>
      </c>
      <c r="K1561" t="s">
        <v>16</v>
      </c>
      <c r="L1561">
        <v>0</v>
      </c>
      <c r="M1561">
        <v>1.44</v>
      </c>
      <c r="N1561">
        <v>1</v>
      </c>
      <c r="O1561" t="s">
        <v>19</v>
      </c>
      <c r="P1561" cm="1">
        <f t="array" ref="P1561">_xlfn.SWITCH(Table2[[#This Row],[mood]], "Tired", 3, "Neutral", 2, "Happy", 1)</f>
        <v>2</v>
      </c>
    </row>
    <row r="1562" spans="1:16" x14ac:dyDescent="0.3">
      <c r="A1562">
        <v>1839</v>
      </c>
      <c r="B1562" s="1">
        <v>43565</v>
      </c>
      <c r="C1562">
        <v>41</v>
      </c>
      <c r="D1562" t="s">
        <v>15</v>
      </c>
      <c r="E1562">
        <v>171.8</v>
      </c>
      <c r="F1562">
        <v>81.400000000000006</v>
      </c>
      <c r="G1562">
        <v>10939</v>
      </c>
      <c r="H1562">
        <v>694</v>
      </c>
      <c r="I1562">
        <v>7.3</v>
      </c>
      <c r="J1562">
        <v>54</v>
      </c>
      <c r="K1562" t="s">
        <v>22</v>
      </c>
      <c r="L1562">
        <v>71</v>
      </c>
      <c r="M1562">
        <v>2.4700000000000002</v>
      </c>
      <c r="N1562">
        <v>5</v>
      </c>
      <c r="O1562" t="s">
        <v>21</v>
      </c>
      <c r="P1562" cm="1">
        <f t="array" ref="P1562">_xlfn.SWITCH(Table2[[#This Row],[mood]], "Tired", 3, "Neutral", 2, "Happy", 1)</f>
        <v>1</v>
      </c>
    </row>
    <row r="1563" spans="1:16" x14ac:dyDescent="0.3">
      <c r="A1563">
        <v>1126</v>
      </c>
      <c r="B1563" s="1">
        <v>43566</v>
      </c>
      <c r="C1563">
        <v>43</v>
      </c>
      <c r="D1563" t="s">
        <v>15</v>
      </c>
      <c r="E1563">
        <v>150.69999999999999</v>
      </c>
      <c r="F1563">
        <v>64.400000000000006</v>
      </c>
      <c r="G1563">
        <v>15465</v>
      </c>
      <c r="H1563">
        <v>783.1</v>
      </c>
      <c r="I1563">
        <v>8.1</v>
      </c>
      <c r="J1563">
        <v>81</v>
      </c>
      <c r="K1563" t="s">
        <v>24</v>
      </c>
      <c r="L1563">
        <v>22</v>
      </c>
      <c r="M1563">
        <v>1.7</v>
      </c>
      <c r="N1563">
        <v>7</v>
      </c>
      <c r="O1563" t="s">
        <v>17</v>
      </c>
      <c r="P1563" cm="1">
        <f t="array" ref="P1563">_xlfn.SWITCH(Table2[[#This Row],[mood]], "Tired", 3, "Neutral", 2, "Happy", 1)</f>
        <v>3</v>
      </c>
    </row>
    <row r="1564" spans="1:16" x14ac:dyDescent="0.3">
      <c r="A1564">
        <v>1105</v>
      </c>
      <c r="B1564" s="1">
        <v>43567</v>
      </c>
      <c r="C1564">
        <v>33</v>
      </c>
      <c r="D1564" t="s">
        <v>20</v>
      </c>
      <c r="E1564">
        <v>181</v>
      </c>
      <c r="F1564">
        <v>81.900000000000006</v>
      </c>
      <c r="G1564">
        <v>11225</v>
      </c>
      <c r="H1564">
        <v>701.7</v>
      </c>
      <c r="I1564">
        <v>9.3000000000000007</v>
      </c>
      <c r="J1564">
        <v>68</v>
      </c>
      <c r="K1564" t="s">
        <v>23</v>
      </c>
      <c r="L1564">
        <v>26</v>
      </c>
      <c r="M1564">
        <v>2.61</v>
      </c>
      <c r="N1564">
        <v>1</v>
      </c>
      <c r="O1564" t="s">
        <v>19</v>
      </c>
      <c r="P1564" cm="1">
        <f t="array" ref="P1564">_xlfn.SWITCH(Table2[[#This Row],[mood]], "Tired", 3, "Neutral", 2, "Happy", 1)</f>
        <v>2</v>
      </c>
    </row>
    <row r="1565" spans="1:16" x14ac:dyDescent="0.3">
      <c r="A1565">
        <v>1603</v>
      </c>
      <c r="B1565" s="1">
        <v>43568</v>
      </c>
      <c r="C1565">
        <v>30</v>
      </c>
      <c r="D1565" t="s">
        <v>20</v>
      </c>
      <c r="E1565">
        <v>150</v>
      </c>
      <c r="F1565">
        <v>45</v>
      </c>
      <c r="G1565">
        <v>8704</v>
      </c>
      <c r="H1565">
        <v>589.5</v>
      </c>
      <c r="I1565">
        <v>7.6</v>
      </c>
      <c r="J1565">
        <v>78</v>
      </c>
      <c r="K1565" t="s">
        <v>16</v>
      </c>
      <c r="L1565">
        <v>0</v>
      </c>
      <c r="M1565">
        <v>2.69</v>
      </c>
      <c r="N1565">
        <v>4</v>
      </c>
      <c r="O1565" t="s">
        <v>21</v>
      </c>
      <c r="P1565" cm="1">
        <f t="array" ref="P1565">_xlfn.SWITCH(Table2[[#This Row],[mood]], "Tired", 3, "Neutral", 2, "Happy", 1)</f>
        <v>1</v>
      </c>
    </row>
    <row r="1566" spans="1:16" x14ac:dyDescent="0.3">
      <c r="A1566">
        <v>1798</v>
      </c>
      <c r="B1566" s="1">
        <v>43569</v>
      </c>
      <c r="C1566">
        <v>32</v>
      </c>
      <c r="D1566" t="s">
        <v>15</v>
      </c>
      <c r="E1566">
        <v>151.30000000000001</v>
      </c>
      <c r="F1566">
        <v>48.6</v>
      </c>
      <c r="G1566">
        <v>17640</v>
      </c>
      <c r="H1566">
        <v>900</v>
      </c>
      <c r="I1566">
        <v>10</v>
      </c>
      <c r="J1566">
        <v>76</v>
      </c>
      <c r="K1566" t="s">
        <v>25</v>
      </c>
      <c r="L1566">
        <v>89</v>
      </c>
      <c r="M1566">
        <v>2.78</v>
      </c>
      <c r="N1566">
        <v>6</v>
      </c>
      <c r="O1566" t="s">
        <v>21</v>
      </c>
      <c r="P1566" cm="1">
        <f t="array" ref="P1566">_xlfn.SWITCH(Table2[[#This Row],[mood]], "Tired", 3, "Neutral", 2, "Happy", 1)</f>
        <v>1</v>
      </c>
    </row>
    <row r="1567" spans="1:16" x14ac:dyDescent="0.3">
      <c r="A1567">
        <v>1377</v>
      </c>
      <c r="B1567" s="1">
        <v>43570</v>
      </c>
      <c r="C1567">
        <v>44</v>
      </c>
      <c r="D1567" t="s">
        <v>20</v>
      </c>
      <c r="E1567">
        <v>160.80000000000001</v>
      </c>
      <c r="F1567">
        <v>45</v>
      </c>
      <c r="G1567">
        <v>7512</v>
      </c>
      <c r="H1567">
        <v>538.4</v>
      </c>
      <c r="I1567">
        <v>6.9</v>
      </c>
      <c r="J1567">
        <v>72</v>
      </c>
      <c r="K1567" t="s">
        <v>25</v>
      </c>
      <c r="L1567">
        <v>53</v>
      </c>
      <c r="M1567">
        <v>2.81</v>
      </c>
      <c r="N1567">
        <v>8</v>
      </c>
      <c r="O1567" t="s">
        <v>17</v>
      </c>
      <c r="P1567" cm="1">
        <f t="array" ref="P1567">_xlfn.SWITCH(Table2[[#This Row],[mood]], "Tired", 3, "Neutral", 2, "Happy", 1)</f>
        <v>3</v>
      </c>
    </row>
    <row r="1568" spans="1:16" x14ac:dyDescent="0.3">
      <c r="A1568">
        <v>1904</v>
      </c>
      <c r="B1568" s="1">
        <v>43571</v>
      </c>
      <c r="C1568">
        <v>21</v>
      </c>
      <c r="D1568" t="s">
        <v>20</v>
      </c>
      <c r="E1568">
        <v>161</v>
      </c>
      <c r="F1568">
        <v>52.5</v>
      </c>
      <c r="G1568">
        <v>3991</v>
      </c>
      <c r="H1568">
        <v>349.1</v>
      </c>
      <c r="I1568">
        <v>7.4</v>
      </c>
      <c r="J1568">
        <v>83</v>
      </c>
      <c r="K1568" t="s">
        <v>23</v>
      </c>
      <c r="L1568">
        <v>35</v>
      </c>
      <c r="M1568">
        <v>3.57</v>
      </c>
      <c r="N1568">
        <v>7</v>
      </c>
      <c r="O1568" t="s">
        <v>21</v>
      </c>
      <c r="P1568" cm="1">
        <f t="array" ref="P1568">_xlfn.SWITCH(Table2[[#This Row],[mood]], "Tired", 3, "Neutral", 2, "Happy", 1)</f>
        <v>1</v>
      </c>
    </row>
    <row r="1569" spans="1:16" x14ac:dyDescent="0.3">
      <c r="A1569">
        <v>1050</v>
      </c>
      <c r="B1569" s="1">
        <v>43572</v>
      </c>
      <c r="C1569">
        <v>33</v>
      </c>
      <c r="D1569" t="s">
        <v>15</v>
      </c>
      <c r="E1569">
        <v>184</v>
      </c>
      <c r="F1569">
        <v>97.9</v>
      </c>
      <c r="G1569">
        <v>18801</v>
      </c>
      <c r="H1569">
        <v>900</v>
      </c>
      <c r="I1569">
        <v>6.1</v>
      </c>
      <c r="J1569">
        <v>78</v>
      </c>
      <c r="K1569" t="s">
        <v>24</v>
      </c>
      <c r="L1569">
        <v>27</v>
      </c>
      <c r="M1569">
        <v>1.93</v>
      </c>
      <c r="N1569">
        <v>7</v>
      </c>
      <c r="O1569" t="s">
        <v>17</v>
      </c>
      <c r="P1569" cm="1">
        <f t="array" ref="P1569">_xlfn.SWITCH(Table2[[#This Row],[mood]], "Tired", 3, "Neutral", 2, "Happy", 1)</f>
        <v>3</v>
      </c>
    </row>
    <row r="1570" spans="1:16" x14ac:dyDescent="0.3">
      <c r="A1570">
        <v>1028</v>
      </c>
      <c r="B1570" s="1">
        <v>43573</v>
      </c>
      <c r="C1570">
        <v>47</v>
      </c>
      <c r="D1570" t="s">
        <v>20</v>
      </c>
      <c r="E1570">
        <v>168.3</v>
      </c>
      <c r="F1570">
        <v>69.7</v>
      </c>
      <c r="G1570">
        <v>8965</v>
      </c>
      <c r="H1570">
        <v>559.79999999999995</v>
      </c>
      <c r="I1570">
        <v>7.5</v>
      </c>
      <c r="J1570">
        <v>102</v>
      </c>
      <c r="K1570" t="s">
        <v>24</v>
      </c>
      <c r="L1570">
        <v>40</v>
      </c>
      <c r="M1570">
        <v>1.97</v>
      </c>
      <c r="N1570">
        <v>8</v>
      </c>
      <c r="O1570" t="s">
        <v>19</v>
      </c>
      <c r="P1570" cm="1">
        <f t="array" ref="P1570">_xlfn.SWITCH(Table2[[#This Row],[mood]], "Tired", 3, "Neutral", 2, "Happy", 1)</f>
        <v>2</v>
      </c>
    </row>
    <row r="1571" spans="1:16" x14ac:dyDescent="0.3">
      <c r="A1571">
        <v>1461</v>
      </c>
      <c r="B1571" s="1">
        <v>43574</v>
      </c>
      <c r="C1571">
        <v>47</v>
      </c>
      <c r="D1571" t="s">
        <v>20</v>
      </c>
      <c r="E1571">
        <v>182.5</v>
      </c>
      <c r="F1571">
        <v>59.2</v>
      </c>
      <c r="G1571">
        <v>14730</v>
      </c>
      <c r="H1571">
        <v>775.8</v>
      </c>
      <c r="I1571">
        <v>7.4</v>
      </c>
      <c r="J1571">
        <v>93</v>
      </c>
      <c r="K1571" t="s">
        <v>22</v>
      </c>
      <c r="L1571">
        <v>30</v>
      </c>
      <c r="M1571">
        <v>2.96</v>
      </c>
      <c r="N1571">
        <v>7</v>
      </c>
      <c r="O1571" t="s">
        <v>19</v>
      </c>
      <c r="P1571" cm="1">
        <f t="array" ref="P1571">_xlfn.SWITCH(Table2[[#This Row],[mood]], "Tired", 3, "Neutral", 2, "Happy", 1)</f>
        <v>2</v>
      </c>
    </row>
    <row r="1572" spans="1:16" x14ac:dyDescent="0.3">
      <c r="A1572">
        <v>1295</v>
      </c>
      <c r="B1572" s="1">
        <v>43575</v>
      </c>
      <c r="C1572">
        <v>53</v>
      </c>
      <c r="D1572" t="s">
        <v>20</v>
      </c>
      <c r="E1572">
        <v>164.3</v>
      </c>
      <c r="F1572">
        <v>81.7</v>
      </c>
      <c r="G1572">
        <v>9301</v>
      </c>
      <c r="H1572">
        <v>490.9</v>
      </c>
      <c r="I1572">
        <v>8.6</v>
      </c>
      <c r="J1572">
        <v>65</v>
      </c>
      <c r="K1572" t="s">
        <v>23</v>
      </c>
      <c r="L1572">
        <v>69</v>
      </c>
      <c r="M1572">
        <v>2.41</v>
      </c>
      <c r="N1572">
        <v>4</v>
      </c>
      <c r="O1572" t="s">
        <v>21</v>
      </c>
      <c r="P1572" cm="1">
        <f t="array" ref="P1572">_xlfn.SWITCH(Table2[[#This Row],[mood]], "Tired", 3, "Neutral", 2, "Happy", 1)</f>
        <v>1</v>
      </c>
    </row>
    <row r="1573" spans="1:16" x14ac:dyDescent="0.3">
      <c r="A1573">
        <v>1296</v>
      </c>
      <c r="B1573" s="1">
        <v>43576</v>
      </c>
      <c r="C1573">
        <v>20</v>
      </c>
      <c r="D1573" t="s">
        <v>20</v>
      </c>
      <c r="E1573">
        <v>173.2</v>
      </c>
      <c r="F1573">
        <v>83.9</v>
      </c>
      <c r="G1573">
        <v>19936</v>
      </c>
      <c r="H1573">
        <v>889.7</v>
      </c>
      <c r="I1573">
        <v>7.7</v>
      </c>
      <c r="J1573">
        <v>87</v>
      </c>
      <c r="K1573" t="s">
        <v>25</v>
      </c>
      <c r="L1573">
        <v>25</v>
      </c>
      <c r="M1573">
        <v>3.29</v>
      </c>
      <c r="N1573">
        <v>6</v>
      </c>
      <c r="O1573" t="s">
        <v>19</v>
      </c>
      <c r="P1573" cm="1">
        <f t="array" ref="P1573">_xlfn.SWITCH(Table2[[#This Row],[mood]], "Tired", 3, "Neutral", 2, "Happy", 1)</f>
        <v>2</v>
      </c>
    </row>
    <row r="1574" spans="1:16" x14ac:dyDescent="0.3">
      <c r="A1574">
        <v>1725</v>
      </c>
      <c r="B1574" s="1">
        <v>43577</v>
      </c>
      <c r="C1574">
        <v>39</v>
      </c>
      <c r="D1574" t="s">
        <v>20</v>
      </c>
      <c r="E1574">
        <v>174.7</v>
      </c>
      <c r="F1574">
        <v>51.7</v>
      </c>
      <c r="G1574">
        <v>10249</v>
      </c>
      <c r="H1574">
        <v>647.9</v>
      </c>
      <c r="I1574">
        <v>6.2</v>
      </c>
      <c r="J1574">
        <v>68</v>
      </c>
      <c r="K1574" t="s">
        <v>23</v>
      </c>
      <c r="L1574">
        <v>34</v>
      </c>
      <c r="M1574">
        <v>2.89</v>
      </c>
      <c r="N1574">
        <v>2</v>
      </c>
      <c r="O1574" t="s">
        <v>17</v>
      </c>
      <c r="P1574" cm="1">
        <f t="array" ref="P1574">_xlfn.SWITCH(Table2[[#This Row],[mood]], "Tired", 3, "Neutral", 2, "Happy", 1)</f>
        <v>3</v>
      </c>
    </row>
    <row r="1575" spans="1:16" x14ac:dyDescent="0.3">
      <c r="A1575">
        <v>1778</v>
      </c>
      <c r="B1575" s="1">
        <v>43578</v>
      </c>
      <c r="C1575">
        <v>39</v>
      </c>
      <c r="D1575" t="s">
        <v>15</v>
      </c>
      <c r="E1575">
        <v>177</v>
      </c>
      <c r="F1575">
        <v>107.5</v>
      </c>
      <c r="G1575">
        <v>15155</v>
      </c>
      <c r="H1575">
        <v>797.2</v>
      </c>
      <c r="I1575">
        <v>7.4</v>
      </c>
      <c r="J1575">
        <v>63</v>
      </c>
      <c r="K1575" t="s">
        <v>18</v>
      </c>
      <c r="L1575">
        <v>30</v>
      </c>
      <c r="M1575">
        <v>3.84</v>
      </c>
      <c r="N1575">
        <v>8</v>
      </c>
      <c r="O1575" t="s">
        <v>17</v>
      </c>
      <c r="P1575" cm="1">
        <f t="array" ref="P1575">_xlfn.SWITCH(Table2[[#This Row],[mood]], "Tired", 3, "Neutral", 2, "Happy", 1)</f>
        <v>3</v>
      </c>
    </row>
    <row r="1576" spans="1:16" x14ac:dyDescent="0.3">
      <c r="A1576">
        <v>1406</v>
      </c>
      <c r="B1576" s="1">
        <v>43579</v>
      </c>
      <c r="C1576">
        <v>29</v>
      </c>
      <c r="D1576" t="s">
        <v>15</v>
      </c>
      <c r="E1576">
        <v>165.4</v>
      </c>
      <c r="F1576">
        <v>74.099999999999994</v>
      </c>
      <c r="G1576">
        <v>17080</v>
      </c>
      <c r="H1576">
        <v>900</v>
      </c>
      <c r="I1576">
        <v>6</v>
      </c>
      <c r="J1576">
        <v>60</v>
      </c>
      <c r="K1576" t="s">
        <v>24</v>
      </c>
      <c r="L1576">
        <v>46</v>
      </c>
      <c r="M1576">
        <v>2.44</v>
      </c>
      <c r="N1576">
        <v>3</v>
      </c>
      <c r="O1576" t="s">
        <v>21</v>
      </c>
      <c r="P1576" cm="1">
        <f t="array" ref="P1576">_xlfn.SWITCH(Table2[[#This Row],[mood]], "Tired", 3, "Neutral", 2, "Happy", 1)</f>
        <v>1</v>
      </c>
    </row>
    <row r="1577" spans="1:16" x14ac:dyDescent="0.3">
      <c r="A1577">
        <v>1768</v>
      </c>
      <c r="B1577" s="1">
        <v>43580</v>
      </c>
      <c r="C1577">
        <v>38</v>
      </c>
      <c r="D1577" t="s">
        <v>20</v>
      </c>
      <c r="E1577">
        <v>166.2</v>
      </c>
      <c r="F1577">
        <v>76</v>
      </c>
      <c r="G1577">
        <v>3042</v>
      </c>
      <c r="H1577">
        <v>302.7</v>
      </c>
      <c r="I1577">
        <v>7.8</v>
      </c>
      <c r="J1577">
        <v>71</v>
      </c>
      <c r="K1577" t="s">
        <v>16</v>
      </c>
      <c r="L1577">
        <v>0</v>
      </c>
      <c r="M1577">
        <v>1.46</v>
      </c>
      <c r="N1577">
        <v>4</v>
      </c>
      <c r="O1577" t="s">
        <v>17</v>
      </c>
      <c r="P1577" cm="1">
        <f t="array" ref="P1577">_xlfn.SWITCH(Table2[[#This Row],[mood]], "Tired", 3, "Neutral", 2, "Happy", 1)</f>
        <v>3</v>
      </c>
    </row>
    <row r="1578" spans="1:16" x14ac:dyDescent="0.3">
      <c r="A1578">
        <v>1813</v>
      </c>
      <c r="B1578" s="1">
        <v>43581</v>
      </c>
      <c r="C1578">
        <v>21</v>
      </c>
      <c r="D1578" t="s">
        <v>15</v>
      </c>
      <c r="E1578">
        <v>167</v>
      </c>
      <c r="F1578">
        <v>77.5</v>
      </c>
      <c r="G1578">
        <v>19565</v>
      </c>
      <c r="H1578">
        <v>900</v>
      </c>
      <c r="I1578">
        <v>6.2</v>
      </c>
      <c r="J1578">
        <v>85</v>
      </c>
      <c r="K1578" t="s">
        <v>18</v>
      </c>
      <c r="L1578">
        <v>57</v>
      </c>
      <c r="M1578">
        <v>2.74</v>
      </c>
      <c r="N1578">
        <v>2</v>
      </c>
      <c r="O1578" t="s">
        <v>17</v>
      </c>
      <c r="P1578" cm="1">
        <f t="array" ref="P1578">_xlfn.SWITCH(Table2[[#This Row],[mood]], "Tired", 3, "Neutral", 2, "Happy", 1)</f>
        <v>3</v>
      </c>
    </row>
    <row r="1579" spans="1:16" x14ac:dyDescent="0.3">
      <c r="A1579">
        <v>1612</v>
      </c>
      <c r="B1579" s="1">
        <v>43582</v>
      </c>
      <c r="C1579">
        <v>48</v>
      </c>
      <c r="D1579" t="s">
        <v>20</v>
      </c>
      <c r="E1579">
        <v>153.5</v>
      </c>
      <c r="F1579">
        <v>77.400000000000006</v>
      </c>
      <c r="G1579">
        <v>15834</v>
      </c>
      <c r="H1579">
        <v>879.8</v>
      </c>
      <c r="I1579">
        <v>4.9000000000000004</v>
      </c>
      <c r="J1579">
        <v>77</v>
      </c>
      <c r="K1579" t="s">
        <v>25</v>
      </c>
      <c r="L1579">
        <v>23</v>
      </c>
      <c r="M1579">
        <v>2.4500000000000002</v>
      </c>
      <c r="N1579">
        <v>9</v>
      </c>
      <c r="O1579" t="s">
        <v>17</v>
      </c>
      <c r="P1579" cm="1">
        <f t="array" ref="P1579">_xlfn.SWITCH(Table2[[#This Row],[mood]], "Tired", 3, "Neutral", 2, "Happy", 1)</f>
        <v>3</v>
      </c>
    </row>
    <row r="1580" spans="1:16" x14ac:dyDescent="0.3">
      <c r="A1580">
        <v>1404</v>
      </c>
      <c r="B1580" s="1">
        <v>43583</v>
      </c>
      <c r="C1580">
        <v>48</v>
      </c>
      <c r="D1580" t="s">
        <v>20</v>
      </c>
      <c r="E1580">
        <v>169.2</v>
      </c>
      <c r="F1580">
        <v>60.7</v>
      </c>
      <c r="G1580">
        <v>5492</v>
      </c>
      <c r="H1580">
        <v>497.4</v>
      </c>
      <c r="I1580">
        <v>5.3</v>
      </c>
      <c r="J1580">
        <v>80</v>
      </c>
      <c r="K1580" t="s">
        <v>24</v>
      </c>
      <c r="L1580">
        <v>64</v>
      </c>
      <c r="M1580">
        <v>2.87</v>
      </c>
      <c r="N1580">
        <v>2</v>
      </c>
      <c r="O1580" t="s">
        <v>21</v>
      </c>
      <c r="P1580" cm="1">
        <f t="array" ref="P1580">_xlfn.SWITCH(Table2[[#This Row],[mood]], "Tired", 3, "Neutral", 2, "Happy", 1)</f>
        <v>1</v>
      </c>
    </row>
    <row r="1581" spans="1:16" x14ac:dyDescent="0.3">
      <c r="A1581">
        <v>1345</v>
      </c>
      <c r="B1581" s="1">
        <v>43584</v>
      </c>
      <c r="C1581">
        <v>40</v>
      </c>
      <c r="D1581" t="s">
        <v>20</v>
      </c>
      <c r="E1581">
        <v>166.2</v>
      </c>
      <c r="F1581">
        <v>101.7</v>
      </c>
      <c r="G1581">
        <v>4558</v>
      </c>
      <c r="H1581">
        <v>366.5</v>
      </c>
      <c r="I1581">
        <v>5.2</v>
      </c>
      <c r="J1581">
        <v>50</v>
      </c>
      <c r="K1581" t="s">
        <v>25</v>
      </c>
      <c r="L1581">
        <v>29</v>
      </c>
      <c r="M1581">
        <v>2.96</v>
      </c>
      <c r="N1581">
        <v>6</v>
      </c>
      <c r="O1581" t="s">
        <v>19</v>
      </c>
      <c r="P1581" cm="1">
        <f t="array" ref="P1581">_xlfn.SWITCH(Table2[[#This Row],[mood]], "Tired", 3, "Neutral", 2, "Happy", 1)</f>
        <v>2</v>
      </c>
    </row>
    <row r="1582" spans="1:16" x14ac:dyDescent="0.3">
      <c r="A1582">
        <v>1621</v>
      </c>
      <c r="B1582" s="1">
        <v>43585</v>
      </c>
      <c r="C1582">
        <v>37</v>
      </c>
      <c r="D1582" t="s">
        <v>20</v>
      </c>
      <c r="E1582">
        <v>175.8</v>
      </c>
      <c r="F1582">
        <v>65.7</v>
      </c>
      <c r="G1582">
        <v>10813</v>
      </c>
      <c r="H1582">
        <v>582.5</v>
      </c>
      <c r="I1582">
        <v>6.2</v>
      </c>
      <c r="J1582">
        <v>73</v>
      </c>
      <c r="K1582" t="s">
        <v>25</v>
      </c>
      <c r="L1582">
        <v>73</v>
      </c>
      <c r="M1582">
        <v>2.13</v>
      </c>
      <c r="N1582">
        <v>3</v>
      </c>
      <c r="O1582" t="s">
        <v>17</v>
      </c>
      <c r="P1582" cm="1">
        <f t="array" ref="P1582">_xlfn.SWITCH(Table2[[#This Row],[mood]], "Tired", 3, "Neutral", 2, "Happy", 1)</f>
        <v>3</v>
      </c>
    </row>
    <row r="1583" spans="1:16" x14ac:dyDescent="0.3">
      <c r="A1583">
        <v>1419</v>
      </c>
      <c r="B1583" s="1">
        <v>43586</v>
      </c>
      <c r="C1583">
        <v>32</v>
      </c>
      <c r="D1583" t="s">
        <v>20</v>
      </c>
      <c r="E1583">
        <v>170.9</v>
      </c>
      <c r="F1583">
        <v>84.4</v>
      </c>
      <c r="G1583">
        <v>4658</v>
      </c>
      <c r="H1583">
        <v>447</v>
      </c>
      <c r="I1583">
        <v>5.7</v>
      </c>
      <c r="J1583">
        <v>64</v>
      </c>
      <c r="K1583" t="s">
        <v>25</v>
      </c>
      <c r="L1583">
        <v>48</v>
      </c>
      <c r="M1583">
        <v>1.79</v>
      </c>
      <c r="N1583">
        <v>6</v>
      </c>
      <c r="O1583" t="s">
        <v>19</v>
      </c>
      <c r="P1583" cm="1">
        <f t="array" ref="P1583">_xlfn.SWITCH(Table2[[#This Row],[mood]], "Tired", 3, "Neutral", 2, "Happy", 1)</f>
        <v>2</v>
      </c>
    </row>
    <row r="1584" spans="1:16" x14ac:dyDescent="0.3">
      <c r="A1584">
        <v>1181</v>
      </c>
      <c r="B1584" s="1">
        <v>43587</v>
      </c>
      <c r="C1584">
        <v>40</v>
      </c>
      <c r="D1584" t="s">
        <v>15</v>
      </c>
      <c r="E1584">
        <v>183.4</v>
      </c>
      <c r="F1584">
        <v>62.9</v>
      </c>
      <c r="G1584">
        <v>17319</v>
      </c>
      <c r="H1584">
        <v>878.4</v>
      </c>
      <c r="I1584">
        <v>7</v>
      </c>
      <c r="J1584">
        <v>59</v>
      </c>
      <c r="K1584" t="s">
        <v>22</v>
      </c>
      <c r="L1584">
        <v>31</v>
      </c>
      <c r="M1584">
        <v>2.4</v>
      </c>
      <c r="N1584">
        <v>4</v>
      </c>
      <c r="O1584" t="s">
        <v>19</v>
      </c>
      <c r="P1584" cm="1">
        <f t="array" ref="P1584">_xlfn.SWITCH(Table2[[#This Row],[mood]], "Tired", 3, "Neutral", 2, "Happy", 1)</f>
        <v>2</v>
      </c>
    </row>
    <row r="1585" spans="1:16" x14ac:dyDescent="0.3">
      <c r="A1585">
        <v>1982</v>
      </c>
      <c r="B1585" s="1">
        <v>43588</v>
      </c>
      <c r="C1585">
        <v>45</v>
      </c>
      <c r="D1585" t="s">
        <v>15</v>
      </c>
      <c r="E1585">
        <v>170.7</v>
      </c>
      <c r="F1585">
        <v>60.2</v>
      </c>
      <c r="G1585">
        <v>4884</v>
      </c>
      <c r="H1585">
        <v>371.1</v>
      </c>
      <c r="I1585">
        <v>6.4</v>
      </c>
      <c r="J1585">
        <v>63</v>
      </c>
      <c r="K1585" t="s">
        <v>25</v>
      </c>
      <c r="L1585">
        <v>75</v>
      </c>
      <c r="M1585">
        <v>0.83</v>
      </c>
      <c r="N1585">
        <v>8</v>
      </c>
      <c r="O1585" t="s">
        <v>21</v>
      </c>
      <c r="P1585" cm="1">
        <f t="array" ref="P1585">_xlfn.SWITCH(Table2[[#This Row],[mood]], "Tired", 3, "Neutral", 2, "Happy", 1)</f>
        <v>1</v>
      </c>
    </row>
    <row r="1586" spans="1:16" x14ac:dyDescent="0.3">
      <c r="A1586">
        <v>1824</v>
      </c>
      <c r="B1586" s="1">
        <v>43589</v>
      </c>
      <c r="C1586">
        <v>33</v>
      </c>
      <c r="D1586" t="s">
        <v>20</v>
      </c>
      <c r="E1586">
        <v>164.4</v>
      </c>
      <c r="F1586">
        <v>98.5</v>
      </c>
      <c r="G1586">
        <v>5780</v>
      </c>
      <c r="H1586">
        <v>411.2</v>
      </c>
      <c r="I1586">
        <v>7.8</v>
      </c>
      <c r="J1586">
        <v>76</v>
      </c>
      <c r="K1586" t="s">
        <v>25</v>
      </c>
      <c r="L1586">
        <v>59</v>
      </c>
      <c r="M1586">
        <v>2.56</v>
      </c>
      <c r="N1586">
        <v>3</v>
      </c>
      <c r="O1586" t="s">
        <v>21</v>
      </c>
      <c r="P1586" cm="1">
        <f t="array" ref="P1586">_xlfn.SWITCH(Table2[[#This Row],[mood]], "Tired", 3, "Neutral", 2, "Happy", 1)</f>
        <v>1</v>
      </c>
    </row>
    <row r="1587" spans="1:16" x14ac:dyDescent="0.3">
      <c r="A1587">
        <v>1000</v>
      </c>
      <c r="B1587" s="1">
        <v>43590</v>
      </c>
      <c r="C1587">
        <v>54</v>
      </c>
      <c r="D1587" t="s">
        <v>15</v>
      </c>
      <c r="E1587">
        <v>170.6</v>
      </c>
      <c r="F1587">
        <v>68.400000000000006</v>
      </c>
      <c r="G1587">
        <v>6952</v>
      </c>
      <c r="H1587">
        <v>442.1</v>
      </c>
      <c r="I1587">
        <v>7.6</v>
      </c>
      <c r="J1587">
        <v>82</v>
      </c>
      <c r="K1587" t="s">
        <v>18</v>
      </c>
      <c r="L1587">
        <v>56</v>
      </c>
      <c r="M1587">
        <v>2.21</v>
      </c>
      <c r="N1587">
        <v>8</v>
      </c>
      <c r="O1587" t="s">
        <v>19</v>
      </c>
      <c r="P1587" cm="1">
        <f t="array" ref="P1587">_xlfn.SWITCH(Table2[[#This Row],[mood]], "Tired", 3, "Neutral", 2, "Happy", 1)</f>
        <v>2</v>
      </c>
    </row>
    <row r="1588" spans="1:16" x14ac:dyDescent="0.3">
      <c r="A1588">
        <v>1830</v>
      </c>
      <c r="B1588" s="1">
        <v>43591</v>
      </c>
      <c r="C1588">
        <v>38</v>
      </c>
      <c r="D1588" t="s">
        <v>20</v>
      </c>
      <c r="E1588">
        <v>177.2</v>
      </c>
      <c r="F1588">
        <v>69.5</v>
      </c>
      <c r="G1588">
        <v>8517</v>
      </c>
      <c r="H1588">
        <v>579.4</v>
      </c>
      <c r="I1588">
        <v>6.5</v>
      </c>
      <c r="J1588">
        <v>66</v>
      </c>
      <c r="K1588" t="s">
        <v>18</v>
      </c>
      <c r="L1588">
        <v>85</v>
      </c>
      <c r="M1588">
        <v>3.1</v>
      </c>
      <c r="N1588">
        <v>3</v>
      </c>
      <c r="O1588" t="s">
        <v>21</v>
      </c>
      <c r="P1588" cm="1">
        <f t="array" ref="P1588">_xlfn.SWITCH(Table2[[#This Row],[mood]], "Tired", 3, "Neutral", 2, "Happy", 1)</f>
        <v>1</v>
      </c>
    </row>
    <row r="1589" spans="1:16" x14ac:dyDescent="0.3">
      <c r="A1589">
        <v>1949</v>
      </c>
      <c r="B1589" s="1">
        <v>43592</v>
      </c>
      <c r="C1589">
        <v>32</v>
      </c>
      <c r="D1589" t="s">
        <v>15</v>
      </c>
      <c r="E1589">
        <v>152.30000000000001</v>
      </c>
      <c r="F1589">
        <v>74.3</v>
      </c>
      <c r="G1589">
        <v>6106</v>
      </c>
      <c r="H1589">
        <v>377.3</v>
      </c>
      <c r="I1589">
        <v>8.9</v>
      </c>
      <c r="J1589">
        <v>81</v>
      </c>
      <c r="K1589" t="s">
        <v>18</v>
      </c>
      <c r="L1589">
        <v>39</v>
      </c>
      <c r="M1589">
        <v>1.1100000000000001</v>
      </c>
      <c r="N1589">
        <v>5</v>
      </c>
      <c r="O1589" t="s">
        <v>19</v>
      </c>
      <c r="P1589" cm="1">
        <f t="array" ref="P1589">_xlfn.SWITCH(Table2[[#This Row],[mood]], "Tired", 3, "Neutral", 2, "Happy", 1)</f>
        <v>2</v>
      </c>
    </row>
    <row r="1590" spans="1:16" x14ac:dyDescent="0.3">
      <c r="A1590">
        <v>1566</v>
      </c>
      <c r="B1590" s="1">
        <v>43593</v>
      </c>
      <c r="C1590">
        <v>34</v>
      </c>
      <c r="D1590" t="s">
        <v>20</v>
      </c>
      <c r="E1590">
        <v>162.80000000000001</v>
      </c>
      <c r="F1590">
        <v>109</v>
      </c>
      <c r="G1590">
        <v>19550</v>
      </c>
      <c r="H1590">
        <v>900</v>
      </c>
      <c r="I1590">
        <v>5.6</v>
      </c>
      <c r="J1590">
        <v>83</v>
      </c>
      <c r="K1590" t="s">
        <v>24</v>
      </c>
      <c r="L1590">
        <v>31</v>
      </c>
      <c r="M1590">
        <v>2.5</v>
      </c>
      <c r="N1590">
        <v>2</v>
      </c>
      <c r="O1590" t="s">
        <v>17</v>
      </c>
      <c r="P1590" cm="1">
        <f t="array" ref="P1590">_xlfn.SWITCH(Table2[[#This Row],[mood]], "Tired", 3, "Neutral", 2, "Happy", 1)</f>
        <v>3</v>
      </c>
    </row>
    <row r="1591" spans="1:16" x14ac:dyDescent="0.3">
      <c r="A1591">
        <v>1370</v>
      </c>
      <c r="B1591" s="1">
        <v>43594</v>
      </c>
      <c r="C1591">
        <v>54</v>
      </c>
      <c r="D1591" t="s">
        <v>15</v>
      </c>
      <c r="E1591">
        <v>163.1</v>
      </c>
      <c r="F1591">
        <v>102.5</v>
      </c>
      <c r="G1591">
        <v>5397</v>
      </c>
      <c r="H1591">
        <v>428.4</v>
      </c>
      <c r="I1591">
        <v>8.5</v>
      </c>
      <c r="J1591">
        <v>78</v>
      </c>
      <c r="K1591" t="s">
        <v>22</v>
      </c>
      <c r="L1591">
        <v>57</v>
      </c>
      <c r="M1591">
        <v>3.6</v>
      </c>
      <c r="N1591">
        <v>6</v>
      </c>
      <c r="O1591" t="s">
        <v>19</v>
      </c>
      <c r="P1591" cm="1">
        <f t="array" ref="P1591">_xlfn.SWITCH(Table2[[#This Row],[mood]], "Tired", 3, "Neutral", 2, "Happy", 1)</f>
        <v>2</v>
      </c>
    </row>
    <row r="1592" spans="1:16" x14ac:dyDescent="0.3">
      <c r="A1592">
        <v>1935</v>
      </c>
      <c r="B1592" s="1">
        <v>43595</v>
      </c>
      <c r="C1592">
        <v>30</v>
      </c>
      <c r="D1592" t="s">
        <v>20</v>
      </c>
      <c r="E1592">
        <v>174.1</v>
      </c>
      <c r="F1592">
        <v>89.3</v>
      </c>
      <c r="G1592">
        <v>13643</v>
      </c>
      <c r="H1592">
        <v>715.8</v>
      </c>
      <c r="I1592">
        <v>7.2</v>
      </c>
      <c r="J1592">
        <v>66</v>
      </c>
      <c r="K1592" t="s">
        <v>24</v>
      </c>
      <c r="L1592">
        <v>49</v>
      </c>
      <c r="M1592">
        <v>2.97</v>
      </c>
      <c r="N1592">
        <v>7</v>
      </c>
      <c r="O1592" t="s">
        <v>19</v>
      </c>
      <c r="P1592" cm="1">
        <f t="array" ref="P1592">_xlfn.SWITCH(Table2[[#This Row],[mood]], "Tired", 3, "Neutral", 2, "Happy", 1)</f>
        <v>2</v>
      </c>
    </row>
    <row r="1593" spans="1:16" x14ac:dyDescent="0.3">
      <c r="A1593">
        <v>1910</v>
      </c>
      <c r="B1593" s="1">
        <v>43596</v>
      </c>
      <c r="C1593">
        <v>36</v>
      </c>
      <c r="D1593" t="s">
        <v>20</v>
      </c>
      <c r="E1593">
        <v>175.3</v>
      </c>
      <c r="F1593">
        <v>112.8</v>
      </c>
      <c r="G1593">
        <v>15822</v>
      </c>
      <c r="H1593">
        <v>900</v>
      </c>
      <c r="I1593">
        <v>6.4</v>
      </c>
      <c r="J1593">
        <v>70</v>
      </c>
      <c r="K1593" t="s">
        <v>22</v>
      </c>
      <c r="L1593">
        <v>66</v>
      </c>
      <c r="M1593">
        <v>3.19</v>
      </c>
      <c r="N1593">
        <v>8</v>
      </c>
      <c r="O1593" t="s">
        <v>17</v>
      </c>
      <c r="P1593" cm="1">
        <f t="array" ref="P1593">_xlfn.SWITCH(Table2[[#This Row],[mood]], "Tired", 3, "Neutral", 2, "Happy", 1)</f>
        <v>3</v>
      </c>
    </row>
    <row r="1594" spans="1:16" x14ac:dyDescent="0.3">
      <c r="A1594">
        <v>1660</v>
      </c>
      <c r="B1594" s="1">
        <v>43597</v>
      </c>
      <c r="C1594">
        <v>47</v>
      </c>
      <c r="D1594" t="s">
        <v>15</v>
      </c>
      <c r="E1594">
        <v>171</v>
      </c>
      <c r="F1594">
        <v>55.8</v>
      </c>
      <c r="G1594">
        <v>11462</v>
      </c>
      <c r="H1594">
        <v>703.4</v>
      </c>
      <c r="I1594">
        <v>8.6999999999999993</v>
      </c>
      <c r="J1594">
        <v>78</v>
      </c>
      <c r="K1594" t="s">
        <v>22</v>
      </c>
      <c r="L1594">
        <v>61</v>
      </c>
      <c r="M1594">
        <v>2.74</v>
      </c>
      <c r="N1594">
        <v>4</v>
      </c>
      <c r="O1594" t="s">
        <v>21</v>
      </c>
      <c r="P1594" cm="1">
        <f t="array" ref="P1594">_xlfn.SWITCH(Table2[[#This Row],[mood]], "Tired", 3, "Neutral", 2, "Happy", 1)</f>
        <v>1</v>
      </c>
    </row>
    <row r="1595" spans="1:16" x14ac:dyDescent="0.3">
      <c r="A1595">
        <v>1430</v>
      </c>
      <c r="B1595" s="1">
        <v>43598</v>
      </c>
      <c r="C1595">
        <v>35</v>
      </c>
      <c r="D1595" t="s">
        <v>15</v>
      </c>
      <c r="E1595">
        <v>150</v>
      </c>
      <c r="F1595">
        <v>79.8</v>
      </c>
      <c r="G1595">
        <v>4711</v>
      </c>
      <c r="H1595">
        <v>365.7</v>
      </c>
      <c r="I1595">
        <v>7.8</v>
      </c>
      <c r="J1595">
        <v>68</v>
      </c>
      <c r="K1595" t="s">
        <v>23</v>
      </c>
      <c r="L1595">
        <v>24</v>
      </c>
      <c r="M1595">
        <v>1.34</v>
      </c>
      <c r="N1595">
        <v>9</v>
      </c>
      <c r="O1595" t="s">
        <v>19</v>
      </c>
      <c r="P1595" cm="1">
        <f t="array" ref="P1595">_xlfn.SWITCH(Table2[[#This Row],[mood]], "Tired", 3, "Neutral", 2, "Happy", 1)</f>
        <v>2</v>
      </c>
    </row>
    <row r="1596" spans="1:16" x14ac:dyDescent="0.3">
      <c r="A1596">
        <v>1968</v>
      </c>
      <c r="B1596" s="1">
        <v>43599</v>
      </c>
      <c r="C1596">
        <v>31</v>
      </c>
      <c r="D1596" t="s">
        <v>20</v>
      </c>
      <c r="E1596">
        <v>153.5</v>
      </c>
      <c r="F1596">
        <v>71.099999999999994</v>
      </c>
      <c r="G1596">
        <v>2586</v>
      </c>
      <c r="H1596">
        <v>298.10000000000002</v>
      </c>
      <c r="I1596">
        <v>5.4</v>
      </c>
      <c r="J1596">
        <v>81</v>
      </c>
      <c r="K1596" t="s">
        <v>16</v>
      </c>
      <c r="L1596">
        <v>0</v>
      </c>
      <c r="M1596">
        <v>2.62</v>
      </c>
      <c r="N1596">
        <v>2</v>
      </c>
      <c r="O1596" t="s">
        <v>21</v>
      </c>
      <c r="P1596" cm="1">
        <f t="array" ref="P1596">_xlfn.SWITCH(Table2[[#This Row],[mood]], "Tired", 3, "Neutral", 2, "Happy", 1)</f>
        <v>1</v>
      </c>
    </row>
    <row r="1597" spans="1:16" x14ac:dyDescent="0.3">
      <c r="A1597">
        <v>1308</v>
      </c>
      <c r="B1597" s="1">
        <v>43600</v>
      </c>
      <c r="C1597">
        <v>53</v>
      </c>
      <c r="D1597" t="s">
        <v>15</v>
      </c>
      <c r="E1597">
        <v>167.6</v>
      </c>
      <c r="F1597">
        <v>45</v>
      </c>
      <c r="G1597">
        <v>10406</v>
      </c>
      <c r="H1597">
        <v>661</v>
      </c>
      <c r="I1597">
        <v>7.5</v>
      </c>
      <c r="J1597">
        <v>64</v>
      </c>
      <c r="K1597" t="s">
        <v>23</v>
      </c>
      <c r="L1597">
        <v>70</v>
      </c>
      <c r="M1597">
        <v>2.79</v>
      </c>
      <c r="N1597">
        <v>8</v>
      </c>
      <c r="O1597" t="s">
        <v>17</v>
      </c>
      <c r="P1597" cm="1">
        <f t="array" ref="P1597">_xlfn.SWITCH(Table2[[#This Row],[mood]], "Tired", 3, "Neutral", 2, "Happy", 1)</f>
        <v>3</v>
      </c>
    </row>
    <row r="1598" spans="1:16" x14ac:dyDescent="0.3">
      <c r="A1598">
        <v>1136</v>
      </c>
      <c r="B1598" s="1">
        <v>43601</v>
      </c>
      <c r="C1598">
        <v>53</v>
      </c>
      <c r="D1598" t="s">
        <v>20</v>
      </c>
      <c r="E1598">
        <v>165</v>
      </c>
      <c r="F1598">
        <v>76.900000000000006</v>
      </c>
      <c r="G1598">
        <v>8138</v>
      </c>
      <c r="H1598">
        <v>529.5</v>
      </c>
      <c r="I1598">
        <v>7.5</v>
      </c>
      <c r="J1598">
        <v>79</v>
      </c>
      <c r="K1598" t="s">
        <v>23</v>
      </c>
      <c r="L1598">
        <v>31</v>
      </c>
      <c r="M1598">
        <v>1.75</v>
      </c>
      <c r="N1598">
        <v>6</v>
      </c>
      <c r="O1598" t="s">
        <v>19</v>
      </c>
      <c r="P1598" cm="1">
        <f t="array" ref="P1598">_xlfn.SWITCH(Table2[[#This Row],[mood]], "Tired", 3, "Neutral", 2, "Happy", 1)</f>
        <v>2</v>
      </c>
    </row>
    <row r="1599" spans="1:16" x14ac:dyDescent="0.3">
      <c r="A1599">
        <v>1201</v>
      </c>
      <c r="B1599" s="1">
        <v>43602</v>
      </c>
      <c r="C1599">
        <v>37</v>
      </c>
      <c r="D1599" t="s">
        <v>15</v>
      </c>
      <c r="E1599">
        <v>170.1</v>
      </c>
      <c r="F1599">
        <v>62.6</v>
      </c>
      <c r="G1599">
        <v>8662</v>
      </c>
      <c r="H1599">
        <v>616.6</v>
      </c>
      <c r="I1599">
        <v>8.5</v>
      </c>
      <c r="J1599">
        <v>84</v>
      </c>
      <c r="K1599" t="s">
        <v>22</v>
      </c>
      <c r="L1599">
        <v>29</v>
      </c>
      <c r="M1599">
        <v>2.41</v>
      </c>
      <c r="N1599">
        <v>4</v>
      </c>
      <c r="O1599" t="s">
        <v>19</v>
      </c>
      <c r="P1599" cm="1">
        <f t="array" ref="P1599">_xlfn.SWITCH(Table2[[#This Row],[mood]], "Tired", 3, "Neutral", 2, "Happy", 1)</f>
        <v>2</v>
      </c>
    </row>
    <row r="1600" spans="1:16" x14ac:dyDescent="0.3">
      <c r="A1600">
        <v>1435</v>
      </c>
      <c r="B1600" s="1">
        <v>43603</v>
      </c>
      <c r="C1600">
        <v>36</v>
      </c>
      <c r="D1600" t="s">
        <v>15</v>
      </c>
      <c r="E1600">
        <v>165.3</v>
      </c>
      <c r="F1600">
        <v>93</v>
      </c>
      <c r="G1600">
        <v>8404</v>
      </c>
      <c r="H1600">
        <v>564.5</v>
      </c>
      <c r="I1600">
        <v>7.9</v>
      </c>
      <c r="J1600">
        <v>77</v>
      </c>
      <c r="K1600" t="s">
        <v>22</v>
      </c>
      <c r="L1600">
        <v>56</v>
      </c>
      <c r="M1600">
        <v>0.5</v>
      </c>
      <c r="N1600">
        <v>2</v>
      </c>
      <c r="O1600" t="s">
        <v>19</v>
      </c>
      <c r="P1600" cm="1">
        <f t="array" ref="P1600">_xlfn.SWITCH(Table2[[#This Row],[mood]], "Tired", 3, "Neutral", 2, "Happy", 1)</f>
        <v>2</v>
      </c>
    </row>
    <row r="1601" spans="1:16" x14ac:dyDescent="0.3">
      <c r="A1601">
        <v>1312</v>
      </c>
      <c r="B1601" s="1">
        <v>43604</v>
      </c>
      <c r="C1601">
        <v>24</v>
      </c>
      <c r="D1601" t="s">
        <v>20</v>
      </c>
      <c r="E1601">
        <v>185.3</v>
      </c>
      <c r="F1601">
        <v>64.099999999999994</v>
      </c>
      <c r="G1601">
        <v>14333</v>
      </c>
      <c r="H1601">
        <v>786</v>
      </c>
      <c r="I1601">
        <v>8</v>
      </c>
      <c r="J1601">
        <v>65</v>
      </c>
      <c r="K1601" t="s">
        <v>24</v>
      </c>
      <c r="L1601">
        <v>85</v>
      </c>
      <c r="M1601">
        <v>2.27</v>
      </c>
      <c r="N1601">
        <v>4</v>
      </c>
      <c r="O1601" t="s">
        <v>19</v>
      </c>
      <c r="P1601" cm="1">
        <f t="array" ref="P1601">_xlfn.SWITCH(Table2[[#This Row],[mood]], "Tired", 3, "Neutral", 2, "Happy", 1)</f>
        <v>2</v>
      </c>
    </row>
    <row r="1602" spans="1:16" x14ac:dyDescent="0.3">
      <c r="A1602">
        <v>1116</v>
      </c>
      <c r="B1602" s="1">
        <v>43605</v>
      </c>
      <c r="C1602">
        <v>21</v>
      </c>
      <c r="D1602" t="s">
        <v>15</v>
      </c>
      <c r="E1602">
        <v>150</v>
      </c>
      <c r="F1602">
        <v>63.2</v>
      </c>
      <c r="G1602">
        <v>10837</v>
      </c>
      <c r="H1602">
        <v>645.70000000000005</v>
      </c>
      <c r="I1602">
        <v>6.3</v>
      </c>
      <c r="J1602">
        <v>59</v>
      </c>
      <c r="K1602" t="s">
        <v>22</v>
      </c>
      <c r="L1602">
        <v>86</v>
      </c>
      <c r="M1602">
        <v>2.19</v>
      </c>
      <c r="N1602">
        <v>3</v>
      </c>
      <c r="O1602" t="s">
        <v>21</v>
      </c>
      <c r="P1602" cm="1">
        <f t="array" ref="P1602">_xlfn.SWITCH(Table2[[#This Row],[mood]], "Tired", 3, "Neutral", 2, "Happy", 1)</f>
        <v>1</v>
      </c>
    </row>
    <row r="1603" spans="1:16" x14ac:dyDescent="0.3">
      <c r="A1603">
        <v>1665</v>
      </c>
      <c r="B1603" s="1">
        <v>43606</v>
      </c>
      <c r="C1603">
        <v>51</v>
      </c>
      <c r="D1603" t="s">
        <v>15</v>
      </c>
      <c r="E1603">
        <v>173</v>
      </c>
      <c r="F1603">
        <v>93</v>
      </c>
      <c r="G1603">
        <v>10542</v>
      </c>
      <c r="H1603">
        <v>779.1</v>
      </c>
      <c r="I1603">
        <v>6.7</v>
      </c>
      <c r="J1603">
        <v>64</v>
      </c>
      <c r="K1603" t="s">
        <v>25</v>
      </c>
      <c r="L1603">
        <v>33</v>
      </c>
      <c r="M1603">
        <v>3.48</v>
      </c>
      <c r="N1603">
        <v>4</v>
      </c>
      <c r="O1603" t="s">
        <v>21</v>
      </c>
      <c r="P1603" cm="1">
        <f t="array" ref="P1603">_xlfn.SWITCH(Table2[[#This Row],[mood]], "Tired", 3, "Neutral", 2, "Happy", 1)</f>
        <v>1</v>
      </c>
    </row>
    <row r="1604" spans="1:16" x14ac:dyDescent="0.3">
      <c r="A1604">
        <v>1936</v>
      </c>
      <c r="B1604" s="1">
        <v>43607</v>
      </c>
      <c r="C1604">
        <v>19</v>
      </c>
      <c r="D1604" t="s">
        <v>20</v>
      </c>
      <c r="E1604">
        <v>178.3</v>
      </c>
      <c r="F1604">
        <v>69</v>
      </c>
      <c r="G1604">
        <v>16904</v>
      </c>
      <c r="H1604">
        <v>825.2</v>
      </c>
      <c r="I1604">
        <v>6.6</v>
      </c>
      <c r="J1604">
        <v>80</v>
      </c>
      <c r="K1604" t="s">
        <v>25</v>
      </c>
      <c r="L1604">
        <v>66</v>
      </c>
      <c r="M1604">
        <v>2.08</v>
      </c>
      <c r="N1604">
        <v>4</v>
      </c>
      <c r="O1604" t="s">
        <v>17</v>
      </c>
      <c r="P1604" cm="1">
        <f t="array" ref="P1604">_xlfn.SWITCH(Table2[[#This Row],[mood]], "Tired", 3, "Neutral", 2, "Happy", 1)</f>
        <v>3</v>
      </c>
    </row>
    <row r="1605" spans="1:16" x14ac:dyDescent="0.3">
      <c r="A1605">
        <v>1802</v>
      </c>
      <c r="B1605" s="1">
        <v>43608</v>
      </c>
      <c r="C1605">
        <v>22</v>
      </c>
      <c r="D1605" t="s">
        <v>15</v>
      </c>
      <c r="E1605">
        <v>177</v>
      </c>
      <c r="F1605">
        <v>87.4</v>
      </c>
      <c r="G1605">
        <v>9556</v>
      </c>
      <c r="H1605">
        <v>527.5</v>
      </c>
      <c r="I1605">
        <v>4.5999999999999996</v>
      </c>
      <c r="J1605">
        <v>73</v>
      </c>
      <c r="K1605" t="s">
        <v>22</v>
      </c>
      <c r="L1605">
        <v>39</v>
      </c>
      <c r="M1605">
        <v>2.31</v>
      </c>
      <c r="N1605">
        <v>7</v>
      </c>
      <c r="O1605" t="s">
        <v>21</v>
      </c>
      <c r="P1605" cm="1">
        <f t="array" ref="P1605">_xlfn.SWITCH(Table2[[#This Row],[mood]], "Tired", 3, "Neutral", 2, "Happy", 1)</f>
        <v>1</v>
      </c>
    </row>
    <row r="1606" spans="1:16" x14ac:dyDescent="0.3">
      <c r="A1606">
        <v>1574</v>
      </c>
      <c r="B1606" s="1">
        <v>43609</v>
      </c>
      <c r="C1606">
        <v>27</v>
      </c>
      <c r="D1606" t="s">
        <v>20</v>
      </c>
      <c r="E1606">
        <v>177.9</v>
      </c>
      <c r="F1606">
        <v>76.400000000000006</v>
      </c>
      <c r="G1606">
        <v>14355</v>
      </c>
      <c r="H1606">
        <v>762.1</v>
      </c>
      <c r="I1606">
        <v>8.9</v>
      </c>
      <c r="J1606">
        <v>69</v>
      </c>
      <c r="K1606" t="s">
        <v>25</v>
      </c>
      <c r="L1606">
        <v>71</v>
      </c>
      <c r="M1606">
        <v>2.44</v>
      </c>
      <c r="N1606">
        <v>1</v>
      </c>
      <c r="O1606" t="s">
        <v>19</v>
      </c>
      <c r="P1606" cm="1">
        <f t="array" ref="P1606">_xlfn.SWITCH(Table2[[#This Row],[mood]], "Tired", 3, "Neutral", 2, "Happy", 1)</f>
        <v>2</v>
      </c>
    </row>
    <row r="1607" spans="1:16" x14ac:dyDescent="0.3">
      <c r="A1607">
        <v>1243</v>
      </c>
      <c r="B1607" s="1">
        <v>43610</v>
      </c>
      <c r="C1607">
        <v>49</v>
      </c>
      <c r="D1607" t="s">
        <v>20</v>
      </c>
      <c r="E1607">
        <v>179.3</v>
      </c>
      <c r="F1607">
        <v>76.599999999999994</v>
      </c>
      <c r="G1607">
        <v>13806</v>
      </c>
      <c r="H1607">
        <v>822.5</v>
      </c>
      <c r="I1607">
        <v>5.3</v>
      </c>
      <c r="J1607">
        <v>79</v>
      </c>
      <c r="K1607" t="s">
        <v>22</v>
      </c>
      <c r="L1607">
        <v>87</v>
      </c>
      <c r="M1607">
        <v>2.09</v>
      </c>
      <c r="N1607">
        <v>9</v>
      </c>
      <c r="O1607" t="s">
        <v>17</v>
      </c>
      <c r="P1607" cm="1">
        <f t="array" ref="P1607">_xlfn.SWITCH(Table2[[#This Row],[mood]], "Tired", 3, "Neutral", 2, "Happy", 1)</f>
        <v>3</v>
      </c>
    </row>
    <row r="1608" spans="1:16" x14ac:dyDescent="0.3">
      <c r="A1608">
        <v>1536</v>
      </c>
      <c r="B1608" s="1">
        <v>43611</v>
      </c>
      <c r="C1608">
        <v>59</v>
      </c>
      <c r="D1608" t="s">
        <v>20</v>
      </c>
      <c r="E1608">
        <v>164</v>
      </c>
      <c r="F1608">
        <v>66.3</v>
      </c>
      <c r="G1608">
        <v>10818</v>
      </c>
      <c r="H1608">
        <v>509.5</v>
      </c>
      <c r="I1608">
        <v>7.4</v>
      </c>
      <c r="J1608">
        <v>55</v>
      </c>
      <c r="K1608" t="s">
        <v>23</v>
      </c>
      <c r="L1608">
        <v>45</v>
      </c>
      <c r="M1608">
        <v>3</v>
      </c>
      <c r="N1608">
        <v>5</v>
      </c>
      <c r="O1608" t="s">
        <v>19</v>
      </c>
      <c r="P1608" cm="1">
        <f t="array" ref="P1608">_xlfn.SWITCH(Table2[[#This Row],[mood]], "Tired", 3, "Neutral", 2, "Happy", 1)</f>
        <v>2</v>
      </c>
    </row>
    <row r="1609" spans="1:16" x14ac:dyDescent="0.3">
      <c r="A1609">
        <v>1601</v>
      </c>
      <c r="B1609" s="1">
        <v>43612</v>
      </c>
      <c r="C1609">
        <v>58</v>
      </c>
      <c r="D1609" t="s">
        <v>20</v>
      </c>
      <c r="E1609">
        <v>159</v>
      </c>
      <c r="F1609">
        <v>77.5</v>
      </c>
      <c r="G1609">
        <v>15864</v>
      </c>
      <c r="H1609">
        <v>739.4</v>
      </c>
      <c r="I1609">
        <v>6.5</v>
      </c>
      <c r="J1609">
        <v>72</v>
      </c>
      <c r="K1609" t="s">
        <v>22</v>
      </c>
      <c r="L1609">
        <v>66</v>
      </c>
      <c r="M1609">
        <v>1.1100000000000001</v>
      </c>
      <c r="N1609">
        <v>3</v>
      </c>
      <c r="O1609" t="s">
        <v>19</v>
      </c>
      <c r="P1609" cm="1">
        <f t="array" ref="P1609">_xlfn.SWITCH(Table2[[#This Row],[mood]], "Tired", 3, "Neutral", 2, "Happy", 1)</f>
        <v>2</v>
      </c>
    </row>
    <row r="1610" spans="1:16" x14ac:dyDescent="0.3">
      <c r="A1610">
        <v>1074</v>
      </c>
      <c r="B1610" s="1">
        <v>43613</v>
      </c>
      <c r="C1610">
        <v>30</v>
      </c>
      <c r="D1610" t="s">
        <v>20</v>
      </c>
      <c r="E1610">
        <v>150</v>
      </c>
      <c r="F1610">
        <v>68</v>
      </c>
      <c r="G1610">
        <v>1981</v>
      </c>
      <c r="H1610">
        <v>259.3</v>
      </c>
      <c r="I1610">
        <v>6.6</v>
      </c>
      <c r="J1610">
        <v>64</v>
      </c>
      <c r="K1610" t="s">
        <v>23</v>
      </c>
      <c r="L1610">
        <v>22</v>
      </c>
      <c r="M1610">
        <v>3.3</v>
      </c>
      <c r="N1610">
        <v>7</v>
      </c>
      <c r="O1610" t="s">
        <v>17</v>
      </c>
      <c r="P1610" cm="1">
        <f t="array" ref="P1610">_xlfn.SWITCH(Table2[[#This Row],[mood]], "Tired", 3, "Neutral", 2, "Happy", 1)</f>
        <v>3</v>
      </c>
    </row>
    <row r="1611" spans="1:16" x14ac:dyDescent="0.3">
      <c r="A1611">
        <v>1805</v>
      </c>
      <c r="B1611" s="1">
        <v>43614</v>
      </c>
      <c r="C1611">
        <v>56</v>
      </c>
      <c r="D1611" t="s">
        <v>15</v>
      </c>
      <c r="E1611">
        <v>166.4</v>
      </c>
      <c r="F1611">
        <v>57.9</v>
      </c>
      <c r="G1611">
        <v>11228</v>
      </c>
      <c r="H1611">
        <v>755.1</v>
      </c>
      <c r="I1611">
        <v>8</v>
      </c>
      <c r="J1611">
        <v>61</v>
      </c>
      <c r="K1611" t="s">
        <v>18</v>
      </c>
      <c r="L1611">
        <v>21</v>
      </c>
      <c r="M1611">
        <v>2.4900000000000002</v>
      </c>
      <c r="N1611">
        <v>7</v>
      </c>
      <c r="O1611" t="s">
        <v>19</v>
      </c>
      <c r="P1611" cm="1">
        <f t="array" ref="P1611">_xlfn.SWITCH(Table2[[#This Row],[mood]], "Tired", 3, "Neutral", 2, "Happy", 1)</f>
        <v>2</v>
      </c>
    </row>
    <row r="1612" spans="1:16" x14ac:dyDescent="0.3">
      <c r="A1612">
        <v>1385</v>
      </c>
      <c r="B1612" s="1">
        <v>43615</v>
      </c>
      <c r="C1612">
        <v>22</v>
      </c>
      <c r="D1612" t="s">
        <v>20</v>
      </c>
      <c r="E1612">
        <v>162.19999999999999</v>
      </c>
      <c r="F1612">
        <v>68.400000000000006</v>
      </c>
      <c r="G1612">
        <v>4552</v>
      </c>
      <c r="H1612">
        <v>383.4</v>
      </c>
      <c r="I1612">
        <v>5.8</v>
      </c>
      <c r="J1612">
        <v>70</v>
      </c>
      <c r="K1612" t="s">
        <v>25</v>
      </c>
      <c r="L1612">
        <v>60</v>
      </c>
      <c r="M1612">
        <v>3.41</v>
      </c>
      <c r="N1612">
        <v>8</v>
      </c>
      <c r="O1612" t="s">
        <v>19</v>
      </c>
      <c r="P1612" cm="1">
        <f t="array" ref="P1612">_xlfn.SWITCH(Table2[[#This Row],[mood]], "Tired", 3, "Neutral", 2, "Happy", 1)</f>
        <v>2</v>
      </c>
    </row>
    <row r="1613" spans="1:16" x14ac:dyDescent="0.3">
      <c r="A1613">
        <v>1902</v>
      </c>
      <c r="B1613" s="1">
        <v>43616</v>
      </c>
      <c r="C1613">
        <v>27</v>
      </c>
      <c r="D1613" t="s">
        <v>20</v>
      </c>
      <c r="E1613">
        <v>181.6</v>
      </c>
      <c r="F1613">
        <v>89.3</v>
      </c>
      <c r="G1613">
        <v>18305</v>
      </c>
      <c r="H1613">
        <v>874.1</v>
      </c>
      <c r="I1613">
        <v>7.7</v>
      </c>
      <c r="J1613">
        <v>100</v>
      </c>
      <c r="K1613" t="s">
        <v>18</v>
      </c>
      <c r="L1613">
        <v>49</v>
      </c>
      <c r="M1613">
        <v>0.57999999999999996</v>
      </c>
      <c r="N1613">
        <v>10</v>
      </c>
      <c r="O1613" t="s">
        <v>17</v>
      </c>
      <c r="P1613" cm="1">
        <f t="array" ref="P1613">_xlfn.SWITCH(Table2[[#This Row],[mood]], "Tired", 3, "Neutral", 2, "Happy", 1)</f>
        <v>3</v>
      </c>
    </row>
    <row r="1614" spans="1:16" x14ac:dyDescent="0.3">
      <c r="A1614">
        <v>1209</v>
      </c>
      <c r="B1614" s="1">
        <v>43617</v>
      </c>
      <c r="C1614">
        <v>27</v>
      </c>
      <c r="D1614" t="s">
        <v>15</v>
      </c>
      <c r="E1614">
        <v>167.1</v>
      </c>
      <c r="F1614">
        <v>78</v>
      </c>
      <c r="G1614">
        <v>12938</v>
      </c>
      <c r="H1614">
        <v>758.6</v>
      </c>
      <c r="I1614">
        <v>7.7</v>
      </c>
      <c r="J1614">
        <v>81</v>
      </c>
      <c r="K1614" t="s">
        <v>25</v>
      </c>
      <c r="L1614">
        <v>56</v>
      </c>
      <c r="M1614">
        <v>0.79</v>
      </c>
      <c r="N1614">
        <v>4</v>
      </c>
      <c r="O1614" t="s">
        <v>21</v>
      </c>
      <c r="P1614" cm="1">
        <f t="array" ref="P1614">_xlfn.SWITCH(Table2[[#This Row],[mood]], "Tired", 3, "Neutral", 2, "Happy", 1)</f>
        <v>1</v>
      </c>
    </row>
    <row r="1615" spans="1:16" x14ac:dyDescent="0.3">
      <c r="A1615">
        <v>1474</v>
      </c>
      <c r="B1615" s="1">
        <v>43618</v>
      </c>
      <c r="C1615">
        <v>55</v>
      </c>
      <c r="D1615" t="s">
        <v>15</v>
      </c>
      <c r="E1615">
        <v>159.69999999999999</v>
      </c>
      <c r="F1615">
        <v>81.5</v>
      </c>
      <c r="G1615">
        <v>17318</v>
      </c>
      <c r="H1615">
        <v>900</v>
      </c>
      <c r="I1615">
        <v>5.8</v>
      </c>
      <c r="J1615">
        <v>64</v>
      </c>
      <c r="K1615" t="s">
        <v>16</v>
      </c>
      <c r="L1615">
        <v>0</v>
      </c>
      <c r="M1615">
        <v>2.2999999999999998</v>
      </c>
      <c r="N1615">
        <v>9</v>
      </c>
      <c r="O1615" t="s">
        <v>17</v>
      </c>
      <c r="P1615" cm="1">
        <f t="array" ref="P1615">_xlfn.SWITCH(Table2[[#This Row],[mood]], "Tired", 3, "Neutral", 2, "Happy", 1)</f>
        <v>3</v>
      </c>
    </row>
    <row r="1616" spans="1:16" x14ac:dyDescent="0.3">
      <c r="A1616">
        <v>1417</v>
      </c>
      <c r="B1616" s="1">
        <v>43619</v>
      </c>
      <c r="C1616">
        <v>44</v>
      </c>
      <c r="D1616" t="s">
        <v>15</v>
      </c>
      <c r="E1616">
        <v>158.1</v>
      </c>
      <c r="F1616">
        <v>70</v>
      </c>
      <c r="G1616">
        <v>6052</v>
      </c>
      <c r="H1616">
        <v>410.1</v>
      </c>
      <c r="I1616">
        <v>8.4</v>
      </c>
      <c r="J1616">
        <v>87</v>
      </c>
      <c r="K1616" t="s">
        <v>16</v>
      </c>
      <c r="L1616">
        <v>0</v>
      </c>
      <c r="M1616">
        <v>2.85</v>
      </c>
      <c r="N1616">
        <v>2</v>
      </c>
      <c r="O1616" t="s">
        <v>17</v>
      </c>
      <c r="P1616" cm="1">
        <f t="array" ref="P1616">_xlfn.SWITCH(Table2[[#This Row],[mood]], "Tired", 3, "Neutral", 2, "Happy", 1)</f>
        <v>3</v>
      </c>
    </row>
    <row r="1617" spans="1:16" x14ac:dyDescent="0.3">
      <c r="A1617">
        <v>1346</v>
      </c>
      <c r="B1617" s="1">
        <v>43620</v>
      </c>
      <c r="C1617">
        <v>38</v>
      </c>
      <c r="D1617" t="s">
        <v>20</v>
      </c>
      <c r="E1617">
        <v>189.9</v>
      </c>
      <c r="F1617">
        <v>45</v>
      </c>
      <c r="G1617">
        <v>6406</v>
      </c>
      <c r="H1617">
        <v>479</v>
      </c>
      <c r="I1617">
        <v>9.1</v>
      </c>
      <c r="J1617">
        <v>62</v>
      </c>
      <c r="K1617" t="s">
        <v>16</v>
      </c>
      <c r="L1617">
        <v>0</v>
      </c>
      <c r="M1617">
        <v>2.11</v>
      </c>
      <c r="N1617">
        <v>6</v>
      </c>
      <c r="O1617" t="s">
        <v>17</v>
      </c>
      <c r="P1617" cm="1">
        <f t="array" ref="P1617">_xlfn.SWITCH(Table2[[#This Row],[mood]], "Tired", 3, "Neutral", 2, "Happy", 1)</f>
        <v>3</v>
      </c>
    </row>
    <row r="1618" spans="1:16" x14ac:dyDescent="0.3">
      <c r="A1618">
        <v>1528</v>
      </c>
      <c r="B1618" s="1">
        <v>43621</v>
      </c>
      <c r="C1618">
        <v>25</v>
      </c>
      <c r="D1618" t="s">
        <v>20</v>
      </c>
      <c r="E1618">
        <v>169.8</v>
      </c>
      <c r="F1618">
        <v>51.7</v>
      </c>
      <c r="G1618">
        <v>18858</v>
      </c>
      <c r="H1618">
        <v>900</v>
      </c>
      <c r="I1618">
        <v>10</v>
      </c>
      <c r="J1618">
        <v>90</v>
      </c>
      <c r="K1618" t="s">
        <v>18</v>
      </c>
      <c r="L1618">
        <v>28</v>
      </c>
      <c r="M1618">
        <v>2.91</v>
      </c>
      <c r="N1618">
        <v>3</v>
      </c>
      <c r="O1618" t="s">
        <v>21</v>
      </c>
      <c r="P1618" cm="1">
        <f t="array" ref="P1618">_xlfn.SWITCH(Table2[[#This Row],[mood]], "Tired", 3, "Neutral", 2, "Happy", 1)</f>
        <v>1</v>
      </c>
    </row>
    <row r="1619" spans="1:16" x14ac:dyDescent="0.3">
      <c r="A1619">
        <v>1639</v>
      </c>
      <c r="B1619" s="1">
        <v>43622</v>
      </c>
      <c r="C1619">
        <v>18</v>
      </c>
      <c r="D1619" t="s">
        <v>20</v>
      </c>
      <c r="E1619">
        <v>162.19999999999999</v>
      </c>
      <c r="F1619">
        <v>65.7</v>
      </c>
      <c r="G1619">
        <v>13850</v>
      </c>
      <c r="H1619">
        <v>782.6</v>
      </c>
      <c r="I1619">
        <v>6.6</v>
      </c>
      <c r="J1619">
        <v>66</v>
      </c>
      <c r="K1619" t="s">
        <v>16</v>
      </c>
      <c r="L1619">
        <v>0</v>
      </c>
      <c r="M1619">
        <v>3.19</v>
      </c>
      <c r="N1619">
        <v>8</v>
      </c>
      <c r="O1619" t="s">
        <v>17</v>
      </c>
      <c r="P1619" cm="1">
        <f t="array" ref="P1619">_xlfn.SWITCH(Table2[[#This Row],[mood]], "Tired", 3, "Neutral", 2, "Happy", 1)</f>
        <v>3</v>
      </c>
    </row>
    <row r="1620" spans="1:16" x14ac:dyDescent="0.3">
      <c r="A1620">
        <v>1938</v>
      </c>
      <c r="B1620" s="1">
        <v>43623</v>
      </c>
      <c r="C1620">
        <v>45</v>
      </c>
      <c r="D1620" t="s">
        <v>15</v>
      </c>
      <c r="E1620">
        <v>171.2</v>
      </c>
      <c r="F1620">
        <v>53</v>
      </c>
      <c r="G1620">
        <v>13601</v>
      </c>
      <c r="H1620">
        <v>721.1</v>
      </c>
      <c r="I1620">
        <v>7.3</v>
      </c>
      <c r="J1620">
        <v>76</v>
      </c>
      <c r="K1620" t="s">
        <v>22</v>
      </c>
      <c r="L1620">
        <v>43</v>
      </c>
      <c r="M1620">
        <v>2.97</v>
      </c>
      <c r="N1620">
        <v>8</v>
      </c>
      <c r="O1620" t="s">
        <v>21</v>
      </c>
      <c r="P1620" cm="1">
        <f t="array" ref="P1620">_xlfn.SWITCH(Table2[[#This Row],[mood]], "Tired", 3, "Neutral", 2, "Happy", 1)</f>
        <v>1</v>
      </c>
    </row>
    <row r="1621" spans="1:16" x14ac:dyDescent="0.3">
      <c r="A1621">
        <v>1954</v>
      </c>
      <c r="B1621" s="1">
        <v>43624</v>
      </c>
      <c r="C1621">
        <v>56</v>
      </c>
      <c r="D1621" t="s">
        <v>20</v>
      </c>
      <c r="E1621">
        <v>189</v>
      </c>
      <c r="F1621">
        <v>62.1</v>
      </c>
      <c r="G1621">
        <v>8098</v>
      </c>
      <c r="H1621">
        <v>555.4</v>
      </c>
      <c r="I1621">
        <v>7.4</v>
      </c>
      <c r="J1621">
        <v>96</v>
      </c>
      <c r="K1621" t="s">
        <v>16</v>
      </c>
      <c r="L1621">
        <v>0</v>
      </c>
      <c r="M1621">
        <v>2.57</v>
      </c>
      <c r="N1621">
        <v>6</v>
      </c>
      <c r="O1621" t="s">
        <v>19</v>
      </c>
      <c r="P1621" cm="1">
        <f t="array" ref="P1621">_xlfn.SWITCH(Table2[[#This Row],[mood]], "Tired", 3, "Neutral", 2, "Happy", 1)</f>
        <v>2</v>
      </c>
    </row>
    <row r="1622" spans="1:16" x14ac:dyDescent="0.3">
      <c r="A1622">
        <v>1875</v>
      </c>
      <c r="B1622" s="1">
        <v>43625</v>
      </c>
      <c r="C1622">
        <v>31</v>
      </c>
      <c r="D1622" t="s">
        <v>15</v>
      </c>
      <c r="E1622">
        <v>166.1</v>
      </c>
      <c r="F1622">
        <v>61.6</v>
      </c>
      <c r="G1622">
        <v>7719</v>
      </c>
      <c r="H1622">
        <v>550.70000000000005</v>
      </c>
      <c r="I1622">
        <v>8</v>
      </c>
      <c r="J1622">
        <v>71</v>
      </c>
      <c r="K1622" t="s">
        <v>18</v>
      </c>
      <c r="L1622">
        <v>73</v>
      </c>
      <c r="M1622">
        <v>2.57</v>
      </c>
      <c r="N1622">
        <v>4</v>
      </c>
      <c r="O1622" t="s">
        <v>17</v>
      </c>
      <c r="P1622" cm="1">
        <f t="array" ref="P1622">_xlfn.SWITCH(Table2[[#This Row],[mood]], "Tired", 3, "Neutral", 2, "Happy", 1)</f>
        <v>3</v>
      </c>
    </row>
    <row r="1623" spans="1:16" x14ac:dyDescent="0.3">
      <c r="A1623">
        <v>1762</v>
      </c>
      <c r="B1623" s="1">
        <v>43626</v>
      </c>
      <c r="C1623">
        <v>38</v>
      </c>
      <c r="D1623" t="s">
        <v>20</v>
      </c>
      <c r="E1623">
        <v>176.9</v>
      </c>
      <c r="F1623">
        <v>62</v>
      </c>
      <c r="G1623">
        <v>16856</v>
      </c>
      <c r="H1623">
        <v>900</v>
      </c>
      <c r="I1623">
        <v>9.6</v>
      </c>
      <c r="J1623">
        <v>93</v>
      </c>
      <c r="K1623" t="s">
        <v>25</v>
      </c>
      <c r="L1623">
        <v>37</v>
      </c>
      <c r="M1623">
        <v>2.0699999999999998</v>
      </c>
      <c r="N1623">
        <v>8</v>
      </c>
      <c r="O1623" t="s">
        <v>19</v>
      </c>
      <c r="P1623" cm="1">
        <f t="array" ref="P1623">_xlfn.SWITCH(Table2[[#This Row],[mood]], "Tired", 3, "Neutral", 2, "Happy", 1)</f>
        <v>2</v>
      </c>
    </row>
    <row r="1624" spans="1:16" x14ac:dyDescent="0.3">
      <c r="A1624">
        <v>1178</v>
      </c>
      <c r="B1624" s="1">
        <v>43627</v>
      </c>
      <c r="C1624">
        <v>47</v>
      </c>
      <c r="D1624" t="s">
        <v>15</v>
      </c>
      <c r="E1624">
        <v>181.9</v>
      </c>
      <c r="F1624">
        <v>91.6</v>
      </c>
      <c r="G1624">
        <v>9594</v>
      </c>
      <c r="H1624">
        <v>502.6</v>
      </c>
      <c r="I1624">
        <v>7.7</v>
      </c>
      <c r="J1624">
        <v>74</v>
      </c>
      <c r="K1624" t="s">
        <v>24</v>
      </c>
      <c r="L1624">
        <v>58</v>
      </c>
      <c r="M1624">
        <v>2.46</v>
      </c>
      <c r="N1624">
        <v>6</v>
      </c>
      <c r="O1624" t="s">
        <v>19</v>
      </c>
      <c r="P1624" cm="1">
        <f t="array" ref="P1624">_xlfn.SWITCH(Table2[[#This Row],[mood]], "Tired", 3, "Neutral", 2, "Happy", 1)</f>
        <v>2</v>
      </c>
    </row>
    <row r="1625" spans="1:16" x14ac:dyDescent="0.3">
      <c r="A1625">
        <v>1181</v>
      </c>
      <c r="B1625" s="1">
        <v>43628</v>
      </c>
      <c r="C1625">
        <v>38</v>
      </c>
      <c r="D1625" t="s">
        <v>20</v>
      </c>
      <c r="E1625">
        <v>151.1</v>
      </c>
      <c r="F1625">
        <v>69.2</v>
      </c>
      <c r="G1625">
        <v>1612</v>
      </c>
      <c r="H1625">
        <v>192.8</v>
      </c>
      <c r="I1625">
        <v>7.8</v>
      </c>
      <c r="J1625">
        <v>74</v>
      </c>
      <c r="K1625" t="s">
        <v>25</v>
      </c>
      <c r="L1625">
        <v>66</v>
      </c>
      <c r="M1625">
        <v>1.78</v>
      </c>
      <c r="N1625">
        <v>9</v>
      </c>
      <c r="O1625" t="s">
        <v>21</v>
      </c>
      <c r="P1625" cm="1">
        <f t="array" ref="P1625">_xlfn.SWITCH(Table2[[#This Row],[mood]], "Tired", 3, "Neutral", 2, "Happy", 1)</f>
        <v>1</v>
      </c>
    </row>
    <row r="1626" spans="1:16" x14ac:dyDescent="0.3">
      <c r="A1626">
        <v>1663</v>
      </c>
      <c r="B1626" s="1">
        <v>43629</v>
      </c>
      <c r="C1626">
        <v>26</v>
      </c>
      <c r="D1626" t="s">
        <v>20</v>
      </c>
      <c r="E1626">
        <v>163.6</v>
      </c>
      <c r="F1626">
        <v>84</v>
      </c>
      <c r="G1626">
        <v>8286</v>
      </c>
      <c r="H1626">
        <v>497</v>
      </c>
      <c r="I1626">
        <v>5.4</v>
      </c>
      <c r="J1626">
        <v>66</v>
      </c>
      <c r="K1626" t="s">
        <v>24</v>
      </c>
      <c r="L1626">
        <v>46</v>
      </c>
      <c r="M1626">
        <v>1.95</v>
      </c>
      <c r="N1626">
        <v>7</v>
      </c>
      <c r="O1626" t="s">
        <v>19</v>
      </c>
      <c r="P1626" cm="1">
        <f t="array" ref="P1626">_xlfn.SWITCH(Table2[[#This Row],[mood]], "Tired", 3, "Neutral", 2, "Happy", 1)</f>
        <v>2</v>
      </c>
    </row>
    <row r="1627" spans="1:16" x14ac:dyDescent="0.3">
      <c r="A1627">
        <v>1024</v>
      </c>
      <c r="B1627" s="1">
        <v>43630</v>
      </c>
      <c r="C1627">
        <v>34</v>
      </c>
      <c r="D1627" t="s">
        <v>20</v>
      </c>
      <c r="E1627">
        <v>180.6</v>
      </c>
      <c r="F1627">
        <v>72.5</v>
      </c>
      <c r="G1627">
        <v>11068</v>
      </c>
      <c r="H1627">
        <v>656.1</v>
      </c>
      <c r="I1627">
        <v>10</v>
      </c>
      <c r="J1627">
        <v>89</v>
      </c>
      <c r="K1627" t="s">
        <v>22</v>
      </c>
      <c r="L1627">
        <v>53</v>
      </c>
      <c r="M1627">
        <v>2.86</v>
      </c>
      <c r="N1627">
        <v>9</v>
      </c>
      <c r="O1627" t="s">
        <v>19</v>
      </c>
      <c r="P1627" cm="1">
        <f t="array" ref="P1627">_xlfn.SWITCH(Table2[[#This Row],[mood]], "Tired", 3, "Neutral", 2, "Happy", 1)</f>
        <v>2</v>
      </c>
    </row>
    <row r="1628" spans="1:16" x14ac:dyDescent="0.3">
      <c r="A1628">
        <v>1966</v>
      </c>
      <c r="B1628" s="1">
        <v>43631</v>
      </c>
      <c r="C1628">
        <v>22</v>
      </c>
      <c r="D1628" t="s">
        <v>15</v>
      </c>
      <c r="E1628">
        <v>163</v>
      </c>
      <c r="F1628">
        <v>91.2</v>
      </c>
      <c r="G1628">
        <v>10805</v>
      </c>
      <c r="H1628">
        <v>660.2</v>
      </c>
      <c r="I1628">
        <v>6.3</v>
      </c>
      <c r="J1628">
        <v>70</v>
      </c>
      <c r="K1628" t="s">
        <v>25</v>
      </c>
      <c r="L1628">
        <v>38</v>
      </c>
      <c r="M1628">
        <v>2.1800000000000002</v>
      </c>
      <c r="N1628">
        <v>8</v>
      </c>
      <c r="O1628" t="s">
        <v>17</v>
      </c>
      <c r="P1628" cm="1">
        <f t="array" ref="P1628">_xlfn.SWITCH(Table2[[#This Row],[mood]], "Tired", 3, "Neutral", 2, "Happy", 1)</f>
        <v>3</v>
      </c>
    </row>
    <row r="1629" spans="1:16" x14ac:dyDescent="0.3">
      <c r="A1629">
        <v>1179</v>
      </c>
      <c r="B1629" s="1">
        <v>43632</v>
      </c>
      <c r="C1629">
        <v>48</v>
      </c>
      <c r="D1629" t="s">
        <v>15</v>
      </c>
      <c r="E1629">
        <v>174.1</v>
      </c>
      <c r="F1629">
        <v>85.3</v>
      </c>
      <c r="G1629">
        <v>4017</v>
      </c>
      <c r="H1629">
        <v>308</v>
      </c>
      <c r="I1629">
        <v>3</v>
      </c>
      <c r="J1629">
        <v>94</v>
      </c>
      <c r="K1629" t="s">
        <v>18</v>
      </c>
      <c r="L1629">
        <v>25</v>
      </c>
      <c r="M1629">
        <v>1.98</v>
      </c>
      <c r="N1629">
        <v>4</v>
      </c>
      <c r="O1629" t="s">
        <v>19</v>
      </c>
      <c r="P1629" cm="1">
        <f t="array" ref="P1629">_xlfn.SWITCH(Table2[[#This Row],[mood]], "Tired", 3, "Neutral", 2, "Happy", 1)</f>
        <v>2</v>
      </c>
    </row>
    <row r="1630" spans="1:16" x14ac:dyDescent="0.3">
      <c r="A1630">
        <v>1709</v>
      </c>
      <c r="B1630" s="1">
        <v>43633</v>
      </c>
      <c r="C1630">
        <v>57</v>
      </c>
      <c r="D1630" t="s">
        <v>20</v>
      </c>
      <c r="E1630">
        <v>162.4</v>
      </c>
      <c r="F1630">
        <v>61.1</v>
      </c>
      <c r="G1630">
        <v>10926</v>
      </c>
      <c r="H1630">
        <v>653.29999999999995</v>
      </c>
      <c r="I1630">
        <v>3.6</v>
      </c>
      <c r="J1630">
        <v>69</v>
      </c>
      <c r="K1630" t="s">
        <v>22</v>
      </c>
      <c r="L1630">
        <v>49</v>
      </c>
      <c r="M1630">
        <v>2.81</v>
      </c>
      <c r="N1630">
        <v>6</v>
      </c>
      <c r="O1630" t="s">
        <v>17</v>
      </c>
      <c r="P1630" cm="1">
        <f t="array" ref="P1630">_xlfn.SWITCH(Table2[[#This Row],[mood]], "Tired", 3, "Neutral", 2, "Happy", 1)</f>
        <v>3</v>
      </c>
    </row>
    <row r="1631" spans="1:16" x14ac:dyDescent="0.3">
      <c r="A1631">
        <v>1500</v>
      </c>
      <c r="B1631" s="1">
        <v>43634</v>
      </c>
      <c r="C1631">
        <v>55</v>
      </c>
      <c r="D1631" t="s">
        <v>20</v>
      </c>
      <c r="E1631">
        <v>165.5</v>
      </c>
      <c r="F1631">
        <v>99.4</v>
      </c>
      <c r="G1631">
        <v>12740</v>
      </c>
      <c r="H1631">
        <v>756.9</v>
      </c>
      <c r="I1631">
        <v>7.5</v>
      </c>
      <c r="J1631">
        <v>70</v>
      </c>
      <c r="K1631" t="s">
        <v>25</v>
      </c>
      <c r="L1631">
        <v>31</v>
      </c>
      <c r="M1631">
        <v>2.77</v>
      </c>
      <c r="N1631">
        <v>7</v>
      </c>
      <c r="O1631" t="s">
        <v>19</v>
      </c>
      <c r="P1631" cm="1">
        <f t="array" ref="P1631">_xlfn.SWITCH(Table2[[#This Row],[mood]], "Tired", 3, "Neutral", 2, "Happy", 1)</f>
        <v>2</v>
      </c>
    </row>
    <row r="1632" spans="1:16" x14ac:dyDescent="0.3">
      <c r="A1632">
        <v>1855</v>
      </c>
      <c r="B1632" s="1">
        <v>43635</v>
      </c>
      <c r="C1632">
        <v>36</v>
      </c>
      <c r="D1632" t="s">
        <v>20</v>
      </c>
      <c r="E1632">
        <v>164.3</v>
      </c>
      <c r="F1632">
        <v>63.2</v>
      </c>
      <c r="G1632">
        <v>11572</v>
      </c>
      <c r="H1632">
        <v>696.3</v>
      </c>
      <c r="I1632">
        <v>5.0999999999999996</v>
      </c>
      <c r="J1632">
        <v>85</v>
      </c>
      <c r="K1632" t="s">
        <v>22</v>
      </c>
      <c r="L1632">
        <v>34</v>
      </c>
      <c r="M1632">
        <v>2.35</v>
      </c>
      <c r="N1632">
        <v>4</v>
      </c>
      <c r="O1632" t="s">
        <v>21</v>
      </c>
      <c r="P1632" cm="1">
        <f t="array" ref="P1632">_xlfn.SWITCH(Table2[[#This Row],[mood]], "Tired", 3, "Neutral", 2, "Happy", 1)</f>
        <v>1</v>
      </c>
    </row>
    <row r="1633" spans="1:16" x14ac:dyDescent="0.3">
      <c r="A1633">
        <v>1160</v>
      </c>
      <c r="B1633" s="1">
        <v>43636</v>
      </c>
      <c r="C1633">
        <v>53</v>
      </c>
      <c r="D1633" t="s">
        <v>15</v>
      </c>
      <c r="E1633">
        <v>176.4</v>
      </c>
      <c r="F1633">
        <v>73</v>
      </c>
      <c r="G1633">
        <v>17237</v>
      </c>
      <c r="H1633">
        <v>866.5</v>
      </c>
      <c r="I1633">
        <v>7.1</v>
      </c>
      <c r="J1633">
        <v>74</v>
      </c>
      <c r="K1633" t="s">
        <v>24</v>
      </c>
      <c r="L1633">
        <v>58</v>
      </c>
      <c r="M1633">
        <v>2.4</v>
      </c>
      <c r="N1633">
        <v>4</v>
      </c>
      <c r="O1633" t="s">
        <v>19</v>
      </c>
      <c r="P1633" cm="1">
        <f t="array" ref="P1633">_xlfn.SWITCH(Table2[[#This Row],[mood]], "Tired", 3, "Neutral", 2, "Happy", 1)</f>
        <v>2</v>
      </c>
    </row>
    <row r="1634" spans="1:16" x14ac:dyDescent="0.3">
      <c r="A1634">
        <v>1176</v>
      </c>
      <c r="B1634" s="1">
        <v>43637</v>
      </c>
      <c r="C1634">
        <v>50</v>
      </c>
      <c r="D1634" t="s">
        <v>20</v>
      </c>
      <c r="E1634">
        <v>172</v>
      </c>
      <c r="F1634">
        <v>75.7</v>
      </c>
      <c r="G1634">
        <v>11002</v>
      </c>
      <c r="H1634">
        <v>621.70000000000005</v>
      </c>
      <c r="I1634">
        <v>4.8</v>
      </c>
      <c r="J1634">
        <v>78</v>
      </c>
      <c r="K1634" t="s">
        <v>22</v>
      </c>
      <c r="L1634">
        <v>83</v>
      </c>
      <c r="M1634">
        <v>2.79</v>
      </c>
      <c r="N1634">
        <v>10</v>
      </c>
      <c r="O1634" t="s">
        <v>21</v>
      </c>
      <c r="P1634" cm="1">
        <f t="array" ref="P1634">_xlfn.SWITCH(Table2[[#This Row],[mood]], "Tired", 3, "Neutral", 2, "Happy", 1)</f>
        <v>1</v>
      </c>
    </row>
    <row r="1635" spans="1:16" x14ac:dyDescent="0.3">
      <c r="A1635">
        <v>1284</v>
      </c>
      <c r="B1635" s="1">
        <v>43638</v>
      </c>
      <c r="C1635">
        <v>30</v>
      </c>
      <c r="D1635" t="s">
        <v>20</v>
      </c>
      <c r="E1635">
        <v>171</v>
      </c>
      <c r="F1635">
        <v>77.3</v>
      </c>
      <c r="G1635">
        <v>16818</v>
      </c>
      <c r="H1635">
        <v>807.8</v>
      </c>
      <c r="I1635">
        <v>7.5</v>
      </c>
      <c r="J1635">
        <v>62</v>
      </c>
      <c r="K1635" t="s">
        <v>18</v>
      </c>
      <c r="L1635">
        <v>83</v>
      </c>
      <c r="M1635">
        <v>3.18</v>
      </c>
      <c r="N1635">
        <v>3</v>
      </c>
      <c r="O1635" t="s">
        <v>17</v>
      </c>
      <c r="P1635" cm="1">
        <f t="array" ref="P1635">_xlfn.SWITCH(Table2[[#This Row],[mood]], "Tired", 3, "Neutral", 2, "Happy", 1)</f>
        <v>3</v>
      </c>
    </row>
    <row r="1636" spans="1:16" x14ac:dyDescent="0.3">
      <c r="A1636">
        <v>1062</v>
      </c>
      <c r="B1636" s="1">
        <v>43639</v>
      </c>
      <c r="C1636">
        <v>31</v>
      </c>
      <c r="D1636" t="s">
        <v>20</v>
      </c>
      <c r="E1636">
        <v>195.1</v>
      </c>
      <c r="F1636">
        <v>81.900000000000006</v>
      </c>
      <c r="G1636">
        <v>4201</v>
      </c>
      <c r="H1636">
        <v>455.1</v>
      </c>
      <c r="I1636">
        <v>7.8</v>
      </c>
      <c r="J1636">
        <v>76</v>
      </c>
      <c r="K1636" t="s">
        <v>25</v>
      </c>
      <c r="L1636">
        <v>34</v>
      </c>
      <c r="M1636">
        <v>2.64</v>
      </c>
      <c r="N1636">
        <v>10</v>
      </c>
      <c r="O1636" t="s">
        <v>17</v>
      </c>
      <c r="P1636" cm="1">
        <f t="array" ref="P1636">_xlfn.SWITCH(Table2[[#This Row],[mood]], "Tired", 3, "Neutral", 2, "Happy", 1)</f>
        <v>3</v>
      </c>
    </row>
    <row r="1637" spans="1:16" x14ac:dyDescent="0.3">
      <c r="A1637">
        <v>1661</v>
      </c>
      <c r="B1637" s="1">
        <v>43640</v>
      </c>
      <c r="C1637">
        <v>50</v>
      </c>
      <c r="D1637" t="s">
        <v>20</v>
      </c>
      <c r="E1637">
        <v>187.4</v>
      </c>
      <c r="F1637">
        <v>58.6</v>
      </c>
      <c r="G1637">
        <v>1752</v>
      </c>
      <c r="H1637">
        <v>293.8</v>
      </c>
      <c r="I1637">
        <v>7.3</v>
      </c>
      <c r="J1637">
        <v>79</v>
      </c>
      <c r="K1637" t="s">
        <v>24</v>
      </c>
      <c r="L1637">
        <v>77</v>
      </c>
      <c r="M1637">
        <v>1.67</v>
      </c>
      <c r="N1637">
        <v>6</v>
      </c>
      <c r="O1637" t="s">
        <v>19</v>
      </c>
      <c r="P1637" cm="1">
        <f t="array" ref="P1637">_xlfn.SWITCH(Table2[[#This Row],[mood]], "Tired", 3, "Neutral", 2, "Happy", 1)</f>
        <v>2</v>
      </c>
    </row>
    <row r="1638" spans="1:16" x14ac:dyDescent="0.3">
      <c r="A1638">
        <v>1665</v>
      </c>
      <c r="B1638" s="1">
        <v>43641</v>
      </c>
      <c r="C1638">
        <v>46</v>
      </c>
      <c r="D1638" t="s">
        <v>15</v>
      </c>
      <c r="E1638">
        <v>150.19999999999999</v>
      </c>
      <c r="F1638">
        <v>80.7</v>
      </c>
      <c r="G1638">
        <v>8556</v>
      </c>
      <c r="H1638">
        <v>461.6</v>
      </c>
      <c r="I1638">
        <v>6</v>
      </c>
      <c r="J1638">
        <v>92</v>
      </c>
      <c r="K1638" t="s">
        <v>22</v>
      </c>
      <c r="L1638">
        <v>86</v>
      </c>
      <c r="M1638">
        <v>2.35</v>
      </c>
      <c r="N1638">
        <v>2</v>
      </c>
      <c r="O1638" t="s">
        <v>19</v>
      </c>
      <c r="P1638" cm="1">
        <f t="array" ref="P1638">_xlfn.SWITCH(Table2[[#This Row],[mood]], "Tired", 3, "Neutral", 2, "Happy", 1)</f>
        <v>2</v>
      </c>
    </row>
    <row r="1639" spans="1:16" x14ac:dyDescent="0.3">
      <c r="A1639">
        <v>1155</v>
      </c>
      <c r="B1639" s="1">
        <v>43642</v>
      </c>
      <c r="C1639">
        <v>53</v>
      </c>
      <c r="D1639" t="s">
        <v>15</v>
      </c>
      <c r="E1639">
        <v>165.6</v>
      </c>
      <c r="F1639">
        <v>78.7</v>
      </c>
      <c r="G1639">
        <v>2341</v>
      </c>
      <c r="H1639">
        <v>355</v>
      </c>
      <c r="I1639">
        <v>8.3000000000000007</v>
      </c>
      <c r="J1639">
        <v>70</v>
      </c>
      <c r="K1639" t="s">
        <v>23</v>
      </c>
      <c r="L1639">
        <v>20</v>
      </c>
      <c r="M1639">
        <v>2.21</v>
      </c>
      <c r="N1639">
        <v>4</v>
      </c>
      <c r="O1639" t="s">
        <v>17</v>
      </c>
      <c r="P1639" cm="1">
        <f t="array" ref="P1639">_xlfn.SWITCH(Table2[[#This Row],[mood]], "Tired", 3, "Neutral", 2, "Happy", 1)</f>
        <v>3</v>
      </c>
    </row>
    <row r="1640" spans="1:16" x14ac:dyDescent="0.3">
      <c r="A1640">
        <v>1881</v>
      </c>
      <c r="B1640" s="1">
        <v>43643</v>
      </c>
      <c r="C1640">
        <v>27</v>
      </c>
      <c r="D1640" t="s">
        <v>20</v>
      </c>
      <c r="E1640">
        <v>194.3</v>
      </c>
      <c r="F1640">
        <v>70</v>
      </c>
      <c r="G1640">
        <v>14981</v>
      </c>
      <c r="H1640">
        <v>832.2</v>
      </c>
      <c r="I1640">
        <v>6.4</v>
      </c>
      <c r="J1640">
        <v>78</v>
      </c>
      <c r="K1640" t="s">
        <v>24</v>
      </c>
      <c r="L1640">
        <v>26</v>
      </c>
      <c r="M1640">
        <v>1.76</v>
      </c>
      <c r="N1640">
        <v>8</v>
      </c>
      <c r="O1640" t="s">
        <v>17</v>
      </c>
      <c r="P1640" cm="1">
        <f t="array" ref="P1640">_xlfn.SWITCH(Table2[[#This Row],[mood]], "Tired", 3, "Neutral", 2, "Happy", 1)</f>
        <v>3</v>
      </c>
    </row>
    <row r="1641" spans="1:16" x14ac:dyDescent="0.3">
      <c r="A1641">
        <v>1468</v>
      </c>
      <c r="B1641" s="1">
        <v>43644</v>
      </c>
      <c r="C1641">
        <v>48</v>
      </c>
      <c r="D1641" t="s">
        <v>20</v>
      </c>
      <c r="E1641">
        <v>164.3</v>
      </c>
      <c r="F1641">
        <v>67.2</v>
      </c>
      <c r="G1641">
        <v>9696</v>
      </c>
      <c r="H1641">
        <v>647.6</v>
      </c>
      <c r="I1641">
        <v>6.7</v>
      </c>
      <c r="J1641">
        <v>87</v>
      </c>
      <c r="K1641" t="s">
        <v>24</v>
      </c>
      <c r="L1641">
        <v>28</v>
      </c>
      <c r="M1641">
        <v>2.85</v>
      </c>
      <c r="N1641">
        <v>3</v>
      </c>
      <c r="O1641" t="s">
        <v>17</v>
      </c>
      <c r="P1641" cm="1">
        <f t="array" ref="P1641">_xlfn.SWITCH(Table2[[#This Row],[mood]], "Tired", 3, "Neutral", 2, "Happy", 1)</f>
        <v>3</v>
      </c>
    </row>
    <row r="1642" spans="1:16" x14ac:dyDescent="0.3">
      <c r="A1642">
        <v>1048</v>
      </c>
      <c r="B1642" s="1">
        <v>43645</v>
      </c>
      <c r="C1642">
        <v>23</v>
      </c>
      <c r="D1642" t="s">
        <v>15</v>
      </c>
      <c r="E1642">
        <v>190.9</v>
      </c>
      <c r="F1642">
        <v>57.9</v>
      </c>
      <c r="G1642">
        <v>15525</v>
      </c>
      <c r="H1642">
        <v>793.1</v>
      </c>
      <c r="I1642">
        <v>6.2</v>
      </c>
      <c r="J1642">
        <v>75</v>
      </c>
      <c r="K1642" t="s">
        <v>18</v>
      </c>
      <c r="L1642">
        <v>20</v>
      </c>
      <c r="M1642">
        <v>2.9</v>
      </c>
      <c r="N1642">
        <v>8</v>
      </c>
      <c r="O1642" t="s">
        <v>21</v>
      </c>
      <c r="P1642" cm="1">
        <f t="array" ref="P1642">_xlfn.SWITCH(Table2[[#This Row],[mood]], "Tired", 3, "Neutral", 2, "Happy", 1)</f>
        <v>1</v>
      </c>
    </row>
    <row r="1643" spans="1:16" x14ac:dyDescent="0.3">
      <c r="A1643">
        <v>1966</v>
      </c>
      <c r="B1643" s="1">
        <v>43646</v>
      </c>
      <c r="C1643">
        <v>18</v>
      </c>
      <c r="D1643" t="s">
        <v>15</v>
      </c>
      <c r="E1643">
        <v>165.7</v>
      </c>
      <c r="F1643">
        <v>77.2</v>
      </c>
      <c r="G1643">
        <v>6565</v>
      </c>
      <c r="H1643">
        <v>441.6</v>
      </c>
      <c r="I1643">
        <v>6.6</v>
      </c>
      <c r="J1643">
        <v>86</v>
      </c>
      <c r="K1643" t="s">
        <v>18</v>
      </c>
      <c r="L1643">
        <v>24</v>
      </c>
      <c r="M1643">
        <v>3.01</v>
      </c>
      <c r="N1643">
        <v>7</v>
      </c>
      <c r="O1643" t="s">
        <v>19</v>
      </c>
      <c r="P1643" cm="1">
        <f t="array" ref="P1643">_xlfn.SWITCH(Table2[[#This Row],[mood]], "Tired", 3, "Neutral", 2, "Happy", 1)</f>
        <v>2</v>
      </c>
    </row>
    <row r="1644" spans="1:16" x14ac:dyDescent="0.3">
      <c r="A1644">
        <v>1848</v>
      </c>
      <c r="B1644" s="1">
        <v>43647</v>
      </c>
      <c r="C1644">
        <v>24</v>
      </c>
      <c r="D1644" t="s">
        <v>20</v>
      </c>
      <c r="E1644">
        <v>167.7</v>
      </c>
      <c r="F1644">
        <v>60.1</v>
      </c>
      <c r="G1644">
        <v>15947</v>
      </c>
      <c r="H1644">
        <v>797.2</v>
      </c>
      <c r="I1644">
        <v>9.8000000000000007</v>
      </c>
      <c r="J1644">
        <v>100</v>
      </c>
      <c r="K1644" t="s">
        <v>22</v>
      </c>
      <c r="L1644">
        <v>66</v>
      </c>
      <c r="M1644">
        <v>1.81</v>
      </c>
      <c r="N1644">
        <v>7</v>
      </c>
      <c r="O1644" t="s">
        <v>17</v>
      </c>
      <c r="P1644" cm="1">
        <f t="array" ref="P1644">_xlfn.SWITCH(Table2[[#This Row],[mood]], "Tired", 3, "Neutral", 2, "Happy", 1)</f>
        <v>3</v>
      </c>
    </row>
    <row r="1645" spans="1:16" x14ac:dyDescent="0.3">
      <c r="A1645">
        <v>1083</v>
      </c>
      <c r="B1645" s="1">
        <v>43648</v>
      </c>
      <c r="C1645">
        <v>44</v>
      </c>
      <c r="D1645" t="s">
        <v>15</v>
      </c>
      <c r="E1645">
        <v>178.6</v>
      </c>
      <c r="F1645">
        <v>73.599999999999994</v>
      </c>
      <c r="G1645">
        <v>8930</v>
      </c>
      <c r="H1645">
        <v>663.1</v>
      </c>
      <c r="I1645">
        <v>7</v>
      </c>
      <c r="J1645">
        <v>75</v>
      </c>
      <c r="K1645" t="s">
        <v>23</v>
      </c>
      <c r="L1645">
        <v>29</v>
      </c>
      <c r="M1645">
        <v>2.61</v>
      </c>
      <c r="N1645">
        <v>9</v>
      </c>
      <c r="O1645" t="s">
        <v>17</v>
      </c>
      <c r="P1645" cm="1">
        <f t="array" ref="P1645">_xlfn.SWITCH(Table2[[#This Row],[mood]], "Tired", 3, "Neutral", 2, "Happy", 1)</f>
        <v>3</v>
      </c>
    </row>
    <row r="1646" spans="1:16" x14ac:dyDescent="0.3">
      <c r="A1646">
        <v>1360</v>
      </c>
      <c r="B1646" s="1">
        <v>43649</v>
      </c>
      <c r="C1646">
        <v>38</v>
      </c>
      <c r="D1646" t="s">
        <v>15</v>
      </c>
      <c r="E1646">
        <v>169.1</v>
      </c>
      <c r="F1646">
        <v>68.5</v>
      </c>
      <c r="G1646">
        <v>7517</v>
      </c>
      <c r="H1646">
        <v>475.6</v>
      </c>
      <c r="I1646">
        <v>5.0999999999999996</v>
      </c>
      <c r="J1646">
        <v>88</v>
      </c>
      <c r="K1646" t="s">
        <v>24</v>
      </c>
      <c r="L1646">
        <v>21</v>
      </c>
      <c r="M1646">
        <v>2.5</v>
      </c>
      <c r="N1646">
        <v>4</v>
      </c>
      <c r="O1646" t="s">
        <v>19</v>
      </c>
      <c r="P1646" cm="1">
        <f t="array" ref="P1646">_xlfn.SWITCH(Table2[[#This Row],[mood]], "Tired", 3, "Neutral", 2, "Happy", 1)</f>
        <v>2</v>
      </c>
    </row>
    <row r="1647" spans="1:16" x14ac:dyDescent="0.3">
      <c r="A1647">
        <v>1688</v>
      </c>
      <c r="B1647" s="1">
        <v>43650</v>
      </c>
      <c r="C1647">
        <v>45</v>
      </c>
      <c r="D1647" t="s">
        <v>20</v>
      </c>
      <c r="E1647">
        <v>174.9</v>
      </c>
      <c r="F1647">
        <v>50</v>
      </c>
      <c r="G1647">
        <v>15287</v>
      </c>
      <c r="H1647">
        <v>763.7</v>
      </c>
      <c r="I1647">
        <v>5.6</v>
      </c>
      <c r="J1647">
        <v>80</v>
      </c>
      <c r="K1647" t="s">
        <v>22</v>
      </c>
      <c r="L1647">
        <v>42</v>
      </c>
      <c r="M1647">
        <v>2.72</v>
      </c>
      <c r="N1647">
        <v>8</v>
      </c>
      <c r="O1647" t="s">
        <v>19</v>
      </c>
      <c r="P1647" cm="1">
        <f t="array" ref="P1647">_xlfn.SWITCH(Table2[[#This Row],[mood]], "Tired", 3, "Neutral", 2, "Happy", 1)</f>
        <v>2</v>
      </c>
    </row>
    <row r="1648" spans="1:16" x14ac:dyDescent="0.3">
      <c r="A1648">
        <v>1147</v>
      </c>
      <c r="B1648" s="1">
        <v>43651</v>
      </c>
      <c r="C1648">
        <v>33</v>
      </c>
      <c r="D1648" t="s">
        <v>15</v>
      </c>
      <c r="E1648">
        <v>185.7</v>
      </c>
      <c r="F1648">
        <v>56</v>
      </c>
      <c r="G1648">
        <v>12829</v>
      </c>
      <c r="H1648">
        <v>680.8</v>
      </c>
      <c r="I1648">
        <v>6.6</v>
      </c>
      <c r="J1648">
        <v>84</v>
      </c>
      <c r="K1648" t="s">
        <v>16</v>
      </c>
      <c r="L1648">
        <v>0</v>
      </c>
      <c r="M1648">
        <v>2.59</v>
      </c>
      <c r="N1648">
        <v>2</v>
      </c>
      <c r="O1648" t="s">
        <v>21</v>
      </c>
      <c r="P1648" cm="1">
        <f t="array" ref="P1648">_xlfn.SWITCH(Table2[[#This Row],[mood]], "Tired", 3, "Neutral", 2, "Happy", 1)</f>
        <v>1</v>
      </c>
    </row>
    <row r="1649" spans="1:16" x14ac:dyDescent="0.3">
      <c r="A1649">
        <v>1629</v>
      </c>
      <c r="B1649" s="1">
        <v>43652</v>
      </c>
      <c r="C1649">
        <v>40</v>
      </c>
      <c r="D1649" t="s">
        <v>15</v>
      </c>
      <c r="E1649">
        <v>177.6</v>
      </c>
      <c r="F1649">
        <v>76.099999999999994</v>
      </c>
      <c r="G1649">
        <v>3422</v>
      </c>
      <c r="H1649">
        <v>320.60000000000002</v>
      </c>
      <c r="I1649">
        <v>5.8</v>
      </c>
      <c r="J1649">
        <v>82</v>
      </c>
      <c r="K1649" t="s">
        <v>23</v>
      </c>
      <c r="L1649">
        <v>38</v>
      </c>
      <c r="M1649">
        <v>2.4900000000000002</v>
      </c>
      <c r="N1649">
        <v>3</v>
      </c>
      <c r="O1649" t="s">
        <v>17</v>
      </c>
      <c r="P1649" cm="1">
        <f t="array" ref="P1649">_xlfn.SWITCH(Table2[[#This Row],[mood]], "Tired", 3, "Neutral", 2, "Happy", 1)</f>
        <v>3</v>
      </c>
    </row>
    <row r="1650" spans="1:16" x14ac:dyDescent="0.3">
      <c r="A1650">
        <v>1341</v>
      </c>
      <c r="B1650" s="1">
        <v>43653</v>
      </c>
      <c r="C1650">
        <v>37</v>
      </c>
      <c r="D1650" t="s">
        <v>20</v>
      </c>
      <c r="E1650">
        <v>171.4</v>
      </c>
      <c r="F1650">
        <v>62.1</v>
      </c>
      <c r="G1650">
        <v>14960</v>
      </c>
      <c r="H1650">
        <v>876.2</v>
      </c>
      <c r="I1650">
        <v>8.4</v>
      </c>
      <c r="J1650">
        <v>86</v>
      </c>
      <c r="K1650" t="s">
        <v>22</v>
      </c>
      <c r="L1650">
        <v>57</v>
      </c>
      <c r="M1650">
        <v>2.41</v>
      </c>
      <c r="N1650">
        <v>4</v>
      </c>
      <c r="O1650" t="s">
        <v>19</v>
      </c>
      <c r="P1650" cm="1">
        <f t="array" ref="P1650">_xlfn.SWITCH(Table2[[#This Row],[mood]], "Tired", 3, "Neutral", 2, "Happy", 1)</f>
        <v>2</v>
      </c>
    </row>
    <row r="1651" spans="1:16" x14ac:dyDescent="0.3">
      <c r="A1651">
        <v>1475</v>
      </c>
      <c r="B1651" s="1">
        <v>43654</v>
      </c>
      <c r="C1651">
        <v>55</v>
      </c>
      <c r="D1651" t="s">
        <v>20</v>
      </c>
      <c r="E1651">
        <v>186.7</v>
      </c>
      <c r="F1651">
        <v>61.6</v>
      </c>
      <c r="G1651">
        <v>9865</v>
      </c>
      <c r="H1651">
        <v>608.4</v>
      </c>
      <c r="I1651">
        <v>4.9000000000000004</v>
      </c>
      <c r="J1651">
        <v>85</v>
      </c>
      <c r="K1651" t="s">
        <v>24</v>
      </c>
      <c r="L1651">
        <v>66</v>
      </c>
      <c r="M1651">
        <v>3.27</v>
      </c>
      <c r="N1651">
        <v>9</v>
      </c>
      <c r="O1651" t="s">
        <v>21</v>
      </c>
      <c r="P1651" cm="1">
        <f t="array" ref="P1651">_xlfn.SWITCH(Table2[[#This Row],[mood]], "Tired", 3, "Neutral", 2, "Happy", 1)</f>
        <v>1</v>
      </c>
    </row>
    <row r="1652" spans="1:16" x14ac:dyDescent="0.3">
      <c r="A1652">
        <v>1062</v>
      </c>
      <c r="B1652" s="1">
        <v>43655</v>
      </c>
      <c r="C1652">
        <v>42</v>
      </c>
      <c r="D1652" t="s">
        <v>15</v>
      </c>
      <c r="E1652">
        <v>178.8</v>
      </c>
      <c r="F1652">
        <v>58.5</v>
      </c>
      <c r="G1652">
        <v>6985</v>
      </c>
      <c r="H1652">
        <v>541.1</v>
      </c>
      <c r="I1652">
        <v>6.8</v>
      </c>
      <c r="J1652">
        <v>74</v>
      </c>
      <c r="K1652" t="s">
        <v>22</v>
      </c>
      <c r="L1652">
        <v>71</v>
      </c>
      <c r="M1652">
        <v>1.9</v>
      </c>
      <c r="N1652">
        <v>1</v>
      </c>
      <c r="O1652" t="s">
        <v>17</v>
      </c>
      <c r="P1652" cm="1">
        <f t="array" ref="P1652">_xlfn.SWITCH(Table2[[#This Row],[mood]], "Tired", 3, "Neutral", 2, "Happy", 1)</f>
        <v>3</v>
      </c>
    </row>
    <row r="1653" spans="1:16" x14ac:dyDescent="0.3">
      <c r="A1653">
        <v>1700</v>
      </c>
      <c r="B1653" s="1">
        <v>43656</v>
      </c>
      <c r="C1653">
        <v>45</v>
      </c>
      <c r="D1653" t="s">
        <v>20</v>
      </c>
      <c r="E1653">
        <v>162.69999999999999</v>
      </c>
      <c r="F1653">
        <v>59</v>
      </c>
      <c r="G1653">
        <v>7947</v>
      </c>
      <c r="H1653">
        <v>532.1</v>
      </c>
      <c r="I1653">
        <v>8.5</v>
      </c>
      <c r="J1653">
        <v>69</v>
      </c>
      <c r="K1653" t="s">
        <v>18</v>
      </c>
      <c r="L1653">
        <v>68</v>
      </c>
      <c r="M1653">
        <v>2.38</v>
      </c>
      <c r="N1653">
        <v>7</v>
      </c>
      <c r="O1653" t="s">
        <v>21</v>
      </c>
      <c r="P1653" cm="1">
        <f t="array" ref="P1653">_xlfn.SWITCH(Table2[[#This Row],[mood]], "Tired", 3, "Neutral", 2, "Happy", 1)</f>
        <v>1</v>
      </c>
    </row>
    <row r="1654" spans="1:16" x14ac:dyDescent="0.3">
      <c r="A1654">
        <v>1359</v>
      </c>
      <c r="B1654" s="1">
        <v>43657</v>
      </c>
      <c r="C1654">
        <v>22</v>
      </c>
      <c r="D1654" t="s">
        <v>15</v>
      </c>
      <c r="E1654">
        <v>189.8</v>
      </c>
      <c r="F1654">
        <v>94.6</v>
      </c>
      <c r="G1654">
        <v>14790</v>
      </c>
      <c r="H1654">
        <v>782.6</v>
      </c>
      <c r="I1654">
        <v>6.1</v>
      </c>
      <c r="J1654">
        <v>79</v>
      </c>
      <c r="K1654" t="s">
        <v>18</v>
      </c>
      <c r="L1654">
        <v>42</v>
      </c>
      <c r="M1654">
        <v>3.26</v>
      </c>
      <c r="N1654">
        <v>2</v>
      </c>
      <c r="O1654" t="s">
        <v>19</v>
      </c>
      <c r="P1654" cm="1">
        <f t="array" ref="P1654">_xlfn.SWITCH(Table2[[#This Row],[mood]], "Tired", 3, "Neutral", 2, "Happy", 1)</f>
        <v>2</v>
      </c>
    </row>
    <row r="1655" spans="1:16" x14ac:dyDescent="0.3">
      <c r="A1655">
        <v>1560</v>
      </c>
      <c r="B1655" s="1">
        <v>43658</v>
      </c>
      <c r="C1655">
        <v>38</v>
      </c>
      <c r="D1655" t="s">
        <v>20</v>
      </c>
      <c r="E1655">
        <v>176.4</v>
      </c>
      <c r="F1655">
        <v>53.2</v>
      </c>
      <c r="G1655">
        <v>15739</v>
      </c>
      <c r="H1655">
        <v>777.4</v>
      </c>
      <c r="I1655">
        <v>7.7</v>
      </c>
      <c r="J1655">
        <v>60</v>
      </c>
      <c r="K1655" t="s">
        <v>25</v>
      </c>
      <c r="L1655">
        <v>69</v>
      </c>
      <c r="M1655">
        <v>1.93</v>
      </c>
      <c r="N1655">
        <v>5</v>
      </c>
      <c r="O1655" t="s">
        <v>21</v>
      </c>
      <c r="P1655" cm="1">
        <f t="array" ref="P1655">_xlfn.SWITCH(Table2[[#This Row],[mood]], "Tired", 3, "Neutral", 2, "Happy", 1)</f>
        <v>1</v>
      </c>
    </row>
    <row r="1656" spans="1:16" x14ac:dyDescent="0.3">
      <c r="A1656">
        <v>1326</v>
      </c>
      <c r="B1656" s="1">
        <v>43659</v>
      </c>
      <c r="C1656">
        <v>35</v>
      </c>
      <c r="D1656" t="s">
        <v>15</v>
      </c>
      <c r="E1656">
        <v>167.9</v>
      </c>
      <c r="F1656">
        <v>92.1</v>
      </c>
      <c r="G1656">
        <v>11971</v>
      </c>
      <c r="H1656">
        <v>758.5</v>
      </c>
      <c r="I1656">
        <v>6.9</v>
      </c>
      <c r="J1656">
        <v>81</v>
      </c>
      <c r="K1656" t="s">
        <v>23</v>
      </c>
      <c r="L1656">
        <v>36</v>
      </c>
      <c r="M1656">
        <v>1.97</v>
      </c>
      <c r="N1656">
        <v>1</v>
      </c>
      <c r="O1656" t="s">
        <v>17</v>
      </c>
      <c r="P1656" cm="1">
        <f t="array" ref="P1656">_xlfn.SWITCH(Table2[[#This Row],[mood]], "Tired", 3, "Neutral", 2, "Happy", 1)</f>
        <v>3</v>
      </c>
    </row>
    <row r="1657" spans="1:16" x14ac:dyDescent="0.3">
      <c r="A1657">
        <v>1768</v>
      </c>
      <c r="B1657" s="1">
        <v>43660</v>
      </c>
      <c r="C1657">
        <v>23</v>
      </c>
      <c r="D1657" t="s">
        <v>20</v>
      </c>
      <c r="E1657">
        <v>150</v>
      </c>
      <c r="F1657">
        <v>65</v>
      </c>
      <c r="G1657">
        <v>4668</v>
      </c>
      <c r="H1657">
        <v>436.3</v>
      </c>
      <c r="I1657">
        <v>7</v>
      </c>
      <c r="J1657">
        <v>82</v>
      </c>
      <c r="K1657" t="s">
        <v>16</v>
      </c>
      <c r="L1657">
        <v>0</v>
      </c>
      <c r="M1657">
        <v>3.01</v>
      </c>
      <c r="N1657">
        <v>6</v>
      </c>
      <c r="O1657" t="s">
        <v>19</v>
      </c>
      <c r="P1657" cm="1">
        <f t="array" ref="P1657">_xlfn.SWITCH(Table2[[#This Row],[mood]], "Tired", 3, "Neutral", 2, "Happy", 1)</f>
        <v>2</v>
      </c>
    </row>
    <row r="1658" spans="1:16" x14ac:dyDescent="0.3">
      <c r="A1658">
        <v>1735</v>
      </c>
      <c r="B1658" s="1">
        <v>43661</v>
      </c>
      <c r="C1658">
        <v>46</v>
      </c>
      <c r="D1658" t="s">
        <v>15</v>
      </c>
      <c r="E1658">
        <v>156.19999999999999</v>
      </c>
      <c r="F1658">
        <v>60.2</v>
      </c>
      <c r="G1658">
        <v>11744</v>
      </c>
      <c r="H1658">
        <v>723.9</v>
      </c>
      <c r="I1658">
        <v>7.8</v>
      </c>
      <c r="J1658">
        <v>73</v>
      </c>
      <c r="K1658" t="s">
        <v>24</v>
      </c>
      <c r="L1658">
        <v>21</v>
      </c>
      <c r="M1658">
        <v>1.5</v>
      </c>
      <c r="N1658">
        <v>3</v>
      </c>
      <c r="O1658" t="s">
        <v>17</v>
      </c>
      <c r="P1658" cm="1">
        <f t="array" ref="P1658">_xlfn.SWITCH(Table2[[#This Row],[mood]], "Tired", 3, "Neutral", 2, "Happy", 1)</f>
        <v>3</v>
      </c>
    </row>
    <row r="1659" spans="1:16" x14ac:dyDescent="0.3">
      <c r="A1659">
        <v>1140</v>
      </c>
      <c r="B1659" s="1">
        <v>43662</v>
      </c>
      <c r="C1659">
        <v>36</v>
      </c>
      <c r="D1659" t="s">
        <v>15</v>
      </c>
      <c r="E1659">
        <v>187</v>
      </c>
      <c r="F1659">
        <v>75.8</v>
      </c>
      <c r="G1659">
        <v>5509</v>
      </c>
      <c r="H1659">
        <v>466.6</v>
      </c>
      <c r="I1659">
        <v>4.2</v>
      </c>
      <c r="J1659">
        <v>75</v>
      </c>
      <c r="K1659" t="s">
        <v>23</v>
      </c>
      <c r="L1659">
        <v>88</v>
      </c>
      <c r="M1659">
        <v>2.96</v>
      </c>
      <c r="N1659">
        <v>6</v>
      </c>
      <c r="O1659" t="s">
        <v>21</v>
      </c>
      <c r="P1659" cm="1">
        <f t="array" ref="P1659">_xlfn.SWITCH(Table2[[#This Row],[mood]], "Tired", 3, "Neutral", 2, "Happy", 1)</f>
        <v>1</v>
      </c>
    </row>
    <row r="1660" spans="1:16" x14ac:dyDescent="0.3">
      <c r="A1660">
        <v>1989</v>
      </c>
      <c r="B1660" s="1">
        <v>43663</v>
      </c>
      <c r="C1660">
        <v>50</v>
      </c>
      <c r="D1660" t="s">
        <v>15</v>
      </c>
      <c r="E1660">
        <v>187.4</v>
      </c>
      <c r="F1660">
        <v>70.8</v>
      </c>
      <c r="G1660">
        <v>3500</v>
      </c>
      <c r="H1660">
        <v>304.5</v>
      </c>
      <c r="I1660">
        <v>8.8000000000000007</v>
      </c>
      <c r="J1660">
        <v>84</v>
      </c>
      <c r="K1660" t="s">
        <v>18</v>
      </c>
      <c r="L1660">
        <v>81</v>
      </c>
      <c r="M1660">
        <v>2.16</v>
      </c>
      <c r="N1660">
        <v>8</v>
      </c>
      <c r="O1660" t="s">
        <v>21</v>
      </c>
      <c r="P1660" cm="1">
        <f t="array" ref="P1660">_xlfn.SWITCH(Table2[[#This Row],[mood]], "Tired", 3, "Neutral", 2, "Happy", 1)</f>
        <v>1</v>
      </c>
    </row>
    <row r="1661" spans="1:16" x14ac:dyDescent="0.3">
      <c r="A1661">
        <v>1214</v>
      </c>
      <c r="B1661" s="1">
        <v>43664</v>
      </c>
      <c r="C1661">
        <v>18</v>
      </c>
      <c r="D1661" t="s">
        <v>20</v>
      </c>
      <c r="E1661">
        <v>170.9</v>
      </c>
      <c r="F1661">
        <v>67</v>
      </c>
      <c r="G1661">
        <v>10904</v>
      </c>
      <c r="H1661">
        <v>649.4</v>
      </c>
      <c r="I1661">
        <v>4.2</v>
      </c>
      <c r="J1661">
        <v>82</v>
      </c>
      <c r="K1661" t="s">
        <v>16</v>
      </c>
      <c r="L1661">
        <v>0</v>
      </c>
      <c r="M1661">
        <v>2.79</v>
      </c>
      <c r="N1661">
        <v>8</v>
      </c>
      <c r="O1661" t="s">
        <v>21</v>
      </c>
      <c r="P1661" cm="1">
        <f t="array" ref="P1661">_xlfn.SWITCH(Table2[[#This Row],[mood]], "Tired", 3, "Neutral", 2, "Happy", 1)</f>
        <v>1</v>
      </c>
    </row>
    <row r="1662" spans="1:16" x14ac:dyDescent="0.3">
      <c r="A1662">
        <v>1434</v>
      </c>
      <c r="B1662" s="1">
        <v>43665</v>
      </c>
      <c r="C1662">
        <v>20</v>
      </c>
      <c r="D1662" t="s">
        <v>20</v>
      </c>
      <c r="E1662">
        <v>152.30000000000001</v>
      </c>
      <c r="F1662">
        <v>73.3</v>
      </c>
      <c r="G1662">
        <v>17683</v>
      </c>
      <c r="H1662">
        <v>900</v>
      </c>
      <c r="I1662">
        <v>8.6999999999999993</v>
      </c>
      <c r="J1662">
        <v>84</v>
      </c>
      <c r="K1662" t="s">
        <v>24</v>
      </c>
      <c r="L1662">
        <v>80</v>
      </c>
      <c r="M1662">
        <v>1.65</v>
      </c>
      <c r="N1662">
        <v>4</v>
      </c>
      <c r="O1662" t="s">
        <v>19</v>
      </c>
      <c r="P1662" cm="1">
        <f t="array" ref="P1662">_xlfn.SWITCH(Table2[[#This Row],[mood]], "Tired", 3, "Neutral", 2, "Happy", 1)</f>
        <v>2</v>
      </c>
    </row>
    <row r="1663" spans="1:16" x14ac:dyDescent="0.3">
      <c r="A1663">
        <v>1890</v>
      </c>
      <c r="B1663" s="1">
        <v>43666</v>
      </c>
      <c r="C1663">
        <v>59</v>
      </c>
      <c r="D1663" t="s">
        <v>15</v>
      </c>
      <c r="E1663">
        <v>159.1</v>
      </c>
      <c r="F1663">
        <v>70.599999999999994</v>
      </c>
      <c r="G1663">
        <v>13416</v>
      </c>
      <c r="H1663">
        <v>783.9</v>
      </c>
      <c r="I1663">
        <v>7.7</v>
      </c>
      <c r="J1663">
        <v>83</v>
      </c>
      <c r="K1663" t="s">
        <v>25</v>
      </c>
      <c r="L1663">
        <v>30</v>
      </c>
      <c r="M1663">
        <v>3.33</v>
      </c>
      <c r="N1663">
        <v>7</v>
      </c>
      <c r="O1663" t="s">
        <v>21</v>
      </c>
      <c r="P1663" cm="1">
        <f t="array" ref="P1663">_xlfn.SWITCH(Table2[[#This Row],[mood]], "Tired", 3, "Neutral", 2, "Happy", 1)</f>
        <v>1</v>
      </c>
    </row>
    <row r="1664" spans="1:16" x14ac:dyDescent="0.3">
      <c r="A1664">
        <v>1951</v>
      </c>
      <c r="B1664" s="1">
        <v>43667</v>
      </c>
      <c r="C1664">
        <v>38</v>
      </c>
      <c r="D1664" t="s">
        <v>15</v>
      </c>
      <c r="E1664">
        <v>153.80000000000001</v>
      </c>
      <c r="F1664">
        <v>66.8</v>
      </c>
      <c r="G1664">
        <v>15833</v>
      </c>
      <c r="H1664">
        <v>841.1</v>
      </c>
      <c r="I1664">
        <v>7.7</v>
      </c>
      <c r="J1664">
        <v>76</v>
      </c>
      <c r="K1664" t="s">
        <v>18</v>
      </c>
      <c r="L1664">
        <v>46</v>
      </c>
      <c r="M1664">
        <v>1.65</v>
      </c>
      <c r="N1664">
        <v>6</v>
      </c>
      <c r="O1664" t="s">
        <v>19</v>
      </c>
      <c r="P1664" cm="1">
        <f t="array" ref="P1664">_xlfn.SWITCH(Table2[[#This Row],[mood]], "Tired", 3, "Neutral", 2, "Happy", 1)</f>
        <v>2</v>
      </c>
    </row>
    <row r="1665" spans="1:16" x14ac:dyDescent="0.3">
      <c r="A1665">
        <v>1722</v>
      </c>
      <c r="B1665" s="1">
        <v>43668</v>
      </c>
      <c r="C1665">
        <v>52</v>
      </c>
      <c r="D1665" t="s">
        <v>20</v>
      </c>
      <c r="E1665">
        <v>153.4</v>
      </c>
      <c r="F1665">
        <v>84</v>
      </c>
      <c r="G1665">
        <v>19290</v>
      </c>
      <c r="H1665">
        <v>900</v>
      </c>
      <c r="I1665">
        <v>9.4</v>
      </c>
      <c r="J1665">
        <v>75</v>
      </c>
      <c r="K1665" t="s">
        <v>18</v>
      </c>
      <c r="L1665">
        <v>54</v>
      </c>
      <c r="M1665">
        <v>3.01</v>
      </c>
      <c r="N1665">
        <v>2</v>
      </c>
      <c r="O1665" t="s">
        <v>21</v>
      </c>
      <c r="P1665" cm="1">
        <f t="array" ref="P1665">_xlfn.SWITCH(Table2[[#This Row],[mood]], "Tired", 3, "Neutral", 2, "Happy", 1)</f>
        <v>1</v>
      </c>
    </row>
    <row r="1666" spans="1:16" x14ac:dyDescent="0.3">
      <c r="A1666">
        <v>1317</v>
      </c>
      <c r="B1666" s="1">
        <v>43669</v>
      </c>
      <c r="C1666">
        <v>58</v>
      </c>
      <c r="D1666" t="s">
        <v>20</v>
      </c>
      <c r="E1666">
        <v>190.3</v>
      </c>
      <c r="F1666">
        <v>48.3</v>
      </c>
      <c r="G1666">
        <v>3485</v>
      </c>
      <c r="H1666">
        <v>366</v>
      </c>
      <c r="I1666">
        <v>8.8000000000000007</v>
      </c>
      <c r="J1666">
        <v>79</v>
      </c>
      <c r="K1666" t="s">
        <v>16</v>
      </c>
      <c r="L1666">
        <v>0</v>
      </c>
      <c r="M1666">
        <v>1.68</v>
      </c>
      <c r="N1666">
        <v>6</v>
      </c>
      <c r="O1666" t="s">
        <v>21</v>
      </c>
      <c r="P1666" cm="1">
        <f t="array" ref="P1666">_xlfn.SWITCH(Table2[[#This Row],[mood]], "Tired", 3, "Neutral", 2, "Happy", 1)</f>
        <v>1</v>
      </c>
    </row>
    <row r="1667" spans="1:16" x14ac:dyDescent="0.3">
      <c r="A1667">
        <v>1031</v>
      </c>
      <c r="B1667" s="1">
        <v>43670</v>
      </c>
      <c r="C1667">
        <v>57</v>
      </c>
      <c r="D1667" t="s">
        <v>20</v>
      </c>
      <c r="E1667">
        <v>190.6</v>
      </c>
      <c r="F1667">
        <v>56.3</v>
      </c>
      <c r="G1667">
        <v>15003</v>
      </c>
      <c r="H1667">
        <v>866.2</v>
      </c>
      <c r="I1667">
        <v>8.1999999999999993</v>
      </c>
      <c r="J1667">
        <v>90</v>
      </c>
      <c r="K1667" t="s">
        <v>23</v>
      </c>
      <c r="L1667">
        <v>87</v>
      </c>
      <c r="M1667">
        <v>3.77</v>
      </c>
      <c r="N1667">
        <v>2</v>
      </c>
      <c r="O1667" t="s">
        <v>19</v>
      </c>
      <c r="P1667" cm="1">
        <f t="array" ref="P1667">_xlfn.SWITCH(Table2[[#This Row],[mood]], "Tired", 3, "Neutral", 2, "Happy", 1)</f>
        <v>2</v>
      </c>
    </row>
    <row r="1668" spans="1:16" x14ac:dyDescent="0.3">
      <c r="A1668">
        <v>1669</v>
      </c>
      <c r="B1668" s="1">
        <v>43671</v>
      </c>
      <c r="C1668">
        <v>20</v>
      </c>
      <c r="D1668" t="s">
        <v>20</v>
      </c>
      <c r="E1668">
        <v>158.80000000000001</v>
      </c>
      <c r="F1668">
        <v>58.2</v>
      </c>
      <c r="G1668">
        <v>8459</v>
      </c>
      <c r="H1668">
        <v>548.4</v>
      </c>
      <c r="I1668">
        <v>6.6</v>
      </c>
      <c r="J1668">
        <v>78</v>
      </c>
      <c r="K1668" t="s">
        <v>22</v>
      </c>
      <c r="L1668">
        <v>80</v>
      </c>
      <c r="M1668">
        <v>2.4500000000000002</v>
      </c>
      <c r="N1668">
        <v>4</v>
      </c>
      <c r="O1668" t="s">
        <v>19</v>
      </c>
      <c r="P1668" cm="1">
        <f t="array" ref="P1668">_xlfn.SWITCH(Table2[[#This Row],[mood]], "Tired", 3, "Neutral", 2, "Happy", 1)</f>
        <v>2</v>
      </c>
    </row>
    <row r="1669" spans="1:16" x14ac:dyDescent="0.3">
      <c r="A1669">
        <v>1284</v>
      </c>
      <c r="B1669" s="1">
        <v>43672</v>
      </c>
      <c r="C1669">
        <v>42</v>
      </c>
      <c r="D1669" t="s">
        <v>20</v>
      </c>
      <c r="E1669">
        <v>169.9</v>
      </c>
      <c r="F1669">
        <v>54.1</v>
      </c>
      <c r="G1669">
        <v>7120</v>
      </c>
      <c r="H1669">
        <v>466.2</v>
      </c>
      <c r="I1669">
        <v>6.5</v>
      </c>
      <c r="J1669">
        <v>88</v>
      </c>
      <c r="K1669" t="s">
        <v>23</v>
      </c>
      <c r="L1669">
        <v>60</v>
      </c>
      <c r="M1669">
        <v>3.87</v>
      </c>
      <c r="N1669">
        <v>5</v>
      </c>
      <c r="O1669" t="s">
        <v>19</v>
      </c>
      <c r="P1669" cm="1">
        <f t="array" ref="P1669">_xlfn.SWITCH(Table2[[#This Row],[mood]], "Tired", 3, "Neutral", 2, "Happy", 1)</f>
        <v>2</v>
      </c>
    </row>
    <row r="1670" spans="1:16" x14ac:dyDescent="0.3">
      <c r="A1670">
        <v>1304</v>
      </c>
      <c r="B1670" s="1">
        <v>43673</v>
      </c>
      <c r="C1670">
        <v>55</v>
      </c>
      <c r="D1670" t="s">
        <v>20</v>
      </c>
      <c r="E1670">
        <v>157.19999999999999</v>
      </c>
      <c r="F1670">
        <v>71.3</v>
      </c>
      <c r="G1670">
        <v>9485</v>
      </c>
      <c r="H1670">
        <v>627.9</v>
      </c>
      <c r="I1670">
        <v>8.3000000000000007</v>
      </c>
      <c r="J1670">
        <v>55</v>
      </c>
      <c r="K1670" t="s">
        <v>18</v>
      </c>
      <c r="L1670">
        <v>62</v>
      </c>
      <c r="M1670">
        <v>1.93</v>
      </c>
      <c r="N1670">
        <v>9</v>
      </c>
      <c r="O1670" t="s">
        <v>17</v>
      </c>
      <c r="P1670" cm="1">
        <f t="array" ref="P1670">_xlfn.SWITCH(Table2[[#This Row],[mood]], "Tired", 3, "Neutral", 2, "Happy", 1)</f>
        <v>3</v>
      </c>
    </row>
    <row r="1671" spans="1:16" x14ac:dyDescent="0.3">
      <c r="A1671">
        <v>1428</v>
      </c>
      <c r="B1671" s="1">
        <v>43674</v>
      </c>
      <c r="C1671">
        <v>37</v>
      </c>
      <c r="D1671" t="s">
        <v>15</v>
      </c>
      <c r="E1671">
        <v>169.8</v>
      </c>
      <c r="F1671">
        <v>77.599999999999994</v>
      </c>
      <c r="G1671">
        <v>15251</v>
      </c>
      <c r="H1671">
        <v>846.7</v>
      </c>
      <c r="I1671">
        <v>7.7</v>
      </c>
      <c r="J1671">
        <v>78</v>
      </c>
      <c r="K1671" t="s">
        <v>23</v>
      </c>
      <c r="L1671">
        <v>68</v>
      </c>
      <c r="M1671">
        <v>2.19</v>
      </c>
      <c r="N1671">
        <v>3</v>
      </c>
      <c r="O1671" t="s">
        <v>21</v>
      </c>
      <c r="P1671" cm="1">
        <f t="array" ref="P1671">_xlfn.SWITCH(Table2[[#This Row],[mood]], "Tired", 3, "Neutral", 2, "Happy", 1)</f>
        <v>1</v>
      </c>
    </row>
    <row r="1672" spans="1:16" x14ac:dyDescent="0.3">
      <c r="A1672">
        <v>1476</v>
      </c>
      <c r="B1672" s="1">
        <v>43675</v>
      </c>
      <c r="C1672">
        <v>51</v>
      </c>
      <c r="D1672" t="s">
        <v>20</v>
      </c>
      <c r="E1672">
        <v>186.4</v>
      </c>
      <c r="F1672">
        <v>45</v>
      </c>
      <c r="G1672">
        <v>19257</v>
      </c>
      <c r="H1672">
        <v>900</v>
      </c>
      <c r="I1672">
        <v>7.5</v>
      </c>
      <c r="J1672">
        <v>76</v>
      </c>
      <c r="K1672" t="s">
        <v>22</v>
      </c>
      <c r="L1672">
        <v>30</v>
      </c>
      <c r="M1672">
        <v>3.35</v>
      </c>
      <c r="N1672">
        <v>5</v>
      </c>
      <c r="O1672" t="s">
        <v>17</v>
      </c>
      <c r="P1672" cm="1">
        <f t="array" ref="P1672">_xlfn.SWITCH(Table2[[#This Row],[mood]], "Tired", 3, "Neutral", 2, "Happy", 1)</f>
        <v>3</v>
      </c>
    </row>
    <row r="1673" spans="1:16" x14ac:dyDescent="0.3">
      <c r="A1673">
        <v>1285</v>
      </c>
      <c r="B1673" s="1">
        <v>43676</v>
      </c>
      <c r="C1673">
        <v>38</v>
      </c>
      <c r="D1673" t="s">
        <v>15</v>
      </c>
      <c r="E1673">
        <v>180.8</v>
      </c>
      <c r="F1673">
        <v>62.9</v>
      </c>
      <c r="G1673">
        <v>7172</v>
      </c>
      <c r="H1673">
        <v>444.6</v>
      </c>
      <c r="I1673">
        <v>6.9</v>
      </c>
      <c r="J1673">
        <v>58</v>
      </c>
      <c r="K1673" t="s">
        <v>25</v>
      </c>
      <c r="L1673">
        <v>86</v>
      </c>
      <c r="M1673">
        <v>1.5</v>
      </c>
      <c r="N1673">
        <v>2</v>
      </c>
      <c r="O1673" t="s">
        <v>21</v>
      </c>
      <c r="P1673" cm="1">
        <f t="array" ref="P1673">_xlfn.SWITCH(Table2[[#This Row],[mood]], "Tired", 3, "Neutral", 2, "Happy", 1)</f>
        <v>1</v>
      </c>
    </row>
    <row r="1674" spans="1:16" x14ac:dyDescent="0.3">
      <c r="A1674">
        <v>1143</v>
      </c>
      <c r="B1674" s="1">
        <v>43677</v>
      </c>
      <c r="C1674">
        <v>40</v>
      </c>
      <c r="D1674" t="s">
        <v>20</v>
      </c>
      <c r="E1674">
        <v>178.1</v>
      </c>
      <c r="F1674">
        <v>65.2</v>
      </c>
      <c r="G1674">
        <v>19472</v>
      </c>
      <c r="H1674">
        <v>900</v>
      </c>
      <c r="I1674">
        <v>6.4</v>
      </c>
      <c r="J1674">
        <v>60</v>
      </c>
      <c r="K1674" t="s">
        <v>24</v>
      </c>
      <c r="L1674">
        <v>70</v>
      </c>
      <c r="M1674">
        <v>2.0099999999999998</v>
      </c>
      <c r="N1674">
        <v>3</v>
      </c>
      <c r="O1674" t="s">
        <v>21</v>
      </c>
      <c r="P1674" cm="1">
        <f t="array" ref="P1674">_xlfn.SWITCH(Table2[[#This Row],[mood]], "Tired", 3, "Neutral", 2, "Happy", 1)</f>
        <v>1</v>
      </c>
    </row>
    <row r="1675" spans="1:16" x14ac:dyDescent="0.3">
      <c r="A1675">
        <v>1423</v>
      </c>
      <c r="B1675" s="1">
        <v>43678</v>
      </c>
      <c r="C1675">
        <v>23</v>
      </c>
      <c r="D1675" t="s">
        <v>20</v>
      </c>
      <c r="E1675">
        <v>168.1</v>
      </c>
      <c r="F1675">
        <v>65.7</v>
      </c>
      <c r="G1675">
        <v>7487</v>
      </c>
      <c r="H1675">
        <v>459.8</v>
      </c>
      <c r="I1675">
        <v>4.9000000000000004</v>
      </c>
      <c r="J1675">
        <v>80</v>
      </c>
      <c r="K1675" t="s">
        <v>18</v>
      </c>
      <c r="L1675">
        <v>71</v>
      </c>
      <c r="M1675">
        <v>2.85</v>
      </c>
      <c r="N1675">
        <v>5</v>
      </c>
      <c r="O1675" t="s">
        <v>21</v>
      </c>
      <c r="P1675" cm="1">
        <f t="array" ref="P1675">_xlfn.SWITCH(Table2[[#This Row],[mood]], "Tired", 3, "Neutral", 2, "Happy", 1)</f>
        <v>1</v>
      </c>
    </row>
    <row r="1676" spans="1:16" x14ac:dyDescent="0.3">
      <c r="A1676">
        <v>1018</v>
      </c>
      <c r="B1676" s="1">
        <v>43679</v>
      </c>
      <c r="C1676">
        <v>30</v>
      </c>
      <c r="D1676" t="s">
        <v>15</v>
      </c>
      <c r="E1676">
        <v>182.6</v>
      </c>
      <c r="F1676">
        <v>50.7</v>
      </c>
      <c r="G1676">
        <v>10964</v>
      </c>
      <c r="H1676">
        <v>677.4</v>
      </c>
      <c r="I1676">
        <v>8</v>
      </c>
      <c r="J1676">
        <v>76</v>
      </c>
      <c r="K1676" t="s">
        <v>23</v>
      </c>
      <c r="L1676">
        <v>62</v>
      </c>
      <c r="M1676">
        <v>1.79</v>
      </c>
      <c r="N1676">
        <v>7</v>
      </c>
      <c r="O1676" t="s">
        <v>21</v>
      </c>
      <c r="P1676" cm="1">
        <f t="array" ref="P1676">_xlfn.SWITCH(Table2[[#This Row],[mood]], "Tired", 3, "Neutral", 2, "Happy", 1)</f>
        <v>1</v>
      </c>
    </row>
    <row r="1677" spans="1:16" x14ac:dyDescent="0.3">
      <c r="A1677">
        <v>1017</v>
      </c>
      <c r="B1677" s="1">
        <v>43680</v>
      </c>
      <c r="C1677">
        <v>40</v>
      </c>
      <c r="D1677" t="s">
        <v>15</v>
      </c>
      <c r="E1677">
        <v>176.5</v>
      </c>
      <c r="F1677">
        <v>65.3</v>
      </c>
      <c r="G1677">
        <v>12055</v>
      </c>
      <c r="H1677">
        <v>627.4</v>
      </c>
      <c r="I1677">
        <v>6.7</v>
      </c>
      <c r="J1677">
        <v>83</v>
      </c>
      <c r="K1677" t="s">
        <v>18</v>
      </c>
      <c r="L1677">
        <v>77</v>
      </c>
      <c r="M1677">
        <v>2.87</v>
      </c>
      <c r="N1677">
        <v>6</v>
      </c>
      <c r="O1677" t="s">
        <v>17</v>
      </c>
      <c r="P1677" cm="1">
        <f t="array" ref="P1677">_xlfn.SWITCH(Table2[[#This Row],[mood]], "Tired", 3, "Neutral", 2, "Happy", 1)</f>
        <v>3</v>
      </c>
    </row>
    <row r="1678" spans="1:16" x14ac:dyDescent="0.3">
      <c r="A1678">
        <v>1768</v>
      </c>
      <c r="B1678" s="1">
        <v>43681</v>
      </c>
      <c r="C1678">
        <v>26</v>
      </c>
      <c r="D1678" t="s">
        <v>20</v>
      </c>
      <c r="E1678">
        <v>174</v>
      </c>
      <c r="F1678">
        <v>56.3</v>
      </c>
      <c r="G1678">
        <v>7880</v>
      </c>
      <c r="H1678">
        <v>472.8</v>
      </c>
      <c r="I1678">
        <v>6.6</v>
      </c>
      <c r="J1678">
        <v>50</v>
      </c>
      <c r="K1678" t="s">
        <v>24</v>
      </c>
      <c r="L1678">
        <v>89</v>
      </c>
      <c r="M1678">
        <v>2.62</v>
      </c>
      <c r="N1678">
        <v>2</v>
      </c>
      <c r="O1678" t="s">
        <v>21</v>
      </c>
      <c r="P1678" cm="1">
        <f t="array" ref="P1678">_xlfn.SWITCH(Table2[[#This Row],[mood]], "Tired", 3, "Neutral", 2, "Happy", 1)</f>
        <v>1</v>
      </c>
    </row>
    <row r="1679" spans="1:16" x14ac:dyDescent="0.3">
      <c r="A1679">
        <v>1589</v>
      </c>
      <c r="B1679" s="1">
        <v>43682</v>
      </c>
      <c r="C1679">
        <v>34</v>
      </c>
      <c r="D1679" t="s">
        <v>15</v>
      </c>
      <c r="E1679">
        <v>168.8</v>
      </c>
      <c r="F1679">
        <v>65</v>
      </c>
      <c r="G1679">
        <v>1528</v>
      </c>
      <c r="H1679">
        <v>275.7</v>
      </c>
      <c r="I1679">
        <v>4.3</v>
      </c>
      <c r="J1679">
        <v>86</v>
      </c>
      <c r="K1679" t="s">
        <v>23</v>
      </c>
      <c r="L1679">
        <v>48</v>
      </c>
      <c r="M1679">
        <v>1.44</v>
      </c>
      <c r="N1679">
        <v>9</v>
      </c>
      <c r="O1679" t="s">
        <v>17</v>
      </c>
      <c r="P1679" cm="1">
        <f t="array" ref="P1679">_xlfn.SWITCH(Table2[[#This Row],[mood]], "Tired", 3, "Neutral", 2, "Happy", 1)</f>
        <v>3</v>
      </c>
    </row>
    <row r="1680" spans="1:16" x14ac:dyDescent="0.3">
      <c r="A1680">
        <v>1370</v>
      </c>
      <c r="B1680" s="1">
        <v>43683</v>
      </c>
      <c r="C1680">
        <v>19</v>
      </c>
      <c r="D1680" t="s">
        <v>15</v>
      </c>
      <c r="E1680">
        <v>173.2</v>
      </c>
      <c r="F1680">
        <v>45</v>
      </c>
      <c r="G1680">
        <v>11325</v>
      </c>
      <c r="H1680">
        <v>681.9</v>
      </c>
      <c r="I1680">
        <v>7.1</v>
      </c>
      <c r="J1680">
        <v>86</v>
      </c>
      <c r="K1680" t="s">
        <v>25</v>
      </c>
      <c r="L1680">
        <v>50</v>
      </c>
      <c r="M1680">
        <v>3.18</v>
      </c>
      <c r="N1680">
        <v>8</v>
      </c>
      <c r="O1680" t="s">
        <v>19</v>
      </c>
      <c r="P1680" cm="1">
        <f t="array" ref="P1680">_xlfn.SWITCH(Table2[[#This Row],[mood]], "Tired", 3, "Neutral", 2, "Happy", 1)</f>
        <v>2</v>
      </c>
    </row>
    <row r="1681" spans="1:16" x14ac:dyDescent="0.3">
      <c r="A1681">
        <v>1174</v>
      </c>
      <c r="B1681" s="1">
        <v>43684</v>
      </c>
      <c r="C1681">
        <v>36</v>
      </c>
      <c r="D1681" t="s">
        <v>15</v>
      </c>
      <c r="E1681">
        <v>172.9</v>
      </c>
      <c r="F1681">
        <v>65.099999999999994</v>
      </c>
      <c r="G1681">
        <v>19308</v>
      </c>
      <c r="H1681">
        <v>900</v>
      </c>
      <c r="I1681">
        <v>5</v>
      </c>
      <c r="J1681">
        <v>61</v>
      </c>
      <c r="K1681" t="s">
        <v>24</v>
      </c>
      <c r="L1681">
        <v>47</v>
      </c>
      <c r="M1681">
        <v>1.62</v>
      </c>
      <c r="N1681">
        <v>9</v>
      </c>
      <c r="O1681" t="s">
        <v>17</v>
      </c>
      <c r="P1681" cm="1">
        <f t="array" ref="P1681">_xlfn.SWITCH(Table2[[#This Row],[mood]], "Tired", 3, "Neutral", 2, "Happy", 1)</f>
        <v>3</v>
      </c>
    </row>
    <row r="1682" spans="1:16" x14ac:dyDescent="0.3">
      <c r="A1682">
        <v>1193</v>
      </c>
      <c r="B1682" s="1">
        <v>43685</v>
      </c>
      <c r="C1682">
        <v>36</v>
      </c>
      <c r="D1682" t="s">
        <v>15</v>
      </c>
      <c r="E1682">
        <v>164.6</v>
      </c>
      <c r="F1682">
        <v>59.2</v>
      </c>
      <c r="G1682">
        <v>18246</v>
      </c>
      <c r="H1682">
        <v>900</v>
      </c>
      <c r="I1682">
        <v>6.3</v>
      </c>
      <c r="J1682">
        <v>89</v>
      </c>
      <c r="K1682" t="s">
        <v>22</v>
      </c>
      <c r="L1682">
        <v>69</v>
      </c>
      <c r="M1682">
        <v>3.04</v>
      </c>
      <c r="N1682">
        <v>9</v>
      </c>
      <c r="O1682" t="s">
        <v>21</v>
      </c>
      <c r="P1682" cm="1">
        <f t="array" ref="P1682">_xlfn.SWITCH(Table2[[#This Row],[mood]], "Tired", 3, "Neutral", 2, "Happy", 1)</f>
        <v>1</v>
      </c>
    </row>
    <row r="1683" spans="1:16" x14ac:dyDescent="0.3">
      <c r="A1683">
        <v>1501</v>
      </c>
      <c r="B1683" s="1">
        <v>43686</v>
      </c>
      <c r="C1683">
        <v>24</v>
      </c>
      <c r="D1683" t="s">
        <v>20</v>
      </c>
      <c r="E1683">
        <v>162.30000000000001</v>
      </c>
      <c r="F1683">
        <v>66.099999999999994</v>
      </c>
      <c r="G1683">
        <v>11554</v>
      </c>
      <c r="H1683">
        <v>717.8</v>
      </c>
      <c r="I1683">
        <v>8.1999999999999993</v>
      </c>
      <c r="J1683">
        <v>93</v>
      </c>
      <c r="K1683" t="s">
        <v>22</v>
      </c>
      <c r="L1683">
        <v>55</v>
      </c>
      <c r="M1683">
        <v>2.59</v>
      </c>
      <c r="N1683">
        <v>5</v>
      </c>
      <c r="O1683" t="s">
        <v>17</v>
      </c>
      <c r="P1683" cm="1">
        <f t="array" ref="P1683">_xlfn.SWITCH(Table2[[#This Row],[mood]], "Tired", 3, "Neutral", 2, "Happy", 1)</f>
        <v>3</v>
      </c>
    </row>
    <row r="1684" spans="1:16" x14ac:dyDescent="0.3">
      <c r="A1684">
        <v>1987</v>
      </c>
      <c r="B1684" s="1">
        <v>43687</v>
      </c>
      <c r="C1684">
        <v>59</v>
      </c>
      <c r="D1684" t="s">
        <v>15</v>
      </c>
      <c r="E1684">
        <v>160</v>
      </c>
      <c r="F1684">
        <v>74.5</v>
      </c>
      <c r="G1684">
        <v>16413</v>
      </c>
      <c r="H1684">
        <v>863.5</v>
      </c>
      <c r="I1684">
        <v>7.1</v>
      </c>
      <c r="J1684">
        <v>62</v>
      </c>
      <c r="K1684" t="s">
        <v>18</v>
      </c>
      <c r="L1684">
        <v>38</v>
      </c>
      <c r="M1684">
        <v>2.1800000000000002</v>
      </c>
      <c r="N1684">
        <v>7</v>
      </c>
      <c r="O1684" t="s">
        <v>17</v>
      </c>
      <c r="P1684" cm="1">
        <f t="array" ref="P1684">_xlfn.SWITCH(Table2[[#This Row],[mood]], "Tired", 3, "Neutral", 2, "Happy", 1)</f>
        <v>3</v>
      </c>
    </row>
    <row r="1685" spans="1:16" x14ac:dyDescent="0.3">
      <c r="A1685">
        <v>1112</v>
      </c>
      <c r="B1685" s="1">
        <v>43688</v>
      </c>
      <c r="C1685">
        <v>59</v>
      </c>
      <c r="D1685" t="s">
        <v>20</v>
      </c>
      <c r="E1685">
        <v>160.69999999999999</v>
      </c>
      <c r="F1685">
        <v>69.3</v>
      </c>
      <c r="G1685">
        <v>15127</v>
      </c>
      <c r="H1685">
        <v>814.7</v>
      </c>
      <c r="I1685">
        <v>6.8</v>
      </c>
      <c r="J1685">
        <v>76</v>
      </c>
      <c r="K1685" t="s">
        <v>22</v>
      </c>
      <c r="L1685">
        <v>86</v>
      </c>
      <c r="M1685">
        <v>1.73</v>
      </c>
      <c r="N1685">
        <v>7</v>
      </c>
      <c r="O1685" t="s">
        <v>19</v>
      </c>
      <c r="P1685" cm="1">
        <f t="array" ref="P1685">_xlfn.SWITCH(Table2[[#This Row],[mood]], "Tired", 3, "Neutral", 2, "Happy", 1)</f>
        <v>2</v>
      </c>
    </row>
    <row r="1686" spans="1:16" x14ac:dyDescent="0.3">
      <c r="A1686">
        <v>1113</v>
      </c>
      <c r="B1686" s="1">
        <v>43689</v>
      </c>
      <c r="C1686">
        <v>37</v>
      </c>
      <c r="D1686" t="s">
        <v>20</v>
      </c>
      <c r="E1686">
        <v>168.1</v>
      </c>
      <c r="F1686">
        <v>81.900000000000006</v>
      </c>
      <c r="G1686">
        <v>19026</v>
      </c>
      <c r="H1686">
        <v>900</v>
      </c>
      <c r="I1686">
        <v>5.9</v>
      </c>
      <c r="J1686">
        <v>77</v>
      </c>
      <c r="K1686" t="s">
        <v>23</v>
      </c>
      <c r="L1686">
        <v>31</v>
      </c>
      <c r="M1686">
        <v>2.73</v>
      </c>
      <c r="N1686">
        <v>10</v>
      </c>
      <c r="O1686" t="s">
        <v>19</v>
      </c>
      <c r="P1686" cm="1">
        <f t="array" ref="P1686">_xlfn.SWITCH(Table2[[#This Row],[mood]], "Tired", 3, "Neutral", 2, "Happy", 1)</f>
        <v>2</v>
      </c>
    </row>
    <row r="1687" spans="1:16" x14ac:dyDescent="0.3">
      <c r="A1687">
        <v>1221</v>
      </c>
      <c r="B1687" s="1">
        <v>43690</v>
      </c>
      <c r="C1687">
        <v>26</v>
      </c>
      <c r="D1687" t="s">
        <v>20</v>
      </c>
      <c r="E1687">
        <v>166.5</v>
      </c>
      <c r="F1687">
        <v>64.599999999999994</v>
      </c>
      <c r="G1687">
        <v>16693</v>
      </c>
      <c r="H1687">
        <v>831.6</v>
      </c>
      <c r="I1687">
        <v>6.2</v>
      </c>
      <c r="J1687">
        <v>57</v>
      </c>
      <c r="K1687" t="s">
        <v>22</v>
      </c>
      <c r="L1687">
        <v>43</v>
      </c>
      <c r="M1687">
        <v>1.89</v>
      </c>
      <c r="N1687">
        <v>9</v>
      </c>
      <c r="O1687" t="s">
        <v>19</v>
      </c>
      <c r="P1687" cm="1">
        <f t="array" ref="P1687">_xlfn.SWITCH(Table2[[#This Row],[mood]], "Tired", 3, "Neutral", 2, "Happy", 1)</f>
        <v>2</v>
      </c>
    </row>
    <row r="1688" spans="1:16" x14ac:dyDescent="0.3">
      <c r="A1688">
        <v>1677</v>
      </c>
      <c r="B1688" s="1">
        <v>43691</v>
      </c>
      <c r="C1688">
        <v>34</v>
      </c>
      <c r="D1688" t="s">
        <v>20</v>
      </c>
      <c r="E1688">
        <v>163.80000000000001</v>
      </c>
      <c r="F1688">
        <v>79.3</v>
      </c>
      <c r="G1688">
        <v>10212</v>
      </c>
      <c r="H1688">
        <v>664.8</v>
      </c>
      <c r="I1688">
        <v>9.4</v>
      </c>
      <c r="J1688">
        <v>72</v>
      </c>
      <c r="K1688" t="s">
        <v>25</v>
      </c>
      <c r="L1688">
        <v>84</v>
      </c>
      <c r="M1688">
        <v>3.35</v>
      </c>
      <c r="N1688">
        <v>9</v>
      </c>
      <c r="O1688" t="s">
        <v>21</v>
      </c>
      <c r="P1688" cm="1">
        <f t="array" ref="P1688">_xlfn.SWITCH(Table2[[#This Row],[mood]], "Tired", 3, "Neutral", 2, "Happy", 1)</f>
        <v>1</v>
      </c>
    </row>
    <row r="1689" spans="1:16" x14ac:dyDescent="0.3">
      <c r="A1689">
        <v>1946</v>
      </c>
      <c r="B1689" s="1">
        <v>43692</v>
      </c>
      <c r="C1689">
        <v>44</v>
      </c>
      <c r="D1689" t="s">
        <v>15</v>
      </c>
      <c r="E1689">
        <v>163.1</v>
      </c>
      <c r="F1689">
        <v>86.9</v>
      </c>
      <c r="G1689">
        <v>6196</v>
      </c>
      <c r="H1689">
        <v>415.7</v>
      </c>
      <c r="I1689">
        <v>8.1999999999999993</v>
      </c>
      <c r="J1689">
        <v>89</v>
      </c>
      <c r="K1689" t="s">
        <v>16</v>
      </c>
      <c r="L1689">
        <v>0</v>
      </c>
      <c r="M1689">
        <v>3.37</v>
      </c>
      <c r="N1689">
        <v>6</v>
      </c>
      <c r="O1689" t="s">
        <v>17</v>
      </c>
      <c r="P1689" cm="1">
        <f t="array" ref="P1689">_xlfn.SWITCH(Table2[[#This Row],[mood]], "Tired", 3, "Neutral", 2, "Happy", 1)</f>
        <v>3</v>
      </c>
    </row>
    <row r="1690" spans="1:16" x14ac:dyDescent="0.3">
      <c r="A1690">
        <v>1830</v>
      </c>
      <c r="B1690" s="1">
        <v>43693</v>
      </c>
      <c r="C1690">
        <v>19</v>
      </c>
      <c r="D1690" t="s">
        <v>15</v>
      </c>
      <c r="E1690">
        <v>172.9</v>
      </c>
      <c r="F1690">
        <v>74.099999999999994</v>
      </c>
      <c r="G1690">
        <v>14850</v>
      </c>
      <c r="H1690">
        <v>878.9</v>
      </c>
      <c r="I1690">
        <v>6.3</v>
      </c>
      <c r="J1690">
        <v>66</v>
      </c>
      <c r="K1690" t="s">
        <v>23</v>
      </c>
      <c r="L1690">
        <v>45</v>
      </c>
      <c r="M1690">
        <v>3.65</v>
      </c>
      <c r="N1690">
        <v>3</v>
      </c>
      <c r="O1690" t="s">
        <v>17</v>
      </c>
      <c r="P1690" cm="1">
        <f t="array" ref="P1690">_xlfn.SWITCH(Table2[[#This Row],[mood]], "Tired", 3, "Neutral", 2, "Happy", 1)</f>
        <v>3</v>
      </c>
    </row>
    <row r="1691" spans="1:16" x14ac:dyDescent="0.3">
      <c r="A1691">
        <v>1643</v>
      </c>
      <c r="B1691" s="1">
        <v>43694</v>
      </c>
      <c r="C1691">
        <v>53</v>
      </c>
      <c r="D1691" t="s">
        <v>20</v>
      </c>
      <c r="E1691">
        <v>183.8</v>
      </c>
      <c r="F1691">
        <v>69.7</v>
      </c>
      <c r="G1691">
        <v>7999</v>
      </c>
      <c r="H1691">
        <v>478.7</v>
      </c>
      <c r="I1691">
        <v>6.8</v>
      </c>
      <c r="J1691">
        <v>93</v>
      </c>
      <c r="K1691" t="s">
        <v>16</v>
      </c>
      <c r="L1691">
        <v>0</v>
      </c>
      <c r="M1691">
        <v>2.7</v>
      </c>
      <c r="N1691">
        <v>8</v>
      </c>
      <c r="O1691" t="s">
        <v>19</v>
      </c>
      <c r="P1691" cm="1">
        <f t="array" ref="P1691">_xlfn.SWITCH(Table2[[#This Row],[mood]], "Tired", 3, "Neutral", 2, "Happy", 1)</f>
        <v>2</v>
      </c>
    </row>
    <row r="1692" spans="1:16" x14ac:dyDescent="0.3">
      <c r="A1692">
        <v>1896</v>
      </c>
      <c r="B1692" s="1">
        <v>43695</v>
      </c>
      <c r="C1692">
        <v>36</v>
      </c>
      <c r="D1692" t="s">
        <v>20</v>
      </c>
      <c r="E1692">
        <v>169.9</v>
      </c>
      <c r="F1692">
        <v>76.2</v>
      </c>
      <c r="G1692">
        <v>8322</v>
      </c>
      <c r="H1692">
        <v>549</v>
      </c>
      <c r="I1692">
        <v>7.4</v>
      </c>
      <c r="J1692">
        <v>79</v>
      </c>
      <c r="K1692" t="s">
        <v>18</v>
      </c>
      <c r="L1692">
        <v>77</v>
      </c>
      <c r="M1692">
        <v>2.2200000000000002</v>
      </c>
      <c r="N1692">
        <v>1</v>
      </c>
      <c r="O1692" t="s">
        <v>21</v>
      </c>
      <c r="P1692" cm="1">
        <f t="array" ref="P1692">_xlfn.SWITCH(Table2[[#This Row],[mood]], "Tired", 3, "Neutral", 2, "Happy", 1)</f>
        <v>1</v>
      </c>
    </row>
    <row r="1693" spans="1:16" x14ac:dyDescent="0.3">
      <c r="A1693">
        <v>1263</v>
      </c>
      <c r="B1693" s="1">
        <v>43696</v>
      </c>
      <c r="C1693">
        <v>34</v>
      </c>
      <c r="D1693" t="s">
        <v>20</v>
      </c>
      <c r="E1693">
        <v>169.2</v>
      </c>
      <c r="F1693">
        <v>74.599999999999994</v>
      </c>
      <c r="G1693">
        <v>4143</v>
      </c>
      <c r="H1693">
        <v>369.2</v>
      </c>
      <c r="I1693">
        <v>7.7</v>
      </c>
      <c r="J1693">
        <v>67</v>
      </c>
      <c r="K1693" t="s">
        <v>18</v>
      </c>
      <c r="L1693">
        <v>61</v>
      </c>
      <c r="M1693">
        <v>2.29</v>
      </c>
      <c r="N1693">
        <v>10</v>
      </c>
      <c r="O1693" t="s">
        <v>21</v>
      </c>
      <c r="P1693" cm="1">
        <f t="array" ref="P1693">_xlfn.SWITCH(Table2[[#This Row],[mood]], "Tired", 3, "Neutral", 2, "Happy", 1)</f>
        <v>1</v>
      </c>
    </row>
    <row r="1694" spans="1:16" x14ac:dyDescent="0.3">
      <c r="A1694">
        <v>1924</v>
      </c>
      <c r="B1694" s="1">
        <v>43697</v>
      </c>
      <c r="C1694">
        <v>22</v>
      </c>
      <c r="D1694" t="s">
        <v>20</v>
      </c>
      <c r="E1694">
        <v>160.69999999999999</v>
      </c>
      <c r="F1694">
        <v>85</v>
      </c>
      <c r="G1694">
        <v>14812</v>
      </c>
      <c r="H1694">
        <v>786.8</v>
      </c>
      <c r="I1694">
        <v>7</v>
      </c>
      <c r="J1694">
        <v>75</v>
      </c>
      <c r="K1694" t="s">
        <v>22</v>
      </c>
      <c r="L1694">
        <v>48</v>
      </c>
      <c r="M1694">
        <v>2.2400000000000002</v>
      </c>
      <c r="N1694">
        <v>4</v>
      </c>
      <c r="O1694" t="s">
        <v>21</v>
      </c>
      <c r="P1694" cm="1">
        <f t="array" ref="P1694">_xlfn.SWITCH(Table2[[#This Row],[mood]], "Tired", 3, "Neutral", 2, "Happy", 1)</f>
        <v>1</v>
      </c>
    </row>
    <row r="1695" spans="1:16" x14ac:dyDescent="0.3">
      <c r="A1695">
        <v>1054</v>
      </c>
      <c r="B1695" s="1">
        <v>43698</v>
      </c>
      <c r="C1695">
        <v>56</v>
      </c>
      <c r="D1695" t="s">
        <v>15</v>
      </c>
      <c r="E1695">
        <v>167.8</v>
      </c>
      <c r="F1695">
        <v>81.900000000000006</v>
      </c>
      <c r="G1695">
        <v>18854</v>
      </c>
      <c r="H1695">
        <v>900</v>
      </c>
      <c r="I1695">
        <v>4.3</v>
      </c>
      <c r="J1695">
        <v>60</v>
      </c>
      <c r="K1695" t="s">
        <v>22</v>
      </c>
      <c r="L1695">
        <v>48</v>
      </c>
      <c r="M1695">
        <v>2.67</v>
      </c>
      <c r="N1695">
        <v>10</v>
      </c>
      <c r="O1695" t="s">
        <v>19</v>
      </c>
      <c r="P1695" cm="1">
        <f t="array" ref="P1695">_xlfn.SWITCH(Table2[[#This Row],[mood]], "Tired", 3, "Neutral", 2, "Happy", 1)</f>
        <v>2</v>
      </c>
    </row>
    <row r="1696" spans="1:16" x14ac:dyDescent="0.3">
      <c r="A1696">
        <v>1870</v>
      </c>
      <c r="B1696" s="1">
        <v>43699</v>
      </c>
      <c r="C1696">
        <v>35</v>
      </c>
      <c r="D1696" t="s">
        <v>20</v>
      </c>
      <c r="E1696">
        <v>181.9</v>
      </c>
      <c r="F1696">
        <v>82.1</v>
      </c>
      <c r="G1696">
        <v>6678</v>
      </c>
      <c r="H1696">
        <v>506.6</v>
      </c>
      <c r="I1696">
        <v>7</v>
      </c>
      <c r="J1696">
        <v>79</v>
      </c>
      <c r="K1696" t="s">
        <v>18</v>
      </c>
      <c r="L1696">
        <v>28</v>
      </c>
      <c r="M1696">
        <v>2.81</v>
      </c>
      <c r="N1696">
        <v>2</v>
      </c>
      <c r="O1696" t="s">
        <v>21</v>
      </c>
      <c r="P1696" cm="1">
        <f t="array" ref="P1696">_xlfn.SWITCH(Table2[[#This Row],[mood]], "Tired", 3, "Neutral", 2, "Happy", 1)</f>
        <v>1</v>
      </c>
    </row>
    <row r="1697" spans="1:16" x14ac:dyDescent="0.3">
      <c r="A1697">
        <v>1642</v>
      </c>
      <c r="B1697" s="1">
        <v>43700</v>
      </c>
      <c r="C1697">
        <v>24</v>
      </c>
      <c r="D1697" t="s">
        <v>15</v>
      </c>
      <c r="E1697">
        <v>180.4</v>
      </c>
      <c r="F1697">
        <v>70.7</v>
      </c>
      <c r="G1697">
        <v>2382</v>
      </c>
      <c r="H1697">
        <v>322.10000000000002</v>
      </c>
      <c r="I1697">
        <v>6.9</v>
      </c>
      <c r="J1697">
        <v>73</v>
      </c>
      <c r="K1697" t="s">
        <v>23</v>
      </c>
      <c r="L1697">
        <v>21</v>
      </c>
      <c r="M1697">
        <v>3.36</v>
      </c>
      <c r="N1697">
        <v>5</v>
      </c>
      <c r="O1697" t="s">
        <v>21</v>
      </c>
      <c r="P1697" cm="1">
        <f t="array" ref="P1697">_xlfn.SWITCH(Table2[[#This Row],[mood]], "Tired", 3, "Neutral", 2, "Happy", 1)</f>
        <v>1</v>
      </c>
    </row>
    <row r="1698" spans="1:16" x14ac:dyDescent="0.3">
      <c r="A1698">
        <v>1799</v>
      </c>
      <c r="B1698" s="1">
        <v>43701</v>
      </c>
      <c r="C1698">
        <v>34</v>
      </c>
      <c r="D1698" t="s">
        <v>20</v>
      </c>
      <c r="E1698">
        <v>179.7</v>
      </c>
      <c r="F1698">
        <v>75.099999999999994</v>
      </c>
      <c r="G1698">
        <v>10528</v>
      </c>
      <c r="H1698">
        <v>567.9</v>
      </c>
      <c r="I1698">
        <v>10</v>
      </c>
      <c r="J1698">
        <v>71</v>
      </c>
      <c r="K1698" t="s">
        <v>24</v>
      </c>
      <c r="L1698">
        <v>21</v>
      </c>
      <c r="M1698">
        <v>2.5099999999999998</v>
      </c>
      <c r="N1698">
        <v>7</v>
      </c>
      <c r="O1698" t="s">
        <v>21</v>
      </c>
      <c r="P1698" cm="1">
        <f t="array" ref="P1698">_xlfn.SWITCH(Table2[[#This Row],[mood]], "Tired", 3, "Neutral", 2, "Happy", 1)</f>
        <v>1</v>
      </c>
    </row>
    <row r="1699" spans="1:16" x14ac:dyDescent="0.3">
      <c r="A1699">
        <v>1777</v>
      </c>
      <c r="B1699" s="1">
        <v>43702</v>
      </c>
      <c r="C1699">
        <v>56</v>
      </c>
      <c r="D1699" t="s">
        <v>20</v>
      </c>
      <c r="E1699">
        <v>179.4</v>
      </c>
      <c r="F1699">
        <v>74.8</v>
      </c>
      <c r="G1699">
        <v>8114</v>
      </c>
      <c r="H1699">
        <v>466</v>
      </c>
      <c r="I1699">
        <v>10</v>
      </c>
      <c r="J1699">
        <v>61</v>
      </c>
      <c r="K1699" t="s">
        <v>18</v>
      </c>
      <c r="L1699">
        <v>37</v>
      </c>
      <c r="M1699">
        <v>1.52</v>
      </c>
      <c r="N1699">
        <v>1</v>
      </c>
      <c r="O1699" t="s">
        <v>19</v>
      </c>
      <c r="P1699" cm="1">
        <f t="array" ref="P1699">_xlfn.SWITCH(Table2[[#This Row],[mood]], "Tired", 3, "Neutral", 2, "Happy", 1)</f>
        <v>2</v>
      </c>
    </row>
    <row r="1700" spans="1:16" x14ac:dyDescent="0.3">
      <c r="A1700">
        <v>1457</v>
      </c>
      <c r="B1700" s="1">
        <v>43703</v>
      </c>
      <c r="C1700">
        <v>53</v>
      </c>
      <c r="D1700" t="s">
        <v>20</v>
      </c>
      <c r="E1700">
        <v>174.4</v>
      </c>
      <c r="F1700">
        <v>51.9</v>
      </c>
      <c r="G1700">
        <v>10434</v>
      </c>
      <c r="H1700">
        <v>555.79999999999995</v>
      </c>
      <c r="I1700">
        <v>8</v>
      </c>
      <c r="J1700">
        <v>74</v>
      </c>
      <c r="K1700" t="s">
        <v>25</v>
      </c>
      <c r="L1700">
        <v>88</v>
      </c>
      <c r="M1700">
        <v>2.21</v>
      </c>
      <c r="N1700">
        <v>4</v>
      </c>
      <c r="O1700" t="s">
        <v>19</v>
      </c>
      <c r="P1700" cm="1">
        <f t="array" ref="P1700">_xlfn.SWITCH(Table2[[#This Row],[mood]], "Tired", 3, "Neutral", 2, "Happy", 1)</f>
        <v>2</v>
      </c>
    </row>
    <row r="1701" spans="1:16" x14ac:dyDescent="0.3">
      <c r="A1701">
        <v>1978</v>
      </c>
      <c r="B1701" s="1">
        <v>43704</v>
      </c>
      <c r="C1701">
        <v>57</v>
      </c>
      <c r="D1701" t="s">
        <v>20</v>
      </c>
      <c r="E1701">
        <v>174</v>
      </c>
      <c r="F1701">
        <v>86</v>
      </c>
      <c r="G1701">
        <v>2705</v>
      </c>
      <c r="H1701">
        <v>296</v>
      </c>
      <c r="I1701">
        <v>6</v>
      </c>
      <c r="J1701">
        <v>77</v>
      </c>
      <c r="K1701" t="s">
        <v>23</v>
      </c>
      <c r="L1701">
        <v>76</v>
      </c>
      <c r="M1701">
        <v>3.59</v>
      </c>
      <c r="N1701">
        <v>3</v>
      </c>
      <c r="O1701" t="s">
        <v>17</v>
      </c>
      <c r="P1701" cm="1">
        <f t="array" ref="P1701">_xlfn.SWITCH(Table2[[#This Row],[mood]], "Tired", 3, "Neutral", 2, "Happy", 1)</f>
        <v>3</v>
      </c>
    </row>
    <row r="1702" spans="1:16" x14ac:dyDescent="0.3">
      <c r="A1702">
        <v>1877</v>
      </c>
      <c r="B1702" s="1">
        <v>43705</v>
      </c>
      <c r="C1702">
        <v>21</v>
      </c>
      <c r="D1702" t="s">
        <v>15</v>
      </c>
      <c r="E1702">
        <v>172.4</v>
      </c>
      <c r="F1702">
        <v>45</v>
      </c>
      <c r="G1702">
        <v>6997</v>
      </c>
      <c r="H1702">
        <v>585.6</v>
      </c>
      <c r="I1702">
        <v>8</v>
      </c>
      <c r="J1702">
        <v>61</v>
      </c>
      <c r="K1702" t="s">
        <v>24</v>
      </c>
      <c r="L1702">
        <v>42</v>
      </c>
      <c r="M1702">
        <v>1.41</v>
      </c>
      <c r="N1702">
        <v>4</v>
      </c>
      <c r="O1702" t="s">
        <v>17</v>
      </c>
      <c r="P1702" cm="1">
        <f t="array" ref="P1702">_xlfn.SWITCH(Table2[[#This Row],[mood]], "Tired", 3, "Neutral", 2, "Happy", 1)</f>
        <v>3</v>
      </c>
    </row>
    <row r="1703" spans="1:16" x14ac:dyDescent="0.3">
      <c r="A1703">
        <v>1161</v>
      </c>
      <c r="B1703" s="1">
        <v>43706</v>
      </c>
      <c r="C1703">
        <v>55</v>
      </c>
      <c r="D1703" t="s">
        <v>15</v>
      </c>
      <c r="E1703">
        <v>165.8</v>
      </c>
      <c r="F1703">
        <v>80.7</v>
      </c>
      <c r="G1703">
        <v>8962</v>
      </c>
      <c r="H1703">
        <v>556</v>
      </c>
      <c r="I1703">
        <v>4.5</v>
      </c>
      <c r="J1703">
        <v>86</v>
      </c>
      <c r="K1703" t="s">
        <v>24</v>
      </c>
      <c r="L1703">
        <v>38</v>
      </c>
      <c r="M1703">
        <v>3.02</v>
      </c>
      <c r="N1703">
        <v>6</v>
      </c>
      <c r="O1703" t="s">
        <v>17</v>
      </c>
      <c r="P1703" cm="1">
        <f t="array" ref="P1703">_xlfn.SWITCH(Table2[[#This Row],[mood]], "Tired", 3, "Neutral", 2, "Happy", 1)</f>
        <v>3</v>
      </c>
    </row>
    <row r="1704" spans="1:16" x14ac:dyDescent="0.3">
      <c r="A1704">
        <v>1379</v>
      </c>
      <c r="B1704" s="1">
        <v>43707</v>
      </c>
      <c r="C1704">
        <v>42</v>
      </c>
      <c r="D1704" t="s">
        <v>15</v>
      </c>
      <c r="E1704">
        <v>170.8</v>
      </c>
      <c r="F1704">
        <v>74</v>
      </c>
      <c r="G1704">
        <v>12391</v>
      </c>
      <c r="H1704">
        <v>800.7</v>
      </c>
      <c r="I1704">
        <v>6.2</v>
      </c>
      <c r="J1704">
        <v>78</v>
      </c>
      <c r="K1704" t="s">
        <v>23</v>
      </c>
      <c r="L1704">
        <v>38</v>
      </c>
      <c r="M1704">
        <v>2.23</v>
      </c>
      <c r="N1704">
        <v>10</v>
      </c>
      <c r="O1704" t="s">
        <v>19</v>
      </c>
      <c r="P1704" cm="1">
        <f t="array" ref="P1704">_xlfn.SWITCH(Table2[[#This Row],[mood]], "Tired", 3, "Neutral", 2, "Happy", 1)</f>
        <v>2</v>
      </c>
    </row>
    <row r="1705" spans="1:16" x14ac:dyDescent="0.3">
      <c r="A1705">
        <v>1992</v>
      </c>
      <c r="B1705" s="1">
        <v>43708</v>
      </c>
      <c r="C1705">
        <v>22</v>
      </c>
      <c r="D1705" t="s">
        <v>20</v>
      </c>
      <c r="E1705">
        <v>172.2</v>
      </c>
      <c r="F1705">
        <v>65.7</v>
      </c>
      <c r="G1705">
        <v>15535</v>
      </c>
      <c r="H1705">
        <v>819.7</v>
      </c>
      <c r="I1705">
        <v>4.5999999999999996</v>
      </c>
      <c r="J1705">
        <v>67</v>
      </c>
      <c r="K1705" t="s">
        <v>18</v>
      </c>
      <c r="L1705">
        <v>77</v>
      </c>
      <c r="M1705">
        <v>1.88</v>
      </c>
      <c r="N1705">
        <v>6</v>
      </c>
      <c r="O1705" t="s">
        <v>17</v>
      </c>
      <c r="P1705" cm="1">
        <f t="array" ref="P1705">_xlfn.SWITCH(Table2[[#This Row],[mood]], "Tired", 3, "Neutral", 2, "Happy", 1)</f>
        <v>3</v>
      </c>
    </row>
    <row r="1706" spans="1:16" x14ac:dyDescent="0.3">
      <c r="A1706">
        <v>1086</v>
      </c>
      <c r="B1706" s="1">
        <v>43709</v>
      </c>
      <c r="C1706">
        <v>47</v>
      </c>
      <c r="D1706" t="s">
        <v>20</v>
      </c>
      <c r="E1706">
        <v>176.3</v>
      </c>
      <c r="F1706">
        <v>75.900000000000006</v>
      </c>
      <c r="G1706">
        <v>19978</v>
      </c>
      <c r="H1706">
        <v>900</v>
      </c>
      <c r="I1706">
        <v>7.8</v>
      </c>
      <c r="J1706">
        <v>74</v>
      </c>
      <c r="K1706" t="s">
        <v>24</v>
      </c>
      <c r="L1706">
        <v>68</v>
      </c>
      <c r="M1706">
        <v>2.78</v>
      </c>
      <c r="N1706">
        <v>1</v>
      </c>
      <c r="O1706" t="s">
        <v>21</v>
      </c>
      <c r="P1706" cm="1">
        <f t="array" ref="P1706">_xlfn.SWITCH(Table2[[#This Row],[mood]], "Tired", 3, "Neutral", 2, "Happy", 1)</f>
        <v>1</v>
      </c>
    </row>
    <row r="1707" spans="1:16" x14ac:dyDescent="0.3">
      <c r="A1707">
        <v>1054</v>
      </c>
      <c r="B1707" s="1">
        <v>43710</v>
      </c>
      <c r="C1707">
        <v>29</v>
      </c>
      <c r="D1707" t="s">
        <v>15</v>
      </c>
      <c r="E1707">
        <v>171</v>
      </c>
      <c r="F1707">
        <v>76.3</v>
      </c>
      <c r="G1707">
        <v>13129</v>
      </c>
      <c r="H1707">
        <v>754.9</v>
      </c>
      <c r="I1707">
        <v>5.2</v>
      </c>
      <c r="J1707">
        <v>83</v>
      </c>
      <c r="K1707" t="s">
        <v>25</v>
      </c>
      <c r="L1707">
        <v>64</v>
      </c>
      <c r="M1707">
        <v>3.59</v>
      </c>
      <c r="N1707">
        <v>3</v>
      </c>
      <c r="O1707" t="s">
        <v>19</v>
      </c>
      <c r="P1707" cm="1">
        <f t="array" ref="P1707">_xlfn.SWITCH(Table2[[#This Row],[mood]], "Tired", 3, "Neutral", 2, "Happy", 1)</f>
        <v>2</v>
      </c>
    </row>
    <row r="1708" spans="1:16" x14ac:dyDescent="0.3">
      <c r="A1708">
        <v>1475</v>
      </c>
      <c r="B1708" s="1">
        <v>43711</v>
      </c>
      <c r="C1708">
        <v>21</v>
      </c>
      <c r="D1708" t="s">
        <v>15</v>
      </c>
      <c r="E1708">
        <v>191.1</v>
      </c>
      <c r="F1708">
        <v>50.4</v>
      </c>
      <c r="G1708">
        <v>18699</v>
      </c>
      <c r="H1708">
        <v>900</v>
      </c>
      <c r="I1708">
        <v>6.6</v>
      </c>
      <c r="J1708">
        <v>89</v>
      </c>
      <c r="K1708" t="s">
        <v>16</v>
      </c>
      <c r="L1708">
        <v>0</v>
      </c>
      <c r="M1708">
        <v>2.74</v>
      </c>
      <c r="N1708">
        <v>1</v>
      </c>
      <c r="O1708" t="s">
        <v>19</v>
      </c>
      <c r="P1708" cm="1">
        <f t="array" ref="P1708">_xlfn.SWITCH(Table2[[#This Row],[mood]], "Tired", 3, "Neutral", 2, "Happy", 1)</f>
        <v>2</v>
      </c>
    </row>
    <row r="1709" spans="1:16" x14ac:dyDescent="0.3">
      <c r="A1709">
        <v>1799</v>
      </c>
      <c r="B1709" s="1">
        <v>43712</v>
      </c>
      <c r="C1709">
        <v>41</v>
      </c>
      <c r="D1709" t="s">
        <v>20</v>
      </c>
      <c r="E1709">
        <v>157.9</v>
      </c>
      <c r="F1709">
        <v>91.2</v>
      </c>
      <c r="G1709">
        <v>9759</v>
      </c>
      <c r="H1709">
        <v>601.70000000000005</v>
      </c>
      <c r="I1709">
        <v>6.9</v>
      </c>
      <c r="J1709">
        <v>91</v>
      </c>
      <c r="K1709" t="s">
        <v>23</v>
      </c>
      <c r="L1709">
        <v>69</v>
      </c>
      <c r="M1709">
        <v>2.3199999999999998</v>
      </c>
      <c r="N1709">
        <v>1</v>
      </c>
      <c r="O1709" t="s">
        <v>17</v>
      </c>
      <c r="P1709" cm="1">
        <f t="array" ref="P1709">_xlfn.SWITCH(Table2[[#This Row],[mood]], "Tired", 3, "Neutral", 2, "Happy", 1)</f>
        <v>3</v>
      </c>
    </row>
    <row r="1710" spans="1:16" x14ac:dyDescent="0.3">
      <c r="A1710">
        <v>1177</v>
      </c>
      <c r="B1710" s="1">
        <v>43713</v>
      </c>
      <c r="C1710">
        <v>46</v>
      </c>
      <c r="D1710" t="s">
        <v>20</v>
      </c>
      <c r="E1710">
        <v>177.5</v>
      </c>
      <c r="F1710">
        <v>71.099999999999994</v>
      </c>
      <c r="G1710">
        <v>3704</v>
      </c>
      <c r="H1710">
        <v>263</v>
      </c>
      <c r="I1710">
        <v>7</v>
      </c>
      <c r="J1710">
        <v>93</v>
      </c>
      <c r="K1710" t="s">
        <v>22</v>
      </c>
      <c r="L1710">
        <v>30</v>
      </c>
      <c r="M1710">
        <v>1.59</v>
      </c>
      <c r="N1710">
        <v>1</v>
      </c>
      <c r="O1710" t="s">
        <v>21</v>
      </c>
      <c r="P1710" cm="1">
        <f t="array" ref="P1710">_xlfn.SWITCH(Table2[[#This Row],[mood]], "Tired", 3, "Neutral", 2, "Happy", 1)</f>
        <v>1</v>
      </c>
    </row>
    <row r="1711" spans="1:16" x14ac:dyDescent="0.3">
      <c r="A1711">
        <v>1390</v>
      </c>
      <c r="B1711" s="1">
        <v>43714</v>
      </c>
      <c r="C1711">
        <v>26</v>
      </c>
      <c r="D1711" t="s">
        <v>15</v>
      </c>
      <c r="E1711">
        <v>169.6</v>
      </c>
      <c r="F1711">
        <v>104.7</v>
      </c>
      <c r="G1711">
        <v>6725</v>
      </c>
      <c r="H1711">
        <v>424.5</v>
      </c>
      <c r="I1711">
        <v>6.3</v>
      </c>
      <c r="J1711">
        <v>62</v>
      </c>
      <c r="K1711" t="s">
        <v>16</v>
      </c>
      <c r="L1711">
        <v>0</v>
      </c>
      <c r="M1711">
        <v>2.4300000000000002</v>
      </c>
      <c r="N1711">
        <v>3</v>
      </c>
      <c r="O1711" t="s">
        <v>21</v>
      </c>
      <c r="P1711" cm="1">
        <f t="array" ref="P1711">_xlfn.SWITCH(Table2[[#This Row],[mood]], "Tired", 3, "Neutral", 2, "Happy", 1)</f>
        <v>1</v>
      </c>
    </row>
    <row r="1712" spans="1:16" x14ac:dyDescent="0.3">
      <c r="A1712">
        <v>1348</v>
      </c>
      <c r="B1712" s="1">
        <v>43715</v>
      </c>
      <c r="C1712">
        <v>21</v>
      </c>
      <c r="D1712" t="s">
        <v>20</v>
      </c>
      <c r="E1712">
        <v>170</v>
      </c>
      <c r="F1712">
        <v>81.8</v>
      </c>
      <c r="G1712">
        <v>1124</v>
      </c>
      <c r="H1712">
        <v>160.9</v>
      </c>
      <c r="I1712">
        <v>7.5</v>
      </c>
      <c r="J1712">
        <v>68</v>
      </c>
      <c r="K1712" t="s">
        <v>18</v>
      </c>
      <c r="L1712">
        <v>28</v>
      </c>
      <c r="M1712">
        <v>1.57</v>
      </c>
      <c r="N1712">
        <v>2</v>
      </c>
      <c r="O1712" t="s">
        <v>19</v>
      </c>
      <c r="P1712" cm="1">
        <f t="array" ref="P1712">_xlfn.SWITCH(Table2[[#This Row],[mood]], "Tired", 3, "Neutral", 2, "Happy", 1)</f>
        <v>2</v>
      </c>
    </row>
    <row r="1713" spans="1:16" x14ac:dyDescent="0.3">
      <c r="A1713">
        <v>1007</v>
      </c>
      <c r="B1713" s="1">
        <v>43716</v>
      </c>
      <c r="C1713">
        <v>41</v>
      </c>
      <c r="D1713" t="s">
        <v>20</v>
      </c>
      <c r="E1713">
        <v>161.9</v>
      </c>
      <c r="F1713">
        <v>70.7</v>
      </c>
      <c r="G1713">
        <v>10729</v>
      </c>
      <c r="H1713">
        <v>665.4</v>
      </c>
      <c r="I1713">
        <v>5.0999999999999996</v>
      </c>
      <c r="J1713">
        <v>61</v>
      </c>
      <c r="K1713" t="s">
        <v>23</v>
      </c>
      <c r="L1713">
        <v>33</v>
      </c>
      <c r="M1713">
        <v>2.2799999999999998</v>
      </c>
      <c r="N1713">
        <v>4</v>
      </c>
      <c r="O1713" t="s">
        <v>19</v>
      </c>
      <c r="P1713" cm="1">
        <f t="array" ref="P1713">_xlfn.SWITCH(Table2[[#This Row],[mood]], "Tired", 3, "Neutral", 2, "Happy", 1)</f>
        <v>2</v>
      </c>
    </row>
    <row r="1714" spans="1:16" x14ac:dyDescent="0.3">
      <c r="A1714">
        <v>1832</v>
      </c>
      <c r="B1714" s="1">
        <v>43717</v>
      </c>
      <c r="C1714">
        <v>31</v>
      </c>
      <c r="D1714" t="s">
        <v>15</v>
      </c>
      <c r="E1714">
        <v>180.2</v>
      </c>
      <c r="F1714">
        <v>59.6</v>
      </c>
      <c r="G1714">
        <v>13767</v>
      </c>
      <c r="H1714">
        <v>682.5</v>
      </c>
      <c r="I1714">
        <v>9.6</v>
      </c>
      <c r="J1714">
        <v>86</v>
      </c>
      <c r="K1714" t="s">
        <v>25</v>
      </c>
      <c r="L1714">
        <v>40</v>
      </c>
      <c r="M1714">
        <v>2.46</v>
      </c>
      <c r="N1714">
        <v>7</v>
      </c>
      <c r="O1714" t="s">
        <v>17</v>
      </c>
      <c r="P1714" cm="1">
        <f t="array" ref="P1714">_xlfn.SWITCH(Table2[[#This Row],[mood]], "Tired", 3, "Neutral", 2, "Happy", 1)</f>
        <v>3</v>
      </c>
    </row>
    <row r="1715" spans="1:16" x14ac:dyDescent="0.3">
      <c r="A1715">
        <v>1312</v>
      </c>
      <c r="B1715" s="1">
        <v>43718</v>
      </c>
      <c r="C1715">
        <v>22</v>
      </c>
      <c r="D1715" t="s">
        <v>20</v>
      </c>
      <c r="E1715">
        <v>176.5</v>
      </c>
      <c r="F1715">
        <v>68.3</v>
      </c>
      <c r="G1715">
        <v>5807</v>
      </c>
      <c r="H1715">
        <v>502.9</v>
      </c>
      <c r="I1715">
        <v>5.4</v>
      </c>
      <c r="J1715">
        <v>73</v>
      </c>
      <c r="K1715" t="s">
        <v>16</v>
      </c>
      <c r="L1715">
        <v>0</v>
      </c>
      <c r="M1715">
        <v>0.85</v>
      </c>
      <c r="N1715">
        <v>2</v>
      </c>
      <c r="O1715" t="s">
        <v>21</v>
      </c>
      <c r="P1715" cm="1">
        <f t="array" ref="P1715">_xlfn.SWITCH(Table2[[#This Row],[mood]], "Tired", 3, "Neutral", 2, "Happy", 1)</f>
        <v>1</v>
      </c>
    </row>
    <row r="1716" spans="1:16" x14ac:dyDescent="0.3">
      <c r="A1716">
        <v>1758</v>
      </c>
      <c r="B1716" s="1">
        <v>43719</v>
      </c>
      <c r="C1716">
        <v>35</v>
      </c>
      <c r="D1716" t="s">
        <v>15</v>
      </c>
      <c r="E1716">
        <v>178.3</v>
      </c>
      <c r="F1716">
        <v>72.2</v>
      </c>
      <c r="G1716">
        <v>19354</v>
      </c>
      <c r="H1716">
        <v>900</v>
      </c>
      <c r="I1716">
        <v>7.1</v>
      </c>
      <c r="J1716">
        <v>88</v>
      </c>
      <c r="K1716" t="s">
        <v>16</v>
      </c>
      <c r="L1716">
        <v>0</v>
      </c>
      <c r="M1716">
        <v>3.47</v>
      </c>
      <c r="N1716">
        <v>2</v>
      </c>
      <c r="O1716" t="s">
        <v>19</v>
      </c>
      <c r="P1716" cm="1">
        <f t="array" ref="P1716">_xlfn.SWITCH(Table2[[#This Row],[mood]], "Tired", 3, "Neutral", 2, "Happy", 1)</f>
        <v>2</v>
      </c>
    </row>
    <row r="1717" spans="1:16" x14ac:dyDescent="0.3">
      <c r="A1717">
        <v>1834</v>
      </c>
      <c r="B1717" s="1">
        <v>43720</v>
      </c>
      <c r="C1717">
        <v>59</v>
      </c>
      <c r="D1717" t="s">
        <v>20</v>
      </c>
      <c r="E1717">
        <v>171.7</v>
      </c>
      <c r="F1717">
        <v>92</v>
      </c>
      <c r="G1717">
        <v>17009</v>
      </c>
      <c r="H1717">
        <v>900</v>
      </c>
      <c r="I1717">
        <v>7.9</v>
      </c>
      <c r="J1717">
        <v>61</v>
      </c>
      <c r="K1717" t="s">
        <v>24</v>
      </c>
      <c r="L1717">
        <v>88</v>
      </c>
      <c r="M1717">
        <v>1.63</v>
      </c>
      <c r="N1717">
        <v>7</v>
      </c>
      <c r="O1717" t="s">
        <v>21</v>
      </c>
      <c r="P1717" cm="1">
        <f t="array" ref="P1717">_xlfn.SWITCH(Table2[[#This Row],[mood]], "Tired", 3, "Neutral", 2, "Happy", 1)</f>
        <v>1</v>
      </c>
    </row>
    <row r="1718" spans="1:16" x14ac:dyDescent="0.3">
      <c r="A1718">
        <v>1983</v>
      </c>
      <c r="B1718" s="1">
        <v>43721</v>
      </c>
      <c r="C1718">
        <v>36</v>
      </c>
      <c r="D1718" t="s">
        <v>15</v>
      </c>
      <c r="E1718">
        <v>166.8</v>
      </c>
      <c r="F1718">
        <v>88.4</v>
      </c>
      <c r="G1718">
        <v>18198</v>
      </c>
      <c r="H1718">
        <v>895.6</v>
      </c>
      <c r="I1718">
        <v>8</v>
      </c>
      <c r="J1718">
        <v>68</v>
      </c>
      <c r="K1718" t="s">
        <v>18</v>
      </c>
      <c r="L1718">
        <v>28</v>
      </c>
      <c r="M1718">
        <v>2.37</v>
      </c>
      <c r="N1718">
        <v>9</v>
      </c>
      <c r="O1718" t="s">
        <v>19</v>
      </c>
      <c r="P1718" cm="1">
        <f t="array" ref="P1718">_xlfn.SWITCH(Table2[[#This Row],[mood]], "Tired", 3, "Neutral", 2, "Happy", 1)</f>
        <v>2</v>
      </c>
    </row>
    <row r="1719" spans="1:16" x14ac:dyDescent="0.3">
      <c r="A1719">
        <v>1982</v>
      </c>
      <c r="B1719" s="1">
        <v>43722</v>
      </c>
      <c r="C1719">
        <v>29</v>
      </c>
      <c r="D1719" t="s">
        <v>20</v>
      </c>
      <c r="E1719">
        <v>169.3</v>
      </c>
      <c r="F1719">
        <v>76.8</v>
      </c>
      <c r="G1719">
        <v>4101</v>
      </c>
      <c r="H1719">
        <v>307.89999999999998</v>
      </c>
      <c r="I1719">
        <v>8.1999999999999993</v>
      </c>
      <c r="J1719">
        <v>67</v>
      </c>
      <c r="K1719" t="s">
        <v>18</v>
      </c>
      <c r="L1719">
        <v>86</v>
      </c>
      <c r="M1719">
        <v>2.87</v>
      </c>
      <c r="N1719">
        <v>3</v>
      </c>
      <c r="O1719" t="s">
        <v>17</v>
      </c>
      <c r="P1719" cm="1">
        <f t="array" ref="P1719">_xlfn.SWITCH(Table2[[#This Row],[mood]], "Tired", 3, "Neutral", 2, "Happy", 1)</f>
        <v>3</v>
      </c>
    </row>
    <row r="1720" spans="1:16" x14ac:dyDescent="0.3">
      <c r="A1720">
        <v>1442</v>
      </c>
      <c r="B1720" s="1">
        <v>43723</v>
      </c>
      <c r="C1720">
        <v>35</v>
      </c>
      <c r="D1720" t="s">
        <v>15</v>
      </c>
      <c r="E1720">
        <v>174.3</v>
      </c>
      <c r="F1720">
        <v>96.5</v>
      </c>
      <c r="G1720">
        <v>2654</v>
      </c>
      <c r="H1720">
        <v>288.8</v>
      </c>
      <c r="I1720">
        <v>4.5999999999999996</v>
      </c>
      <c r="J1720">
        <v>87</v>
      </c>
      <c r="K1720" t="s">
        <v>23</v>
      </c>
      <c r="L1720">
        <v>37</v>
      </c>
      <c r="M1720">
        <v>3.42</v>
      </c>
      <c r="N1720">
        <v>10</v>
      </c>
      <c r="O1720" t="s">
        <v>19</v>
      </c>
      <c r="P1720" cm="1">
        <f t="array" ref="P1720">_xlfn.SWITCH(Table2[[#This Row],[mood]], "Tired", 3, "Neutral", 2, "Happy", 1)</f>
        <v>2</v>
      </c>
    </row>
    <row r="1721" spans="1:16" x14ac:dyDescent="0.3">
      <c r="A1721">
        <v>1766</v>
      </c>
      <c r="B1721" s="1">
        <v>43724</v>
      </c>
      <c r="C1721">
        <v>34</v>
      </c>
      <c r="D1721" t="s">
        <v>15</v>
      </c>
      <c r="E1721">
        <v>150</v>
      </c>
      <c r="F1721">
        <v>45</v>
      </c>
      <c r="G1721">
        <v>17515</v>
      </c>
      <c r="H1721">
        <v>900</v>
      </c>
      <c r="I1721">
        <v>5.6</v>
      </c>
      <c r="J1721">
        <v>82</v>
      </c>
      <c r="K1721" t="s">
        <v>23</v>
      </c>
      <c r="L1721">
        <v>31</v>
      </c>
      <c r="M1721">
        <v>1.95</v>
      </c>
      <c r="N1721">
        <v>8</v>
      </c>
      <c r="O1721" t="s">
        <v>19</v>
      </c>
      <c r="P1721" cm="1">
        <f t="array" ref="P1721">_xlfn.SWITCH(Table2[[#This Row],[mood]], "Tired", 3, "Neutral", 2, "Happy", 1)</f>
        <v>2</v>
      </c>
    </row>
    <row r="1722" spans="1:16" x14ac:dyDescent="0.3">
      <c r="A1722">
        <v>1327</v>
      </c>
      <c r="B1722" s="1">
        <v>43725</v>
      </c>
      <c r="C1722">
        <v>47</v>
      </c>
      <c r="D1722" t="s">
        <v>15</v>
      </c>
      <c r="E1722">
        <v>178.7</v>
      </c>
      <c r="F1722">
        <v>76.900000000000006</v>
      </c>
      <c r="G1722">
        <v>1394</v>
      </c>
      <c r="H1722">
        <v>361.5</v>
      </c>
      <c r="I1722">
        <v>7.2</v>
      </c>
      <c r="J1722">
        <v>55</v>
      </c>
      <c r="K1722" t="s">
        <v>25</v>
      </c>
      <c r="L1722">
        <v>35</v>
      </c>
      <c r="M1722">
        <v>0.74</v>
      </c>
      <c r="N1722">
        <v>6</v>
      </c>
      <c r="O1722" t="s">
        <v>19</v>
      </c>
      <c r="P1722" cm="1">
        <f t="array" ref="P1722">_xlfn.SWITCH(Table2[[#This Row],[mood]], "Tired", 3, "Neutral", 2, "Happy", 1)</f>
        <v>2</v>
      </c>
    </row>
    <row r="1723" spans="1:16" x14ac:dyDescent="0.3">
      <c r="A1723">
        <v>1053</v>
      </c>
      <c r="B1723" s="1">
        <v>43726</v>
      </c>
      <c r="C1723">
        <v>41</v>
      </c>
      <c r="D1723" t="s">
        <v>15</v>
      </c>
      <c r="E1723">
        <v>194.3</v>
      </c>
      <c r="F1723">
        <v>88.8</v>
      </c>
      <c r="G1723">
        <v>8319</v>
      </c>
      <c r="H1723">
        <v>558.20000000000005</v>
      </c>
      <c r="I1723">
        <v>7.7</v>
      </c>
      <c r="J1723">
        <v>70</v>
      </c>
      <c r="K1723" t="s">
        <v>22</v>
      </c>
      <c r="L1723">
        <v>56</v>
      </c>
      <c r="M1723">
        <v>3.26</v>
      </c>
      <c r="N1723">
        <v>6</v>
      </c>
      <c r="O1723" t="s">
        <v>17</v>
      </c>
      <c r="P1723" cm="1">
        <f t="array" ref="P1723">_xlfn.SWITCH(Table2[[#This Row],[mood]], "Tired", 3, "Neutral", 2, "Happy", 1)</f>
        <v>3</v>
      </c>
    </row>
    <row r="1724" spans="1:16" x14ac:dyDescent="0.3">
      <c r="A1724">
        <v>1760</v>
      </c>
      <c r="B1724" s="1">
        <v>43727</v>
      </c>
      <c r="C1724">
        <v>28</v>
      </c>
      <c r="D1724" t="s">
        <v>20</v>
      </c>
      <c r="E1724">
        <v>174.8</v>
      </c>
      <c r="F1724">
        <v>78.2</v>
      </c>
      <c r="G1724">
        <v>4573</v>
      </c>
      <c r="H1724">
        <v>317.10000000000002</v>
      </c>
      <c r="I1724">
        <v>8.9</v>
      </c>
      <c r="J1724">
        <v>85</v>
      </c>
      <c r="K1724" t="s">
        <v>23</v>
      </c>
      <c r="L1724">
        <v>39</v>
      </c>
      <c r="M1724">
        <v>1.63</v>
      </c>
      <c r="N1724">
        <v>3</v>
      </c>
      <c r="O1724" t="s">
        <v>17</v>
      </c>
      <c r="P1724" cm="1">
        <f t="array" ref="P1724">_xlfn.SWITCH(Table2[[#This Row],[mood]], "Tired", 3, "Neutral", 2, "Happy", 1)</f>
        <v>3</v>
      </c>
    </row>
    <row r="1725" spans="1:16" x14ac:dyDescent="0.3">
      <c r="A1725">
        <v>1238</v>
      </c>
      <c r="B1725" s="1">
        <v>43728</v>
      </c>
      <c r="C1725">
        <v>52</v>
      </c>
      <c r="D1725" t="s">
        <v>20</v>
      </c>
      <c r="E1725">
        <v>167.2</v>
      </c>
      <c r="F1725">
        <v>50</v>
      </c>
      <c r="G1725">
        <v>10173</v>
      </c>
      <c r="H1725">
        <v>558.29999999999995</v>
      </c>
      <c r="I1725">
        <v>6.2</v>
      </c>
      <c r="J1725">
        <v>86</v>
      </c>
      <c r="K1725" t="s">
        <v>16</v>
      </c>
      <c r="L1725">
        <v>0</v>
      </c>
      <c r="M1725">
        <v>2.75</v>
      </c>
      <c r="N1725">
        <v>10</v>
      </c>
      <c r="O1725" t="s">
        <v>17</v>
      </c>
      <c r="P1725" cm="1">
        <f t="array" ref="P1725">_xlfn.SWITCH(Table2[[#This Row],[mood]], "Tired", 3, "Neutral", 2, "Happy", 1)</f>
        <v>3</v>
      </c>
    </row>
    <row r="1726" spans="1:16" x14ac:dyDescent="0.3">
      <c r="A1726">
        <v>1228</v>
      </c>
      <c r="B1726" s="1">
        <v>43729</v>
      </c>
      <c r="C1726">
        <v>40</v>
      </c>
      <c r="D1726" t="s">
        <v>15</v>
      </c>
      <c r="E1726">
        <v>168.4</v>
      </c>
      <c r="F1726">
        <v>90.8</v>
      </c>
      <c r="G1726">
        <v>8106</v>
      </c>
      <c r="H1726">
        <v>449.8</v>
      </c>
      <c r="I1726">
        <v>5.6</v>
      </c>
      <c r="J1726">
        <v>79</v>
      </c>
      <c r="K1726" t="s">
        <v>23</v>
      </c>
      <c r="L1726">
        <v>34</v>
      </c>
      <c r="M1726">
        <v>2.8</v>
      </c>
      <c r="N1726">
        <v>9</v>
      </c>
      <c r="O1726" t="s">
        <v>19</v>
      </c>
      <c r="P1726" cm="1">
        <f t="array" ref="P1726">_xlfn.SWITCH(Table2[[#This Row],[mood]], "Tired", 3, "Neutral", 2, "Happy", 1)</f>
        <v>2</v>
      </c>
    </row>
    <row r="1727" spans="1:16" x14ac:dyDescent="0.3">
      <c r="A1727">
        <v>1578</v>
      </c>
      <c r="B1727" s="1">
        <v>43730</v>
      </c>
      <c r="C1727">
        <v>34</v>
      </c>
      <c r="D1727" t="s">
        <v>20</v>
      </c>
      <c r="E1727">
        <v>177.1</v>
      </c>
      <c r="F1727">
        <v>81.400000000000006</v>
      </c>
      <c r="G1727">
        <v>12147</v>
      </c>
      <c r="H1727">
        <v>679.4</v>
      </c>
      <c r="I1727">
        <v>6.2</v>
      </c>
      <c r="J1727">
        <v>77</v>
      </c>
      <c r="K1727" t="s">
        <v>23</v>
      </c>
      <c r="L1727">
        <v>44</v>
      </c>
      <c r="M1727">
        <v>0.5</v>
      </c>
      <c r="N1727">
        <v>9</v>
      </c>
      <c r="O1727" t="s">
        <v>19</v>
      </c>
      <c r="P1727" cm="1">
        <f t="array" ref="P1727">_xlfn.SWITCH(Table2[[#This Row],[mood]], "Tired", 3, "Neutral", 2, "Happy", 1)</f>
        <v>2</v>
      </c>
    </row>
    <row r="1728" spans="1:16" x14ac:dyDescent="0.3">
      <c r="A1728">
        <v>1050</v>
      </c>
      <c r="B1728" s="1">
        <v>43731</v>
      </c>
      <c r="C1728">
        <v>18</v>
      </c>
      <c r="D1728" t="s">
        <v>20</v>
      </c>
      <c r="E1728">
        <v>167.4</v>
      </c>
      <c r="F1728">
        <v>75.099999999999994</v>
      </c>
      <c r="G1728">
        <v>6060</v>
      </c>
      <c r="H1728">
        <v>428.5</v>
      </c>
      <c r="I1728">
        <v>10</v>
      </c>
      <c r="J1728">
        <v>66</v>
      </c>
      <c r="K1728" t="s">
        <v>25</v>
      </c>
      <c r="L1728">
        <v>36</v>
      </c>
      <c r="M1728">
        <v>1.37</v>
      </c>
      <c r="N1728">
        <v>4</v>
      </c>
      <c r="O1728" t="s">
        <v>21</v>
      </c>
      <c r="P1728" cm="1">
        <f t="array" ref="P1728">_xlfn.SWITCH(Table2[[#This Row],[mood]], "Tired", 3, "Neutral", 2, "Happy", 1)</f>
        <v>1</v>
      </c>
    </row>
    <row r="1729" spans="1:16" x14ac:dyDescent="0.3">
      <c r="A1729">
        <v>1608</v>
      </c>
      <c r="B1729" s="1">
        <v>43732</v>
      </c>
      <c r="C1729">
        <v>32</v>
      </c>
      <c r="D1729" t="s">
        <v>20</v>
      </c>
      <c r="E1729">
        <v>178.7</v>
      </c>
      <c r="F1729">
        <v>71.3</v>
      </c>
      <c r="G1729">
        <v>17326</v>
      </c>
      <c r="H1729">
        <v>886.2</v>
      </c>
      <c r="I1729">
        <v>9.3000000000000007</v>
      </c>
      <c r="J1729">
        <v>86</v>
      </c>
      <c r="K1729" t="s">
        <v>24</v>
      </c>
      <c r="L1729">
        <v>31</v>
      </c>
      <c r="M1729">
        <v>2.1800000000000002</v>
      </c>
      <c r="N1729">
        <v>10</v>
      </c>
      <c r="O1729" t="s">
        <v>17</v>
      </c>
      <c r="P1729" cm="1">
        <f t="array" ref="P1729">_xlfn.SWITCH(Table2[[#This Row],[mood]], "Tired", 3, "Neutral", 2, "Happy", 1)</f>
        <v>3</v>
      </c>
    </row>
    <row r="1730" spans="1:16" x14ac:dyDescent="0.3">
      <c r="A1730">
        <v>1603</v>
      </c>
      <c r="B1730" s="1">
        <v>43733</v>
      </c>
      <c r="C1730">
        <v>49</v>
      </c>
      <c r="D1730" t="s">
        <v>20</v>
      </c>
      <c r="E1730">
        <v>168.3</v>
      </c>
      <c r="F1730">
        <v>99.9</v>
      </c>
      <c r="G1730">
        <v>13842</v>
      </c>
      <c r="H1730">
        <v>700</v>
      </c>
      <c r="I1730">
        <v>6.7</v>
      </c>
      <c r="J1730">
        <v>63</v>
      </c>
      <c r="K1730" t="s">
        <v>22</v>
      </c>
      <c r="L1730">
        <v>61</v>
      </c>
      <c r="M1730">
        <v>0.69</v>
      </c>
      <c r="N1730">
        <v>6</v>
      </c>
      <c r="O1730" t="s">
        <v>17</v>
      </c>
      <c r="P1730" cm="1">
        <f t="array" ref="P1730">_xlfn.SWITCH(Table2[[#This Row],[mood]], "Tired", 3, "Neutral", 2, "Happy", 1)</f>
        <v>3</v>
      </c>
    </row>
    <row r="1731" spans="1:16" x14ac:dyDescent="0.3">
      <c r="A1731">
        <v>1263</v>
      </c>
      <c r="B1731" s="1">
        <v>43734</v>
      </c>
      <c r="C1731">
        <v>26</v>
      </c>
      <c r="D1731" t="s">
        <v>20</v>
      </c>
      <c r="E1731">
        <v>187.1</v>
      </c>
      <c r="F1731">
        <v>76.7</v>
      </c>
      <c r="G1731">
        <v>11933</v>
      </c>
      <c r="H1731">
        <v>618.6</v>
      </c>
      <c r="I1731">
        <v>8.9</v>
      </c>
      <c r="J1731">
        <v>59</v>
      </c>
      <c r="K1731" t="s">
        <v>25</v>
      </c>
      <c r="L1731">
        <v>58</v>
      </c>
      <c r="M1731">
        <v>1.56</v>
      </c>
      <c r="N1731">
        <v>5</v>
      </c>
      <c r="O1731" t="s">
        <v>19</v>
      </c>
      <c r="P1731" cm="1">
        <f t="array" ref="P1731">_xlfn.SWITCH(Table2[[#This Row],[mood]], "Tired", 3, "Neutral", 2, "Happy", 1)</f>
        <v>2</v>
      </c>
    </row>
    <row r="1732" spans="1:16" x14ac:dyDescent="0.3">
      <c r="A1732">
        <v>1417</v>
      </c>
      <c r="B1732" s="1">
        <v>43735</v>
      </c>
      <c r="C1732">
        <v>32</v>
      </c>
      <c r="D1732" t="s">
        <v>15</v>
      </c>
      <c r="E1732">
        <v>186.9</v>
      </c>
      <c r="F1732">
        <v>66.400000000000006</v>
      </c>
      <c r="G1732">
        <v>7632</v>
      </c>
      <c r="H1732">
        <v>510</v>
      </c>
      <c r="I1732">
        <v>6.1</v>
      </c>
      <c r="J1732">
        <v>77</v>
      </c>
      <c r="K1732" t="s">
        <v>23</v>
      </c>
      <c r="L1732">
        <v>75</v>
      </c>
      <c r="M1732">
        <v>2.59</v>
      </c>
      <c r="N1732">
        <v>4</v>
      </c>
      <c r="O1732" t="s">
        <v>17</v>
      </c>
      <c r="P1732" cm="1">
        <f t="array" ref="P1732">_xlfn.SWITCH(Table2[[#This Row],[mood]], "Tired", 3, "Neutral", 2, "Happy", 1)</f>
        <v>3</v>
      </c>
    </row>
    <row r="1733" spans="1:16" x14ac:dyDescent="0.3">
      <c r="A1733">
        <v>1802</v>
      </c>
      <c r="B1733" s="1">
        <v>43736</v>
      </c>
      <c r="C1733">
        <v>45</v>
      </c>
      <c r="D1733" t="s">
        <v>15</v>
      </c>
      <c r="E1733">
        <v>166.7</v>
      </c>
      <c r="F1733">
        <v>57.8</v>
      </c>
      <c r="G1733">
        <v>7755</v>
      </c>
      <c r="H1733">
        <v>534.4</v>
      </c>
      <c r="I1733">
        <v>8.4</v>
      </c>
      <c r="J1733">
        <v>71</v>
      </c>
      <c r="K1733" t="s">
        <v>24</v>
      </c>
      <c r="L1733">
        <v>72</v>
      </c>
      <c r="M1733">
        <v>2.44</v>
      </c>
      <c r="N1733">
        <v>2</v>
      </c>
      <c r="O1733" t="s">
        <v>21</v>
      </c>
      <c r="P1733" cm="1">
        <f t="array" ref="P1733">_xlfn.SWITCH(Table2[[#This Row],[mood]], "Tired", 3, "Neutral", 2, "Happy", 1)</f>
        <v>1</v>
      </c>
    </row>
    <row r="1734" spans="1:16" x14ac:dyDescent="0.3">
      <c r="A1734">
        <v>1095</v>
      </c>
      <c r="B1734" s="1">
        <v>43737</v>
      </c>
      <c r="C1734">
        <v>41</v>
      </c>
      <c r="D1734" t="s">
        <v>15</v>
      </c>
      <c r="E1734">
        <v>169.2</v>
      </c>
      <c r="F1734">
        <v>81.400000000000006</v>
      </c>
      <c r="G1734">
        <v>12130</v>
      </c>
      <c r="H1734">
        <v>626</v>
      </c>
      <c r="I1734">
        <v>4.9000000000000004</v>
      </c>
      <c r="J1734">
        <v>82</v>
      </c>
      <c r="K1734" t="s">
        <v>23</v>
      </c>
      <c r="L1734">
        <v>66</v>
      </c>
      <c r="M1734">
        <v>2.71</v>
      </c>
      <c r="N1734">
        <v>4</v>
      </c>
      <c r="O1734" t="s">
        <v>17</v>
      </c>
      <c r="P1734" cm="1">
        <f t="array" ref="P1734">_xlfn.SWITCH(Table2[[#This Row],[mood]], "Tired", 3, "Neutral", 2, "Happy", 1)</f>
        <v>3</v>
      </c>
    </row>
    <row r="1735" spans="1:16" x14ac:dyDescent="0.3">
      <c r="A1735">
        <v>1087</v>
      </c>
      <c r="B1735" s="1">
        <v>43738</v>
      </c>
      <c r="C1735">
        <v>52</v>
      </c>
      <c r="D1735" t="s">
        <v>15</v>
      </c>
      <c r="E1735">
        <v>169.8</v>
      </c>
      <c r="F1735">
        <v>84.8</v>
      </c>
      <c r="G1735">
        <v>6589</v>
      </c>
      <c r="H1735">
        <v>487.2</v>
      </c>
      <c r="I1735">
        <v>7.5</v>
      </c>
      <c r="J1735">
        <v>80</v>
      </c>
      <c r="K1735" t="s">
        <v>25</v>
      </c>
      <c r="L1735">
        <v>44</v>
      </c>
      <c r="M1735">
        <v>2.81</v>
      </c>
      <c r="N1735">
        <v>7</v>
      </c>
      <c r="O1735" t="s">
        <v>17</v>
      </c>
      <c r="P1735" cm="1">
        <f t="array" ref="P1735">_xlfn.SWITCH(Table2[[#This Row],[mood]], "Tired", 3, "Neutral", 2, "Happy", 1)</f>
        <v>3</v>
      </c>
    </row>
    <row r="1736" spans="1:16" x14ac:dyDescent="0.3">
      <c r="A1736">
        <v>1077</v>
      </c>
      <c r="B1736" s="1">
        <v>43739</v>
      </c>
      <c r="C1736">
        <v>39</v>
      </c>
      <c r="D1736" t="s">
        <v>20</v>
      </c>
      <c r="E1736">
        <v>169.9</v>
      </c>
      <c r="F1736">
        <v>70.8</v>
      </c>
      <c r="G1736">
        <v>12612</v>
      </c>
      <c r="H1736">
        <v>751.8</v>
      </c>
      <c r="I1736">
        <v>8.5</v>
      </c>
      <c r="J1736">
        <v>92</v>
      </c>
      <c r="K1736" t="s">
        <v>18</v>
      </c>
      <c r="L1736">
        <v>69</v>
      </c>
      <c r="M1736">
        <v>1.32</v>
      </c>
      <c r="N1736">
        <v>3</v>
      </c>
      <c r="O1736" t="s">
        <v>17</v>
      </c>
      <c r="P1736" cm="1">
        <f t="array" ref="P1736">_xlfn.SWITCH(Table2[[#This Row],[mood]], "Tired", 3, "Neutral", 2, "Happy", 1)</f>
        <v>3</v>
      </c>
    </row>
    <row r="1737" spans="1:16" x14ac:dyDescent="0.3">
      <c r="A1737">
        <v>1287</v>
      </c>
      <c r="B1737" s="1">
        <v>43740</v>
      </c>
      <c r="C1737">
        <v>44</v>
      </c>
      <c r="D1737" t="s">
        <v>20</v>
      </c>
      <c r="E1737">
        <v>160.5</v>
      </c>
      <c r="F1737">
        <v>61.6</v>
      </c>
      <c r="G1737">
        <v>15843</v>
      </c>
      <c r="H1737">
        <v>717.2</v>
      </c>
      <c r="I1737">
        <v>6.5</v>
      </c>
      <c r="J1737">
        <v>79</v>
      </c>
      <c r="K1737" t="s">
        <v>23</v>
      </c>
      <c r="L1737">
        <v>52</v>
      </c>
      <c r="M1737">
        <v>1.6</v>
      </c>
      <c r="N1737">
        <v>3</v>
      </c>
      <c r="O1737" t="s">
        <v>21</v>
      </c>
      <c r="P1737" cm="1">
        <f t="array" ref="P1737">_xlfn.SWITCH(Table2[[#This Row],[mood]], "Tired", 3, "Neutral", 2, "Happy", 1)</f>
        <v>1</v>
      </c>
    </row>
    <row r="1738" spans="1:16" x14ac:dyDescent="0.3">
      <c r="A1738">
        <v>1119</v>
      </c>
      <c r="B1738" s="1">
        <v>43741</v>
      </c>
      <c r="C1738">
        <v>36</v>
      </c>
      <c r="D1738" t="s">
        <v>15</v>
      </c>
      <c r="E1738">
        <v>159.1</v>
      </c>
      <c r="F1738">
        <v>90</v>
      </c>
      <c r="G1738">
        <v>19888</v>
      </c>
      <c r="H1738">
        <v>900</v>
      </c>
      <c r="I1738">
        <v>7.9</v>
      </c>
      <c r="J1738">
        <v>86</v>
      </c>
      <c r="K1738" t="s">
        <v>24</v>
      </c>
      <c r="L1738">
        <v>48</v>
      </c>
      <c r="M1738">
        <v>3.03</v>
      </c>
      <c r="N1738">
        <v>3</v>
      </c>
      <c r="O1738" t="s">
        <v>21</v>
      </c>
      <c r="P1738" cm="1">
        <f t="array" ref="P1738">_xlfn.SWITCH(Table2[[#This Row],[mood]], "Tired", 3, "Neutral", 2, "Happy", 1)</f>
        <v>1</v>
      </c>
    </row>
    <row r="1739" spans="1:16" x14ac:dyDescent="0.3">
      <c r="A1739">
        <v>1813</v>
      </c>
      <c r="B1739" s="1">
        <v>43742</v>
      </c>
      <c r="C1739">
        <v>29</v>
      </c>
      <c r="D1739" t="s">
        <v>20</v>
      </c>
      <c r="E1739">
        <v>182.5</v>
      </c>
      <c r="F1739">
        <v>56.7</v>
      </c>
      <c r="G1739">
        <v>13015</v>
      </c>
      <c r="H1739">
        <v>755.7</v>
      </c>
      <c r="I1739">
        <v>6.2</v>
      </c>
      <c r="J1739">
        <v>66</v>
      </c>
      <c r="K1739" t="s">
        <v>22</v>
      </c>
      <c r="L1739">
        <v>22</v>
      </c>
      <c r="M1739">
        <v>3.57</v>
      </c>
      <c r="N1739">
        <v>9</v>
      </c>
      <c r="O1739" t="s">
        <v>17</v>
      </c>
      <c r="P1739" cm="1">
        <f t="array" ref="P1739">_xlfn.SWITCH(Table2[[#This Row],[mood]], "Tired", 3, "Neutral", 2, "Happy", 1)</f>
        <v>3</v>
      </c>
    </row>
    <row r="1740" spans="1:16" x14ac:dyDescent="0.3">
      <c r="A1740">
        <v>1490</v>
      </c>
      <c r="B1740" s="1">
        <v>43743</v>
      </c>
      <c r="C1740">
        <v>37</v>
      </c>
      <c r="D1740" t="s">
        <v>20</v>
      </c>
      <c r="E1740">
        <v>180.9</v>
      </c>
      <c r="F1740">
        <v>99.5</v>
      </c>
      <c r="G1740">
        <v>13672</v>
      </c>
      <c r="H1740">
        <v>794.7</v>
      </c>
      <c r="I1740">
        <v>7.5</v>
      </c>
      <c r="J1740">
        <v>82</v>
      </c>
      <c r="K1740" t="s">
        <v>18</v>
      </c>
      <c r="L1740">
        <v>58</v>
      </c>
      <c r="M1740">
        <v>1.82</v>
      </c>
      <c r="N1740">
        <v>1</v>
      </c>
      <c r="O1740" t="s">
        <v>21</v>
      </c>
      <c r="P1740" cm="1">
        <f t="array" ref="P1740">_xlfn.SWITCH(Table2[[#This Row],[mood]], "Tired", 3, "Neutral", 2, "Happy", 1)</f>
        <v>1</v>
      </c>
    </row>
    <row r="1741" spans="1:16" x14ac:dyDescent="0.3">
      <c r="A1741">
        <v>1911</v>
      </c>
      <c r="B1741" s="1">
        <v>43744</v>
      </c>
      <c r="C1741">
        <v>18</v>
      </c>
      <c r="D1741" t="s">
        <v>15</v>
      </c>
      <c r="E1741">
        <v>180.7</v>
      </c>
      <c r="F1741">
        <v>59</v>
      </c>
      <c r="G1741">
        <v>3976</v>
      </c>
      <c r="H1741">
        <v>308</v>
      </c>
      <c r="I1741">
        <v>6.3</v>
      </c>
      <c r="J1741">
        <v>72</v>
      </c>
      <c r="K1741" t="s">
        <v>23</v>
      </c>
      <c r="L1741">
        <v>23</v>
      </c>
      <c r="M1741">
        <v>2.68</v>
      </c>
      <c r="N1741">
        <v>5</v>
      </c>
      <c r="O1741" t="s">
        <v>19</v>
      </c>
      <c r="P1741" cm="1">
        <f t="array" ref="P1741">_xlfn.SWITCH(Table2[[#This Row],[mood]], "Tired", 3, "Neutral", 2, "Happy", 1)</f>
        <v>2</v>
      </c>
    </row>
    <row r="1742" spans="1:16" x14ac:dyDescent="0.3">
      <c r="A1742">
        <v>1451</v>
      </c>
      <c r="B1742" s="1">
        <v>43745</v>
      </c>
      <c r="C1742">
        <v>38</v>
      </c>
      <c r="D1742" t="s">
        <v>20</v>
      </c>
      <c r="E1742">
        <v>169.3</v>
      </c>
      <c r="F1742">
        <v>50.8</v>
      </c>
      <c r="G1742">
        <v>18855</v>
      </c>
      <c r="H1742">
        <v>900</v>
      </c>
      <c r="I1742">
        <v>8.1999999999999993</v>
      </c>
      <c r="J1742">
        <v>70</v>
      </c>
      <c r="K1742" t="s">
        <v>23</v>
      </c>
      <c r="L1742">
        <v>56</v>
      </c>
      <c r="M1742">
        <v>3.06</v>
      </c>
      <c r="N1742">
        <v>9</v>
      </c>
      <c r="O1742" t="s">
        <v>17</v>
      </c>
      <c r="P1742" cm="1">
        <f t="array" ref="P1742">_xlfn.SWITCH(Table2[[#This Row],[mood]], "Tired", 3, "Neutral", 2, "Happy", 1)</f>
        <v>3</v>
      </c>
    </row>
    <row r="1743" spans="1:16" x14ac:dyDescent="0.3">
      <c r="A1743">
        <v>1499</v>
      </c>
      <c r="B1743" s="1">
        <v>43746</v>
      </c>
      <c r="C1743">
        <v>18</v>
      </c>
      <c r="D1743" t="s">
        <v>15</v>
      </c>
      <c r="E1743">
        <v>188.9</v>
      </c>
      <c r="F1743">
        <v>52.7</v>
      </c>
      <c r="G1743">
        <v>12891</v>
      </c>
      <c r="H1743">
        <v>760.7</v>
      </c>
      <c r="I1743">
        <v>5.0999999999999996</v>
      </c>
      <c r="J1743">
        <v>66</v>
      </c>
      <c r="K1743" t="s">
        <v>24</v>
      </c>
      <c r="L1743">
        <v>25</v>
      </c>
      <c r="M1743">
        <v>2.67</v>
      </c>
      <c r="N1743">
        <v>7</v>
      </c>
      <c r="O1743" t="s">
        <v>21</v>
      </c>
      <c r="P1743" cm="1">
        <f t="array" ref="P1743">_xlfn.SWITCH(Table2[[#This Row],[mood]], "Tired", 3, "Neutral", 2, "Happy", 1)</f>
        <v>1</v>
      </c>
    </row>
    <row r="1744" spans="1:16" x14ac:dyDescent="0.3">
      <c r="A1744">
        <v>1164</v>
      </c>
      <c r="B1744" s="1">
        <v>43747</v>
      </c>
      <c r="C1744">
        <v>27</v>
      </c>
      <c r="D1744" t="s">
        <v>15</v>
      </c>
      <c r="E1744">
        <v>169.8</v>
      </c>
      <c r="F1744">
        <v>53.4</v>
      </c>
      <c r="G1744">
        <v>7595</v>
      </c>
      <c r="H1744">
        <v>471.2</v>
      </c>
      <c r="I1744">
        <v>5.5</v>
      </c>
      <c r="J1744">
        <v>90</v>
      </c>
      <c r="K1744" t="s">
        <v>18</v>
      </c>
      <c r="L1744">
        <v>29</v>
      </c>
      <c r="M1744">
        <v>2.33</v>
      </c>
      <c r="N1744">
        <v>1</v>
      </c>
      <c r="O1744" t="s">
        <v>21</v>
      </c>
      <c r="P1744" cm="1">
        <f t="array" ref="P1744">_xlfn.SWITCH(Table2[[#This Row],[mood]], "Tired", 3, "Neutral", 2, "Happy", 1)</f>
        <v>1</v>
      </c>
    </row>
    <row r="1745" spans="1:16" x14ac:dyDescent="0.3">
      <c r="A1745">
        <v>1181</v>
      </c>
      <c r="B1745" s="1">
        <v>43748</v>
      </c>
      <c r="C1745">
        <v>49</v>
      </c>
      <c r="D1745" t="s">
        <v>20</v>
      </c>
      <c r="E1745">
        <v>178.6</v>
      </c>
      <c r="F1745">
        <v>66.5</v>
      </c>
      <c r="G1745">
        <v>18526</v>
      </c>
      <c r="H1745">
        <v>900</v>
      </c>
      <c r="I1745">
        <v>9</v>
      </c>
      <c r="J1745">
        <v>75</v>
      </c>
      <c r="K1745" t="s">
        <v>18</v>
      </c>
      <c r="L1745">
        <v>31</v>
      </c>
      <c r="M1745">
        <v>2.0499999999999998</v>
      </c>
      <c r="N1745">
        <v>4</v>
      </c>
      <c r="O1745" t="s">
        <v>21</v>
      </c>
      <c r="P1745" cm="1">
        <f t="array" ref="P1745">_xlfn.SWITCH(Table2[[#This Row],[mood]], "Tired", 3, "Neutral", 2, "Happy", 1)</f>
        <v>1</v>
      </c>
    </row>
    <row r="1746" spans="1:16" x14ac:dyDescent="0.3">
      <c r="A1746">
        <v>1468</v>
      </c>
      <c r="B1746" s="1">
        <v>43749</v>
      </c>
      <c r="C1746">
        <v>56</v>
      </c>
      <c r="D1746" t="s">
        <v>20</v>
      </c>
      <c r="E1746">
        <v>156.1</v>
      </c>
      <c r="F1746">
        <v>63</v>
      </c>
      <c r="G1746">
        <v>14404</v>
      </c>
      <c r="H1746">
        <v>769.3</v>
      </c>
      <c r="I1746">
        <v>3.3</v>
      </c>
      <c r="J1746">
        <v>67</v>
      </c>
      <c r="K1746" t="s">
        <v>18</v>
      </c>
      <c r="L1746">
        <v>85</v>
      </c>
      <c r="M1746">
        <v>3.89</v>
      </c>
      <c r="N1746">
        <v>6</v>
      </c>
      <c r="O1746" t="s">
        <v>19</v>
      </c>
      <c r="P1746" cm="1">
        <f t="array" ref="P1746">_xlfn.SWITCH(Table2[[#This Row],[mood]], "Tired", 3, "Neutral", 2, "Happy", 1)</f>
        <v>2</v>
      </c>
    </row>
    <row r="1747" spans="1:16" x14ac:dyDescent="0.3">
      <c r="A1747">
        <v>1909</v>
      </c>
      <c r="B1747" s="1">
        <v>43750</v>
      </c>
      <c r="C1747">
        <v>39</v>
      </c>
      <c r="D1747" t="s">
        <v>15</v>
      </c>
      <c r="E1747">
        <v>167.7</v>
      </c>
      <c r="F1747">
        <v>85.4</v>
      </c>
      <c r="G1747">
        <v>19952</v>
      </c>
      <c r="H1747">
        <v>900</v>
      </c>
      <c r="I1747">
        <v>6</v>
      </c>
      <c r="J1747">
        <v>82</v>
      </c>
      <c r="K1747" t="s">
        <v>23</v>
      </c>
      <c r="L1747">
        <v>22</v>
      </c>
      <c r="M1747">
        <v>2.57</v>
      </c>
      <c r="N1747">
        <v>5</v>
      </c>
      <c r="O1747" t="s">
        <v>21</v>
      </c>
      <c r="P1747" cm="1">
        <f t="array" ref="P1747">_xlfn.SWITCH(Table2[[#This Row],[mood]], "Tired", 3, "Neutral", 2, "Happy", 1)</f>
        <v>1</v>
      </c>
    </row>
    <row r="1748" spans="1:16" x14ac:dyDescent="0.3">
      <c r="A1748">
        <v>1734</v>
      </c>
      <c r="B1748" s="1">
        <v>43751</v>
      </c>
      <c r="C1748">
        <v>35</v>
      </c>
      <c r="D1748" t="s">
        <v>15</v>
      </c>
      <c r="E1748">
        <v>168.4</v>
      </c>
      <c r="F1748">
        <v>83.2</v>
      </c>
      <c r="G1748">
        <v>18992</v>
      </c>
      <c r="H1748">
        <v>900</v>
      </c>
      <c r="I1748">
        <v>6.8</v>
      </c>
      <c r="J1748">
        <v>71</v>
      </c>
      <c r="K1748" t="s">
        <v>18</v>
      </c>
      <c r="L1748">
        <v>84</v>
      </c>
      <c r="M1748">
        <v>2.77</v>
      </c>
      <c r="N1748">
        <v>2</v>
      </c>
      <c r="O1748" t="s">
        <v>19</v>
      </c>
      <c r="P1748" cm="1">
        <f t="array" ref="P1748">_xlfn.SWITCH(Table2[[#This Row],[mood]], "Tired", 3, "Neutral", 2, "Happy", 1)</f>
        <v>2</v>
      </c>
    </row>
    <row r="1749" spans="1:16" x14ac:dyDescent="0.3">
      <c r="A1749">
        <v>1822</v>
      </c>
      <c r="B1749" s="1">
        <v>43752</v>
      </c>
      <c r="C1749">
        <v>49</v>
      </c>
      <c r="D1749" t="s">
        <v>20</v>
      </c>
      <c r="E1749">
        <v>169.3</v>
      </c>
      <c r="F1749">
        <v>66.599999999999994</v>
      </c>
      <c r="G1749">
        <v>13825</v>
      </c>
      <c r="H1749">
        <v>761.4</v>
      </c>
      <c r="I1749">
        <v>7.5</v>
      </c>
      <c r="J1749">
        <v>67</v>
      </c>
      <c r="K1749" t="s">
        <v>23</v>
      </c>
      <c r="L1749">
        <v>83</v>
      </c>
      <c r="M1749">
        <v>2.73</v>
      </c>
      <c r="N1749">
        <v>1</v>
      </c>
      <c r="O1749" t="s">
        <v>19</v>
      </c>
      <c r="P1749" cm="1">
        <f t="array" ref="P1749">_xlfn.SWITCH(Table2[[#This Row],[mood]], "Tired", 3, "Neutral", 2, "Happy", 1)</f>
        <v>2</v>
      </c>
    </row>
    <row r="1750" spans="1:16" x14ac:dyDescent="0.3">
      <c r="A1750">
        <v>1943</v>
      </c>
      <c r="B1750" s="1">
        <v>43753</v>
      </c>
      <c r="C1750">
        <v>44</v>
      </c>
      <c r="D1750" t="s">
        <v>15</v>
      </c>
      <c r="E1750">
        <v>156.69999999999999</v>
      </c>
      <c r="F1750">
        <v>116.6</v>
      </c>
      <c r="G1750">
        <v>19281</v>
      </c>
      <c r="H1750">
        <v>900</v>
      </c>
      <c r="I1750">
        <v>6.3</v>
      </c>
      <c r="J1750">
        <v>104</v>
      </c>
      <c r="K1750" t="s">
        <v>23</v>
      </c>
      <c r="L1750">
        <v>54</v>
      </c>
      <c r="M1750">
        <v>1.93</v>
      </c>
      <c r="N1750">
        <v>4</v>
      </c>
      <c r="O1750" t="s">
        <v>21</v>
      </c>
      <c r="P1750" cm="1">
        <f t="array" ref="P1750">_xlfn.SWITCH(Table2[[#This Row],[mood]], "Tired", 3, "Neutral", 2, "Happy", 1)</f>
        <v>1</v>
      </c>
    </row>
    <row r="1751" spans="1:16" x14ac:dyDescent="0.3">
      <c r="A1751">
        <v>1977</v>
      </c>
      <c r="B1751" s="1">
        <v>43754</v>
      </c>
      <c r="C1751">
        <v>45</v>
      </c>
      <c r="D1751" t="s">
        <v>15</v>
      </c>
      <c r="E1751">
        <v>177</v>
      </c>
      <c r="F1751">
        <v>66.400000000000006</v>
      </c>
      <c r="G1751">
        <v>3192</v>
      </c>
      <c r="H1751">
        <v>288.10000000000002</v>
      </c>
      <c r="I1751">
        <v>5.3</v>
      </c>
      <c r="J1751">
        <v>63</v>
      </c>
      <c r="K1751" t="s">
        <v>16</v>
      </c>
      <c r="L1751">
        <v>0</v>
      </c>
      <c r="M1751">
        <v>2.54</v>
      </c>
      <c r="N1751">
        <v>10</v>
      </c>
      <c r="O1751" t="s">
        <v>19</v>
      </c>
      <c r="P1751" cm="1">
        <f t="array" ref="P1751">_xlfn.SWITCH(Table2[[#This Row],[mood]], "Tired", 3, "Neutral", 2, "Happy", 1)</f>
        <v>2</v>
      </c>
    </row>
    <row r="1752" spans="1:16" x14ac:dyDescent="0.3">
      <c r="A1752">
        <v>1006</v>
      </c>
      <c r="B1752" s="1">
        <v>43755</v>
      </c>
      <c r="C1752">
        <v>35</v>
      </c>
      <c r="D1752" t="s">
        <v>15</v>
      </c>
      <c r="E1752">
        <v>180.3</v>
      </c>
      <c r="F1752">
        <v>68.400000000000006</v>
      </c>
      <c r="G1752">
        <v>13264</v>
      </c>
      <c r="H1752">
        <v>750.2</v>
      </c>
      <c r="I1752">
        <v>8.8000000000000007</v>
      </c>
      <c r="J1752">
        <v>94</v>
      </c>
      <c r="K1752" t="s">
        <v>18</v>
      </c>
      <c r="L1752">
        <v>66</v>
      </c>
      <c r="M1752">
        <v>2.27</v>
      </c>
      <c r="N1752">
        <v>5</v>
      </c>
      <c r="O1752" t="s">
        <v>21</v>
      </c>
      <c r="P1752" cm="1">
        <f t="array" ref="P1752">_xlfn.SWITCH(Table2[[#This Row],[mood]], "Tired", 3, "Neutral", 2, "Happy", 1)</f>
        <v>1</v>
      </c>
    </row>
    <row r="1753" spans="1:16" x14ac:dyDescent="0.3">
      <c r="A1753">
        <v>1329</v>
      </c>
      <c r="B1753" s="1">
        <v>43756</v>
      </c>
      <c r="C1753">
        <v>56</v>
      </c>
      <c r="D1753" t="s">
        <v>20</v>
      </c>
      <c r="E1753">
        <v>162.6</v>
      </c>
      <c r="F1753">
        <v>50.8</v>
      </c>
      <c r="G1753">
        <v>2091</v>
      </c>
      <c r="H1753">
        <v>311.60000000000002</v>
      </c>
      <c r="I1753">
        <v>8.6</v>
      </c>
      <c r="J1753">
        <v>67</v>
      </c>
      <c r="K1753" t="s">
        <v>25</v>
      </c>
      <c r="L1753">
        <v>71</v>
      </c>
      <c r="M1753">
        <v>2.2599999999999998</v>
      </c>
      <c r="N1753">
        <v>4</v>
      </c>
      <c r="O1753" t="s">
        <v>21</v>
      </c>
      <c r="P1753" cm="1">
        <f t="array" ref="P1753">_xlfn.SWITCH(Table2[[#This Row],[mood]], "Tired", 3, "Neutral", 2, "Happy", 1)</f>
        <v>1</v>
      </c>
    </row>
    <row r="1754" spans="1:16" x14ac:dyDescent="0.3">
      <c r="A1754">
        <v>1774</v>
      </c>
      <c r="B1754" s="1">
        <v>43757</v>
      </c>
      <c r="C1754">
        <v>46</v>
      </c>
      <c r="D1754" t="s">
        <v>15</v>
      </c>
      <c r="E1754">
        <v>158.5</v>
      </c>
      <c r="F1754">
        <v>68.8</v>
      </c>
      <c r="G1754">
        <v>18083</v>
      </c>
      <c r="H1754">
        <v>900</v>
      </c>
      <c r="I1754">
        <v>6.4</v>
      </c>
      <c r="J1754">
        <v>81</v>
      </c>
      <c r="K1754" t="s">
        <v>22</v>
      </c>
      <c r="L1754">
        <v>53</v>
      </c>
      <c r="M1754">
        <v>2.72</v>
      </c>
      <c r="N1754">
        <v>3</v>
      </c>
      <c r="O1754" t="s">
        <v>21</v>
      </c>
      <c r="P1754" cm="1">
        <f t="array" ref="P1754">_xlfn.SWITCH(Table2[[#This Row],[mood]], "Tired", 3, "Neutral", 2, "Happy", 1)</f>
        <v>1</v>
      </c>
    </row>
    <row r="1755" spans="1:16" x14ac:dyDescent="0.3">
      <c r="A1755">
        <v>1672</v>
      </c>
      <c r="B1755" s="1">
        <v>43758</v>
      </c>
      <c r="C1755">
        <v>35</v>
      </c>
      <c r="D1755" t="s">
        <v>20</v>
      </c>
      <c r="E1755">
        <v>162.30000000000001</v>
      </c>
      <c r="F1755">
        <v>74.5</v>
      </c>
      <c r="G1755">
        <v>11093</v>
      </c>
      <c r="H1755">
        <v>562.79999999999995</v>
      </c>
      <c r="I1755">
        <v>4.3</v>
      </c>
      <c r="J1755">
        <v>74</v>
      </c>
      <c r="K1755" t="s">
        <v>22</v>
      </c>
      <c r="L1755">
        <v>44</v>
      </c>
      <c r="M1755">
        <v>1.86</v>
      </c>
      <c r="N1755">
        <v>10</v>
      </c>
      <c r="O1755" t="s">
        <v>17</v>
      </c>
      <c r="P1755" cm="1">
        <f t="array" ref="P1755">_xlfn.SWITCH(Table2[[#This Row],[mood]], "Tired", 3, "Neutral", 2, "Happy", 1)</f>
        <v>3</v>
      </c>
    </row>
    <row r="1756" spans="1:16" x14ac:dyDescent="0.3">
      <c r="A1756">
        <v>1150</v>
      </c>
      <c r="B1756" s="1">
        <v>43759</v>
      </c>
      <c r="C1756">
        <v>25</v>
      </c>
      <c r="D1756" t="s">
        <v>15</v>
      </c>
      <c r="E1756">
        <v>175</v>
      </c>
      <c r="F1756">
        <v>52.2</v>
      </c>
      <c r="G1756">
        <v>3178</v>
      </c>
      <c r="H1756">
        <v>297.89999999999998</v>
      </c>
      <c r="I1756">
        <v>7.5</v>
      </c>
      <c r="J1756">
        <v>82</v>
      </c>
      <c r="K1756" t="s">
        <v>25</v>
      </c>
      <c r="L1756">
        <v>88</v>
      </c>
      <c r="M1756">
        <v>1.66</v>
      </c>
      <c r="N1756">
        <v>8</v>
      </c>
      <c r="O1756" t="s">
        <v>19</v>
      </c>
      <c r="P1756" cm="1">
        <f t="array" ref="P1756">_xlfn.SWITCH(Table2[[#This Row],[mood]], "Tired", 3, "Neutral", 2, "Happy", 1)</f>
        <v>2</v>
      </c>
    </row>
    <row r="1757" spans="1:16" x14ac:dyDescent="0.3">
      <c r="A1757">
        <v>1084</v>
      </c>
      <c r="B1757" s="1">
        <v>43760</v>
      </c>
      <c r="C1757">
        <v>48</v>
      </c>
      <c r="D1757" t="s">
        <v>20</v>
      </c>
      <c r="E1757">
        <v>164</v>
      </c>
      <c r="F1757">
        <v>62.5</v>
      </c>
      <c r="G1757">
        <v>18116</v>
      </c>
      <c r="H1757">
        <v>882.4</v>
      </c>
      <c r="I1757">
        <v>7.3</v>
      </c>
      <c r="J1757">
        <v>61</v>
      </c>
      <c r="K1757" t="s">
        <v>18</v>
      </c>
      <c r="L1757">
        <v>48</v>
      </c>
      <c r="M1757">
        <v>2.85</v>
      </c>
      <c r="N1757">
        <v>6</v>
      </c>
      <c r="O1757" t="s">
        <v>19</v>
      </c>
      <c r="P1757" cm="1">
        <f t="array" ref="P1757">_xlfn.SWITCH(Table2[[#This Row],[mood]], "Tired", 3, "Neutral", 2, "Happy", 1)</f>
        <v>2</v>
      </c>
    </row>
    <row r="1758" spans="1:16" x14ac:dyDescent="0.3">
      <c r="A1758">
        <v>1146</v>
      </c>
      <c r="B1758" s="1">
        <v>43761</v>
      </c>
      <c r="C1758">
        <v>51</v>
      </c>
      <c r="D1758" t="s">
        <v>15</v>
      </c>
      <c r="E1758">
        <v>168.7</v>
      </c>
      <c r="F1758">
        <v>74.900000000000006</v>
      </c>
      <c r="G1758">
        <v>14592</v>
      </c>
      <c r="H1758">
        <v>870.2</v>
      </c>
      <c r="I1758">
        <v>6</v>
      </c>
      <c r="J1758">
        <v>60</v>
      </c>
      <c r="K1758" t="s">
        <v>23</v>
      </c>
      <c r="L1758">
        <v>83</v>
      </c>
      <c r="M1758">
        <v>2.13</v>
      </c>
      <c r="N1758">
        <v>3</v>
      </c>
      <c r="O1758" t="s">
        <v>21</v>
      </c>
      <c r="P1758" cm="1">
        <f t="array" ref="P1758">_xlfn.SWITCH(Table2[[#This Row],[mood]], "Tired", 3, "Neutral", 2, "Happy", 1)</f>
        <v>1</v>
      </c>
    </row>
    <row r="1759" spans="1:16" x14ac:dyDescent="0.3">
      <c r="A1759">
        <v>1623</v>
      </c>
      <c r="B1759" s="1">
        <v>43762</v>
      </c>
      <c r="C1759">
        <v>24</v>
      </c>
      <c r="D1759" t="s">
        <v>20</v>
      </c>
      <c r="E1759">
        <v>159.30000000000001</v>
      </c>
      <c r="F1759">
        <v>62.1</v>
      </c>
      <c r="G1759">
        <v>9704</v>
      </c>
      <c r="H1759">
        <v>594.1</v>
      </c>
      <c r="I1759">
        <v>4.0999999999999996</v>
      </c>
      <c r="J1759">
        <v>83</v>
      </c>
      <c r="K1759" t="s">
        <v>24</v>
      </c>
      <c r="L1759">
        <v>72</v>
      </c>
      <c r="M1759">
        <v>2.2599999999999998</v>
      </c>
      <c r="N1759">
        <v>6</v>
      </c>
      <c r="O1759" t="s">
        <v>19</v>
      </c>
      <c r="P1759" cm="1">
        <f t="array" ref="P1759">_xlfn.SWITCH(Table2[[#This Row],[mood]], "Tired", 3, "Neutral", 2, "Happy", 1)</f>
        <v>2</v>
      </c>
    </row>
    <row r="1760" spans="1:16" x14ac:dyDescent="0.3">
      <c r="A1760">
        <v>1380</v>
      </c>
      <c r="B1760" s="1">
        <v>43763</v>
      </c>
      <c r="C1760">
        <v>53</v>
      </c>
      <c r="D1760" t="s">
        <v>20</v>
      </c>
      <c r="E1760">
        <v>189.8</v>
      </c>
      <c r="F1760">
        <v>59</v>
      </c>
      <c r="G1760">
        <v>3687</v>
      </c>
      <c r="H1760">
        <v>333.5</v>
      </c>
      <c r="I1760">
        <v>6.6</v>
      </c>
      <c r="J1760">
        <v>57</v>
      </c>
      <c r="K1760" t="s">
        <v>25</v>
      </c>
      <c r="L1760">
        <v>77</v>
      </c>
      <c r="M1760">
        <v>1.1499999999999999</v>
      </c>
      <c r="N1760">
        <v>10</v>
      </c>
      <c r="O1760" t="s">
        <v>21</v>
      </c>
      <c r="P1760" cm="1">
        <f t="array" ref="P1760">_xlfn.SWITCH(Table2[[#This Row],[mood]], "Tired", 3, "Neutral", 2, "Happy", 1)</f>
        <v>1</v>
      </c>
    </row>
    <row r="1761" spans="1:16" x14ac:dyDescent="0.3">
      <c r="A1761">
        <v>1914</v>
      </c>
      <c r="B1761" s="1">
        <v>43764</v>
      </c>
      <c r="C1761">
        <v>35</v>
      </c>
      <c r="D1761" t="s">
        <v>20</v>
      </c>
      <c r="E1761">
        <v>170.7</v>
      </c>
      <c r="F1761">
        <v>81.7</v>
      </c>
      <c r="G1761">
        <v>4756</v>
      </c>
      <c r="H1761">
        <v>362.3</v>
      </c>
      <c r="I1761">
        <v>8.1</v>
      </c>
      <c r="J1761">
        <v>63</v>
      </c>
      <c r="K1761" t="s">
        <v>22</v>
      </c>
      <c r="L1761">
        <v>60</v>
      </c>
      <c r="M1761">
        <v>3.17</v>
      </c>
      <c r="N1761">
        <v>8</v>
      </c>
      <c r="O1761" t="s">
        <v>19</v>
      </c>
      <c r="P1761" cm="1">
        <f t="array" ref="P1761">_xlfn.SWITCH(Table2[[#This Row],[mood]], "Tired", 3, "Neutral", 2, "Happy", 1)</f>
        <v>2</v>
      </c>
    </row>
    <row r="1762" spans="1:16" x14ac:dyDescent="0.3">
      <c r="A1762">
        <v>1547</v>
      </c>
      <c r="B1762" s="1">
        <v>43765</v>
      </c>
      <c r="C1762">
        <v>55</v>
      </c>
      <c r="D1762" t="s">
        <v>15</v>
      </c>
      <c r="E1762">
        <v>181.5</v>
      </c>
      <c r="F1762">
        <v>50.8</v>
      </c>
      <c r="G1762">
        <v>7061</v>
      </c>
      <c r="H1762">
        <v>476.2</v>
      </c>
      <c r="I1762">
        <v>8.4</v>
      </c>
      <c r="J1762">
        <v>74</v>
      </c>
      <c r="K1762" t="s">
        <v>22</v>
      </c>
      <c r="L1762">
        <v>70</v>
      </c>
      <c r="M1762">
        <v>2.87</v>
      </c>
      <c r="N1762">
        <v>7</v>
      </c>
      <c r="O1762" t="s">
        <v>19</v>
      </c>
      <c r="P1762" cm="1">
        <f t="array" ref="P1762">_xlfn.SWITCH(Table2[[#This Row],[mood]], "Tired", 3, "Neutral", 2, "Happy", 1)</f>
        <v>2</v>
      </c>
    </row>
    <row r="1763" spans="1:16" x14ac:dyDescent="0.3">
      <c r="A1763">
        <v>1284</v>
      </c>
      <c r="B1763" s="1">
        <v>43766</v>
      </c>
      <c r="C1763">
        <v>26</v>
      </c>
      <c r="D1763" t="s">
        <v>15</v>
      </c>
      <c r="E1763">
        <v>174.9</v>
      </c>
      <c r="F1763">
        <v>53.7</v>
      </c>
      <c r="G1763">
        <v>9623</v>
      </c>
      <c r="H1763">
        <v>622.5</v>
      </c>
      <c r="I1763">
        <v>6.9</v>
      </c>
      <c r="J1763">
        <v>62</v>
      </c>
      <c r="K1763" t="s">
        <v>23</v>
      </c>
      <c r="L1763">
        <v>37</v>
      </c>
      <c r="M1763">
        <v>3</v>
      </c>
      <c r="N1763">
        <v>1</v>
      </c>
      <c r="O1763" t="s">
        <v>21</v>
      </c>
      <c r="P1763" cm="1">
        <f t="array" ref="P1763">_xlfn.SWITCH(Table2[[#This Row],[mood]], "Tired", 3, "Neutral", 2, "Happy", 1)</f>
        <v>1</v>
      </c>
    </row>
    <row r="1764" spans="1:16" x14ac:dyDescent="0.3">
      <c r="A1764">
        <v>1699</v>
      </c>
      <c r="B1764" s="1">
        <v>43767</v>
      </c>
      <c r="C1764">
        <v>26</v>
      </c>
      <c r="D1764" t="s">
        <v>15</v>
      </c>
      <c r="E1764">
        <v>169.6</v>
      </c>
      <c r="F1764">
        <v>72.7</v>
      </c>
      <c r="G1764">
        <v>5494</v>
      </c>
      <c r="H1764">
        <v>328.3</v>
      </c>
      <c r="I1764">
        <v>6.1</v>
      </c>
      <c r="J1764">
        <v>63</v>
      </c>
      <c r="K1764" t="s">
        <v>22</v>
      </c>
      <c r="L1764">
        <v>60</v>
      </c>
      <c r="M1764">
        <v>2.77</v>
      </c>
      <c r="N1764">
        <v>6</v>
      </c>
      <c r="O1764" t="s">
        <v>21</v>
      </c>
      <c r="P1764" cm="1">
        <f t="array" ref="P1764">_xlfn.SWITCH(Table2[[#This Row],[mood]], "Tired", 3, "Neutral", 2, "Happy", 1)</f>
        <v>1</v>
      </c>
    </row>
    <row r="1765" spans="1:16" x14ac:dyDescent="0.3">
      <c r="A1765">
        <v>1081</v>
      </c>
      <c r="B1765" s="1">
        <v>43768</v>
      </c>
      <c r="C1765">
        <v>25</v>
      </c>
      <c r="D1765" t="s">
        <v>20</v>
      </c>
      <c r="E1765">
        <v>169.1</v>
      </c>
      <c r="F1765">
        <v>82.7</v>
      </c>
      <c r="G1765">
        <v>2279</v>
      </c>
      <c r="H1765">
        <v>302.7</v>
      </c>
      <c r="I1765">
        <v>8.1</v>
      </c>
      <c r="J1765">
        <v>71</v>
      </c>
      <c r="K1765" t="s">
        <v>22</v>
      </c>
      <c r="L1765">
        <v>80</v>
      </c>
      <c r="M1765">
        <v>1.44</v>
      </c>
      <c r="N1765">
        <v>1</v>
      </c>
      <c r="O1765" t="s">
        <v>21</v>
      </c>
      <c r="P1765" cm="1">
        <f t="array" ref="P1765">_xlfn.SWITCH(Table2[[#This Row],[mood]], "Tired", 3, "Neutral", 2, "Happy", 1)</f>
        <v>1</v>
      </c>
    </row>
    <row r="1766" spans="1:16" x14ac:dyDescent="0.3">
      <c r="A1766">
        <v>1513</v>
      </c>
      <c r="B1766" s="1">
        <v>43769</v>
      </c>
      <c r="C1766">
        <v>52</v>
      </c>
      <c r="D1766" t="s">
        <v>15</v>
      </c>
      <c r="E1766">
        <v>162.69999999999999</v>
      </c>
      <c r="F1766">
        <v>74.599999999999994</v>
      </c>
      <c r="G1766">
        <v>7538</v>
      </c>
      <c r="H1766">
        <v>476.3</v>
      </c>
      <c r="I1766">
        <v>5.3</v>
      </c>
      <c r="J1766">
        <v>53</v>
      </c>
      <c r="K1766" t="s">
        <v>23</v>
      </c>
      <c r="L1766">
        <v>43</v>
      </c>
      <c r="M1766">
        <v>2.66</v>
      </c>
      <c r="N1766">
        <v>4</v>
      </c>
      <c r="O1766" t="s">
        <v>19</v>
      </c>
      <c r="P1766" cm="1">
        <f t="array" ref="P1766">_xlfn.SWITCH(Table2[[#This Row],[mood]], "Tired", 3, "Neutral", 2, "Happy", 1)</f>
        <v>2</v>
      </c>
    </row>
    <row r="1767" spans="1:16" x14ac:dyDescent="0.3">
      <c r="A1767">
        <v>1896</v>
      </c>
      <c r="B1767" s="1">
        <v>43770</v>
      </c>
      <c r="C1767">
        <v>35</v>
      </c>
      <c r="D1767" t="s">
        <v>20</v>
      </c>
      <c r="E1767">
        <v>165.5</v>
      </c>
      <c r="F1767">
        <v>66.599999999999994</v>
      </c>
      <c r="G1767">
        <v>3221</v>
      </c>
      <c r="H1767">
        <v>350.4</v>
      </c>
      <c r="I1767">
        <v>5</v>
      </c>
      <c r="J1767">
        <v>61</v>
      </c>
      <c r="K1767" t="s">
        <v>18</v>
      </c>
      <c r="L1767">
        <v>66</v>
      </c>
      <c r="M1767">
        <v>2.0699999999999998</v>
      </c>
      <c r="N1767">
        <v>10</v>
      </c>
      <c r="O1767" t="s">
        <v>17</v>
      </c>
      <c r="P1767" cm="1">
        <f t="array" ref="P1767">_xlfn.SWITCH(Table2[[#This Row],[mood]], "Tired", 3, "Neutral", 2, "Happy", 1)</f>
        <v>3</v>
      </c>
    </row>
    <row r="1768" spans="1:16" x14ac:dyDescent="0.3">
      <c r="A1768">
        <v>1814</v>
      </c>
      <c r="B1768" s="1">
        <v>43771</v>
      </c>
      <c r="C1768">
        <v>22</v>
      </c>
      <c r="D1768" t="s">
        <v>15</v>
      </c>
      <c r="E1768">
        <v>159.9</v>
      </c>
      <c r="F1768">
        <v>65.400000000000006</v>
      </c>
      <c r="G1768">
        <v>6164</v>
      </c>
      <c r="H1768">
        <v>486.5</v>
      </c>
      <c r="I1768">
        <v>6.9</v>
      </c>
      <c r="J1768">
        <v>88</v>
      </c>
      <c r="K1768" t="s">
        <v>16</v>
      </c>
      <c r="L1768">
        <v>0</v>
      </c>
      <c r="M1768">
        <v>1.83</v>
      </c>
      <c r="N1768">
        <v>3</v>
      </c>
      <c r="O1768" t="s">
        <v>17</v>
      </c>
      <c r="P1768" cm="1">
        <f t="array" ref="P1768">_xlfn.SWITCH(Table2[[#This Row],[mood]], "Tired", 3, "Neutral", 2, "Happy", 1)</f>
        <v>3</v>
      </c>
    </row>
    <row r="1769" spans="1:16" x14ac:dyDescent="0.3">
      <c r="A1769">
        <v>1708</v>
      </c>
      <c r="B1769" s="1">
        <v>43772</v>
      </c>
      <c r="C1769">
        <v>31</v>
      </c>
      <c r="D1769" t="s">
        <v>20</v>
      </c>
      <c r="E1769">
        <v>158.80000000000001</v>
      </c>
      <c r="F1769">
        <v>85.2</v>
      </c>
      <c r="G1769">
        <v>1854</v>
      </c>
      <c r="H1769">
        <v>239.4</v>
      </c>
      <c r="I1769">
        <v>9.3000000000000007</v>
      </c>
      <c r="J1769">
        <v>85</v>
      </c>
      <c r="K1769" t="s">
        <v>22</v>
      </c>
      <c r="L1769">
        <v>55</v>
      </c>
      <c r="M1769">
        <v>2.85</v>
      </c>
      <c r="N1769">
        <v>7</v>
      </c>
      <c r="O1769" t="s">
        <v>19</v>
      </c>
      <c r="P1769" cm="1">
        <f t="array" ref="P1769">_xlfn.SWITCH(Table2[[#This Row],[mood]], "Tired", 3, "Neutral", 2, "Happy", 1)</f>
        <v>2</v>
      </c>
    </row>
    <row r="1770" spans="1:16" x14ac:dyDescent="0.3">
      <c r="A1770">
        <v>1915</v>
      </c>
      <c r="B1770" s="1">
        <v>43773</v>
      </c>
      <c r="C1770">
        <v>45</v>
      </c>
      <c r="D1770" t="s">
        <v>20</v>
      </c>
      <c r="E1770">
        <v>190.9</v>
      </c>
      <c r="F1770">
        <v>82.9</v>
      </c>
      <c r="G1770">
        <v>4212</v>
      </c>
      <c r="H1770">
        <v>300</v>
      </c>
      <c r="I1770">
        <v>9.4</v>
      </c>
      <c r="J1770">
        <v>98</v>
      </c>
      <c r="K1770" t="s">
        <v>16</v>
      </c>
      <c r="L1770">
        <v>0</v>
      </c>
      <c r="M1770">
        <v>3.66</v>
      </c>
      <c r="N1770">
        <v>2</v>
      </c>
      <c r="O1770" t="s">
        <v>19</v>
      </c>
      <c r="P1770" cm="1">
        <f t="array" ref="P1770">_xlfn.SWITCH(Table2[[#This Row],[mood]], "Tired", 3, "Neutral", 2, "Happy", 1)</f>
        <v>2</v>
      </c>
    </row>
    <row r="1771" spans="1:16" x14ac:dyDescent="0.3">
      <c r="A1771">
        <v>1522</v>
      </c>
      <c r="B1771" s="1">
        <v>43774</v>
      </c>
      <c r="C1771">
        <v>47</v>
      </c>
      <c r="D1771" t="s">
        <v>20</v>
      </c>
      <c r="E1771">
        <v>172.8</v>
      </c>
      <c r="F1771">
        <v>70.7</v>
      </c>
      <c r="G1771">
        <v>19970</v>
      </c>
      <c r="H1771">
        <v>900</v>
      </c>
      <c r="I1771">
        <v>5</v>
      </c>
      <c r="J1771">
        <v>81</v>
      </c>
      <c r="K1771" t="s">
        <v>16</v>
      </c>
      <c r="L1771">
        <v>0</v>
      </c>
      <c r="M1771">
        <v>3.55</v>
      </c>
      <c r="N1771">
        <v>4</v>
      </c>
      <c r="O1771" t="s">
        <v>21</v>
      </c>
      <c r="P1771" cm="1">
        <f t="array" ref="P1771">_xlfn.SWITCH(Table2[[#This Row],[mood]], "Tired", 3, "Neutral", 2, "Happy", 1)</f>
        <v>1</v>
      </c>
    </row>
    <row r="1772" spans="1:16" x14ac:dyDescent="0.3">
      <c r="A1772">
        <v>1745</v>
      </c>
      <c r="B1772" s="1">
        <v>43775</v>
      </c>
      <c r="C1772">
        <v>21</v>
      </c>
      <c r="D1772" t="s">
        <v>15</v>
      </c>
      <c r="E1772">
        <v>184.7</v>
      </c>
      <c r="F1772">
        <v>65.8</v>
      </c>
      <c r="G1772">
        <v>15385</v>
      </c>
      <c r="H1772">
        <v>879.8</v>
      </c>
      <c r="I1772">
        <v>6.3</v>
      </c>
      <c r="J1772">
        <v>88</v>
      </c>
      <c r="K1772" t="s">
        <v>18</v>
      </c>
      <c r="L1772">
        <v>88</v>
      </c>
      <c r="M1772">
        <v>2.94</v>
      </c>
      <c r="N1772">
        <v>5</v>
      </c>
      <c r="O1772" t="s">
        <v>21</v>
      </c>
      <c r="P1772" cm="1">
        <f t="array" ref="P1772">_xlfn.SWITCH(Table2[[#This Row],[mood]], "Tired", 3, "Neutral", 2, "Happy", 1)</f>
        <v>1</v>
      </c>
    </row>
    <row r="1773" spans="1:16" x14ac:dyDescent="0.3">
      <c r="A1773">
        <v>1385</v>
      </c>
      <c r="B1773" s="1">
        <v>43776</v>
      </c>
      <c r="C1773">
        <v>56</v>
      </c>
      <c r="D1773" t="s">
        <v>15</v>
      </c>
      <c r="E1773">
        <v>162.1</v>
      </c>
      <c r="F1773">
        <v>70.5</v>
      </c>
      <c r="G1773">
        <v>13530</v>
      </c>
      <c r="H1773">
        <v>783</v>
      </c>
      <c r="I1773">
        <v>10</v>
      </c>
      <c r="J1773">
        <v>71</v>
      </c>
      <c r="K1773" t="s">
        <v>24</v>
      </c>
      <c r="L1773">
        <v>45</v>
      </c>
      <c r="M1773">
        <v>2.48</v>
      </c>
      <c r="N1773">
        <v>2</v>
      </c>
      <c r="O1773" t="s">
        <v>21</v>
      </c>
      <c r="P1773" cm="1">
        <f t="array" ref="P1773">_xlfn.SWITCH(Table2[[#This Row],[mood]], "Tired", 3, "Neutral", 2, "Happy", 1)</f>
        <v>1</v>
      </c>
    </row>
    <row r="1774" spans="1:16" x14ac:dyDescent="0.3">
      <c r="A1774">
        <v>1706</v>
      </c>
      <c r="B1774" s="1">
        <v>43777</v>
      </c>
      <c r="C1774">
        <v>37</v>
      </c>
      <c r="D1774" t="s">
        <v>15</v>
      </c>
      <c r="E1774">
        <v>157.5</v>
      </c>
      <c r="F1774">
        <v>59.1</v>
      </c>
      <c r="G1774">
        <v>4340</v>
      </c>
      <c r="H1774">
        <v>354.7</v>
      </c>
      <c r="I1774">
        <v>6</v>
      </c>
      <c r="J1774">
        <v>73</v>
      </c>
      <c r="K1774" t="s">
        <v>18</v>
      </c>
      <c r="L1774">
        <v>73</v>
      </c>
      <c r="M1774">
        <v>2.35</v>
      </c>
      <c r="N1774">
        <v>9</v>
      </c>
      <c r="O1774" t="s">
        <v>19</v>
      </c>
      <c r="P1774" cm="1">
        <f t="array" ref="P1774">_xlfn.SWITCH(Table2[[#This Row],[mood]], "Tired", 3, "Neutral", 2, "Happy", 1)</f>
        <v>2</v>
      </c>
    </row>
    <row r="1775" spans="1:16" x14ac:dyDescent="0.3">
      <c r="A1775">
        <v>1470</v>
      </c>
      <c r="B1775" s="1">
        <v>43778</v>
      </c>
      <c r="C1775">
        <v>42</v>
      </c>
      <c r="D1775" t="s">
        <v>20</v>
      </c>
      <c r="E1775">
        <v>160.19999999999999</v>
      </c>
      <c r="F1775">
        <v>67.7</v>
      </c>
      <c r="G1775">
        <v>10811</v>
      </c>
      <c r="H1775">
        <v>600.70000000000005</v>
      </c>
      <c r="I1775">
        <v>9.4</v>
      </c>
      <c r="J1775">
        <v>79</v>
      </c>
      <c r="K1775" t="s">
        <v>23</v>
      </c>
      <c r="L1775">
        <v>63</v>
      </c>
      <c r="M1775">
        <v>1.87</v>
      </c>
      <c r="N1775">
        <v>2</v>
      </c>
      <c r="O1775" t="s">
        <v>21</v>
      </c>
      <c r="P1775" cm="1">
        <f t="array" ref="P1775">_xlfn.SWITCH(Table2[[#This Row],[mood]], "Tired", 3, "Neutral", 2, "Happy", 1)</f>
        <v>1</v>
      </c>
    </row>
    <row r="1776" spans="1:16" x14ac:dyDescent="0.3">
      <c r="A1776">
        <v>1118</v>
      </c>
      <c r="B1776" s="1">
        <v>43779</v>
      </c>
      <c r="C1776">
        <v>45</v>
      </c>
      <c r="D1776" t="s">
        <v>20</v>
      </c>
      <c r="E1776">
        <v>165.8</v>
      </c>
      <c r="F1776">
        <v>62.7</v>
      </c>
      <c r="G1776">
        <v>1275</v>
      </c>
      <c r="H1776">
        <v>223</v>
      </c>
      <c r="I1776">
        <v>8.5</v>
      </c>
      <c r="J1776">
        <v>56</v>
      </c>
      <c r="K1776" t="s">
        <v>23</v>
      </c>
      <c r="L1776">
        <v>52</v>
      </c>
      <c r="M1776">
        <v>2.31</v>
      </c>
      <c r="N1776">
        <v>6</v>
      </c>
      <c r="O1776" t="s">
        <v>21</v>
      </c>
      <c r="P1776" cm="1">
        <f t="array" ref="P1776">_xlfn.SWITCH(Table2[[#This Row],[mood]], "Tired", 3, "Neutral", 2, "Happy", 1)</f>
        <v>1</v>
      </c>
    </row>
    <row r="1777" spans="1:16" x14ac:dyDescent="0.3">
      <c r="A1777">
        <v>1395</v>
      </c>
      <c r="B1777" s="1">
        <v>43780</v>
      </c>
      <c r="C1777">
        <v>29</v>
      </c>
      <c r="D1777" t="s">
        <v>15</v>
      </c>
      <c r="E1777">
        <v>170.4</v>
      </c>
      <c r="F1777">
        <v>68.5</v>
      </c>
      <c r="G1777">
        <v>13295</v>
      </c>
      <c r="H1777">
        <v>666.9</v>
      </c>
      <c r="I1777">
        <v>8.8000000000000007</v>
      </c>
      <c r="J1777">
        <v>80</v>
      </c>
      <c r="K1777" t="s">
        <v>23</v>
      </c>
      <c r="L1777">
        <v>45</v>
      </c>
      <c r="M1777">
        <v>3.14</v>
      </c>
      <c r="N1777">
        <v>8</v>
      </c>
      <c r="O1777" t="s">
        <v>19</v>
      </c>
      <c r="P1777" cm="1">
        <f t="array" ref="P1777">_xlfn.SWITCH(Table2[[#This Row],[mood]], "Tired", 3, "Neutral", 2, "Happy", 1)</f>
        <v>2</v>
      </c>
    </row>
    <row r="1778" spans="1:16" x14ac:dyDescent="0.3">
      <c r="A1778">
        <v>1531</v>
      </c>
      <c r="B1778" s="1">
        <v>43781</v>
      </c>
      <c r="C1778">
        <v>19</v>
      </c>
      <c r="D1778" t="s">
        <v>15</v>
      </c>
      <c r="E1778">
        <v>168.5</v>
      </c>
      <c r="F1778">
        <v>63.2</v>
      </c>
      <c r="G1778">
        <v>1714</v>
      </c>
      <c r="H1778">
        <v>307.8</v>
      </c>
      <c r="I1778">
        <v>6.3</v>
      </c>
      <c r="J1778">
        <v>69</v>
      </c>
      <c r="K1778" t="s">
        <v>22</v>
      </c>
      <c r="L1778">
        <v>41</v>
      </c>
      <c r="M1778">
        <v>3.78</v>
      </c>
      <c r="N1778">
        <v>7</v>
      </c>
      <c r="O1778" t="s">
        <v>17</v>
      </c>
      <c r="P1778" cm="1">
        <f t="array" ref="P1778">_xlfn.SWITCH(Table2[[#This Row],[mood]], "Tired", 3, "Neutral", 2, "Happy", 1)</f>
        <v>3</v>
      </c>
    </row>
    <row r="1779" spans="1:16" x14ac:dyDescent="0.3">
      <c r="A1779">
        <v>1260</v>
      </c>
      <c r="B1779" s="1">
        <v>43782</v>
      </c>
      <c r="C1779">
        <v>31</v>
      </c>
      <c r="D1779" t="s">
        <v>15</v>
      </c>
      <c r="E1779">
        <v>162.30000000000001</v>
      </c>
      <c r="F1779">
        <v>77.900000000000006</v>
      </c>
      <c r="G1779">
        <v>7054</v>
      </c>
      <c r="H1779">
        <v>530.5</v>
      </c>
      <c r="I1779">
        <v>6.4</v>
      </c>
      <c r="J1779">
        <v>70</v>
      </c>
      <c r="K1779" t="s">
        <v>25</v>
      </c>
      <c r="L1779">
        <v>39</v>
      </c>
      <c r="M1779">
        <v>1.93</v>
      </c>
      <c r="N1779">
        <v>6</v>
      </c>
      <c r="O1779" t="s">
        <v>21</v>
      </c>
      <c r="P1779" cm="1">
        <f t="array" ref="P1779">_xlfn.SWITCH(Table2[[#This Row],[mood]], "Tired", 3, "Neutral", 2, "Happy", 1)</f>
        <v>1</v>
      </c>
    </row>
    <row r="1780" spans="1:16" x14ac:dyDescent="0.3">
      <c r="A1780">
        <v>1804</v>
      </c>
      <c r="B1780" s="1">
        <v>43783</v>
      </c>
      <c r="C1780">
        <v>39</v>
      </c>
      <c r="D1780" t="s">
        <v>20</v>
      </c>
      <c r="E1780">
        <v>170.9</v>
      </c>
      <c r="F1780">
        <v>82.3</v>
      </c>
      <c r="G1780">
        <v>1809</v>
      </c>
      <c r="H1780">
        <v>253</v>
      </c>
      <c r="I1780">
        <v>5.6</v>
      </c>
      <c r="J1780">
        <v>85</v>
      </c>
      <c r="K1780" t="s">
        <v>22</v>
      </c>
      <c r="L1780">
        <v>21</v>
      </c>
      <c r="M1780">
        <v>1.1000000000000001</v>
      </c>
      <c r="N1780">
        <v>8</v>
      </c>
      <c r="O1780" t="s">
        <v>17</v>
      </c>
      <c r="P1780" cm="1">
        <f t="array" ref="P1780">_xlfn.SWITCH(Table2[[#This Row],[mood]], "Tired", 3, "Neutral", 2, "Happy", 1)</f>
        <v>3</v>
      </c>
    </row>
    <row r="1781" spans="1:16" x14ac:dyDescent="0.3">
      <c r="A1781">
        <v>1933</v>
      </c>
      <c r="B1781" s="1">
        <v>43784</v>
      </c>
      <c r="C1781">
        <v>48</v>
      </c>
      <c r="D1781" t="s">
        <v>20</v>
      </c>
      <c r="E1781">
        <v>171.8</v>
      </c>
      <c r="F1781">
        <v>64.3</v>
      </c>
      <c r="G1781">
        <v>14215</v>
      </c>
      <c r="H1781">
        <v>743.6</v>
      </c>
      <c r="I1781">
        <v>8.1999999999999993</v>
      </c>
      <c r="J1781">
        <v>59</v>
      </c>
      <c r="K1781" t="s">
        <v>18</v>
      </c>
      <c r="L1781">
        <v>60</v>
      </c>
      <c r="M1781">
        <v>2.13</v>
      </c>
      <c r="N1781">
        <v>5</v>
      </c>
      <c r="O1781" t="s">
        <v>21</v>
      </c>
      <c r="P1781" cm="1">
        <f t="array" ref="P1781">_xlfn.SWITCH(Table2[[#This Row],[mood]], "Tired", 3, "Neutral", 2, "Happy", 1)</f>
        <v>1</v>
      </c>
    </row>
    <row r="1782" spans="1:16" x14ac:dyDescent="0.3">
      <c r="A1782">
        <v>1255</v>
      </c>
      <c r="B1782" s="1">
        <v>43785</v>
      </c>
      <c r="C1782">
        <v>40</v>
      </c>
      <c r="D1782" t="s">
        <v>20</v>
      </c>
      <c r="E1782">
        <v>177</v>
      </c>
      <c r="F1782">
        <v>57.8</v>
      </c>
      <c r="G1782">
        <v>10053</v>
      </c>
      <c r="H1782">
        <v>567.20000000000005</v>
      </c>
      <c r="I1782">
        <v>4.5</v>
      </c>
      <c r="J1782">
        <v>76</v>
      </c>
      <c r="K1782" t="s">
        <v>24</v>
      </c>
      <c r="L1782">
        <v>73</v>
      </c>
      <c r="M1782">
        <v>3.13</v>
      </c>
      <c r="N1782">
        <v>10</v>
      </c>
      <c r="O1782" t="s">
        <v>21</v>
      </c>
      <c r="P1782" cm="1">
        <f t="array" ref="P1782">_xlfn.SWITCH(Table2[[#This Row],[mood]], "Tired", 3, "Neutral", 2, "Happy", 1)</f>
        <v>1</v>
      </c>
    </row>
    <row r="1783" spans="1:16" x14ac:dyDescent="0.3">
      <c r="A1783">
        <v>1733</v>
      </c>
      <c r="B1783" s="1">
        <v>43786</v>
      </c>
      <c r="C1783">
        <v>37</v>
      </c>
      <c r="D1783" t="s">
        <v>20</v>
      </c>
      <c r="E1783">
        <v>184.7</v>
      </c>
      <c r="F1783">
        <v>80.7</v>
      </c>
      <c r="G1783">
        <v>1036</v>
      </c>
      <c r="H1783">
        <v>218.9</v>
      </c>
      <c r="I1783">
        <v>6.8</v>
      </c>
      <c r="J1783">
        <v>79</v>
      </c>
      <c r="K1783" t="s">
        <v>24</v>
      </c>
      <c r="L1783">
        <v>76</v>
      </c>
      <c r="M1783">
        <v>3.95</v>
      </c>
      <c r="N1783">
        <v>9</v>
      </c>
      <c r="O1783" t="s">
        <v>21</v>
      </c>
      <c r="P1783" cm="1">
        <f t="array" ref="P1783">_xlfn.SWITCH(Table2[[#This Row],[mood]], "Tired", 3, "Neutral", 2, "Happy", 1)</f>
        <v>1</v>
      </c>
    </row>
    <row r="1784" spans="1:16" x14ac:dyDescent="0.3">
      <c r="A1784">
        <v>1904</v>
      </c>
      <c r="B1784" s="1">
        <v>43787</v>
      </c>
      <c r="C1784">
        <v>55</v>
      </c>
      <c r="D1784" t="s">
        <v>20</v>
      </c>
      <c r="E1784">
        <v>166.4</v>
      </c>
      <c r="F1784">
        <v>72.8</v>
      </c>
      <c r="G1784">
        <v>11273</v>
      </c>
      <c r="H1784">
        <v>614.20000000000005</v>
      </c>
      <c r="I1784">
        <v>9.5</v>
      </c>
      <c r="J1784">
        <v>70</v>
      </c>
      <c r="K1784" t="s">
        <v>24</v>
      </c>
      <c r="L1784">
        <v>37</v>
      </c>
      <c r="M1784">
        <v>3.42</v>
      </c>
      <c r="N1784">
        <v>2</v>
      </c>
      <c r="O1784" t="s">
        <v>19</v>
      </c>
      <c r="P1784" cm="1">
        <f t="array" ref="P1784">_xlfn.SWITCH(Table2[[#This Row],[mood]], "Tired", 3, "Neutral", 2, "Happy", 1)</f>
        <v>2</v>
      </c>
    </row>
    <row r="1785" spans="1:16" x14ac:dyDescent="0.3">
      <c r="A1785">
        <v>1225</v>
      </c>
      <c r="B1785" s="1">
        <v>43788</v>
      </c>
      <c r="C1785">
        <v>21</v>
      </c>
      <c r="D1785" t="s">
        <v>15</v>
      </c>
      <c r="E1785">
        <v>182.2</v>
      </c>
      <c r="F1785">
        <v>64.5</v>
      </c>
      <c r="G1785">
        <v>13499</v>
      </c>
      <c r="H1785">
        <v>732.2</v>
      </c>
      <c r="I1785">
        <v>7.9</v>
      </c>
      <c r="J1785">
        <v>75</v>
      </c>
      <c r="K1785" t="s">
        <v>16</v>
      </c>
      <c r="L1785">
        <v>0</v>
      </c>
      <c r="M1785">
        <v>3.4</v>
      </c>
      <c r="N1785">
        <v>6</v>
      </c>
      <c r="O1785" t="s">
        <v>19</v>
      </c>
      <c r="P1785" cm="1">
        <f t="array" ref="P1785">_xlfn.SWITCH(Table2[[#This Row],[mood]], "Tired", 3, "Neutral", 2, "Happy", 1)</f>
        <v>2</v>
      </c>
    </row>
    <row r="1786" spans="1:16" x14ac:dyDescent="0.3">
      <c r="A1786">
        <v>1052</v>
      </c>
      <c r="B1786" s="1">
        <v>43789</v>
      </c>
      <c r="C1786">
        <v>32</v>
      </c>
      <c r="D1786" t="s">
        <v>20</v>
      </c>
      <c r="E1786">
        <v>170.7</v>
      </c>
      <c r="F1786">
        <v>90.6</v>
      </c>
      <c r="G1786">
        <v>12403</v>
      </c>
      <c r="H1786">
        <v>735.4</v>
      </c>
      <c r="I1786">
        <v>8.5</v>
      </c>
      <c r="J1786">
        <v>76</v>
      </c>
      <c r="K1786" t="s">
        <v>24</v>
      </c>
      <c r="L1786">
        <v>65</v>
      </c>
      <c r="M1786">
        <v>1.91</v>
      </c>
      <c r="N1786">
        <v>10</v>
      </c>
      <c r="O1786" t="s">
        <v>21</v>
      </c>
      <c r="P1786" cm="1">
        <f t="array" ref="P1786">_xlfn.SWITCH(Table2[[#This Row],[mood]], "Tired", 3, "Neutral", 2, "Happy", 1)</f>
        <v>1</v>
      </c>
    </row>
    <row r="1787" spans="1:16" x14ac:dyDescent="0.3">
      <c r="A1787">
        <v>1939</v>
      </c>
      <c r="B1787" s="1">
        <v>43790</v>
      </c>
      <c r="C1787">
        <v>41</v>
      </c>
      <c r="D1787" t="s">
        <v>20</v>
      </c>
      <c r="E1787">
        <v>154.69999999999999</v>
      </c>
      <c r="F1787">
        <v>61.5</v>
      </c>
      <c r="G1787">
        <v>16037</v>
      </c>
      <c r="H1787">
        <v>875.6</v>
      </c>
      <c r="I1787">
        <v>4.5</v>
      </c>
      <c r="J1787">
        <v>84</v>
      </c>
      <c r="K1787" t="s">
        <v>16</v>
      </c>
      <c r="L1787">
        <v>0</v>
      </c>
      <c r="M1787">
        <v>1.93</v>
      </c>
      <c r="N1787">
        <v>7</v>
      </c>
      <c r="O1787" t="s">
        <v>21</v>
      </c>
      <c r="P1787" cm="1">
        <f t="array" ref="P1787">_xlfn.SWITCH(Table2[[#This Row],[mood]], "Tired", 3, "Neutral", 2, "Happy", 1)</f>
        <v>1</v>
      </c>
    </row>
    <row r="1788" spans="1:16" x14ac:dyDescent="0.3">
      <c r="A1788">
        <v>1866</v>
      </c>
      <c r="B1788" s="1">
        <v>43791</v>
      </c>
      <c r="C1788">
        <v>42</v>
      </c>
      <c r="D1788" t="s">
        <v>20</v>
      </c>
      <c r="E1788">
        <v>187.8</v>
      </c>
      <c r="F1788">
        <v>45</v>
      </c>
      <c r="G1788">
        <v>15017</v>
      </c>
      <c r="H1788">
        <v>758.7</v>
      </c>
      <c r="I1788">
        <v>5.5</v>
      </c>
      <c r="J1788">
        <v>73</v>
      </c>
      <c r="K1788" t="s">
        <v>25</v>
      </c>
      <c r="L1788">
        <v>41</v>
      </c>
      <c r="M1788">
        <v>1.57</v>
      </c>
      <c r="N1788">
        <v>9</v>
      </c>
      <c r="O1788" t="s">
        <v>19</v>
      </c>
      <c r="P1788" cm="1">
        <f t="array" ref="P1788">_xlfn.SWITCH(Table2[[#This Row],[mood]], "Tired", 3, "Neutral", 2, "Happy", 1)</f>
        <v>2</v>
      </c>
    </row>
    <row r="1789" spans="1:16" x14ac:dyDescent="0.3">
      <c r="A1789">
        <v>1499</v>
      </c>
      <c r="B1789" s="1">
        <v>43792</v>
      </c>
      <c r="C1789">
        <v>18</v>
      </c>
      <c r="D1789" t="s">
        <v>20</v>
      </c>
      <c r="E1789">
        <v>192.7</v>
      </c>
      <c r="F1789">
        <v>59.4</v>
      </c>
      <c r="G1789">
        <v>18365</v>
      </c>
      <c r="H1789">
        <v>900</v>
      </c>
      <c r="I1789">
        <v>8.8000000000000007</v>
      </c>
      <c r="J1789">
        <v>62</v>
      </c>
      <c r="K1789" t="s">
        <v>24</v>
      </c>
      <c r="L1789">
        <v>22</v>
      </c>
      <c r="M1789">
        <v>2.0299999999999998</v>
      </c>
      <c r="N1789">
        <v>5</v>
      </c>
      <c r="O1789" t="s">
        <v>19</v>
      </c>
      <c r="P1789" cm="1">
        <f t="array" ref="P1789">_xlfn.SWITCH(Table2[[#This Row],[mood]], "Tired", 3, "Neutral", 2, "Happy", 1)</f>
        <v>2</v>
      </c>
    </row>
    <row r="1790" spans="1:16" x14ac:dyDescent="0.3">
      <c r="A1790">
        <v>1505</v>
      </c>
      <c r="B1790" s="1">
        <v>43793</v>
      </c>
      <c r="C1790">
        <v>24</v>
      </c>
      <c r="D1790" t="s">
        <v>20</v>
      </c>
      <c r="E1790">
        <v>176.2</v>
      </c>
      <c r="F1790">
        <v>94.3</v>
      </c>
      <c r="G1790">
        <v>15696</v>
      </c>
      <c r="H1790">
        <v>860.1</v>
      </c>
      <c r="I1790">
        <v>7.2</v>
      </c>
      <c r="J1790">
        <v>69</v>
      </c>
      <c r="K1790" t="s">
        <v>16</v>
      </c>
      <c r="L1790">
        <v>0</v>
      </c>
      <c r="M1790">
        <v>3.14</v>
      </c>
      <c r="N1790">
        <v>6</v>
      </c>
      <c r="O1790" t="s">
        <v>17</v>
      </c>
      <c r="P1790" cm="1">
        <f t="array" ref="P1790">_xlfn.SWITCH(Table2[[#This Row],[mood]], "Tired", 3, "Neutral", 2, "Happy", 1)</f>
        <v>3</v>
      </c>
    </row>
    <row r="1791" spans="1:16" x14ac:dyDescent="0.3">
      <c r="A1791">
        <v>1853</v>
      </c>
      <c r="B1791" s="1">
        <v>43794</v>
      </c>
      <c r="C1791">
        <v>48</v>
      </c>
      <c r="D1791" t="s">
        <v>15</v>
      </c>
      <c r="E1791">
        <v>170.9</v>
      </c>
      <c r="F1791">
        <v>65.2</v>
      </c>
      <c r="G1791">
        <v>7447</v>
      </c>
      <c r="H1791">
        <v>450.9</v>
      </c>
      <c r="I1791">
        <v>5.4</v>
      </c>
      <c r="J1791">
        <v>72</v>
      </c>
      <c r="K1791" t="s">
        <v>22</v>
      </c>
      <c r="L1791">
        <v>21</v>
      </c>
      <c r="M1791">
        <v>3.64</v>
      </c>
      <c r="N1791">
        <v>9</v>
      </c>
      <c r="O1791" t="s">
        <v>19</v>
      </c>
      <c r="P1791" cm="1">
        <f t="array" ref="P1791">_xlfn.SWITCH(Table2[[#This Row],[mood]], "Tired", 3, "Neutral", 2, "Happy", 1)</f>
        <v>2</v>
      </c>
    </row>
    <row r="1792" spans="1:16" x14ac:dyDescent="0.3">
      <c r="A1792">
        <v>1363</v>
      </c>
      <c r="B1792" s="1">
        <v>43795</v>
      </c>
      <c r="C1792">
        <v>29</v>
      </c>
      <c r="D1792" t="s">
        <v>20</v>
      </c>
      <c r="E1792">
        <v>167.3</v>
      </c>
      <c r="F1792">
        <v>62.3</v>
      </c>
      <c r="G1792">
        <v>13583</v>
      </c>
      <c r="H1792">
        <v>750.4</v>
      </c>
      <c r="I1792">
        <v>7.9</v>
      </c>
      <c r="J1792">
        <v>67</v>
      </c>
      <c r="K1792" t="s">
        <v>24</v>
      </c>
      <c r="L1792">
        <v>47</v>
      </c>
      <c r="M1792">
        <v>2.74</v>
      </c>
      <c r="N1792">
        <v>10</v>
      </c>
      <c r="O1792" t="s">
        <v>21</v>
      </c>
      <c r="P1792" cm="1">
        <f t="array" ref="P1792">_xlfn.SWITCH(Table2[[#This Row],[mood]], "Tired", 3, "Neutral", 2, "Happy", 1)</f>
        <v>1</v>
      </c>
    </row>
    <row r="1793" spans="1:16" x14ac:dyDescent="0.3">
      <c r="A1793">
        <v>1279</v>
      </c>
      <c r="B1793" s="1">
        <v>43796</v>
      </c>
      <c r="C1793">
        <v>59</v>
      </c>
      <c r="D1793" t="s">
        <v>20</v>
      </c>
      <c r="E1793">
        <v>165.4</v>
      </c>
      <c r="F1793">
        <v>70.400000000000006</v>
      </c>
      <c r="G1793">
        <v>1151</v>
      </c>
      <c r="H1793">
        <v>306.7</v>
      </c>
      <c r="I1793">
        <v>6.2</v>
      </c>
      <c r="J1793">
        <v>77</v>
      </c>
      <c r="K1793" t="s">
        <v>23</v>
      </c>
      <c r="L1793">
        <v>53</v>
      </c>
      <c r="M1793">
        <v>2.3199999999999998</v>
      </c>
      <c r="N1793">
        <v>6</v>
      </c>
      <c r="O1793" t="s">
        <v>19</v>
      </c>
      <c r="P1793" cm="1">
        <f t="array" ref="P1793">_xlfn.SWITCH(Table2[[#This Row],[mood]], "Tired", 3, "Neutral", 2, "Happy", 1)</f>
        <v>2</v>
      </c>
    </row>
    <row r="1794" spans="1:16" x14ac:dyDescent="0.3">
      <c r="A1794">
        <v>1592</v>
      </c>
      <c r="B1794" s="1">
        <v>43797</v>
      </c>
      <c r="C1794">
        <v>22</v>
      </c>
      <c r="D1794" t="s">
        <v>20</v>
      </c>
      <c r="E1794">
        <v>182.1</v>
      </c>
      <c r="F1794">
        <v>85.2</v>
      </c>
      <c r="G1794">
        <v>15257</v>
      </c>
      <c r="H1794">
        <v>798</v>
      </c>
      <c r="I1794">
        <v>10</v>
      </c>
      <c r="J1794">
        <v>76</v>
      </c>
      <c r="K1794" t="s">
        <v>18</v>
      </c>
      <c r="L1794">
        <v>72</v>
      </c>
      <c r="M1794">
        <v>1.75</v>
      </c>
      <c r="N1794">
        <v>1</v>
      </c>
      <c r="O1794" t="s">
        <v>17</v>
      </c>
      <c r="P1794" cm="1">
        <f t="array" ref="P1794">_xlfn.SWITCH(Table2[[#This Row],[mood]], "Tired", 3, "Neutral", 2, "Happy", 1)</f>
        <v>3</v>
      </c>
    </row>
    <row r="1795" spans="1:16" x14ac:dyDescent="0.3">
      <c r="A1795">
        <v>1713</v>
      </c>
      <c r="B1795" s="1">
        <v>43798</v>
      </c>
      <c r="C1795">
        <v>59</v>
      </c>
      <c r="D1795" t="s">
        <v>15</v>
      </c>
      <c r="E1795">
        <v>169.8</v>
      </c>
      <c r="F1795">
        <v>68.8</v>
      </c>
      <c r="G1795">
        <v>12486</v>
      </c>
      <c r="H1795">
        <v>598.5</v>
      </c>
      <c r="I1795">
        <v>7.9</v>
      </c>
      <c r="J1795">
        <v>76</v>
      </c>
      <c r="K1795" t="s">
        <v>22</v>
      </c>
      <c r="L1795">
        <v>78</v>
      </c>
      <c r="M1795">
        <v>2.42</v>
      </c>
      <c r="N1795">
        <v>4</v>
      </c>
      <c r="O1795" t="s">
        <v>17</v>
      </c>
      <c r="P1795" cm="1">
        <f t="array" ref="P1795">_xlfn.SWITCH(Table2[[#This Row],[mood]], "Tired", 3, "Neutral", 2, "Happy", 1)</f>
        <v>3</v>
      </c>
    </row>
    <row r="1796" spans="1:16" x14ac:dyDescent="0.3">
      <c r="A1796">
        <v>1157</v>
      </c>
      <c r="B1796" s="1">
        <v>43799</v>
      </c>
      <c r="C1796">
        <v>55</v>
      </c>
      <c r="D1796" t="s">
        <v>15</v>
      </c>
      <c r="E1796">
        <v>186.7</v>
      </c>
      <c r="F1796">
        <v>78.900000000000006</v>
      </c>
      <c r="G1796">
        <v>14507</v>
      </c>
      <c r="H1796">
        <v>654.4</v>
      </c>
      <c r="I1796">
        <v>5.6</v>
      </c>
      <c r="J1796">
        <v>66</v>
      </c>
      <c r="K1796" t="s">
        <v>25</v>
      </c>
      <c r="L1796">
        <v>29</v>
      </c>
      <c r="M1796">
        <v>2.64</v>
      </c>
      <c r="N1796">
        <v>4</v>
      </c>
      <c r="O1796" t="s">
        <v>21</v>
      </c>
      <c r="P1796" cm="1">
        <f t="array" ref="P1796">_xlfn.SWITCH(Table2[[#This Row],[mood]], "Tired", 3, "Neutral", 2, "Happy", 1)</f>
        <v>1</v>
      </c>
    </row>
    <row r="1797" spans="1:16" x14ac:dyDescent="0.3">
      <c r="A1797">
        <v>1631</v>
      </c>
      <c r="B1797" s="1">
        <v>43800</v>
      </c>
      <c r="C1797">
        <v>29</v>
      </c>
      <c r="D1797" t="s">
        <v>15</v>
      </c>
      <c r="E1797">
        <v>170.3</v>
      </c>
      <c r="F1797">
        <v>67.2</v>
      </c>
      <c r="G1797">
        <v>10514</v>
      </c>
      <c r="H1797">
        <v>636.1</v>
      </c>
      <c r="I1797">
        <v>8.3000000000000007</v>
      </c>
      <c r="J1797">
        <v>76</v>
      </c>
      <c r="K1797" t="s">
        <v>22</v>
      </c>
      <c r="L1797">
        <v>21</v>
      </c>
      <c r="M1797">
        <v>1.48</v>
      </c>
      <c r="N1797">
        <v>3</v>
      </c>
      <c r="O1797" t="s">
        <v>19</v>
      </c>
      <c r="P1797" cm="1">
        <f t="array" ref="P1797">_xlfn.SWITCH(Table2[[#This Row],[mood]], "Tired", 3, "Neutral", 2, "Happy", 1)</f>
        <v>2</v>
      </c>
    </row>
    <row r="1798" spans="1:16" x14ac:dyDescent="0.3">
      <c r="A1798">
        <v>1058</v>
      </c>
      <c r="B1798" s="1">
        <v>43801</v>
      </c>
      <c r="C1798">
        <v>56</v>
      </c>
      <c r="D1798" t="s">
        <v>20</v>
      </c>
      <c r="E1798">
        <v>165.9</v>
      </c>
      <c r="F1798">
        <v>79</v>
      </c>
      <c r="G1798">
        <v>6648</v>
      </c>
      <c r="H1798">
        <v>471.2</v>
      </c>
      <c r="I1798">
        <v>9.4</v>
      </c>
      <c r="J1798">
        <v>88</v>
      </c>
      <c r="K1798" t="s">
        <v>23</v>
      </c>
      <c r="L1798">
        <v>67</v>
      </c>
      <c r="M1798">
        <v>3.15</v>
      </c>
      <c r="N1798">
        <v>8</v>
      </c>
      <c r="O1798" t="s">
        <v>17</v>
      </c>
      <c r="P1798" cm="1">
        <f t="array" ref="P1798">_xlfn.SWITCH(Table2[[#This Row],[mood]], "Tired", 3, "Neutral", 2, "Happy", 1)</f>
        <v>3</v>
      </c>
    </row>
    <row r="1799" spans="1:16" x14ac:dyDescent="0.3">
      <c r="A1799">
        <v>1726</v>
      </c>
      <c r="B1799" s="1">
        <v>43802</v>
      </c>
      <c r="C1799">
        <v>35</v>
      </c>
      <c r="D1799" t="s">
        <v>15</v>
      </c>
      <c r="E1799">
        <v>164</v>
      </c>
      <c r="F1799">
        <v>72.7</v>
      </c>
      <c r="G1799">
        <v>2511</v>
      </c>
      <c r="H1799">
        <v>309.8</v>
      </c>
      <c r="I1799">
        <v>7</v>
      </c>
      <c r="J1799">
        <v>78</v>
      </c>
      <c r="K1799" t="s">
        <v>24</v>
      </c>
      <c r="L1799">
        <v>25</v>
      </c>
      <c r="M1799">
        <v>2.2000000000000002</v>
      </c>
      <c r="N1799">
        <v>6</v>
      </c>
      <c r="O1799" t="s">
        <v>17</v>
      </c>
      <c r="P1799" cm="1">
        <f t="array" ref="P1799">_xlfn.SWITCH(Table2[[#This Row],[mood]], "Tired", 3, "Neutral", 2, "Happy", 1)</f>
        <v>3</v>
      </c>
    </row>
    <row r="1800" spans="1:16" x14ac:dyDescent="0.3">
      <c r="A1800">
        <v>1127</v>
      </c>
      <c r="B1800" s="1">
        <v>43803</v>
      </c>
      <c r="C1800">
        <v>19</v>
      </c>
      <c r="D1800" t="s">
        <v>20</v>
      </c>
      <c r="E1800">
        <v>162.6</v>
      </c>
      <c r="F1800">
        <v>64</v>
      </c>
      <c r="G1800">
        <v>19642</v>
      </c>
      <c r="H1800">
        <v>900</v>
      </c>
      <c r="I1800">
        <v>5.8</v>
      </c>
      <c r="J1800">
        <v>86</v>
      </c>
      <c r="K1800" t="s">
        <v>24</v>
      </c>
      <c r="L1800">
        <v>63</v>
      </c>
      <c r="M1800">
        <v>3.1</v>
      </c>
      <c r="N1800">
        <v>7</v>
      </c>
      <c r="O1800" t="s">
        <v>17</v>
      </c>
      <c r="P1800" cm="1">
        <f t="array" ref="P1800">_xlfn.SWITCH(Table2[[#This Row],[mood]], "Tired", 3, "Neutral", 2, "Happy", 1)</f>
        <v>3</v>
      </c>
    </row>
    <row r="1801" spans="1:16" x14ac:dyDescent="0.3">
      <c r="A1801">
        <v>1735</v>
      </c>
      <c r="B1801" s="1">
        <v>43804</v>
      </c>
      <c r="C1801">
        <v>27</v>
      </c>
      <c r="D1801" t="s">
        <v>20</v>
      </c>
      <c r="E1801">
        <v>175.1</v>
      </c>
      <c r="F1801">
        <v>73.900000000000006</v>
      </c>
      <c r="G1801">
        <v>17615</v>
      </c>
      <c r="H1801">
        <v>830.6</v>
      </c>
      <c r="I1801">
        <v>7.1</v>
      </c>
      <c r="J1801">
        <v>76</v>
      </c>
      <c r="K1801" t="s">
        <v>25</v>
      </c>
      <c r="L1801">
        <v>73</v>
      </c>
      <c r="M1801">
        <v>2.4900000000000002</v>
      </c>
      <c r="N1801">
        <v>9</v>
      </c>
      <c r="O1801" t="s">
        <v>21</v>
      </c>
      <c r="P1801" cm="1">
        <f t="array" ref="P1801">_xlfn.SWITCH(Table2[[#This Row],[mood]], "Tired", 3, "Neutral", 2, "Happy", 1)</f>
        <v>1</v>
      </c>
    </row>
    <row r="1802" spans="1:16" x14ac:dyDescent="0.3">
      <c r="A1802">
        <v>1720</v>
      </c>
      <c r="B1802" s="1">
        <v>43805</v>
      </c>
      <c r="C1802">
        <v>32</v>
      </c>
      <c r="D1802" t="s">
        <v>15</v>
      </c>
      <c r="E1802">
        <v>157.1</v>
      </c>
      <c r="F1802">
        <v>61.9</v>
      </c>
      <c r="G1802">
        <v>8749</v>
      </c>
      <c r="H1802">
        <v>509.6</v>
      </c>
      <c r="I1802">
        <v>6.1</v>
      </c>
      <c r="J1802">
        <v>69</v>
      </c>
      <c r="K1802" t="s">
        <v>18</v>
      </c>
      <c r="L1802">
        <v>55</v>
      </c>
      <c r="M1802">
        <v>2.71</v>
      </c>
      <c r="N1802">
        <v>8</v>
      </c>
      <c r="O1802" t="s">
        <v>17</v>
      </c>
      <c r="P1802" cm="1">
        <f t="array" ref="P1802">_xlfn.SWITCH(Table2[[#This Row],[mood]], "Tired", 3, "Neutral", 2, "Happy", 1)</f>
        <v>3</v>
      </c>
    </row>
    <row r="1803" spans="1:16" x14ac:dyDescent="0.3">
      <c r="A1803">
        <v>1881</v>
      </c>
      <c r="B1803" s="1">
        <v>43806</v>
      </c>
      <c r="C1803">
        <v>47</v>
      </c>
      <c r="D1803" t="s">
        <v>20</v>
      </c>
      <c r="E1803">
        <v>161.80000000000001</v>
      </c>
      <c r="F1803">
        <v>49.3</v>
      </c>
      <c r="G1803">
        <v>1571</v>
      </c>
      <c r="H1803">
        <v>284</v>
      </c>
      <c r="I1803">
        <v>6.6</v>
      </c>
      <c r="J1803">
        <v>84</v>
      </c>
      <c r="K1803" t="s">
        <v>24</v>
      </c>
      <c r="L1803">
        <v>27</v>
      </c>
      <c r="M1803">
        <v>2.0099999999999998</v>
      </c>
      <c r="N1803">
        <v>3</v>
      </c>
      <c r="O1803" t="s">
        <v>19</v>
      </c>
      <c r="P1803" cm="1">
        <f t="array" ref="P1803">_xlfn.SWITCH(Table2[[#This Row],[mood]], "Tired", 3, "Neutral", 2, "Happy", 1)</f>
        <v>2</v>
      </c>
    </row>
    <row r="1804" spans="1:16" x14ac:dyDescent="0.3">
      <c r="A1804">
        <v>1114</v>
      </c>
      <c r="B1804" s="1">
        <v>43807</v>
      </c>
      <c r="C1804">
        <v>34</v>
      </c>
      <c r="D1804" t="s">
        <v>20</v>
      </c>
      <c r="E1804">
        <v>183.2</v>
      </c>
      <c r="F1804">
        <v>69.7</v>
      </c>
      <c r="G1804">
        <v>18586</v>
      </c>
      <c r="H1804">
        <v>900</v>
      </c>
      <c r="I1804">
        <v>4.9000000000000004</v>
      </c>
      <c r="J1804">
        <v>61</v>
      </c>
      <c r="K1804" t="s">
        <v>16</v>
      </c>
      <c r="L1804">
        <v>0</v>
      </c>
      <c r="M1804">
        <v>2.2599999999999998</v>
      </c>
      <c r="N1804">
        <v>4</v>
      </c>
      <c r="O1804" t="s">
        <v>21</v>
      </c>
      <c r="P1804" cm="1">
        <f t="array" ref="P1804">_xlfn.SWITCH(Table2[[#This Row],[mood]], "Tired", 3, "Neutral", 2, "Happy", 1)</f>
        <v>1</v>
      </c>
    </row>
    <row r="1805" spans="1:16" x14ac:dyDescent="0.3">
      <c r="A1805">
        <v>1208</v>
      </c>
      <c r="B1805" s="1">
        <v>43808</v>
      </c>
      <c r="C1805">
        <v>21</v>
      </c>
      <c r="D1805" t="s">
        <v>20</v>
      </c>
      <c r="E1805">
        <v>160.5</v>
      </c>
      <c r="F1805">
        <v>50.7</v>
      </c>
      <c r="G1805">
        <v>13232</v>
      </c>
      <c r="H1805">
        <v>716.4</v>
      </c>
      <c r="I1805">
        <v>8.3000000000000007</v>
      </c>
      <c r="J1805">
        <v>69</v>
      </c>
      <c r="K1805" t="s">
        <v>25</v>
      </c>
      <c r="L1805">
        <v>52</v>
      </c>
      <c r="M1805">
        <v>2.95</v>
      </c>
      <c r="N1805">
        <v>1</v>
      </c>
      <c r="O1805" t="s">
        <v>19</v>
      </c>
      <c r="P1805" cm="1">
        <f t="array" ref="P1805">_xlfn.SWITCH(Table2[[#This Row],[mood]], "Tired", 3, "Neutral", 2, "Happy", 1)</f>
        <v>2</v>
      </c>
    </row>
    <row r="1806" spans="1:16" x14ac:dyDescent="0.3">
      <c r="A1806">
        <v>1525</v>
      </c>
      <c r="B1806" s="1">
        <v>43809</v>
      </c>
      <c r="C1806">
        <v>24</v>
      </c>
      <c r="D1806" t="s">
        <v>15</v>
      </c>
      <c r="E1806">
        <v>178.6</v>
      </c>
      <c r="F1806">
        <v>79</v>
      </c>
      <c r="G1806">
        <v>10762</v>
      </c>
      <c r="H1806">
        <v>558.9</v>
      </c>
      <c r="I1806">
        <v>5.3</v>
      </c>
      <c r="J1806">
        <v>74</v>
      </c>
      <c r="K1806" t="s">
        <v>24</v>
      </c>
      <c r="L1806">
        <v>38</v>
      </c>
      <c r="M1806">
        <v>2.41</v>
      </c>
      <c r="N1806">
        <v>4</v>
      </c>
      <c r="O1806" t="s">
        <v>19</v>
      </c>
      <c r="P1806" cm="1">
        <f t="array" ref="P1806">_xlfn.SWITCH(Table2[[#This Row],[mood]], "Tired", 3, "Neutral", 2, "Happy", 1)</f>
        <v>2</v>
      </c>
    </row>
    <row r="1807" spans="1:16" x14ac:dyDescent="0.3">
      <c r="A1807">
        <v>1520</v>
      </c>
      <c r="B1807" s="1">
        <v>43810</v>
      </c>
      <c r="C1807">
        <v>58</v>
      </c>
      <c r="D1807" t="s">
        <v>20</v>
      </c>
      <c r="E1807">
        <v>150</v>
      </c>
      <c r="F1807">
        <v>69.400000000000006</v>
      </c>
      <c r="G1807">
        <v>14217</v>
      </c>
      <c r="H1807">
        <v>785.7</v>
      </c>
      <c r="I1807">
        <v>7.9</v>
      </c>
      <c r="J1807">
        <v>82</v>
      </c>
      <c r="K1807" t="s">
        <v>16</v>
      </c>
      <c r="L1807">
        <v>0</v>
      </c>
      <c r="M1807">
        <v>1.73</v>
      </c>
      <c r="N1807">
        <v>9</v>
      </c>
      <c r="O1807" t="s">
        <v>17</v>
      </c>
      <c r="P1807" cm="1">
        <f t="array" ref="P1807">_xlfn.SWITCH(Table2[[#This Row],[mood]], "Tired", 3, "Neutral", 2, "Happy", 1)</f>
        <v>3</v>
      </c>
    </row>
    <row r="1808" spans="1:16" x14ac:dyDescent="0.3">
      <c r="A1808">
        <v>1551</v>
      </c>
      <c r="B1808" s="1">
        <v>43811</v>
      </c>
      <c r="C1808">
        <v>48</v>
      </c>
      <c r="D1808" t="s">
        <v>20</v>
      </c>
      <c r="E1808">
        <v>184.5</v>
      </c>
      <c r="F1808">
        <v>91.3</v>
      </c>
      <c r="G1808">
        <v>10231</v>
      </c>
      <c r="H1808">
        <v>611.79999999999995</v>
      </c>
      <c r="I1808">
        <v>6.5</v>
      </c>
      <c r="J1808">
        <v>88</v>
      </c>
      <c r="K1808" t="s">
        <v>22</v>
      </c>
      <c r="L1808">
        <v>70</v>
      </c>
      <c r="M1808">
        <v>2.58</v>
      </c>
      <c r="N1808">
        <v>5</v>
      </c>
      <c r="O1808" t="s">
        <v>21</v>
      </c>
      <c r="P1808" cm="1">
        <f t="array" ref="P1808">_xlfn.SWITCH(Table2[[#This Row],[mood]], "Tired", 3, "Neutral", 2, "Happy", 1)</f>
        <v>1</v>
      </c>
    </row>
    <row r="1809" spans="1:16" x14ac:dyDescent="0.3">
      <c r="A1809">
        <v>1961</v>
      </c>
      <c r="B1809" s="1">
        <v>43812</v>
      </c>
      <c r="C1809">
        <v>56</v>
      </c>
      <c r="D1809" t="s">
        <v>15</v>
      </c>
      <c r="E1809">
        <v>157.30000000000001</v>
      </c>
      <c r="F1809">
        <v>65</v>
      </c>
      <c r="G1809">
        <v>7609</v>
      </c>
      <c r="H1809">
        <v>451.4</v>
      </c>
      <c r="I1809">
        <v>7.3</v>
      </c>
      <c r="J1809">
        <v>83</v>
      </c>
      <c r="K1809" t="s">
        <v>25</v>
      </c>
      <c r="L1809">
        <v>42</v>
      </c>
      <c r="M1809">
        <v>2.77</v>
      </c>
      <c r="N1809">
        <v>3</v>
      </c>
      <c r="O1809" t="s">
        <v>21</v>
      </c>
      <c r="P1809" cm="1">
        <f t="array" ref="P1809">_xlfn.SWITCH(Table2[[#This Row],[mood]], "Tired", 3, "Neutral", 2, "Happy", 1)</f>
        <v>1</v>
      </c>
    </row>
    <row r="1810" spans="1:16" x14ac:dyDescent="0.3">
      <c r="A1810">
        <v>1236</v>
      </c>
      <c r="B1810" s="1">
        <v>43813</v>
      </c>
      <c r="C1810">
        <v>51</v>
      </c>
      <c r="D1810" t="s">
        <v>20</v>
      </c>
      <c r="E1810">
        <v>161.19999999999999</v>
      </c>
      <c r="F1810">
        <v>69.7</v>
      </c>
      <c r="G1810">
        <v>15629</v>
      </c>
      <c r="H1810">
        <v>726</v>
      </c>
      <c r="I1810">
        <v>6.3</v>
      </c>
      <c r="J1810">
        <v>82</v>
      </c>
      <c r="K1810" t="s">
        <v>25</v>
      </c>
      <c r="L1810">
        <v>20</v>
      </c>
      <c r="M1810">
        <v>3.46</v>
      </c>
      <c r="N1810">
        <v>2</v>
      </c>
      <c r="O1810" t="s">
        <v>19</v>
      </c>
      <c r="P1810" cm="1">
        <f t="array" ref="P1810">_xlfn.SWITCH(Table2[[#This Row],[mood]], "Tired", 3, "Neutral", 2, "Happy", 1)</f>
        <v>2</v>
      </c>
    </row>
    <row r="1811" spans="1:16" x14ac:dyDescent="0.3">
      <c r="A1811">
        <v>1280</v>
      </c>
      <c r="B1811" s="1">
        <v>43814</v>
      </c>
      <c r="C1811">
        <v>23</v>
      </c>
      <c r="D1811" t="s">
        <v>20</v>
      </c>
      <c r="E1811">
        <v>176.8</v>
      </c>
      <c r="F1811">
        <v>48</v>
      </c>
      <c r="G1811">
        <v>13273</v>
      </c>
      <c r="H1811">
        <v>759.5</v>
      </c>
      <c r="I1811">
        <v>7.3</v>
      </c>
      <c r="J1811">
        <v>84</v>
      </c>
      <c r="K1811" t="s">
        <v>25</v>
      </c>
      <c r="L1811">
        <v>78</v>
      </c>
      <c r="M1811">
        <v>3.31</v>
      </c>
      <c r="N1811">
        <v>6</v>
      </c>
      <c r="O1811" t="s">
        <v>21</v>
      </c>
      <c r="P1811" cm="1">
        <f t="array" ref="P1811">_xlfn.SWITCH(Table2[[#This Row],[mood]], "Tired", 3, "Neutral", 2, "Happy", 1)</f>
        <v>1</v>
      </c>
    </row>
    <row r="1812" spans="1:16" x14ac:dyDescent="0.3">
      <c r="A1812">
        <v>1358</v>
      </c>
      <c r="B1812" s="1">
        <v>43815</v>
      </c>
      <c r="C1812">
        <v>55</v>
      </c>
      <c r="D1812" t="s">
        <v>15</v>
      </c>
      <c r="E1812">
        <v>172.7</v>
      </c>
      <c r="F1812">
        <v>53.4</v>
      </c>
      <c r="G1812">
        <v>17554</v>
      </c>
      <c r="H1812">
        <v>871.3</v>
      </c>
      <c r="I1812">
        <v>7.6</v>
      </c>
      <c r="J1812">
        <v>85</v>
      </c>
      <c r="K1812" t="s">
        <v>24</v>
      </c>
      <c r="L1812">
        <v>22</v>
      </c>
      <c r="M1812">
        <v>2.4500000000000002</v>
      </c>
      <c r="N1812">
        <v>4</v>
      </c>
      <c r="O1812" t="s">
        <v>21</v>
      </c>
      <c r="P1812" cm="1">
        <f t="array" ref="P1812">_xlfn.SWITCH(Table2[[#This Row],[mood]], "Tired", 3, "Neutral", 2, "Happy", 1)</f>
        <v>1</v>
      </c>
    </row>
    <row r="1813" spans="1:16" x14ac:dyDescent="0.3">
      <c r="A1813">
        <v>1200</v>
      </c>
      <c r="B1813" s="1">
        <v>43816</v>
      </c>
      <c r="C1813">
        <v>51</v>
      </c>
      <c r="D1813" t="s">
        <v>20</v>
      </c>
      <c r="E1813">
        <v>178.9</v>
      </c>
      <c r="F1813">
        <v>45</v>
      </c>
      <c r="G1813">
        <v>6151</v>
      </c>
      <c r="H1813">
        <v>455.4</v>
      </c>
      <c r="I1813">
        <v>6.5</v>
      </c>
      <c r="J1813">
        <v>64</v>
      </c>
      <c r="K1813" t="s">
        <v>25</v>
      </c>
      <c r="L1813">
        <v>29</v>
      </c>
      <c r="M1813">
        <v>2.12</v>
      </c>
      <c r="N1813">
        <v>6</v>
      </c>
      <c r="O1813" t="s">
        <v>21</v>
      </c>
      <c r="P1813" cm="1">
        <f t="array" ref="P1813">_xlfn.SWITCH(Table2[[#This Row],[mood]], "Tired", 3, "Neutral", 2, "Happy", 1)</f>
        <v>1</v>
      </c>
    </row>
    <row r="1814" spans="1:16" x14ac:dyDescent="0.3">
      <c r="A1814">
        <v>1757</v>
      </c>
      <c r="B1814" s="1">
        <v>43817</v>
      </c>
      <c r="C1814">
        <v>32</v>
      </c>
      <c r="D1814" t="s">
        <v>20</v>
      </c>
      <c r="E1814">
        <v>157.19999999999999</v>
      </c>
      <c r="F1814">
        <v>86.2</v>
      </c>
      <c r="G1814">
        <v>7406</v>
      </c>
      <c r="H1814">
        <v>503.7</v>
      </c>
      <c r="I1814">
        <v>4.4000000000000004</v>
      </c>
      <c r="J1814">
        <v>97</v>
      </c>
      <c r="K1814" t="s">
        <v>22</v>
      </c>
      <c r="L1814">
        <v>68</v>
      </c>
      <c r="M1814">
        <v>2.34</v>
      </c>
      <c r="N1814">
        <v>3</v>
      </c>
      <c r="O1814" t="s">
        <v>21</v>
      </c>
      <c r="P1814" cm="1">
        <f t="array" ref="P1814">_xlfn.SWITCH(Table2[[#This Row],[mood]], "Tired", 3, "Neutral", 2, "Happy", 1)</f>
        <v>1</v>
      </c>
    </row>
    <row r="1815" spans="1:16" x14ac:dyDescent="0.3">
      <c r="A1815">
        <v>1277</v>
      </c>
      <c r="B1815" s="1">
        <v>43818</v>
      </c>
      <c r="C1815">
        <v>31</v>
      </c>
      <c r="D1815" t="s">
        <v>20</v>
      </c>
      <c r="E1815">
        <v>167.1</v>
      </c>
      <c r="F1815">
        <v>63.1</v>
      </c>
      <c r="G1815">
        <v>15294</v>
      </c>
      <c r="H1815">
        <v>754.4</v>
      </c>
      <c r="I1815">
        <v>7.5</v>
      </c>
      <c r="J1815">
        <v>86</v>
      </c>
      <c r="K1815" t="s">
        <v>18</v>
      </c>
      <c r="L1815">
        <v>75</v>
      </c>
      <c r="M1815">
        <v>2.13</v>
      </c>
      <c r="N1815">
        <v>3</v>
      </c>
      <c r="O1815" t="s">
        <v>17</v>
      </c>
      <c r="P1815" cm="1">
        <f t="array" ref="P1815">_xlfn.SWITCH(Table2[[#This Row],[mood]], "Tired", 3, "Neutral", 2, "Happy", 1)</f>
        <v>3</v>
      </c>
    </row>
    <row r="1816" spans="1:16" x14ac:dyDescent="0.3">
      <c r="A1816">
        <v>1234</v>
      </c>
      <c r="B1816" s="1">
        <v>43819</v>
      </c>
      <c r="C1816">
        <v>23</v>
      </c>
      <c r="D1816" t="s">
        <v>20</v>
      </c>
      <c r="E1816">
        <v>163.80000000000001</v>
      </c>
      <c r="F1816">
        <v>89.9</v>
      </c>
      <c r="G1816">
        <v>15893</v>
      </c>
      <c r="H1816">
        <v>856.6</v>
      </c>
      <c r="I1816">
        <v>7.6</v>
      </c>
      <c r="J1816">
        <v>73</v>
      </c>
      <c r="K1816" t="s">
        <v>18</v>
      </c>
      <c r="L1816">
        <v>35</v>
      </c>
      <c r="M1816">
        <v>2.85</v>
      </c>
      <c r="N1816">
        <v>1</v>
      </c>
      <c r="O1816" t="s">
        <v>19</v>
      </c>
      <c r="P1816" cm="1">
        <f t="array" ref="P1816">_xlfn.SWITCH(Table2[[#This Row],[mood]], "Tired", 3, "Neutral", 2, "Happy", 1)</f>
        <v>2</v>
      </c>
    </row>
    <row r="1817" spans="1:16" x14ac:dyDescent="0.3">
      <c r="A1817">
        <v>1493</v>
      </c>
      <c r="B1817" s="1">
        <v>43820</v>
      </c>
      <c r="C1817">
        <v>54</v>
      </c>
      <c r="D1817" t="s">
        <v>20</v>
      </c>
      <c r="E1817">
        <v>158.9</v>
      </c>
      <c r="F1817">
        <v>45</v>
      </c>
      <c r="G1817">
        <v>1188</v>
      </c>
      <c r="H1817">
        <v>204.5</v>
      </c>
      <c r="I1817">
        <v>4.9000000000000004</v>
      </c>
      <c r="J1817">
        <v>79</v>
      </c>
      <c r="K1817" t="s">
        <v>23</v>
      </c>
      <c r="L1817">
        <v>58</v>
      </c>
      <c r="M1817">
        <v>3.23</v>
      </c>
      <c r="N1817">
        <v>9</v>
      </c>
      <c r="O1817" t="s">
        <v>19</v>
      </c>
      <c r="P1817" cm="1">
        <f t="array" ref="P1817">_xlfn.SWITCH(Table2[[#This Row],[mood]], "Tired", 3, "Neutral", 2, "Happy", 1)</f>
        <v>2</v>
      </c>
    </row>
    <row r="1818" spans="1:16" x14ac:dyDescent="0.3">
      <c r="A1818">
        <v>1003</v>
      </c>
      <c r="B1818" s="1">
        <v>43821</v>
      </c>
      <c r="C1818">
        <v>49</v>
      </c>
      <c r="D1818" t="s">
        <v>15</v>
      </c>
      <c r="E1818">
        <v>176</v>
      </c>
      <c r="F1818">
        <v>93.2</v>
      </c>
      <c r="G1818">
        <v>14073</v>
      </c>
      <c r="H1818">
        <v>688.2</v>
      </c>
      <c r="I1818">
        <v>5.5</v>
      </c>
      <c r="J1818">
        <v>62</v>
      </c>
      <c r="K1818" t="s">
        <v>22</v>
      </c>
      <c r="L1818">
        <v>63</v>
      </c>
      <c r="M1818">
        <v>3.37</v>
      </c>
      <c r="N1818">
        <v>7</v>
      </c>
      <c r="O1818" t="s">
        <v>21</v>
      </c>
      <c r="P1818" cm="1">
        <f t="array" ref="P1818">_xlfn.SWITCH(Table2[[#This Row],[mood]], "Tired", 3, "Neutral", 2, "Happy", 1)</f>
        <v>1</v>
      </c>
    </row>
    <row r="1819" spans="1:16" x14ac:dyDescent="0.3">
      <c r="A1819">
        <v>1665</v>
      </c>
      <c r="B1819" s="1">
        <v>43822</v>
      </c>
      <c r="C1819">
        <v>20</v>
      </c>
      <c r="D1819" t="s">
        <v>15</v>
      </c>
      <c r="E1819">
        <v>179.4</v>
      </c>
      <c r="F1819">
        <v>69</v>
      </c>
      <c r="G1819">
        <v>8145</v>
      </c>
      <c r="H1819">
        <v>444.6</v>
      </c>
      <c r="I1819">
        <v>6.5</v>
      </c>
      <c r="J1819">
        <v>72</v>
      </c>
      <c r="K1819" t="s">
        <v>22</v>
      </c>
      <c r="L1819">
        <v>27</v>
      </c>
      <c r="M1819">
        <v>2.21</v>
      </c>
      <c r="N1819">
        <v>9</v>
      </c>
      <c r="O1819" t="s">
        <v>21</v>
      </c>
      <c r="P1819" cm="1">
        <f t="array" ref="P1819">_xlfn.SWITCH(Table2[[#This Row],[mood]], "Tired", 3, "Neutral", 2, "Happy", 1)</f>
        <v>1</v>
      </c>
    </row>
    <row r="1820" spans="1:16" x14ac:dyDescent="0.3">
      <c r="A1820">
        <v>1441</v>
      </c>
      <c r="B1820" s="1">
        <v>43823</v>
      </c>
      <c r="C1820">
        <v>20</v>
      </c>
      <c r="D1820" t="s">
        <v>15</v>
      </c>
      <c r="E1820">
        <v>166.6</v>
      </c>
      <c r="F1820">
        <v>75.099999999999994</v>
      </c>
      <c r="G1820">
        <v>6927</v>
      </c>
      <c r="H1820">
        <v>476.9</v>
      </c>
      <c r="I1820">
        <v>3.6</v>
      </c>
      <c r="J1820">
        <v>72</v>
      </c>
      <c r="K1820" t="s">
        <v>25</v>
      </c>
      <c r="L1820">
        <v>27</v>
      </c>
      <c r="M1820">
        <v>2.14</v>
      </c>
      <c r="N1820">
        <v>1</v>
      </c>
      <c r="O1820" t="s">
        <v>19</v>
      </c>
      <c r="P1820" cm="1">
        <f t="array" ref="P1820">_xlfn.SWITCH(Table2[[#This Row],[mood]], "Tired", 3, "Neutral", 2, "Happy", 1)</f>
        <v>2</v>
      </c>
    </row>
    <row r="1821" spans="1:16" x14ac:dyDescent="0.3">
      <c r="A1821">
        <v>1028</v>
      </c>
      <c r="B1821" s="1">
        <v>43824</v>
      </c>
      <c r="C1821">
        <v>39</v>
      </c>
      <c r="D1821" t="s">
        <v>15</v>
      </c>
      <c r="E1821">
        <v>185.2</v>
      </c>
      <c r="F1821">
        <v>54.1</v>
      </c>
      <c r="G1821">
        <v>1599</v>
      </c>
      <c r="H1821">
        <v>343.7</v>
      </c>
      <c r="I1821">
        <v>8.1</v>
      </c>
      <c r="J1821">
        <v>71</v>
      </c>
      <c r="K1821" t="s">
        <v>23</v>
      </c>
      <c r="L1821">
        <v>64</v>
      </c>
      <c r="M1821">
        <v>2.21</v>
      </c>
      <c r="N1821">
        <v>8</v>
      </c>
      <c r="O1821" t="s">
        <v>19</v>
      </c>
      <c r="P1821" cm="1">
        <f t="array" ref="P1821">_xlfn.SWITCH(Table2[[#This Row],[mood]], "Tired", 3, "Neutral", 2, "Happy", 1)</f>
        <v>2</v>
      </c>
    </row>
    <row r="1822" spans="1:16" x14ac:dyDescent="0.3">
      <c r="A1822">
        <v>1108</v>
      </c>
      <c r="B1822" s="1">
        <v>43825</v>
      </c>
      <c r="C1822">
        <v>39</v>
      </c>
      <c r="D1822" t="s">
        <v>20</v>
      </c>
      <c r="E1822">
        <v>162.1</v>
      </c>
      <c r="F1822">
        <v>77.900000000000006</v>
      </c>
      <c r="G1822">
        <v>14133</v>
      </c>
      <c r="H1822">
        <v>767.4</v>
      </c>
      <c r="I1822">
        <v>6.3</v>
      </c>
      <c r="J1822">
        <v>83</v>
      </c>
      <c r="K1822" t="s">
        <v>16</v>
      </c>
      <c r="L1822">
        <v>0</v>
      </c>
      <c r="M1822">
        <v>1.1499999999999999</v>
      </c>
      <c r="N1822">
        <v>2</v>
      </c>
      <c r="O1822" t="s">
        <v>17</v>
      </c>
      <c r="P1822" cm="1">
        <f t="array" ref="P1822">_xlfn.SWITCH(Table2[[#This Row],[mood]], "Tired", 3, "Neutral", 2, "Happy", 1)</f>
        <v>3</v>
      </c>
    </row>
    <row r="1823" spans="1:16" x14ac:dyDescent="0.3">
      <c r="A1823">
        <v>1609</v>
      </c>
      <c r="B1823" s="1">
        <v>43826</v>
      </c>
      <c r="C1823">
        <v>27</v>
      </c>
      <c r="D1823" t="s">
        <v>20</v>
      </c>
      <c r="E1823">
        <v>185</v>
      </c>
      <c r="F1823">
        <v>64.400000000000006</v>
      </c>
      <c r="G1823">
        <v>13209</v>
      </c>
      <c r="H1823">
        <v>817.5</v>
      </c>
      <c r="I1823">
        <v>7.4</v>
      </c>
      <c r="J1823">
        <v>76</v>
      </c>
      <c r="K1823" t="s">
        <v>16</v>
      </c>
      <c r="L1823">
        <v>0</v>
      </c>
      <c r="M1823">
        <v>1.66</v>
      </c>
      <c r="N1823">
        <v>3</v>
      </c>
      <c r="O1823" t="s">
        <v>21</v>
      </c>
      <c r="P1823" cm="1">
        <f t="array" ref="P1823">_xlfn.SWITCH(Table2[[#This Row],[mood]], "Tired", 3, "Neutral", 2, "Happy", 1)</f>
        <v>1</v>
      </c>
    </row>
    <row r="1824" spans="1:16" x14ac:dyDescent="0.3">
      <c r="A1824">
        <v>1726</v>
      </c>
      <c r="B1824" s="1">
        <v>43827</v>
      </c>
      <c r="C1824">
        <v>20</v>
      </c>
      <c r="D1824" t="s">
        <v>20</v>
      </c>
      <c r="E1824">
        <v>175.6</v>
      </c>
      <c r="F1824">
        <v>52.1</v>
      </c>
      <c r="G1824">
        <v>12524</v>
      </c>
      <c r="H1824">
        <v>773.4</v>
      </c>
      <c r="I1824">
        <v>5.4</v>
      </c>
      <c r="J1824">
        <v>63</v>
      </c>
      <c r="K1824" t="s">
        <v>22</v>
      </c>
      <c r="L1824">
        <v>36</v>
      </c>
      <c r="M1824">
        <v>2.48</v>
      </c>
      <c r="N1824">
        <v>1</v>
      </c>
      <c r="O1824" t="s">
        <v>19</v>
      </c>
      <c r="P1824" cm="1">
        <f t="array" ref="P1824">_xlfn.SWITCH(Table2[[#This Row],[mood]], "Tired", 3, "Neutral", 2, "Happy", 1)</f>
        <v>2</v>
      </c>
    </row>
    <row r="1825" spans="1:16" x14ac:dyDescent="0.3">
      <c r="A1825">
        <v>1804</v>
      </c>
      <c r="B1825" s="1">
        <v>43828</v>
      </c>
      <c r="C1825">
        <v>29</v>
      </c>
      <c r="D1825" t="s">
        <v>20</v>
      </c>
      <c r="E1825">
        <v>157.80000000000001</v>
      </c>
      <c r="F1825">
        <v>51.9</v>
      </c>
      <c r="G1825">
        <v>15317</v>
      </c>
      <c r="H1825">
        <v>838.5</v>
      </c>
      <c r="I1825">
        <v>10</v>
      </c>
      <c r="J1825">
        <v>63</v>
      </c>
      <c r="K1825" t="s">
        <v>22</v>
      </c>
      <c r="L1825">
        <v>74</v>
      </c>
      <c r="M1825">
        <v>2.77</v>
      </c>
      <c r="N1825">
        <v>7</v>
      </c>
      <c r="O1825" t="s">
        <v>17</v>
      </c>
      <c r="P1825" cm="1">
        <f t="array" ref="P1825">_xlfn.SWITCH(Table2[[#This Row],[mood]], "Tired", 3, "Neutral", 2, "Happy", 1)</f>
        <v>3</v>
      </c>
    </row>
    <row r="1826" spans="1:16" x14ac:dyDescent="0.3">
      <c r="A1826">
        <v>1074</v>
      </c>
      <c r="B1826" s="1">
        <v>43829</v>
      </c>
      <c r="C1826">
        <v>46</v>
      </c>
      <c r="D1826" t="s">
        <v>20</v>
      </c>
      <c r="E1826">
        <v>189.8</v>
      </c>
      <c r="F1826">
        <v>51.6</v>
      </c>
      <c r="G1826">
        <v>10145</v>
      </c>
      <c r="H1826">
        <v>684.5</v>
      </c>
      <c r="I1826">
        <v>4.9000000000000004</v>
      </c>
      <c r="J1826">
        <v>55</v>
      </c>
      <c r="K1826" t="s">
        <v>22</v>
      </c>
      <c r="L1826">
        <v>75</v>
      </c>
      <c r="M1826">
        <v>2.84</v>
      </c>
      <c r="N1826">
        <v>5</v>
      </c>
      <c r="O1826" t="s">
        <v>17</v>
      </c>
      <c r="P1826" cm="1">
        <f t="array" ref="P1826">_xlfn.SWITCH(Table2[[#This Row],[mood]], "Tired", 3, "Neutral", 2, "Happy", 1)</f>
        <v>3</v>
      </c>
    </row>
    <row r="1827" spans="1:16" x14ac:dyDescent="0.3">
      <c r="A1827">
        <v>1837</v>
      </c>
      <c r="B1827" s="1">
        <v>43830</v>
      </c>
      <c r="C1827">
        <v>34</v>
      </c>
      <c r="D1827" t="s">
        <v>15</v>
      </c>
      <c r="E1827">
        <v>165.6</v>
      </c>
      <c r="F1827">
        <v>75.7</v>
      </c>
      <c r="G1827">
        <v>15357</v>
      </c>
      <c r="H1827">
        <v>887.3</v>
      </c>
      <c r="I1827">
        <v>6.3</v>
      </c>
      <c r="J1827">
        <v>84</v>
      </c>
      <c r="K1827" t="s">
        <v>24</v>
      </c>
      <c r="L1827">
        <v>63</v>
      </c>
      <c r="M1827">
        <v>1.95</v>
      </c>
      <c r="N1827">
        <v>3</v>
      </c>
      <c r="O1827" t="s">
        <v>21</v>
      </c>
      <c r="P1827" cm="1">
        <f t="array" ref="P1827">_xlfn.SWITCH(Table2[[#This Row],[mood]], "Tired", 3, "Neutral", 2, "Happy", 1)</f>
        <v>1</v>
      </c>
    </row>
    <row r="1828" spans="1:16" x14ac:dyDescent="0.3">
      <c r="A1828">
        <v>1145</v>
      </c>
      <c r="B1828" s="1">
        <v>43831</v>
      </c>
      <c r="C1828">
        <v>24</v>
      </c>
      <c r="D1828" t="s">
        <v>15</v>
      </c>
      <c r="E1828">
        <v>182.1</v>
      </c>
      <c r="F1828">
        <v>60.5</v>
      </c>
      <c r="G1828">
        <v>10817</v>
      </c>
      <c r="H1828">
        <v>691.6</v>
      </c>
      <c r="I1828">
        <v>8.8000000000000007</v>
      </c>
      <c r="J1828">
        <v>73</v>
      </c>
      <c r="K1828" t="s">
        <v>22</v>
      </c>
      <c r="L1828">
        <v>72</v>
      </c>
      <c r="M1828">
        <v>2.16</v>
      </c>
      <c r="N1828">
        <v>4</v>
      </c>
      <c r="O1828" t="s">
        <v>17</v>
      </c>
      <c r="P1828" cm="1">
        <f t="array" ref="P1828">_xlfn.SWITCH(Table2[[#This Row],[mood]], "Tired", 3, "Neutral", 2, "Happy", 1)</f>
        <v>3</v>
      </c>
    </row>
    <row r="1829" spans="1:16" x14ac:dyDescent="0.3">
      <c r="A1829">
        <v>1127</v>
      </c>
      <c r="B1829" s="1">
        <v>43832</v>
      </c>
      <c r="C1829">
        <v>30</v>
      </c>
      <c r="D1829" t="s">
        <v>20</v>
      </c>
      <c r="E1829">
        <v>171.5</v>
      </c>
      <c r="F1829">
        <v>45.4</v>
      </c>
      <c r="G1829">
        <v>2870</v>
      </c>
      <c r="H1829">
        <v>220.6</v>
      </c>
      <c r="I1829">
        <v>5.3</v>
      </c>
      <c r="J1829">
        <v>83</v>
      </c>
      <c r="K1829" t="s">
        <v>16</v>
      </c>
      <c r="L1829">
        <v>0</v>
      </c>
      <c r="M1829">
        <v>2.31</v>
      </c>
      <c r="N1829">
        <v>10</v>
      </c>
      <c r="O1829" t="s">
        <v>17</v>
      </c>
      <c r="P1829" cm="1">
        <f t="array" ref="P1829">_xlfn.SWITCH(Table2[[#This Row],[mood]], "Tired", 3, "Neutral", 2, "Happy", 1)</f>
        <v>3</v>
      </c>
    </row>
    <row r="1830" spans="1:16" x14ac:dyDescent="0.3">
      <c r="A1830">
        <v>1852</v>
      </c>
      <c r="B1830" s="1">
        <v>43833</v>
      </c>
      <c r="C1830">
        <v>19</v>
      </c>
      <c r="D1830" t="s">
        <v>20</v>
      </c>
      <c r="E1830">
        <v>173.7</v>
      </c>
      <c r="F1830">
        <v>75.5</v>
      </c>
      <c r="G1830">
        <v>19408</v>
      </c>
      <c r="H1830">
        <v>900</v>
      </c>
      <c r="I1830">
        <v>7.1</v>
      </c>
      <c r="J1830">
        <v>106</v>
      </c>
      <c r="K1830" t="s">
        <v>24</v>
      </c>
      <c r="L1830">
        <v>58</v>
      </c>
      <c r="M1830">
        <v>2.23</v>
      </c>
      <c r="N1830">
        <v>6</v>
      </c>
      <c r="O1830" t="s">
        <v>17</v>
      </c>
      <c r="P1830" cm="1">
        <f t="array" ref="P1830">_xlfn.SWITCH(Table2[[#This Row],[mood]], "Tired", 3, "Neutral", 2, "Happy", 1)</f>
        <v>3</v>
      </c>
    </row>
    <row r="1831" spans="1:16" x14ac:dyDescent="0.3">
      <c r="A1831">
        <v>1041</v>
      </c>
      <c r="B1831" s="1">
        <v>43834</v>
      </c>
      <c r="C1831">
        <v>21</v>
      </c>
      <c r="D1831" t="s">
        <v>20</v>
      </c>
      <c r="E1831">
        <v>179</v>
      </c>
      <c r="F1831">
        <v>45</v>
      </c>
      <c r="G1831">
        <v>13521</v>
      </c>
      <c r="H1831">
        <v>706.2</v>
      </c>
      <c r="I1831">
        <v>7.9</v>
      </c>
      <c r="J1831">
        <v>66</v>
      </c>
      <c r="K1831" t="s">
        <v>16</v>
      </c>
      <c r="L1831">
        <v>0</v>
      </c>
      <c r="M1831">
        <v>2.98</v>
      </c>
      <c r="N1831">
        <v>6</v>
      </c>
      <c r="O1831" t="s">
        <v>17</v>
      </c>
      <c r="P1831" cm="1">
        <f t="array" ref="P1831">_xlfn.SWITCH(Table2[[#This Row],[mood]], "Tired", 3, "Neutral", 2, "Happy", 1)</f>
        <v>3</v>
      </c>
    </row>
    <row r="1832" spans="1:16" x14ac:dyDescent="0.3">
      <c r="A1832">
        <v>1355</v>
      </c>
      <c r="B1832" s="1">
        <v>43835</v>
      </c>
      <c r="C1832">
        <v>27</v>
      </c>
      <c r="D1832" t="s">
        <v>15</v>
      </c>
      <c r="E1832">
        <v>178.5</v>
      </c>
      <c r="F1832">
        <v>89.9</v>
      </c>
      <c r="G1832">
        <v>6453</v>
      </c>
      <c r="H1832">
        <v>516.70000000000005</v>
      </c>
      <c r="I1832">
        <v>4.7</v>
      </c>
      <c r="J1832">
        <v>78</v>
      </c>
      <c r="K1832" t="s">
        <v>22</v>
      </c>
      <c r="L1832">
        <v>44</v>
      </c>
      <c r="M1832">
        <v>1.58</v>
      </c>
      <c r="N1832">
        <v>2</v>
      </c>
      <c r="O1832" t="s">
        <v>17</v>
      </c>
      <c r="P1832" cm="1">
        <f t="array" ref="P1832">_xlfn.SWITCH(Table2[[#This Row],[mood]], "Tired", 3, "Neutral", 2, "Happy", 1)</f>
        <v>3</v>
      </c>
    </row>
    <row r="1833" spans="1:16" x14ac:dyDescent="0.3">
      <c r="A1833">
        <v>1040</v>
      </c>
      <c r="B1833" s="1">
        <v>43836</v>
      </c>
      <c r="C1833">
        <v>56</v>
      </c>
      <c r="D1833" t="s">
        <v>20</v>
      </c>
      <c r="E1833">
        <v>166.6</v>
      </c>
      <c r="F1833">
        <v>99.8</v>
      </c>
      <c r="G1833">
        <v>2827</v>
      </c>
      <c r="H1833">
        <v>297.7</v>
      </c>
      <c r="I1833">
        <v>6</v>
      </c>
      <c r="J1833">
        <v>89</v>
      </c>
      <c r="K1833" t="s">
        <v>16</v>
      </c>
      <c r="L1833">
        <v>0</v>
      </c>
      <c r="M1833">
        <v>1.7</v>
      </c>
      <c r="N1833">
        <v>7</v>
      </c>
      <c r="O1833" t="s">
        <v>21</v>
      </c>
      <c r="P1833" cm="1">
        <f t="array" ref="P1833">_xlfn.SWITCH(Table2[[#This Row],[mood]], "Tired", 3, "Neutral", 2, "Happy", 1)</f>
        <v>1</v>
      </c>
    </row>
    <row r="1834" spans="1:16" x14ac:dyDescent="0.3">
      <c r="A1834">
        <v>1933</v>
      </c>
      <c r="B1834" s="1">
        <v>43837</v>
      </c>
      <c r="C1834">
        <v>41</v>
      </c>
      <c r="D1834" t="s">
        <v>20</v>
      </c>
      <c r="E1834">
        <v>175.3</v>
      </c>
      <c r="F1834">
        <v>50.3</v>
      </c>
      <c r="G1834">
        <v>17923</v>
      </c>
      <c r="H1834">
        <v>900</v>
      </c>
      <c r="I1834">
        <v>7.3</v>
      </c>
      <c r="J1834">
        <v>70</v>
      </c>
      <c r="K1834" t="s">
        <v>18</v>
      </c>
      <c r="L1834">
        <v>87</v>
      </c>
      <c r="M1834">
        <v>2.29</v>
      </c>
      <c r="N1834">
        <v>2</v>
      </c>
      <c r="O1834" t="s">
        <v>21</v>
      </c>
      <c r="P1834" cm="1">
        <f t="array" ref="P1834">_xlfn.SWITCH(Table2[[#This Row],[mood]], "Tired", 3, "Neutral", 2, "Happy", 1)</f>
        <v>1</v>
      </c>
    </row>
    <row r="1835" spans="1:16" x14ac:dyDescent="0.3">
      <c r="A1835">
        <v>1033</v>
      </c>
      <c r="B1835" s="1">
        <v>43838</v>
      </c>
      <c r="C1835">
        <v>34</v>
      </c>
      <c r="D1835" t="s">
        <v>20</v>
      </c>
      <c r="E1835">
        <v>174.6</v>
      </c>
      <c r="F1835">
        <v>85.8</v>
      </c>
      <c r="G1835">
        <v>17225</v>
      </c>
      <c r="H1835">
        <v>894.1</v>
      </c>
      <c r="I1835">
        <v>7.7</v>
      </c>
      <c r="J1835">
        <v>72</v>
      </c>
      <c r="K1835" t="s">
        <v>24</v>
      </c>
      <c r="L1835">
        <v>51</v>
      </c>
      <c r="M1835">
        <v>1.54</v>
      </c>
      <c r="N1835">
        <v>9</v>
      </c>
      <c r="O1835" t="s">
        <v>21</v>
      </c>
      <c r="P1835" cm="1">
        <f t="array" ref="P1835">_xlfn.SWITCH(Table2[[#This Row],[mood]], "Tired", 3, "Neutral", 2, "Happy", 1)</f>
        <v>1</v>
      </c>
    </row>
    <row r="1836" spans="1:16" x14ac:dyDescent="0.3">
      <c r="A1836">
        <v>1016</v>
      </c>
      <c r="B1836" s="1">
        <v>43839</v>
      </c>
      <c r="C1836">
        <v>23</v>
      </c>
      <c r="D1836" t="s">
        <v>15</v>
      </c>
      <c r="E1836">
        <v>172.1</v>
      </c>
      <c r="F1836">
        <v>75.2</v>
      </c>
      <c r="G1836">
        <v>8202</v>
      </c>
      <c r="H1836">
        <v>526.70000000000005</v>
      </c>
      <c r="I1836">
        <v>5.8</v>
      </c>
      <c r="J1836">
        <v>80</v>
      </c>
      <c r="K1836" t="s">
        <v>24</v>
      </c>
      <c r="L1836">
        <v>60</v>
      </c>
      <c r="M1836">
        <v>1.17</v>
      </c>
      <c r="N1836">
        <v>2</v>
      </c>
      <c r="O1836" t="s">
        <v>21</v>
      </c>
      <c r="P1836" cm="1">
        <f t="array" ref="P1836">_xlfn.SWITCH(Table2[[#This Row],[mood]], "Tired", 3, "Neutral", 2, "Happy", 1)</f>
        <v>1</v>
      </c>
    </row>
    <row r="1837" spans="1:16" x14ac:dyDescent="0.3">
      <c r="A1837">
        <v>1676</v>
      </c>
      <c r="B1837" s="1">
        <v>43840</v>
      </c>
      <c r="C1837">
        <v>36</v>
      </c>
      <c r="D1837" t="s">
        <v>20</v>
      </c>
      <c r="E1837">
        <v>168</v>
      </c>
      <c r="F1837">
        <v>62.5</v>
      </c>
      <c r="G1837">
        <v>5438</v>
      </c>
      <c r="H1837">
        <v>398.6</v>
      </c>
      <c r="I1837">
        <v>9.8000000000000007</v>
      </c>
      <c r="J1837">
        <v>100</v>
      </c>
      <c r="K1837" t="s">
        <v>25</v>
      </c>
      <c r="L1837">
        <v>26</v>
      </c>
      <c r="M1837">
        <v>1.45</v>
      </c>
      <c r="N1837">
        <v>5</v>
      </c>
      <c r="O1837" t="s">
        <v>19</v>
      </c>
      <c r="P1837" cm="1">
        <f t="array" ref="P1837">_xlfn.SWITCH(Table2[[#This Row],[mood]], "Tired", 3, "Neutral", 2, "Happy", 1)</f>
        <v>2</v>
      </c>
    </row>
    <row r="1838" spans="1:16" x14ac:dyDescent="0.3">
      <c r="A1838">
        <v>1152</v>
      </c>
      <c r="B1838" s="1">
        <v>43841</v>
      </c>
      <c r="C1838">
        <v>22</v>
      </c>
      <c r="D1838" t="s">
        <v>15</v>
      </c>
      <c r="E1838">
        <v>172.1</v>
      </c>
      <c r="F1838">
        <v>63.2</v>
      </c>
      <c r="G1838">
        <v>13139</v>
      </c>
      <c r="H1838">
        <v>716.3</v>
      </c>
      <c r="I1838">
        <v>7.7</v>
      </c>
      <c r="J1838">
        <v>81</v>
      </c>
      <c r="K1838" t="s">
        <v>22</v>
      </c>
      <c r="L1838">
        <v>37</v>
      </c>
      <c r="M1838">
        <v>2.33</v>
      </c>
      <c r="N1838">
        <v>8</v>
      </c>
      <c r="O1838" t="s">
        <v>21</v>
      </c>
      <c r="P1838" cm="1">
        <f t="array" ref="P1838">_xlfn.SWITCH(Table2[[#This Row],[mood]], "Tired", 3, "Neutral", 2, "Happy", 1)</f>
        <v>1</v>
      </c>
    </row>
    <row r="1839" spans="1:16" x14ac:dyDescent="0.3">
      <c r="A1839">
        <v>1997</v>
      </c>
      <c r="B1839" s="1">
        <v>43842</v>
      </c>
      <c r="C1839">
        <v>49</v>
      </c>
      <c r="D1839" t="s">
        <v>15</v>
      </c>
      <c r="E1839">
        <v>189.7</v>
      </c>
      <c r="F1839">
        <v>79.8</v>
      </c>
      <c r="G1839">
        <v>12218</v>
      </c>
      <c r="H1839">
        <v>702.2</v>
      </c>
      <c r="I1839">
        <v>8.1999999999999993</v>
      </c>
      <c r="J1839">
        <v>67</v>
      </c>
      <c r="K1839" t="s">
        <v>23</v>
      </c>
      <c r="L1839">
        <v>36</v>
      </c>
      <c r="M1839">
        <v>2.94</v>
      </c>
      <c r="N1839">
        <v>8</v>
      </c>
      <c r="O1839" t="s">
        <v>21</v>
      </c>
      <c r="P1839" cm="1">
        <f t="array" ref="P1839">_xlfn.SWITCH(Table2[[#This Row],[mood]], "Tired", 3, "Neutral", 2, "Happy", 1)</f>
        <v>1</v>
      </c>
    </row>
    <row r="1840" spans="1:16" x14ac:dyDescent="0.3">
      <c r="A1840">
        <v>1377</v>
      </c>
      <c r="B1840" s="1">
        <v>43843</v>
      </c>
      <c r="C1840">
        <v>27</v>
      </c>
      <c r="D1840" t="s">
        <v>15</v>
      </c>
      <c r="E1840">
        <v>167</v>
      </c>
      <c r="F1840">
        <v>69.400000000000006</v>
      </c>
      <c r="G1840">
        <v>13924</v>
      </c>
      <c r="H1840">
        <v>753.7</v>
      </c>
      <c r="I1840">
        <v>8.1</v>
      </c>
      <c r="J1840">
        <v>68</v>
      </c>
      <c r="K1840" t="s">
        <v>23</v>
      </c>
      <c r="L1840">
        <v>78</v>
      </c>
      <c r="M1840">
        <v>2.96</v>
      </c>
      <c r="N1840">
        <v>4</v>
      </c>
      <c r="O1840" t="s">
        <v>21</v>
      </c>
      <c r="P1840" cm="1">
        <f t="array" ref="P1840">_xlfn.SWITCH(Table2[[#This Row],[mood]], "Tired", 3, "Neutral", 2, "Happy", 1)</f>
        <v>1</v>
      </c>
    </row>
    <row r="1841" spans="1:16" x14ac:dyDescent="0.3">
      <c r="A1841">
        <v>1587</v>
      </c>
      <c r="B1841" s="1">
        <v>43844</v>
      </c>
      <c r="C1841">
        <v>26</v>
      </c>
      <c r="D1841" t="s">
        <v>15</v>
      </c>
      <c r="E1841">
        <v>182.1</v>
      </c>
      <c r="F1841">
        <v>45</v>
      </c>
      <c r="G1841">
        <v>7716</v>
      </c>
      <c r="H1841">
        <v>485.4</v>
      </c>
      <c r="I1841">
        <v>4.7</v>
      </c>
      <c r="J1841">
        <v>70</v>
      </c>
      <c r="K1841" t="s">
        <v>23</v>
      </c>
      <c r="L1841">
        <v>30</v>
      </c>
      <c r="M1841">
        <v>3.61</v>
      </c>
      <c r="N1841">
        <v>7</v>
      </c>
      <c r="O1841" t="s">
        <v>17</v>
      </c>
      <c r="P1841" cm="1">
        <f t="array" ref="P1841">_xlfn.SWITCH(Table2[[#This Row],[mood]], "Tired", 3, "Neutral", 2, "Happy", 1)</f>
        <v>3</v>
      </c>
    </row>
    <row r="1842" spans="1:16" x14ac:dyDescent="0.3">
      <c r="A1842">
        <v>1598</v>
      </c>
      <c r="B1842" s="1">
        <v>43845</v>
      </c>
      <c r="C1842">
        <v>44</v>
      </c>
      <c r="D1842" t="s">
        <v>15</v>
      </c>
      <c r="E1842">
        <v>163.80000000000001</v>
      </c>
      <c r="F1842">
        <v>101.1</v>
      </c>
      <c r="G1842">
        <v>17088</v>
      </c>
      <c r="H1842">
        <v>863.2</v>
      </c>
      <c r="I1842">
        <v>6.8</v>
      </c>
      <c r="J1842">
        <v>57</v>
      </c>
      <c r="K1842" t="s">
        <v>23</v>
      </c>
      <c r="L1842">
        <v>70</v>
      </c>
      <c r="M1842">
        <v>2.57</v>
      </c>
      <c r="N1842">
        <v>8</v>
      </c>
      <c r="O1842" t="s">
        <v>17</v>
      </c>
      <c r="P1842" cm="1">
        <f t="array" ref="P1842">_xlfn.SWITCH(Table2[[#This Row],[mood]], "Tired", 3, "Neutral", 2, "Happy", 1)</f>
        <v>3</v>
      </c>
    </row>
    <row r="1843" spans="1:16" x14ac:dyDescent="0.3">
      <c r="A1843">
        <v>1628</v>
      </c>
      <c r="B1843" s="1">
        <v>43846</v>
      </c>
      <c r="C1843">
        <v>30</v>
      </c>
      <c r="D1843" t="s">
        <v>15</v>
      </c>
      <c r="E1843">
        <v>161.19999999999999</v>
      </c>
      <c r="F1843">
        <v>76.5</v>
      </c>
      <c r="G1843">
        <v>7818</v>
      </c>
      <c r="H1843">
        <v>603.79999999999995</v>
      </c>
      <c r="I1843">
        <v>7</v>
      </c>
      <c r="J1843">
        <v>73</v>
      </c>
      <c r="K1843" t="s">
        <v>18</v>
      </c>
      <c r="L1843">
        <v>26</v>
      </c>
      <c r="M1843">
        <v>2.67</v>
      </c>
      <c r="N1843">
        <v>8</v>
      </c>
      <c r="O1843" t="s">
        <v>17</v>
      </c>
      <c r="P1843" cm="1">
        <f t="array" ref="P1843">_xlfn.SWITCH(Table2[[#This Row],[mood]], "Tired", 3, "Neutral", 2, "Happy", 1)</f>
        <v>3</v>
      </c>
    </row>
    <row r="1844" spans="1:16" x14ac:dyDescent="0.3">
      <c r="A1844">
        <v>1873</v>
      </c>
      <c r="B1844" s="1">
        <v>43847</v>
      </c>
      <c r="C1844">
        <v>36</v>
      </c>
      <c r="D1844" t="s">
        <v>20</v>
      </c>
      <c r="E1844">
        <v>200</v>
      </c>
      <c r="F1844">
        <v>69.2</v>
      </c>
      <c r="G1844">
        <v>5286</v>
      </c>
      <c r="H1844">
        <v>511.3</v>
      </c>
      <c r="I1844">
        <v>6.6</v>
      </c>
      <c r="J1844">
        <v>75</v>
      </c>
      <c r="K1844" t="s">
        <v>23</v>
      </c>
      <c r="L1844">
        <v>46</v>
      </c>
      <c r="M1844">
        <v>2.3199999999999998</v>
      </c>
      <c r="N1844">
        <v>5</v>
      </c>
      <c r="O1844" t="s">
        <v>21</v>
      </c>
      <c r="P1844" cm="1">
        <f t="array" ref="P1844">_xlfn.SWITCH(Table2[[#This Row],[mood]], "Tired", 3, "Neutral", 2, "Happy", 1)</f>
        <v>1</v>
      </c>
    </row>
    <row r="1845" spans="1:16" x14ac:dyDescent="0.3">
      <c r="A1845">
        <v>1341</v>
      </c>
      <c r="B1845" s="1">
        <v>43848</v>
      </c>
      <c r="C1845">
        <v>38</v>
      </c>
      <c r="D1845" t="s">
        <v>20</v>
      </c>
      <c r="E1845">
        <v>175.4</v>
      </c>
      <c r="F1845">
        <v>59.2</v>
      </c>
      <c r="G1845">
        <v>5739</v>
      </c>
      <c r="H1845">
        <v>406</v>
      </c>
      <c r="I1845">
        <v>7.3</v>
      </c>
      <c r="J1845">
        <v>75</v>
      </c>
      <c r="K1845" t="s">
        <v>16</v>
      </c>
      <c r="L1845">
        <v>0</v>
      </c>
      <c r="M1845">
        <v>2.36</v>
      </c>
      <c r="N1845">
        <v>10</v>
      </c>
      <c r="O1845" t="s">
        <v>19</v>
      </c>
      <c r="P1845" cm="1">
        <f t="array" ref="P1845">_xlfn.SWITCH(Table2[[#This Row],[mood]], "Tired", 3, "Neutral", 2, "Happy", 1)</f>
        <v>2</v>
      </c>
    </row>
    <row r="1846" spans="1:16" x14ac:dyDescent="0.3">
      <c r="A1846">
        <v>1980</v>
      </c>
      <c r="B1846" s="1">
        <v>43849</v>
      </c>
      <c r="C1846">
        <v>41</v>
      </c>
      <c r="D1846" t="s">
        <v>20</v>
      </c>
      <c r="E1846">
        <v>175.7</v>
      </c>
      <c r="F1846">
        <v>67.2</v>
      </c>
      <c r="G1846">
        <v>3089</v>
      </c>
      <c r="H1846">
        <v>366</v>
      </c>
      <c r="I1846">
        <v>3.8</v>
      </c>
      <c r="J1846">
        <v>61</v>
      </c>
      <c r="K1846" t="s">
        <v>25</v>
      </c>
      <c r="L1846">
        <v>56</v>
      </c>
      <c r="M1846">
        <v>3.96</v>
      </c>
      <c r="N1846">
        <v>2</v>
      </c>
      <c r="O1846" t="s">
        <v>19</v>
      </c>
      <c r="P1846" cm="1">
        <f t="array" ref="P1846">_xlfn.SWITCH(Table2[[#This Row],[mood]], "Tired", 3, "Neutral", 2, "Happy", 1)</f>
        <v>2</v>
      </c>
    </row>
    <row r="1847" spans="1:16" x14ac:dyDescent="0.3">
      <c r="A1847">
        <v>1026</v>
      </c>
      <c r="B1847" s="1">
        <v>43850</v>
      </c>
      <c r="C1847">
        <v>55</v>
      </c>
      <c r="D1847" t="s">
        <v>15</v>
      </c>
      <c r="E1847">
        <v>176</v>
      </c>
      <c r="F1847">
        <v>89</v>
      </c>
      <c r="G1847">
        <v>6605</v>
      </c>
      <c r="H1847">
        <v>422.8</v>
      </c>
      <c r="I1847">
        <v>7.2</v>
      </c>
      <c r="J1847">
        <v>78</v>
      </c>
      <c r="K1847" t="s">
        <v>23</v>
      </c>
      <c r="L1847">
        <v>24</v>
      </c>
      <c r="M1847">
        <v>2.68</v>
      </c>
      <c r="N1847">
        <v>2</v>
      </c>
      <c r="O1847" t="s">
        <v>21</v>
      </c>
      <c r="P1847" cm="1">
        <f t="array" ref="P1847">_xlfn.SWITCH(Table2[[#This Row],[mood]], "Tired", 3, "Neutral", 2, "Happy", 1)</f>
        <v>1</v>
      </c>
    </row>
    <row r="1848" spans="1:16" x14ac:dyDescent="0.3">
      <c r="A1848">
        <v>1824</v>
      </c>
      <c r="B1848" s="1">
        <v>43851</v>
      </c>
      <c r="C1848">
        <v>21</v>
      </c>
      <c r="D1848" t="s">
        <v>20</v>
      </c>
      <c r="E1848">
        <v>184.1</v>
      </c>
      <c r="F1848">
        <v>73.900000000000006</v>
      </c>
      <c r="G1848">
        <v>7822</v>
      </c>
      <c r="H1848">
        <v>496.5</v>
      </c>
      <c r="I1848">
        <v>6.5</v>
      </c>
      <c r="J1848">
        <v>65</v>
      </c>
      <c r="K1848" t="s">
        <v>25</v>
      </c>
      <c r="L1848">
        <v>81</v>
      </c>
      <c r="M1848">
        <v>2.74</v>
      </c>
      <c r="N1848">
        <v>5</v>
      </c>
      <c r="O1848" t="s">
        <v>19</v>
      </c>
      <c r="P1848" cm="1">
        <f t="array" ref="P1848">_xlfn.SWITCH(Table2[[#This Row],[mood]], "Tired", 3, "Neutral", 2, "Happy", 1)</f>
        <v>2</v>
      </c>
    </row>
    <row r="1849" spans="1:16" x14ac:dyDescent="0.3">
      <c r="A1849">
        <v>1286</v>
      </c>
      <c r="B1849" s="1">
        <v>43852</v>
      </c>
      <c r="C1849">
        <v>41</v>
      </c>
      <c r="D1849" t="s">
        <v>15</v>
      </c>
      <c r="E1849">
        <v>174.1</v>
      </c>
      <c r="F1849">
        <v>75.599999999999994</v>
      </c>
      <c r="G1849">
        <v>4321</v>
      </c>
      <c r="H1849">
        <v>318.5</v>
      </c>
      <c r="I1849">
        <v>3.8</v>
      </c>
      <c r="J1849">
        <v>73</v>
      </c>
      <c r="K1849" t="s">
        <v>24</v>
      </c>
      <c r="L1849">
        <v>74</v>
      </c>
      <c r="M1849">
        <v>1.7</v>
      </c>
      <c r="N1849">
        <v>4</v>
      </c>
      <c r="O1849" t="s">
        <v>19</v>
      </c>
      <c r="P1849" cm="1">
        <f t="array" ref="P1849">_xlfn.SWITCH(Table2[[#This Row],[mood]], "Tired", 3, "Neutral", 2, "Happy", 1)</f>
        <v>2</v>
      </c>
    </row>
    <row r="1850" spans="1:16" x14ac:dyDescent="0.3">
      <c r="A1850">
        <v>1645</v>
      </c>
      <c r="B1850" s="1">
        <v>43853</v>
      </c>
      <c r="C1850">
        <v>52</v>
      </c>
      <c r="D1850" t="s">
        <v>15</v>
      </c>
      <c r="E1850">
        <v>178.2</v>
      </c>
      <c r="F1850">
        <v>51.3</v>
      </c>
      <c r="G1850">
        <v>12773</v>
      </c>
      <c r="H1850">
        <v>761.9</v>
      </c>
      <c r="I1850">
        <v>7.6</v>
      </c>
      <c r="J1850">
        <v>68</v>
      </c>
      <c r="K1850" t="s">
        <v>16</v>
      </c>
      <c r="L1850">
        <v>0</v>
      </c>
      <c r="M1850">
        <v>2.79</v>
      </c>
      <c r="N1850">
        <v>4</v>
      </c>
      <c r="O1850" t="s">
        <v>21</v>
      </c>
      <c r="P1850" cm="1">
        <f t="array" ref="P1850">_xlfn.SWITCH(Table2[[#This Row],[mood]], "Tired", 3, "Neutral", 2, "Happy", 1)</f>
        <v>1</v>
      </c>
    </row>
    <row r="1851" spans="1:16" x14ac:dyDescent="0.3">
      <c r="A1851">
        <v>1730</v>
      </c>
      <c r="B1851" s="1">
        <v>43854</v>
      </c>
      <c r="C1851">
        <v>20</v>
      </c>
      <c r="D1851" t="s">
        <v>15</v>
      </c>
      <c r="E1851">
        <v>159.4</v>
      </c>
      <c r="F1851">
        <v>64.8</v>
      </c>
      <c r="G1851">
        <v>19933</v>
      </c>
      <c r="H1851">
        <v>900</v>
      </c>
      <c r="I1851">
        <v>5.2</v>
      </c>
      <c r="J1851">
        <v>87</v>
      </c>
      <c r="K1851" t="s">
        <v>22</v>
      </c>
      <c r="L1851">
        <v>75</v>
      </c>
      <c r="M1851">
        <v>2.96</v>
      </c>
      <c r="N1851">
        <v>3</v>
      </c>
      <c r="O1851" t="s">
        <v>17</v>
      </c>
      <c r="P1851" cm="1">
        <f t="array" ref="P1851">_xlfn.SWITCH(Table2[[#This Row],[mood]], "Tired", 3, "Neutral", 2, "Happy", 1)</f>
        <v>3</v>
      </c>
    </row>
    <row r="1852" spans="1:16" x14ac:dyDescent="0.3">
      <c r="A1852">
        <v>1167</v>
      </c>
      <c r="B1852" s="1">
        <v>43855</v>
      </c>
      <c r="C1852">
        <v>21</v>
      </c>
      <c r="D1852" t="s">
        <v>20</v>
      </c>
      <c r="E1852">
        <v>179.8</v>
      </c>
      <c r="F1852">
        <v>70.8</v>
      </c>
      <c r="G1852">
        <v>2216</v>
      </c>
      <c r="H1852">
        <v>322.39999999999998</v>
      </c>
      <c r="I1852">
        <v>6.4</v>
      </c>
      <c r="J1852">
        <v>68</v>
      </c>
      <c r="K1852" t="s">
        <v>23</v>
      </c>
      <c r="L1852">
        <v>70</v>
      </c>
      <c r="M1852">
        <v>3.28</v>
      </c>
      <c r="N1852">
        <v>9</v>
      </c>
      <c r="O1852" t="s">
        <v>19</v>
      </c>
      <c r="P1852" cm="1">
        <f t="array" ref="P1852">_xlfn.SWITCH(Table2[[#This Row],[mood]], "Tired", 3, "Neutral", 2, "Happy", 1)</f>
        <v>2</v>
      </c>
    </row>
    <row r="1853" spans="1:16" x14ac:dyDescent="0.3">
      <c r="A1853">
        <v>1609</v>
      </c>
      <c r="B1853" s="1">
        <v>43856</v>
      </c>
      <c r="C1853">
        <v>54</v>
      </c>
      <c r="D1853" t="s">
        <v>15</v>
      </c>
      <c r="E1853">
        <v>167.6</v>
      </c>
      <c r="F1853">
        <v>80.400000000000006</v>
      </c>
      <c r="G1853">
        <v>5885</v>
      </c>
      <c r="H1853">
        <v>479.8</v>
      </c>
      <c r="I1853">
        <v>6.6</v>
      </c>
      <c r="J1853">
        <v>88</v>
      </c>
      <c r="K1853" t="s">
        <v>25</v>
      </c>
      <c r="L1853">
        <v>87</v>
      </c>
      <c r="M1853">
        <v>2.94</v>
      </c>
      <c r="N1853">
        <v>8</v>
      </c>
      <c r="O1853" t="s">
        <v>17</v>
      </c>
      <c r="P1853" cm="1">
        <f t="array" ref="P1853">_xlfn.SWITCH(Table2[[#This Row],[mood]], "Tired", 3, "Neutral", 2, "Happy", 1)</f>
        <v>3</v>
      </c>
    </row>
    <row r="1854" spans="1:16" x14ac:dyDescent="0.3">
      <c r="A1854">
        <v>1267</v>
      </c>
      <c r="B1854" s="1">
        <v>43857</v>
      </c>
      <c r="C1854">
        <v>57</v>
      </c>
      <c r="D1854" t="s">
        <v>15</v>
      </c>
      <c r="E1854">
        <v>176.7</v>
      </c>
      <c r="F1854">
        <v>63.8</v>
      </c>
      <c r="G1854">
        <v>13170</v>
      </c>
      <c r="H1854">
        <v>683.3</v>
      </c>
      <c r="I1854">
        <v>4.2</v>
      </c>
      <c r="J1854">
        <v>76</v>
      </c>
      <c r="K1854" t="s">
        <v>16</v>
      </c>
      <c r="L1854">
        <v>0</v>
      </c>
      <c r="M1854">
        <v>2.41</v>
      </c>
      <c r="N1854">
        <v>4</v>
      </c>
      <c r="O1854" t="s">
        <v>21</v>
      </c>
      <c r="P1854" cm="1">
        <f t="array" ref="P1854">_xlfn.SWITCH(Table2[[#This Row],[mood]], "Tired", 3, "Neutral", 2, "Happy", 1)</f>
        <v>1</v>
      </c>
    </row>
    <row r="1855" spans="1:16" x14ac:dyDescent="0.3">
      <c r="A1855">
        <v>1748</v>
      </c>
      <c r="B1855" s="1">
        <v>43858</v>
      </c>
      <c r="C1855">
        <v>52</v>
      </c>
      <c r="D1855" t="s">
        <v>20</v>
      </c>
      <c r="E1855">
        <v>152.80000000000001</v>
      </c>
      <c r="F1855">
        <v>83.9</v>
      </c>
      <c r="G1855">
        <v>9933</v>
      </c>
      <c r="H1855">
        <v>581.1</v>
      </c>
      <c r="I1855">
        <v>4.4000000000000004</v>
      </c>
      <c r="J1855">
        <v>79</v>
      </c>
      <c r="K1855" t="s">
        <v>25</v>
      </c>
      <c r="L1855">
        <v>80</v>
      </c>
      <c r="M1855">
        <v>2.38</v>
      </c>
      <c r="N1855">
        <v>7</v>
      </c>
      <c r="O1855" t="s">
        <v>17</v>
      </c>
      <c r="P1855" cm="1">
        <f t="array" ref="P1855">_xlfn.SWITCH(Table2[[#This Row],[mood]], "Tired", 3, "Neutral", 2, "Happy", 1)</f>
        <v>3</v>
      </c>
    </row>
    <row r="1856" spans="1:16" x14ac:dyDescent="0.3">
      <c r="A1856">
        <v>1820</v>
      </c>
      <c r="B1856" s="1">
        <v>43859</v>
      </c>
      <c r="C1856">
        <v>48</v>
      </c>
      <c r="D1856" t="s">
        <v>20</v>
      </c>
      <c r="E1856">
        <v>176.3</v>
      </c>
      <c r="F1856">
        <v>52.8</v>
      </c>
      <c r="G1856">
        <v>10906</v>
      </c>
      <c r="H1856">
        <v>658.5</v>
      </c>
      <c r="I1856">
        <v>7.8</v>
      </c>
      <c r="J1856">
        <v>76</v>
      </c>
      <c r="K1856" t="s">
        <v>22</v>
      </c>
      <c r="L1856">
        <v>52</v>
      </c>
      <c r="M1856">
        <v>2.4500000000000002</v>
      </c>
      <c r="N1856">
        <v>8</v>
      </c>
      <c r="O1856" t="s">
        <v>19</v>
      </c>
      <c r="P1856" cm="1">
        <f t="array" ref="P1856">_xlfn.SWITCH(Table2[[#This Row],[mood]], "Tired", 3, "Neutral", 2, "Happy", 1)</f>
        <v>2</v>
      </c>
    </row>
    <row r="1857" spans="1:16" x14ac:dyDescent="0.3">
      <c r="A1857">
        <v>1454</v>
      </c>
      <c r="B1857" s="1">
        <v>43860</v>
      </c>
      <c r="C1857">
        <v>42</v>
      </c>
      <c r="D1857" t="s">
        <v>15</v>
      </c>
      <c r="E1857">
        <v>150</v>
      </c>
      <c r="F1857">
        <v>71</v>
      </c>
      <c r="G1857">
        <v>13236</v>
      </c>
      <c r="H1857">
        <v>712.2</v>
      </c>
      <c r="I1857">
        <v>6.1</v>
      </c>
      <c r="J1857">
        <v>66</v>
      </c>
      <c r="K1857" t="s">
        <v>24</v>
      </c>
      <c r="L1857">
        <v>74</v>
      </c>
      <c r="M1857">
        <v>2.58</v>
      </c>
      <c r="N1857">
        <v>6</v>
      </c>
      <c r="O1857" t="s">
        <v>17</v>
      </c>
      <c r="P1857" cm="1">
        <f t="array" ref="P1857">_xlfn.SWITCH(Table2[[#This Row],[mood]], "Tired", 3, "Neutral", 2, "Happy", 1)</f>
        <v>3</v>
      </c>
    </row>
    <row r="1858" spans="1:16" x14ac:dyDescent="0.3">
      <c r="A1858">
        <v>1905</v>
      </c>
      <c r="B1858" s="1">
        <v>43861</v>
      </c>
      <c r="C1858">
        <v>57</v>
      </c>
      <c r="D1858" t="s">
        <v>15</v>
      </c>
      <c r="E1858">
        <v>167.2</v>
      </c>
      <c r="F1858">
        <v>68.5</v>
      </c>
      <c r="G1858">
        <v>3797</v>
      </c>
      <c r="H1858">
        <v>355.4</v>
      </c>
      <c r="I1858">
        <v>6.4</v>
      </c>
      <c r="J1858">
        <v>79</v>
      </c>
      <c r="K1858" t="s">
        <v>23</v>
      </c>
      <c r="L1858">
        <v>37</v>
      </c>
      <c r="M1858">
        <v>3.39</v>
      </c>
      <c r="N1858">
        <v>2</v>
      </c>
      <c r="O1858" t="s">
        <v>17</v>
      </c>
      <c r="P1858" cm="1">
        <f t="array" ref="P1858">_xlfn.SWITCH(Table2[[#This Row],[mood]], "Tired", 3, "Neutral", 2, "Happy", 1)</f>
        <v>3</v>
      </c>
    </row>
    <row r="1859" spans="1:16" x14ac:dyDescent="0.3">
      <c r="A1859">
        <v>1684</v>
      </c>
      <c r="B1859" s="1">
        <v>43862</v>
      </c>
      <c r="C1859">
        <v>30</v>
      </c>
      <c r="D1859" t="s">
        <v>20</v>
      </c>
      <c r="E1859">
        <v>152.9</v>
      </c>
      <c r="F1859">
        <v>47.3</v>
      </c>
      <c r="G1859">
        <v>1818</v>
      </c>
      <c r="H1859">
        <v>232.7</v>
      </c>
      <c r="I1859">
        <v>7.1</v>
      </c>
      <c r="J1859">
        <v>71</v>
      </c>
      <c r="K1859" t="s">
        <v>25</v>
      </c>
      <c r="L1859">
        <v>31</v>
      </c>
      <c r="M1859">
        <v>3.25</v>
      </c>
      <c r="N1859">
        <v>8</v>
      </c>
      <c r="O1859" t="s">
        <v>17</v>
      </c>
      <c r="P1859" cm="1">
        <f t="array" ref="P1859">_xlfn.SWITCH(Table2[[#This Row],[mood]], "Tired", 3, "Neutral", 2, "Happy", 1)</f>
        <v>3</v>
      </c>
    </row>
    <row r="1860" spans="1:16" x14ac:dyDescent="0.3">
      <c r="A1860">
        <v>1400</v>
      </c>
      <c r="B1860" s="1">
        <v>43863</v>
      </c>
      <c r="C1860">
        <v>21</v>
      </c>
      <c r="D1860" t="s">
        <v>20</v>
      </c>
      <c r="E1860">
        <v>176.3</v>
      </c>
      <c r="F1860">
        <v>69.3</v>
      </c>
      <c r="G1860">
        <v>9434</v>
      </c>
      <c r="H1860">
        <v>643.79999999999995</v>
      </c>
      <c r="I1860">
        <v>4.4000000000000004</v>
      </c>
      <c r="J1860">
        <v>78</v>
      </c>
      <c r="K1860" t="s">
        <v>23</v>
      </c>
      <c r="L1860">
        <v>40</v>
      </c>
      <c r="M1860">
        <v>3.03</v>
      </c>
      <c r="N1860">
        <v>3</v>
      </c>
      <c r="O1860" t="s">
        <v>21</v>
      </c>
      <c r="P1860" cm="1">
        <f t="array" ref="P1860">_xlfn.SWITCH(Table2[[#This Row],[mood]], "Tired", 3, "Neutral", 2, "Happy", 1)</f>
        <v>1</v>
      </c>
    </row>
    <row r="1861" spans="1:16" x14ac:dyDescent="0.3">
      <c r="A1861">
        <v>1921</v>
      </c>
      <c r="B1861" s="1">
        <v>43864</v>
      </c>
      <c r="C1861">
        <v>31</v>
      </c>
      <c r="D1861" t="s">
        <v>20</v>
      </c>
      <c r="E1861">
        <v>170.7</v>
      </c>
      <c r="F1861">
        <v>61.3</v>
      </c>
      <c r="G1861">
        <v>8926</v>
      </c>
      <c r="H1861">
        <v>604</v>
      </c>
      <c r="I1861">
        <v>6.4</v>
      </c>
      <c r="J1861">
        <v>81</v>
      </c>
      <c r="K1861" t="s">
        <v>16</v>
      </c>
      <c r="L1861">
        <v>0</v>
      </c>
      <c r="M1861">
        <v>3.92</v>
      </c>
      <c r="N1861">
        <v>4</v>
      </c>
      <c r="O1861" t="s">
        <v>21</v>
      </c>
      <c r="P1861" cm="1">
        <f t="array" ref="P1861">_xlfn.SWITCH(Table2[[#This Row],[mood]], "Tired", 3, "Neutral", 2, "Happy", 1)</f>
        <v>1</v>
      </c>
    </row>
    <row r="1862" spans="1:16" x14ac:dyDescent="0.3">
      <c r="A1862">
        <v>1980</v>
      </c>
      <c r="B1862" s="1">
        <v>43865</v>
      </c>
      <c r="C1862">
        <v>30</v>
      </c>
      <c r="D1862" t="s">
        <v>15</v>
      </c>
      <c r="E1862">
        <v>162.30000000000001</v>
      </c>
      <c r="F1862">
        <v>91.2</v>
      </c>
      <c r="G1862">
        <v>13717</v>
      </c>
      <c r="H1862">
        <v>810.5</v>
      </c>
      <c r="I1862">
        <v>6.8</v>
      </c>
      <c r="J1862">
        <v>94</v>
      </c>
      <c r="K1862" t="s">
        <v>18</v>
      </c>
      <c r="L1862">
        <v>40</v>
      </c>
      <c r="M1862">
        <v>0.64</v>
      </c>
      <c r="N1862">
        <v>4</v>
      </c>
      <c r="O1862" t="s">
        <v>21</v>
      </c>
      <c r="P1862" cm="1">
        <f t="array" ref="P1862">_xlfn.SWITCH(Table2[[#This Row],[mood]], "Tired", 3, "Neutral", 2, "Happy", 1)</f>
        <v>1</v>
      </c>
    </row>
    <row r="1863" spans="1:16" x14ac:dyDescent="0.3">
      <c r="A1863">
        <v>1475</v>
      </c>
      <c r="B1863" s="1">
        <v>43866</v>
      </c>
      <c r="C1863">
        <v>44</v>
      </c>
      <c r="D1863" t="s">
        <v>20</v>
      </c>
      <c r="E1863">
        <v>184.3</v>
      </c>
      <c r="F1863">
        <v>63.8</v>
      </c>
      <c r="G1863">
        <v>13069</v>
      </c>
      <c r="H1863">
        <v>755.7</v>
      </c>
      <c r="I1863">
        <v>9.6</v>
      </c>
      <c r="J1863">
        <v>80</v>
      </c>
      <c r="K1863" t="s">
        <v>25</v>
      </c>
      <c r="L1863">
        <v>41</v>
      </c>
      <c r="M1863">
        <v>2.1800000000000002</v>
      </c>
      <c r="N1863">
        <v>7</v>
      </c>
      <c r="O1863" t="s">
        <v>21</v>
      </c>
      <c r="P1863" cm="1">
        <f t="array" ref="P1863">_xlfn.SWITCH(Table2[[#This Row],[mood]], "Tired", 3, "Neutral", 2, "Happy", 1)</f>
        <v>1</v>
      </c>
    </row>
    <row r="1864" spans="1:16" x14ac:dyDescent="0.3">
      <c r="A1864">
        <v>1701</v>
      </c>
      <c r="B1864" s="1">
        <v>43867</v>
      </c>
      <c r="C1864">
        <v>23</v>
      </c>
      <c r="D1864" t="s">
        <v>20</v>
      </c>
      <c r="E1864">
        <v>161</v>
      </c>
      <c r="F1864">
        <v>75.3</v>
      </c>
      <c r="G1864">
        <v>1012</v>
      </c>
      <c r="H1864">
        <v>185.8</v>
      </c>
      <c r="I1864">
        <v>5.6</v>
      </c>
      <c r="J1864">
        <v>85</v>
      </c>
      <c r="K1864" t="s">
        <v>24</v>
      </c>
      <c r="L1864">
        <v>74</v>
      </c>
      <c r="M1864">
        <v>2.4900000000000002</v>
      </c>
      <c r="N1864">
        <v>8</v>
      </c>
      <c r="O1864" t="s">
        <v>17</v>
      </c>
      <c r="P1864" cm="1">
        <f t="array" ref="P1864">_xlfn.SWITCH(Table2[[#This Row],[mood]], "Tired", 3, "Neutral", 2, "Happy", 1)</f>
        <v>3</v>
      </c>
    </row>
    <row r="1865" spans="1:16" x14ac:dyDescent="0.3">
      <c r="A1865">
        <v>1633</v>
      </c>
      <c r="B1865" s="1">
        <v>43868</v>
      </c>
      <c r="C1865">
        <v>34</v>
      </c>
      <c r="D1865" t="s">
        <v>20</v>
      </c>
      <c r="E1865">
        <v>150</v>
      </c>
      <c r="F1865">
        <v>51.5</v>
      </c>
      <c r="G1865">
        <v>6894</v>
      </c>
      <c r="H1865">
        <v>451.8</v>
      </c>
      <c r="I1865">
        <v>8.1999999999999993</v>
      </c>
      <c r="J1865">
        <v>82</v>
      </c>
      <c r="K1865" t="s">
        <v>16</v>
      </c>
      <c r="L1865">
        <v>0</v>
      </c>
      <c r="M1865">
        <v>2.0299999999999998</v>
      </c>
      <c r="N1865">
        <v>9</v>
      </c>
      <c r="O1865" t="s">
        <v>19</v>
      </c>
      <c r="P1865" cm="1">
        <f t="array" ref="P1865">_xlfn.SWITCH(Table2[[#This Row],[mood]], "Tired", 3, "Neutral", 2, "Happy", 1)</f>
        <v>2</v>
      </c>
    </row>
    <row r="1866" spans="1:16" x14ac:dyDescent="0.3">
      <c r="A1866">
        <v>1557</v>
      </c>
      <c r="B1866" s="1">
        <v>43869</v>
      </c>
      <c r="C1866">
        <v>53</v>
      </c>
      <c r="D1866" t="s">
        <v>15</v>
      </c>
      <c r="E1866">
        <v>175.1</v>
      </c>
      <c r="F1866">
        <v>73.5</v>
      </c>
      <c r="G1866">
        <v>8392</v>
      </c>
      <c r="H1866">
        <v>500.6</v>
      </c>
      <c r="I1866">
        <v>7</v>
      </c>
      <c r="J1866">
        <v>73</v>
      </c>
      <c r="K1866" t="s">
        <v>22</v>
      </c>
      <c r="L1866">
        <v>60</v>
      </c>
      <c r="M1866">
        <v>1.85</v>
      </c>
      <c r="N1866">
        <v>1</v>
      </c>
      <c r="O1866" t="s">
        <v>17</v>
      </c>
      <c r="P1866" cm="1">
        <f t="array" ref="P1866">_xlfn.SWITCH(Table2[[#This Row],[mood]], "Tired", 3, "Neutral", 2, "Happy", 1)</f>
        <v>3</v>
      </c>
    </row>
    <row r="1867" spans="1:16" x14ac:dyDescent="0.3">
      <c r="A1867">
        <v>1575</v>
      </c>
      <c r="B1867" s="1">
        <v>43870</v>
      </c>
      <c r="C1867">
        <v>57</v>
      </c>
      <c r="D1867" t="s">
        <v>20</v>
      </c>
      <c r="E1867">
        <v>152.30000000000001</v>
      </c>
      <c r="F1867">
        <v>63.8</v>
      </c>
      <c r="G1867">
        <v>17102</v>
      </c>
      <c r="H1867">
        <v>871.2</v>
      </c>
      <c r="I1867">
        <v>5.3</v>
      </c>
      <c r="J1867">
        <v>82</v>
      </c>
      <c r="K1867" t="s">
        <v>25</v>
      </c>
      <c r="L1867">
        <v>24</v>
      </c>
      <c r="M1867">
        <v>1.3</v>
      </c>
      <c r="N1867">
        <v>1</v>
      </c>
      <c r="O1867" t="s">
        <v>17</v>
      </c>
      <c r="P1867" cm="1">
        <f t="array" ref="P1867">_xlfn.SWITCH(Table2[[#This Row],[mood]], "Tired", 3, "Neutral", 2, "Happy", 1)</f>
        <v>3</v>
      </c>
    </row>
    <row r="1868" spans="1:16" x14ac:dyDescent="0.3">
      <c r="A1868">
        <v>1129</v>
      </c>
      <c r="B1868" s="1">
        <v>43871</v>
      </c>
      <c r="C1868">
        <v>52</v>
      </c>
      <c r="D1868" t="s">
        <v>20</v>
      </c>
      <c r="E1868">
        <v>161.30000000000001</v>
      </c>
      <c r="F1868">
        <v>58.4</v>
      </c>
      <c r="G1868">
        <v>1689</v>
      </c>
      <c r="H1868">
        <v>320.39999999999998</v>
      </c>
      <c r="I1868">
        <v>6.1</v>
      </c>
      <c r="J1868">
        <v>74</v>
      </c>
      <c r="K1868" t="s">
        <v>18</v>
      </c>
      <c r="L1868">
        <v>63</v>
      </c>
      <c r="M1868">
        <v>2.2799999999999998</v>
      </c>
      <c r="N1868">
        <v>7</v>
      </c>
      <c r="O1868" t="s">
        <v>17</v>
      </c>
      <c r="P1868" cm="1">
        <f t="array" ref="P1868">_xlfn.SWITCH(Table2[[#This Row],[mood]], "Tired", 3, "Neutral", 2, "Happy", 1)</f>
        <v>3</v>
      </c>
    </row>
    <row r="1869" spans="1:16" x14ac:dyDescent="0.3">
      <c r="A1869">
        <v>1821</v>
      </c>
      <c r="B1869" s="1">
        <v>43872</v>
      </c>
      <c r="C1869">
        <v>34</v>
      </c>
      <c r="D1869" t="s">
        <v>20</v>
      </c>
      <c r="E1869">
        <v>164.8</v>
      </c>
      <c r="F1869">
        <v>112.5</v>
      </c>
      <c r="G1869">
        <v>12932</v>
      </c>
      <c r="H1869">
        <v>643.6</v>
      </c>
      <c r="I1869">
        <v>8.3000000000000007</v>
      </c>
      <c r="J1869">
        <v>71</v>
      </c>
      <c r="K1869" t="s">
        <v>22</v>
      </c>
      <c r="L1869">
        <v>35</v>
      </c>
      <c r="M1869">
        <v>3.13</v>
      </c>
      <c r="N1869">
        <v>4</v>
      </c>
      <c r="O1869" t="s">
        <v>19</v>
      </c>
      <c r="P1869" cm="1">
        <f t="array" ref="P1869">_xlfn.SWITCH(Table2[[#This Row],[mood]], "Tired", 3, "Neutral", 2, "Happy", 1)</f>
        <v>2</v>
      </c>
    </row>
    <row r="1870" spans="1:16" x14ac:dyDescent="0.3">
      <c r="A1870">
        <v>1362</v>
      </c>
      <c r="B1870" s="1">
        <v>43873</v>
      </c>
      <c r="C1870">
        <v>58</v>
      </c>
      <c r="D1870" t="s">
        <v>20</v>
      </c>
      <c r="E1870">
        <v>155.80000000000001</v>
      </c>
      <c r="F1870">
        <v>64.7</v>
      </c>
      <c r="G1870">
        <v>12766</v>
      </c>
      <c r="H1870">
        <v>681.5</v>
      </c>
      <c r="I1870">
        <v>8.1999999999999993</v>
      </c>
      <c r="J1870">
        <v>64</v>
      </c>
      <c r="K1870" t="s">
        <v>24</v>
      </c>
      <c r="L1870">
        <v>54</v>
      </c>
      <c r="M1870">
        <v>3.04</v>
      </c>
      <c r="N1870">
        <v>10</v>
      </c>
      <c r="O1870" t="s">
        <v>19</v>
      </c>
      <c r="P1870" cm="1">
        <f t="array" ref="P1870">_xlfn.SWITCH(Table2[[#This Row],[mood]], "Tired", 3, "Neutral", 2, "Happy", 1)</f>
        <v>2</v>
      </c>
    </row>
    <row r="1871" spans="1:16" x14ac:dyDescent="0.3">
      <c r="A1871">
        <v>1704</v>
      </c>
      <c r="B1871" s="1">
        <v>43874</v>
      </c>
      <c r="C1871">
        <v>19</v>
      </c>
      <c r="D1871" t="s">
        <v>20</v>
      </c>
      <c r="E1871">
        <v>165.1</v>
      </c>
      <c r="F1871">
        <v>66.8</v>
      </c>
      <c r="G1871">
        <v>14292</v>
      </c>
      <c r="H1871">
        <v>752</v>
      </c>
      <c r="I1871">
        <v>6.2</v>
      </c>
      <c r="J1871">
        <v>82</v>
      </c>
      <c r="K1871" t="s">
        <v>23</v>
      </c>
      <c r="L1871">
        <v>24</v>
      </c>
      <c r="M1871">
        <v>1.97</v>
      </c>
      <c r="N1871">
        <v>8</v>
      </c>
      <c r="O1871" t="s">
        <v>19</v>
      </c>
      <c r="P1871" cm="1">
        <f t="array" ref="P1871">_xlfn.SWITCH(Table2[[#This Row],[mood]], "Tired", 3, "Neutral", 2, "Happy", 1)</f>
        <v>2</v>
      </c>
    </row>
    <row r="1872" spans="1:16" x14ac:dyDescent="0.3">
      <c r="A1872">
        <v>1818</v>
      </c>
      <c r="B1872" s="1">
        <v>43875</v>
      </c>
      <c r="C1872">
        <v>30</v>
      </c>
      <c r="D1872" t="s">
        <v>15</v>
      </c>
      <c r="E1872">
        <v>155.9</v>
      </c>
      <c r="F1872">
        <v>83.5</v>
      </c>
      <c r="G1872">
        <v>15863</v>
      </c>
      <c r="H1872">
        <v>768.8</v>
      </c>
      <c r="I1872">
        <v>7.5</v>
      </c>
      <c r="J1872">
        <v>69</v>
      </c>
      <c r="K1872" t="s">
        <v>23</v>
      </c>
      <c r="L1872">
        <v>81</v>
      </c>
      <c r="M1872">
        <v>2.65</v>
      </c>
      <c r="N1872">
        <v>5</v>
      </c>
      <c r="O1872" t="s">
        <v>17</v>
      </c>
      <c r="P1872" cm="1">
        <f t="array" ref="P1872">_xlfn.SWITCH(Table2[[#This Row],[mood]], "Tired", 3, "Neutral", 2, "Happy", 1)</f>
        <v>3</v>
      </c>
    </row>
    <row r="1873" spans="1:16" x14ac:dyDescent="0.3">
      <c r="A1873">
        <v>1692</v>
      </c>
      <c r="B1873" s="1">
        <v>43876</v>
      </c>
      <c r="C1873">
        <v>19</v>
      </c>
      <c r="D1873" t="s">
        <v>15</v>
      </c>
      <c r="E1873">
        <v>171.6</v>
      </c>
      <c r="F1873">
        <v>58.5</v>
      </c>
      <c r="G1873">
        <v>18386</v>
      </c>
      <c r="H1873">
        <v>900</v>
      </c>
      <c r="I1873">
        <v>5.4</v>
      </c>
      <c r="J1873">
        <v>81</v>
      </c>
      <c r="K1873" t="s">
        <v>25</v>
      </c>
      <c r="L1873">
        <v>45</v>
      </c>
      <c r="M1873">
        <v>3.45</v>
      </c>
      <c r="N1873">
        <v>1</v>
      </c>
      <c r="O1873" t="s">
        <v>21</v>
      </c>
      <c r="P1873" cm="1">
        <f t="array" ref="P1873">_xlfn.SWITCH(Table2[[#This Row],[mood]], "Tired", 3, "Neutral", 2, "Happy", 1)</f>
        <v>1</v>
      </c>
    </row>
    <row r="1874" spans="1:16" x14ac:dyDescent="0.3">
      <c r="A1874">
        <v>1291</v>
      </c>
      <c r="B1874" s="1">
        <v>43877</v>
      </c>
      <c r="C1874">
        <v>45</v>
      </c>
      <c r="D1874" t="s">
        <v>15</v>
      </c>
      <c r="E1874">
        <v>157.69999999999999</v>
      </c>
      <c r="F1874">
        <v>76</v>
      </c>
      <c r="G1874">
        <v>8408</v>
      </c>
      <c r="H1874">
        <v>519.20000000000005</v>
      </c>
      <c r="I1874">
        <v>6.7</v>
      </c>
      <c r="J1874">
        <v>75</v>
      </c>
      <c r="K1874" t="s">
        <v>22</v>
      </c>
      <c r="L1874">
        <v>80</v>
      </c>
      <c r="M1874">
        <v>1.44</v>
      </c>
      <c r="N1874">
        <v>2</v>
      </c>
      <c r="O1874" t="s">
        <v>21</v>
      </c>
      <c r="P1874" cm="1">
        <f t="array" ref="P1874">_xlfn.SWITCH(Table2[[#This Row],[mood]], "Tired", 3, "Neutral", 2, "Happy", 1)</f>
        <v>1</v>
      </c>
    </row>
    <row r="1875" spans="1:16" x14ac:dyDescent="0.3">
      <c r="A1875">
        <v>1370</v>
      </c>
      <c r="B1875" s="1">
        <v>43878</v>
      </c>
      <c r="C1875">
        <v>43</v>
      </c>
      <c r="D1875" t="s">
        <v>20</v>
      </c>
      <c r="E1875">
        <v>170.3</v>
      </c>
      <c r="F1875">
        <v>77.7</v>
      </c>
      <c r="G1875">
        <v>11694</v>
      </c>
      <c r="H1875">
        <v>723.4</v>
      </c>
      <c r="I1875">
        <v>6.4</v>
      </c>
      <c r="J1875">
        <v>72</v>
      </c>
      <c r="K1875" t="s">
        <v>18</v>
      </c>
      <c r="L1875">
        <v>70</v>
      </c>
      <c r="M1875">
        <v>2.39</v>
      </c>
      <c r="N1875">
        <v>10</v>
      </c>
      <c r="O1875" t="s">
        <v>17</v>
      </c>
      <c r="P1875" cm="1">
        <f t="array" ref="P1875">_xlfn.SWITCH(Table2[[#This Row],[mood]], "Tired", 3, "Neutral", 2, "Happy", 1)</f>
        <v>3</v>
      </c>
    </row>
    <row r="1876" spans="1:16" x14ac:dyDescent="0.3">
      <c r="A1876">
        <v>1793</v>
      </c>
      <c r="B1876" s="1">
        <v>43879</v>
      </c>
      <c r="C1876">
        <v>39</v>
      </c>
      <c r="D1876" t="s">
        <v>15</v>
      </c>
      <c r="E1876">
        <v>181.6</v>
      </c>
      <c r="F1876">
        <v>73.7</v>
      </c>
      <c r="G1876">
        <v>9142</v>
      </c>
      <c r="H1876">
        <v>551.9</v>
      </c>
      <c r="I1876">
        <v>8.4</v>
      </c>
      <c r="J1876">
        <v>66</v>
      </c>
      <c r="K1876" t="s">
        <v>18</v>
      </c>
      <c r="L1876">
        <v>88</v>
      </c>
      <c r="M1876">
        <v>2.7</v>
      </c>
      <c r="N1876">
        <v>3</v>
      </c>
      <c r="O1876" t="s">
        <v>21</v>
      </c>
      <c r="P1876" cm="1">
        <f t="array" ref="P1876">_xlfn.SWITCH(Table2[[#This Row],[mood]], "Tired", 3, "Neutral", 2, "Happy", 1)</f>
        <v>1</v>
      </c>
    </row>
    <row r="1877" spans="1:16" x14ac:dyDescent="0.3">
      <c r="A1877">
        <v>1028</v>
      </c>
      <c r="B1877" s="1">
        <v>43880</v>
      </c>
      <c r="C1877">
        <v>20</v>
      </c>
      <c r="D1877" t="s">
        <v>15</v>
      </c>
      <c r="E1877">
        <v>177.8</v>
      </c>
      <c r="F1877">
        <v>104.4</v>
      </c>
      <c r="G1877">
        <v>2765</v>
      </c>
      <c r="H1877">
        <v>333.5</v>
      </c>
      <c r="I1877">
        <v>7.7</v>
      </c>
      <c r="J1877">
        <v>88</v>
      </c>
      <c r="K1877" t="s">
        <v>24</v>
      </c>
      <c r="L1877">
        <v>75</v>
      </c>
      <c r="M1877">
        <v>2.5099999999999998</v>
      </c>
      <c r="N1877">
        <v>2</v>
      </c>
      <c r="O1877" t="s">
        <v>21</v>
      </c>
      <c r="P1877" cm="1">
        <f t="array" ref="P1877">_xlfn.SWITCH(Table2[[#This Row],[mood]], "Tired", 3, "Neutral", 2, "Happy", 1)</f>
        <v>1</v>
      </c>
    </row>
    <row r="1878" spans="1:16" x14ac:dyDescent="0.3">
      <c r="A1878">
        <v>1148</v>
      </c>
      <c r="B1878" s="1">
        <v>43881</v>
      </c>
      <c r="C1878">
        <v>52</v>
      </c>
      <c r="D1878" t="s">
        <v>15</v>
      </c>
      <c r="E1878">
        <v>169.2</v>
      </c>
      <c r="F1878">
        <v>57.9</v>
      </c>
      <c r="G1878">
        <v>16237</v>
      </c>
      <c r="H1878">
        <v>855.2</v>
      </c>
      <c r="I1878">
        <v>6</v>
      </c>
      <c r="J1878">
        <v>71</v>
      </c>
      <c r="K1878" t="s">
        <v>16</v>
      </c>
      <c r="L1878">
        <v>0</v>
      </c>
      <c r="M1878">
        <v>3.1</v>
      </c>
      <c r="N1878">
        <v>9</v>
      </c>
      <c r="O1878" t="s">
        <v>17</v>
      </c>
      <c r="P1878" cm="1">
        <f t="array" ref="P1878">_xlfn.SWITCH(Table2[[#This Row],[mood]], "Tired", 3, "Neutral", 2, "Happy", 1)</f>
        <v>3</v>
      </c>
    </row>
    <row r="1879" spans="1:16" x14ac:dyDescent="0.3">
      <c r="A1879">
        <v>1778</v>
      </c>
      <c r="B1879" s="1">
        <v>43882</v>
      </c>
      <c r="C1879">
        <v>29</v>
      </c>
      <c r="D1879" t="s">
        <v>20</v>
      </c>
      <c r="E1879">
        <v>160.1</v>
      </c>
      <c r="F1879">
        <v>93.1</v>
      </c>
      <c r="G1879">
        <v>6778</v>
      </c>
      <c r="H1879">
        <v>347</v>
      </c>
      <c r="I1879">
        <v>6.1</v>
      </c>
      <c r="J1879">
        <v>91</v>
      </c>
      <c r="K1879" t="s">
        <v>22</v>
      </c>
      <c r="L1879">
        <v>55</v>
      </c>
      <c r="M1879">
        <v>1.45</v>
      </c>
      <c r="N1879">
        <v>7</v>
      </c>
      <c r="O1879" t="s">
        <v>17</v>
      </c>
      <c r="P1879" cm="1">
        <f t="array" ref="P1879">_xlfn.SWITCH(Table2[[#This Row],[mood]], "Tired", 3, "Neutral", 2, "Happy", 1)</f>
        <v>3</v>
      </c>
    </row>
    <row r="1880" spans="1:16" x14ac:dyDescent="0.3">
      <c r="A1880">
        <v>1295</v>
      </c>
      <c r="B1880" s="1">
        <v>43883</v>
      </c>
      <c r="C1880">
        <v>41</v>
      </c>
      <c r="D1880" t="s">
        <v>20</v>
      </c>
      <c r="E1880">
        <v>171.6</v>
      </c>
      <c r="F1880">
        <v>77.099999999999994</v>
      </c>
      <c r="G1880">
        <v>3291</v>
      </c>
      <c r="H1880">
        <v>259.89999999999998</v>
      </c>
      <c r="I1880">
        <v>7</v>
      </c>
      <c r="J1880">
        <v>67</v>
      </c>
      <c r="K1880" t="s">
        <v>22</v>
      </c>
      <c r="L1880">
        <v>43</v>
      </c>
      <c r="M1880">
        <v>1.8</v>
      </c>
      <c r="N1880">
        <v>2</v>
      </c>
      <c r="O1880" t="s">
        <v>21</v>
      </c>
      <c r="P1880" cm="1">
        <f t="array" ref="P1880">_xlfn.SWITCH(Table2[[#This Row],[mood]], "Tired", 3, "Neutral", 2, "Happy", 1)</f>
        <v>1</v>
      </c>
    </row>
    <row r="1881" spans="1:16" x14ac:dyDescent="0.3">
      <c r="A1881">
        <v>1010</v>
      </c>
      <c r="B1881" s="1">
        <v>43884</v>
      </c>
      <c r="C1881">
        <v>22</v>
      </c>
      <c r="D1881" t="s">
        <v>15</v>
      </c>
      <c r="E1881">
        <v>163</v>
      </c>
      <c r="F1881">
        <v>83.6</v>
      </c>
      <c r="G1881">
        <v>5866</v>
      </c>
      <c r="H1881">
        <v>453.8</v>
      </c>
      <c r="I1881">
        <v>6.8</v>
      </c>
      <c r="J1881">
        <v>90</v>
      </c>
      <c r="K1881" t="s">
        <v>23</v>
      </c>
      <c r="L1881">
        <v>49</v>
      </c>
      <c r="M1881">
        <v>2.98</v>
      </c>
      <c r="N1881">
        <v>7</v>
      </c>
      <c r="O1881" t="s">
        <v>17</v>
      </c>
      <c r="P1881" cm="1">
        <f t="array" ref="P1881">_xlfn.SWITCH(Table2[[#This Row],[mood]], "Tired", 3, "Neutral", 2, "Happy", 1)</f>
        <v>3</v>
      </c>
    </row>
    <row r="1882" spans="1:16" x14ac:dyDescent="0.3">
      <c r="A1882">
        <v>1511</v>
      </c>
      <c r="B1882" s="1">
        <v>43885</v>
      </c>
      <c r="C1882">
        <v>37</v>
      </c>
      <c r="D1882" t="s">
        <v>15</v>
      </c>
      <c r="E1882">
        <v>172</v>
      </c>
      <c r="F1882">
        <v>75.099999999999994</v>
      </c>
      <c r="G1882">
        <v>9429</v>
      </c>
      <c r="H1882">
        <v>594.1</v>
      </c>
      <c r="I1882">
        <v>6.6</v>
      </c>
      <c r="J1882">
        <v>76</v>
      </c>
      <c r="K1882" t="s">
        <v>24</v>
      </c>
      <c r="L1882">
        <v>88</v>
      </c>
      <c r="M1882">
        <v>1.31</v>
      </c>
      <c r="N1882">
        <v>10</v>
      </c>
      <c r="O1882" t="s">
        <v>21</v>
      </c>
      <c r="P1882" cm="1">
        <f t="array" ref="P1882">_xlfn.SWITCH(Table2[[#This Row],[mood]], "Tired", 3, "Neutral", 2, "Happy", 1)</f>
        <v>1</v>
      </c>
    </row>
    <row r="1883" spans="1:16" x14ac:dyDescent="0.3">
      <c r="A1883">
        <v>1675</v>
      </c>
      <c r="B1883" s="1">
        <v>43886</v>
      </c>
      <c r="C1883">
        <v>56</v>
      </c>
      <c r="D1883" t="s">
        <v>20</v>
      </c>
      <c r="E1883">
        <v>152.80000000000001</v>
      </c>
      <c r="F1883">
        <v>98.2</v>
      </c>
      <c r="G1883">
        <v>11584</v>
      </c>
      <c r="H1883">
        <v>659.9</v>
      </c>
      <c r="I1883">
        <v>6.5</v>
      </c>
      <c r="J1883">
        <v>84</v>
      </c>
      <c r="K1883" t="s">
        <v>24</v>
      </c>
      <c r="L1883">
        <v>67</v>
      </c>
      <c r="M1883">
        <v>3.07</v>
      </c>
      <c r="N1883">
        <v>1</v>
      </c>
      <c r="O1883" t="s">
        <v>19</v>
      </c>
      <c r="P1883" cm="1">
        <f t="array" ref="P1883">_xlfn.SWITCH(Table2[[#This Row],[mood]], "Tired", 3, "Neutral", 2, "Happy", 1)</f>
        <v>2</v>
      </c>
    </row>
    <row r="1884" spans="1:16" x14ac:dyDescent="0.3">
      <c r="A1884">
        <v>1112</v>
      </c>
      <c r="B1884" s="1">
        <v>43887</v>
      </c>
      <c r="C1884">
        <v>56</v>
      </c>
      <c r="D1884" t="s">
        <v>20</v>
      </c>
      <c r="E1884">
        <v>178.1</v>
      </c>
      <c r="F1884">
        <v>65.2</v>
      </c>
      <c r="G1884">
        <v>12747</v>
      </c>
      <c r="H1884">
        <v>776.4</v>
      </c>
      <c r="I1884">
        <v>9.1</v>
      </c>
      <c r="J1884">
        <v>62</v>
      </c>
      <c r="K1884" t="s">
        <v>16</v>
      </c>
      <c r="L1884">
        <v>0</v>
      </c>
      <c r="M1884">
        <v>2.81</v>
      </c>
      <c r="N1884">
        <v>5</v>
      </c>
      <c r="O1884" t="s">
        <v>19</v>
      </c>
      <c r="P1884" cm="1">
        <f t="array" ref="P1884">_xlfn.SWITCH(Table2[[#This Row],[mood]], "Tired", 3, "Neutral", 2, "Happy", 1)</f>
        <v>2</v>
      </c>
    </row>
    <row r="1885" spans="1:16" x14ac:dyDescent="0.3">
      <c r="A1885">
        <v>1186</v>
      </c>
      <c r="B1885" s="1">
        <v>43888</v>
      </c>
      <c r="C1885">
        <v>30</v>
      </c>
      <c r="D1885" t="s">
        <v>15</v>
      </c>
      <c r="E1885">
        <v>170.3</v>
      </c>
      <c r="F1885">
        <v>77.5</v>
      </c>
      <c r="G1885">
        <v>18968</v>
      </c>
      <c r="H1885">
        <v>900</v>
      </c>
      <c r="I1885">
        <v>6.3</v>
      </c>
      <c r="J1885">
        <v>62</v>
      </c>
      <c r="K1885" t="s">
        <v>24</v>
      </c>
      <c r="L1885">
        <v>52</v>
      </c>
      <c r="M1885">
        <v>3.02</v>
      </c>
      <c r="N1885">
        <v>5</v>
      </c>
      <c r="O1885" t="s">
        <v>17</v>
      </c>
      <c r="P1885" cm="1">
        <f t="array" ref="P1885">_xlfn.SWITCH(Table2[[#This Row],[mood]], "Tired", 3, "Neutral", 2, "Happy", 1)</f>
        <v>3</v>
      </c>
    </row>
    <row r="1886" spans="1:16" x14ac:dyDescent="0.3">
      <c r="A1886">
        <v>1806</v>
      </c>
      <c r="B1886" s="1">
        <v>43889</v>
      </c>
      <c r="C1886">
        <v>58</v>
      </c>
      <c r="D1886" t="s">
        <v>20</v>
      </c>
      <c r="E1886">
        <v>192.1</v>
      </c>
      <c r="F1886">
        <v>89.6</v>
      </c>
      <c r="G1886">
        <v>2307</v>
      </c>
      <c r="H1886">
        <v>370.8</v>
      </c>
      <c r="I1886">
        <v>7.4</v>
      </c>
      <c r="J1886">
        <v>78</v>
      </c>
      <c r="K1886" t="s">
        <v>22</v>
      </c>
      <c r="L1886">
        <v>88</v>
      </c>
      <c r="M1886">
        <v>2.17</v>
      </c>
      <c r="N1886">
        <v>9</v>
      </c>
      <c r="O1886" t="s">
        <v>21</v>
      </c>
      <c r="P1886" cm="1">
        <f t="array" ref="P1886">_xlfn.SWITCH(Table2[[#This Row],[mood]], "Tired", 3, "Neutral", 2, "Happy", 1)</f>
        <v>1</v>
      </c>
    </row>
    <row r="1887" spans="1:16" x14ac:dyDescent="0.3">
      <c r="A1887">
        <v>1743</v>
      </c>
      <c r="B1887" s="1">
        <v>43890</v>
      </c>
      <c r="C1887">
        <v>29</v>
      </c>
      <c r="D1887" t="s">
        <v>15</v>
      </c>
      <c r="E1887">
        <v>183.1</v>
      </c>
      <c r="F1887">
        <v>61.6</v>
      </c>
      <c r="G1887">
        <v>3085</v>
      </c>
      <c r="H1887">
        <v>200.4</v>
      </c>
      <c r="I1887">
        <v>10</v>
      </c>
      <c r="J1887">
        <v>65</v>
      </c>
      <c r="K1887" t="s">
        <v>23</v>
      </c>
      <c r="L1887">
        <v>69</v>
      </c>
      <c r="M1887">
        <v>2.86</v>
      </c>
      <c r="N1887">
        <v>4</v>
      </c>
      <c r="O1887" t="s">
        <v>19</v>
      </c>
      <c r="P1887" cm="1">
        <f t="array" ref="P1887">_xlfn.SWITCH(Table2[[#This Row],[mood]], "Tired", 3, "Neutral", 2, "Happy", 1)</f>
        <v>2</v>
      </c>
    </row>
    <row r="1888" spans="1:16" x14ac:dyDescent="0.3">
      <c r="A1888">
        <v>1226</v>
      </c>
      <c r="B1888" s="1">
        <v>43891</v>
      </c>
      <c r="C1888">
        <v>30</v>
      </c>
      <c r="D1888" t="s">
        <v>20</v>
      </c>
      <c r="E1888">
        <v>175.7</v>
      </c>
      <c r="F1888">
        <v>85</v>
      </c>
      <c r="G1888">
        <v>17415</v>
      </c>
      <c r="H1888">
        <v>900</v>
      </c>
      <c r="I1888">
        <v>5.7</v>
      </c>
      <c r="J1888">
        <v>88</v>
      </c>
      <c r="K1888" t="s">
        <v>24</v>
      </c>
      <c r="L1888">
        <v>42</v>
      </c>
      <c r="M1888">
        <v>1.68</v>
      </c>
      <c r="N1888">
        <v>4</v>
      </c>
      <c r="O1888" t="s">
        <v>17</v>
      </c>
      <c r="P1888" cm="1">
        <f t="array" ref="P1888">_xlfn.SWITCH(Table2[[#This Row],[mood]], "Tired", 3, "Neutral", 2, "Happy", 1)</f>
        <v>3</v>
      </c>
    </row>
    <row r="1889" spans="1:16" x14ac:dyDescent="0.3">
      <c r="A1889">
        <v>1309</v>
      </c>
      <c r="B1889" s="1">
        <v>43892</v>
      </c>
      <c r="C1889">
        <v>27</v>
      </c>
      <c r="D1889" t="s">
        <v>15</v>
      </c>
      <c r="E1889">
        <v>168.8</v>
      </c>
      <c r="F1889">
        <v>69.7</v>
      </c>
      <c r="G1889">
        <v>1291</v>
      </c>
      <c r="H1889">
        <v>221.3</v>
      </c>
      <c r="I1889">
        <v>7.3</v>
      </c>
      <c r="J1889">
        <v>79</v>
      </c>
      <c r="K1889" t="s">
        <v>23</v>
      </c>
      <c r="L1889">
        <v>29</v>
      </c>
      <c r="M1889">
        <v>2.21</v>
      </c>
      <c r="N1889">
        <v>6</v>
      </c>
      <c r="O1889" t="s">
        <v>19</v>
      </c>
      <c r="P1889" cm="1">
        <f t="array" ref="P1889">_xlfn.SWITCH(Table2[[#This Row],[mood]], "Tired", 3, "Neutral", 2, "Happy", 1)</f>
        <v>2</v>
      </c>
    </row>
    <row r="1890" spans="1:16" x14ac:dyDescent="0.3">
      <c r="A1890">
        <v>1097</v>
      </c>
      <c r="B1890" s="1">
        <v>43893</v>
      </c>
      <c r="C1890">
        <v>50</v>
      </c>
      <c r="D1890" t="s">
        <v>15</v>
      </c>
      <c r="E1890">
        <v>162.69999999999999</v>
      </c>
      <c r="F1890">
        <v>51.5</v>
      </c>
      <c r="G1890">
        <v>4686</v>
      </c>
      <c r="H1890">
        <v>388.7</v>
      </c>
      <c r="I1890">
        <v>7.4</v>
      </c>
      <c r="J1890">
        <v>69</v>
      </c>
      <c r="K1890" t="s">
        <v>16</v>
      </c>
      <c r="L1890">
        <v>0</v>
      </c>
      <c r="M1890">
        <v>2.5299999999999998</v>
      </c>
      <c r="N1890">
        <v>2</v>
      </c>
      <c r="O1890" t="s">
        <v>19</v>
      </c>
      <c r="P1890" cm="1">
        <f t="array" ref="P1890">_xlfn.SWITCH(Table2[[#This Row],[mood]], "Tired", 3, "Neutral", 2, "Happy", 1)</f>
        <v>2</v>
      </c>
    </row>
    <row r="1891" spans="1:16" x14ac:dyDescent="0.3">
      <c r="A1891">
        <v>1054</v>
      </c>
      <c r="B1891" s="1">
        <v>43894</v>
      </c>
      <c r="C1891">
        <v>57</v>
      </c>
      <c r="D1891" t="s">
        <v>20</v>
      </c>
      <c r="E1891">
        <v>179.4</v>
      </c>
      <c r="F1891">
        <v>48.2</v>
      </c>
      <c r="G1891">
        <v>13579</v>
      </c>
      <c r="H1891">
        <v>802.5</v>
      </c>
      <c r="I1891">
        <v>7</v>
      </c>
      <c r="J1891">
        <v>66</v>
      </c>
      <c r="K1891" t="s">
        <v>24</v>
      </c>
      <c r="L1891">
        <v>36</v>
      </c>
      <c r="M1891">
        <v>1.87</v>
      </c>
      <c r="N1891">
        <v>10</v>
      </c>
      <c r="O1891" t="s">
        <v>17</v>
      </c>
      <c r="P1891" cm="1">
        <f t="array" ref="P1891">_xlfn.SWITCH(Table2[[#This Row],[mood]], "Tired", 3, "Neutral", 2, "Happy", 1)</f>
        <v>3</v>
      </c>
    </row>
    <row r="1892" spans="1:16" x14ac:dyDescent="0.3">
      <c r="A1892">
        <v>1622</v>
      </c>
      <c r="B1892" s="1">
        <v>43895</v>
      </c>
      <c r="C1892">
        <v>33</v>
      </c>
      <c r="D1892" t="s">
        <v>15</v>
      </c>
      <c r="E1892">
        <v>167.7</v>
      </c>
      <c r="F1892">
        <v>68.599999999999994</v>
      </c>
      <c r="G1892">
        <v>2642</v>
      </c>
      <c r="H1892">
        <v>199.9</v>
      </c>
      <c r="I1892">
        <v>7.1</v>
      </c>
      <c r="J1892">
        <v>72</v>
      </c>
      <c r="K1892" t="s">
        <v>22</v>
      </c>
      <c r="L1892">
        <v>72</v>
      </c>
      <c r="M1892">
        <v>2.65</v>
      </c>
      <c r="N1892">
        <v>6</v>
      </c>
      <c r="O1892" t="s">
        <v>19</v>
      </c>
      <c r="P1892" cm="1">
        <f t="array" ref="P1892">_xlfn.SWITCH(Table2[[#This Row],[mood]], "Tired", 3, "Neutral", 2, "Happy", 1)</f>
        <v>2</v>
      </c>
    </row>
    <row r="1893" spans="1:16" x14ac:dyDescent="0.3">
      <c r="A1893">
        <v>1663</v>
      </c>
      <c r="B1893" s="1">
        <v>43896</v>
      </c>
      <c r="C1893">
        <v>52</v>
      </c>
      <c r="D1893" t="s">
        <v>15</v>
      </c>
      <c r="E1893">
        <v>181.7</v>
      </c>
      <c r="F1893">
        <v>84.9</v>
      </c>
      <c r="G1893">
        <v>9769</v>
      </c>
      <c r="H1893">
        <v>578.1</v>
      </c>
      <c r="I1893">
        <v>5.7</v>
      </c>
      <c r="J1893">
        <v>69</v>
      </c>
      <c r="K1893" t="s">
        <v>23</v>
      </c>
      <c r="L1893">
        <v>27</v>
      </c>
      <c r="M1893">
        <v>1.7</v>
      </c>
      <c r="N1893">
        <v>7</v>
      </c>
      <c r="O1893" t="s">
        <v>17</v>
      </c>
      <c r="P1893" cm="1">
        <f t="array" ref="P1893">_xlfn.SWITCH(Table2[[#This Row],[mood]], "Tired", 3, "Neutral", 2, "Happy", 1)</f>
        <v>3</v>
      </c>
    </row>
    <row r="1894" spans="1:16" x14ac:dyDescent="0.3">
      <c r="A1894">
        <v>1757</v>
      </c>
      <c r="B1894" s="1">
        <v>43897</v>
      </c>
      <c r="C1894">
        <v>20</v>
      </c>
      <c r="D1894" t="s">
        <v>15</v>
      </c>
      <c r="E1894">
        <v>174</v>
      </c>
      <c r="F1894">
        <v>45</v>
      </c>
      <c r="G1894">
        <v>4909</v>
      </c>
      <c r="H1894">
        <v>446.8</v>
      </c>
      <c r="I1894">
        <v>7.5</v>
      </c>
      <c r="J1894">
        <v>80</v>
      </c>
      <c r="K1894" t="s">
        <v>25</v>
      </c>
      <c r="L1894">
        <v>63</v>
      </c>
      <c r="M1894">
        <v>2.69</v>
      </c>
      <c r="N1894">
        <v>4</v>
      </c>
      <c r="O1894" t="s">
        <v>17</v>
      </c>
      <c r="P1894" cm="1">
        <f t="array" ref="P1894">_xlfn.SWITCH(Table2[[#This Row],[mood]], "Tired", 3, "Neutral", 2, "Happy", 1)</f>
        <v>3</v>
      </c>
    </row>
    <row r="1895" spans="1:16" x14ac:dyDescent="0.3">
      <c r="A1895">
        <v>1405</v>
      </c>
      <c r="B1895" s="1">
        <v>43898</v>
      </c>
      <c r="C1895">
        <v>22</v>
      </c>
      <c r="D1895" t="s">
        <v>20</v>
      </c>
      <c r="E1895">
        <v>174.1</v>
      </c>
      <c r="F1895">
        <v>73</v>
      </c>
      <c r="G1895">
        <v>18607</v>
      </c>
      <c r="H1895">
        <v>900</v>
      </c>
      <c r="I1895">
        <v>4.2</v>
      </c>
      <c r="J1895">
        <v>74</v>
      </c>
      <c r="K1895" t="s">
        <v>16</v>
      </c>
      <c r="L1895">
        <v>0</v>
      </c>
      <c r="M1895">
        <v>3.72</v>
      </c>
      <c r="N1895">
        <v>10</v>
      </c>
      <c r="O1895" t="s">
        <v>19</v>
      </c>
      <c r="P1895" cm="1">
        <f t="array" ref="P1895">_xlfn.SWITCH(Table2[[#This Row],[mood]], "Tired", 3, "Neutral", 2, "Happy", 1)</f>
        <v>2</v>
      </c>
    </row>
    <row r="1896" spans="1:16" x14ac:dyDescent="0.3">
      <c r="A1896">
        <v>1068</v>
      </c>
      <c r="B1896" s="1">
        <v>43899</v>
      </c>
      <c r="C1896">
        <v>43</v>
      </c>
      <c r="D1896" t="s">
        <v>20</v>
      </c>
      <c r="E1896">
        <v>175.9</v>
      </c>
      <c r="F1896">
        <v>83.4</v>
      </c>
      <c r="G1896">
        <v>13268</v>
      </c>
      <c r="H1896">
        <v>776.4</v>
      </c>
      <c r="I1896">
        <v>9.6999999999999993</v>
      </c>
      <c r="J1896">
        <v>87</v>
      </c>
      <c r="K1896" t="s">
        <v>24</v>
      </c>
      <c r="L1896">
        <v>25</v>
      </c>
      <c r="M1896">
        <v>1.62</v>
      </c>
      <c r="N1896">
        <v>9</v>
      </c>
      <c r="O1896" t="s">
        <v>19</v>
      </c>
      <c r="P1896" cm="1">
        <f t="array" ref="P1896">_xlfn.SWITCH(Table2[[#This Row],[mood]], "Tired", 3, "Neutral", 2, "Happy", 1)</f>
        <v>2</v>
      </c>
    </row>
    <row r="1897" spans="1:16" x14ac:dyDescent="0.3">
      <c r="A1897">
        <v>1311</v>
      </c>
      <c r="B1897" s="1">
        <v>43900</v>
      </c>
      <c r="C1897">
        <v>28</v>
      </c>
      <c r="D1897" t="s">
        <v>20</v>
      </c>
      <c r="E1897">
        <v>160.80000000000001</v>
      </c>
      <c r="F1897">
        <v>50.8</v>
      </c>
      <c r="G1897">
        <v>11844</v>
      </c>
      <c r="H1897">
        <v>707.6</v>
      </c>
      <c r="I1897">
        <v>9.6</v>
      </c>
      <c r="J1897">
        <v>81</v>
      </c>
      <c r="K1897" t="s">
        <v>22</v>
      </c>
      <c r="L1897">
        <v>56</v>
      </c>
      <c r="M1897">
        <v>2.48</v>
      </c>
      <c r="N1897">
        <v>5</v>
      </c>
      <c r="O1897" t="s">
        <v>21</v>
      </c>
      <c r="P1897" cm="1">
        <f t="array" ref="P1897">_xlfn.SWITCH(Table2[[#This Row],[mood]], "Tired", 3, "Neutral", 2, "Happy", 1)</f>
        <v>1</v>
      </c>
    </row>
    <row r="1898" spans="1:16" x14ac:dyDescent="0.3">
      <c r="A1898">
        <v>1288</v>
      </c>
      <c r="B1898" s="1">
        <v>43901</v>
      </c>
      <c r="C1898">
        <v>24</v>
      </c>
      <c r="D1898" t="s">
        <v>15</v>
      </c>
      <c r="E1898">
        <v>159.80000000000001</v>
      </c>
      <c r="F1898">
        <v>60.5</v>
      </c>
      <c r="G1898">
        <v>9638</v>
      </c>
      <c r="H1898">
        <v>594</v>
      </c>
      <c r="I1898">
        <v>6.5</v>
      </c>
      <c r="J1898">
        <v>66</v>
      </c>
      <c r="K1898" t="s">
        <v>23</v>
      </c>
      <c r="L1898">
        <v>73</v>
      </c>
      <c r="M1898">
        <v>1.37</v>
      </c>
      <c r="N1898">
        <v>3</v>
      </c>
      <c r="O1898" t="s">
        <v>19</v>
      </c>
      <c r="P1898" cm="1">
        <f t="array" ref="P1898">_xlfn.SWITCH(Table2[[#This Row],[mood]], "Tired", 3, "Neutral", 2, "Happy", 1)</f>
        <v>2</v>
      </c>
    </row>
    <row r="1899" spans="1:16" x14ac:dyDescent="0.3">
      <c r="A1899">
        <v>1761</v>
      </c>
      <c r="B1899" s="1">
        <v>43902</v>
      </c>
      <c r="C1899">
        <v>27</v>
      </c>
      <c r="D1899" t="s">
        <v>20</v>
      </c>
      <c r="E1899">
        <v>159.4</v>
      </c>
      <c r="F1899">
        <v>78.599999999999994</v>
      </c>
      <c r="G1899">
        <v>5373</v>
      </c>
      <c r="H1899">
        <v>444.9</v>
      </c>
      <c r="I1899">
        <v>8.6</v>
      </c>
      <c r="J1899">
        <v>71</v>
      </c>
      <c r="K1899" t="s">
        <v>18</v>
      </c>
      <c r="L1899">
        <v>42</v>
      </c>
      <c r="M1899">
        <v>1.92</v>
      </c>
      <c r="N1899">
        <v>9</v>
      </c>
      <c r="O1899" t="s">
        <v>21</v>
      </c>
      <c r="P1899" cm="1">
        <f t="array" ref="P1899">_xlfn.SWITCH(Table2[[#This Row],[mood]], "Tired", 3, "Neutral", 2, "Happy", 1)</f>
        <v>1</v>
      </c>
    </row>
    <row r="1900" spans="1:16" x14ac:dyDescent="0.3">
      <c r="A1900">
        <v>1547</v>
      </c>
      <c r="B1900" s="1">
        <v>43903</v>
      </c>
      <c r="C1900">
        <v>59</v>
      </c>
      <c r="D1900" t="s">
        <v>15</v>
      </c>
      <c r="E1900">
        <v>180.5</v>
      </c>
      <c r="F1900">
        <v>82.7</v>
      </c>
      <c r="G1900">
        <v>12233</v>
      </c>
      <c r="H1900">
        <v>754.1</v>
      </c>
      <c r="I1900">
        <v>6.6</v>
      </c>
      <c r="J1900">
        <v>66</v>
      </c>
      <c r="K1900" t="s">
        <v>22</v>
      </c>
      <c r="L1900">
        <v>76</v>
      </c>
      <c r="M1900">
        <v>2.99</v>
      </c>
      <c r="N1900">
        <v>1</v>
      </c>
      <c r="O1900" t="s">
        <v>17</v>
      </c>
      <c r="P1900" cm="1">
        <f t="array" ref="P1900">_xlfn.SWITCH(Table2[[#This Row],[mood]], "Tired", 3, "Neutral", 2, "Happy", 1)</f>
        <v>3</v>
      </c>
    </row>
    <row r="1901" spans="1:16" x14ac:dyDescent="0.3">
      <c r="A1901">
        <v>1750</v>
      </c>
      <c r="B1901" s="1">
        <v>43904</v>
      </c>
      <c r="C1901">
        <v>51</v>
      </c>
      <c r="D1901" t="s">
        <v>15</v>
      </c>
      <c r="E1901">
        <v>160.5</v>
      </c>
      <c r="F1901">
        <v>94.1</v>
      </c>
      <c r="G1901">
        <v>19963</v>
      </c>
      <c r="H1901">
        <v>900</v>
      </c>
      <c r="I1901">
        <v>7</v>
      </c>
      <c r="J1901">
        <v>66</v>
      </c>
      <c r="K1901" t="s">
        <v>22</v>
      </c>
      <c r="L1901">
        <v>70</v>
      </c>
      <c r="M1901">
        <v>2.2000000000000002</v>
      </c>
      <c r="N1901">
        <v>8</v>
      </c>
      <c r="O1901" t="s">
        <v>19</v>
      </c>
      <c r="P1901" cm="1">
        <f t="array" ref="P1901">_xlfn.SWITCH(Table2[[#This Row],[mood]], "Tired", 3, "Neutral", 2, "Happy", 1)</f>
        <v>2</v>
      </c>
    </row>
    <row r="1902" spans="1:16" x14ac:dyDescent="0.3">
      <c r="A1902">
        <v>1147</v>
      </c>
      <c r="B1902" s="1">
        <v>43905</v>
      </c>
      <c r="C1902">
        <v>20</v>
      </c>
      <c r="D1902" t="s">
        <v>20</v>
      </c>
      <c r="E1902">
        <v>161.80000000000001</v>
      </c>
      <c r="F1902">
        <v>61.2</v>
      </c>
      <c r="G1902">
        <v>18806</v>
      </c>
      <c r="H1902">
        <v>900</v>
      </c>
      <c r="I1902">
        <v>6</v>
      </c>
      <c r="J1902">
        <v>57</v>
      </c>
      <c r="K1902" t="s">
        <v>18</v>
      </c>
      <c r="L1902">
        <v>77</v>
      </c>
      <c r="M1902">
        <v>3.02</v>
      </c>
      <c r="N1902">
        <v>1</v>
      </c>
      <c r="O1902" t="s">
        <v>19</v>
      </c>
      <c r="P1902" cm="1">
        <f t="array" ref="P1902">_xlfn.SWITCH(Table2[[#This Row],[mood]], "Tired", 3, "Neutral", 2, "Happy", 1)</f>
        <v>2</v>
      </c>
    </row>
    <row r="1903" spans="1:16" x14ac:dyDescent="0.3">
      <c r="A1903">
        <v>1466</v>
      </c>
      <c r="B1903" s="1">
        <v>43906</v>
      </c>
      <c r="C1903">
        <v>25</v>
      </c>
      <c r="D1903" t="s">
        <v>20</v>
      </c>
      <c r="E1903">
        <v>175.4</v>
      </c>
      <c r="F1903">
        <v>57.8</v>
      </c>
      <c r="G1903">
        <v>8558</v>
      </c>
      <c r="H1903">
        <v>498.3</v>
      </c>
      <c r="I1903">
        <v>8.1999999999999993</v>
      </c>
      <c r="J1903">
        <v>84</v>
      </c>
      <c r="K1903" t="s">
        <v>18</v>
      </c>
      <c r="L1903">
        <v>38</v>
      </c>
      <c r="M1903">
        <v>2.75</v>
      </c>
      <c r="N1903">
        <v>10</v>
      </c>
      <c r="O1903" t="s">
        <v>17</v>
      </c>
      <c r="P1903" cm="1">
        <f t="array" ref="P1903">_xlfn.SWITCH(Table2[[#This Row],[mood]], "Tired", 3, "Neutral", 2, "Happy", 1)</f>
        <v>3</v>
      </c>
    </row>
    <row r="1904" spans="1:16" x14ac:dyDescent="0.3">
      <c r="A1904">
        <v>1738</v>
      </c>
      <c r="B1904" s="1">
        <v>43907</v>
      </c>
      <c r="C1904">
        <v>48</v>
      </c>
      <c r="D1904" t="s">
        <v>15</v>
      </c>
      <c r="E1904">
        <v>167.5</v>
      </c>
      <c r="F1904">
        <v>94.8</v>
      </c>
      <c r="G1904">
        <v>14271</v>
      </c>
      <c r="H1904">
        <v>799.9</v>
      </c>
      <c r="I1904">
        <v>6.1</v>
      </c>
      <c r="J1904">
        <v>88</v>
      </c>
      <c r="K1904" t="s">
        <v>25</v>
      </c>
      <c r="L1904">
        <v>46</v>
      </c>
      <c r="M1904">
        <v>2.4500000000000002</v>
      </c>
      <c r="N1904">
        <v>8</v>
      </c>
      <c r="O1904" t="s">
        <v>19</v>
      </c>
      <c r="P1904" cm="1">
        <f t="array" ref="P1904">_xlfn.SWITCH(Table2[[#This Row],[mood]], "Tired", 3, "Neutral", 2, "Happy", 1)</f>
        <v>2</v>
      </c>
    </row>
    <row r="1905" spans="1:16" x14ac:dyDescent="0.3">
      <c r="A1905">
        <v>1243</v>
      </c>
      <c r="B1905" s="1">
        <v>43908</v>
      </c>
      <c r="C1905">
        <v>28</v>
      </c>
      <c r="D1905" t="s">
        <v>15</v>
      </c>
      <c r="E1905">
        <v>166.2</v>
      </c>
      <c r="F1905">
        <v>58.7</v>
      </c>
      <c r="G1905">
        <v>7745</v>
      </c>
      <c r="H1905">
        <v>534.29999999999995</v>
      </c>
      <c r="I1905">
        <v>8.1999999999999993</v>
      </c>
      <c r="J1905">
        <v>65</v>
      </c>
      <c r="K1905" t="s">
        <v>25</v>
      </c>
      <c r="L1905">
        <v>44</v>
      </c>
      <c r="M1905">
        <v>1.78</v>
      </c>
      <c r="N1905">
        <v>5</v>
      </c>
      <c r="O1905" t="s">
        <v>21</v>
      </c>
      <c r="P1905" cm="1">
        <f t="array" ref="P1905">_xlfn.SWITCH(Table2[[#This Row],[mood]], "Tired", 3, "Neutral", 2, "Happy", 1)</f>
        <v>1</v>
      </c>
    </row>
    <row r="1906" spans="1:16" x14ac:dyDescent="0.3">
      <c r="A1906">
        <v>1490</v>
      </c>
      <c r="B1906" s="1">
        <v>43909</v>
      </c>
      <c r="C1906">
        <v>24</v>
      </c>
      <c r="D1906" t="s">
        <v>20</v>
      </c>
      <c r="E1906">
        <v>165.3</v>
      </c>
      <c r="F1906">
        <v>77.599999999999994</v>
      </c>
      <c r="G1906">
        <v>19993</v>
      </c>
      <c r="H1906">
        <v>900</v>
      </c>
      <c r="I1906">
        <v>6.9</v>
      </c>
      <c r="J1906">
        <v>64</v>
      </c>
      <c r="K1906" t="s">
        <v>25</v>
      </c>
      <c r="L1906">
        <v>40</v>
      </c>
      <c r="M1906">
        <v>2.98</v>
      </c>
      <c r="N1906">
        <v>7</v>
      </c>
      <c r="O1906" t="s">
        <v>19</v>
      </c>
      <c r="P1906" cm="1">
        <f t="array" ref="P1906">_xlfn.SWITCH(Table2[[#This Row],[mood]], "Tired", 3, "Neutral", 2, "Happy", 1)</f>
        <v>2</v>
      </c>
    </row>
    <row r="1907" spans="1:16" x14ac:dyDescent="0.3">
      <c r="A1907">
        <v>1848</v>
      </c>
      <c r="B1907" s="1">
        <v>43910</v>
      </c>
      <c r="C1907">
        <v>19</v>
      </c>
      <c r="D1907" t="s">
        <v>20</v>
      </c>
      <c r="E1907">
        <v>150</v>
      </c>
      <c r="F1907">
        <v>102.7</v>
      </c>
      <c r="G1907">
        <v>7734</v>
      </c>
      <c r="H1907">
        <v>451.5</v>
      </c>
      <c r="I1907">
        <v>7</v>
      </c>
      <c r="J1907">
        <v>81</v>
      </c>
      <c r="K1907" t="s">
        <v>22</v>
      </c>
      <c r="L1907">
        <v>44</v>
      </c>
      <c r="M1907">
        <v>2.71</v>
      </c>
      <c r="N1907">
        <v>8</v>
      </c>
      <c r="O1907" t="s">
        <v>21</v>
      </c>
      <c r="P1907" cm="1">
        <f t="array" ref="P1907">_xlfn.SWITCH(Table2[[#This Row],[mood]], "Tired", 3, "Neutral", 2, "Happy", 1)</f>
        <v>1</v>
      </c>
    </row>
    <row r="1908" spans="1:16" x14ac:dyDescent="0.3">
      <c r="A1908">
        <v>1957</v>
      </c>
      <c r="B1908" s="1">
        <v>43911</v>
      </c>
      <c r="C1908">
        <v>23</v>
      </c>
      <c r="D1908" t="s">
        <v>20</v>
      </c>
      <c r="E1908">
        <v>160.30000000000001</v>
      </c>
      <c r="F1908">
        <v>81.3</v>
      </c>
      <c r="G1908">
        <v>14860</v>
      </c>
      <c r="H1908">
        <v>848.1</v>
      </c>
      <c r="I1908">
        <v>4.8</v>
      </c>
      <c r="J1908">
        <v>67</v>
      </c>
      <c r="K1908" t="s">
        <v>22</v>
      </c>
      <c r="L1908">
        <v>70</v>
      </c>
      <c r="M1908">
        <v>1.43</v>
      </c>
      <c r="N1908">
        <v>1</v>
      </c>
      <c r="O1908" t="s">
        <v>19</v>
      </c>
      <c r="P1908" cm="1">
        <f t="array" ref="P1908">_xlfn.SWITCH(Table2[[#This Row],[mood]], "Tired", 3, "Neutral", 2, "Happy", 1)</f>
        <v>2</v>
      </c>
    </row>
    <row r="1909" spans="1:16" x14ac:dyDescent="0.3">
      <c r="A1909">
        <v>1506</v>
      </c>
      <c r="B1909" s="1">
        <v>43912</v>
      </c>
      <c r="C1909">
        <v>58</v>
      </c>
      <c r="D1909" t="s">
        <v>15</v>
      </c>
      <c r="E1909">
        <v>181.8</v>
      </c>
      <c r="F1909">
        <v>81.7</v>
      </c>
      <c r="G1909">
        <v>9250</v>
      </c>
      <c r="H1909">
        <v>526</v>
      </c>
      <c r="I1909">
        <v>7.1</v>
      </c>
      <c r="J1909">
        <v>88</v>
      </c>
      <c r="K1909" t="s">
        <v>22</v>
      </c>
      <c r="L1909">
        <v>54</v>
      </c>
      <c r="M1909">
        <v>1.82</v>
      </c>
      <c r="N1909">
        <v>1</v>
      </c>
      <c r="O1909" t="s">
        <v>19</v>
      </c>
      <c r="P1909" cm="1">
        <f t="array" ref="P1909">_xlfn.SWITCH(Table2[[#This Row],[mood]], "Tired", 3, "Neutral", 2, "Happy", 1)</f>
        <v>2</v>
      </c>
    </row>
    <row r="1910" spans="1:16" x14ac:dyDescent="0.3">
      <c r="A1910">
        <v>1364</v>
      </c>
      <c r="B1910" s="1">
        <v>43913</v>
      </c>
      <c r="C1910">
        <v>49</v>
      </c>
      <c r="D1910" t="s">
        <v>15</v>
      </c>
      <c r="E1910">
        <v>164.6</v>
      </c>
      <c r="F1910">
        <v>89.2</v>
      </c>
      <c r="G1910">
        <v>9650</v>
      </c>
      <c r="H1910">
        <v>703</v>
      </c>
      <c r="I1910">
        <v>5.3</v>
      </c>
      <c r="J1910">
        <v>68</v>
      </c>
      <c r="K1910" t="s">
        <v>25</v>
      </c>
      <c r="L1910">
        <v>89</v>
      </c>
      <c r="M1910">
        <v>0.56000000000000005</v>
      </c>
      <c r="N1910">
        <v>7</v>
      </c>
      <c r="O1910" t="s">
        <v>17</v>
      </c>
      <c r="P1910" cm="1">
        <f t="array" ref="P1910">_xlfn.SWITCH(Table2[[#This Row],[mood]], "Tired", 3, "Neutral", 2, "Happy", 1)</f>
        <v>3</v>
      </c>
    </row>
    <row r="1911" spans="1:16" x14ac:dyDescent="0.3">
      <c r="A1911">
        <v>1481</v>
      </c>
      <c r="B1911" s="1">
        <v>43914</v>
      </c>
      <c r="C1911">
        <v>37</v>
      </c>
      <c r="D1911" t="s">
        <v>15</v>
      </c>
      <c r="E1911">
        <v>151</v>
      </c>
      <c r="F1911">
        <v>77.900000000000006</v>
      </c>
      <c r="G1911">
        <v>17487</v>
      </c>
      <c r="H1911">
        <v>855.1</v>
      </c>
      <c r="I1911">
        <v>7.1</v>
      </c>
      <c r="J1911">
        <v>54</v>
      </c>
      <c r="K1911" t="s">
        <v>23</v>
      </c>
      <c r="L1911">
        <v>69</v>
      </c>
      <c r="M1911">
        <v>1.54</v>
      </c>
      <c r="N1911">
        <v>1</v>
      </c>
      <c r="O1911" t="s">
        <v>21</v>
      </c>
      <c r="P1911" cm="1">
        <f t="array" ref="P1911">_xlfn.SWITCH(Table2[[#This Row],[mood]], "Tired", 3, "Neutral", 2, "Happy", 1)</f>
        <v>1</v>
      </c>
    </row>
    <row r="1912" spans="1:16" x14ac:dyDescent="0.3">
      <c r="A1912">
        <v>1200</v>
      </c>
      <c r="B1912" s="1">
        <v>43915</v>
      </c>
      <c r="C1912">
        <v>51</v>
      </c>
      <c r="D1912" t="s">
        <v>15</v>
      </c>
      <c r="E1912">
        <v>159.9</v>
      </c>
      <c r="F1912">
        <v>81.8</v>
      </c>
      <c r="G1912">
        <v>18125</v>
      </c>
      <c r="H1912">
        <v>866.7</v>
      </c>
      <c r="I1912">
        <v>9.9</v>
      </c>
      <c r="J1912">
        <v>74</v>
      </c>
      <c r="K1912" t="s">
        <v>22</v>
      </c>
      <c r="L1912">
        <v>34</v>
      </c>
      <c r="M1912">
        <v>2.2799999999999998</v>
      </c>
      <c r="N1912">
        <v>4</v>
      </c>
      <c r="O1912" t="s">
        <v>17</v>
      </c>
      <c r="P1912" cm="1">
        <f t="array" ref="P1912">_xlfn.SWITCH(Table2[[#This Row],[mood]], "Tired", 3, "Neutral", 2, "Happy", 1)</f>
        <v>3</v>
      </c>
    </row>
    <row r="1913" spans="1:16" x14ac:dyDescent="0.3">
      <c r="A1913">
        <v>1153</v>
      </c>
      <c r="B1913" s="1">
        <v>43916</v>
      </c>
      <c r="C1913">
        <v>33</v>
      </c>
      <c r="D1913" t="s">
        <v>15</v>
      </c>
      <c r="E1913">
        <v>173.6</v>
      </c>
      <c r="F1913">
        <v>64.900000000000006</v>
      </c>
      <c r="G1913">
        <v>10764</v>
      </c>
      <c r="H1913">
        <v>616</v>
      </c>
      <c r="I1913">
        <v>4.9000000000000004</v>
      </c>
      <c r="J1913">
        <v>69</v>
      </c>
      <c r="K1913" t="s">
        <v>22</v>
      </c>
      <c r="L1913">
        <v>43</v>
      </c>
      <c r="M1913">
        <v>1.76</v>
      </c>
      <c r="N1913">
        <v>6</v>
      </c>
      <c r="O1913" t="s">
        <v>17</v>
      </c>
      <c r="P1913" cm="1">
        <f t="array" ref="P1913">_xlfn.SWITCH(Table2[[#This Row],[mood]], "Tired", 3, "Neutral", 2, "Happy", 1)</f>
        <v>3</v>
      </c>
    </row>
    <row r="1914" spans="1:16" x14ac:dyDescent="0.3">
      <c r="A1914">
        <v>1449</v>
      </c>
      <c r="B1914" s="1">
        <v>43917</v>
      </c>
      <c r="C1914">
        <v>42</v>
      </c>
      <c r="D1914" t="s">
        <v>20</v>
      </c>
      <c r="E1914">
        <v>173.4</v>
      </c>
      <c r="F1914">
        <v>87.4</v>
      </c>
      <c r="G1914">
        <v>11893</v>
      </c>
      <c r="H1914">
        <v>728.1</v>
      </c>
      <c r="I1914">
        <v>6.8</v>
      </c>
      <c r="J1914">
        <v>76</v>
      </c>
      <c r="K1914" t="s">
        <v>22</v>
      </c>
      <c r="L1914">
        <v>68</v>
      </c>
      <c r="M1914">
        <v>1.92</v>
      </c>
      <c r="N1914">
        <v>2</v>
      </c>
      <c r="O1914" t="s">
        <v>17</v>
      </c>
      <c r="P1914" cm="1">
        <f t="array" ref="P1914">_xlfn.SWITCH(Table2[[#This Row],[mood]], "Tired", 3, "Neutral", 2, "Happy", 1)</f>
        <v>3</v>
      </c>
    </row>
    <row r="1915" spans="1:16" x14ac:dyDescent="0.3">
      <c r="A1915">
        <v>1500</v>
      </c>
      <c r="B1915" s="1">
        <v>43918</v>
      </c>
      <c r="C1915">
        <v>29</v>
      </c>
      <c r="D1915" t="s">
        <v>20</v>
      </c>
      <c r="E1915">
        <v>167.1</v>
      </c>
      <c r="F1915">
        <v>76.2</v>
      </c>
      <c r="G1915">
        <v>13842</v>
      </c>
      <c r="H1915">
        <v>771.4</v>
      </c>
      <c r="I1915">
        <v>6</v>
      </c>
      <c r="J1915">
        <v>72</v>
      </c>
      <c r="K1915" t="s">
        <v>25</v>
      </c>
      <c r="L1915">
        <v>87</v>
      </c>
      <c r="M1915">
        <v>3.47</v>
      </c>
      <c r="N1915">
        <v>10</v>
      </c>
      <c r="O1915" t="s">
        <v>21</v>
      </c>
      <c r="P1915" cm="1">
        <f t="array" ref="P1915">_xlfn.SWITCH(Table2[[#This Row],[mood]], "Tired", 3, "Neutral", 2, "Happy", 1)</f>
        <v>1</v>
      </c>
    </row>
    <row r="1916" spans="1:16" x14ac:dyDescent="0.3">
      <c r="A1916">
        <v>1072</v>
      </c>
      <c r="B1916" s="1">
        <v>43919</v>
      </c>
      <c r="C1916">
        <v>24</v>
      </c>
      <c r="D1916" t="s">
        <v>15</v>
      </c>
      <c r="E1916">
        <v>163.1</v>
      </c>
      <c r="F1916">
        <v>47.8</v>
      </c>
      <c r="G1916">
        <v>5723</v>
      </c>
      <c r="H1916">
        <v>512.9</v>
      </c>
      <c r="I1916">
        <v>5.4</v>
      </c>
      <c r="J1916">
        <v>81</v>
      </c>
      <c r="K1916" t="s">
        <v>24</v>
      </c>
      <c r="L1916">
        <v>26</v>
      </c>
      <c r="M1916">
        <v>3.22</v>
      </c>
      <c r="N1916">
        <v>5</v>
      </c>
      <c r="O1916" t="s">
        <v>17</v>
      </c>
      <c r="P1916" cm="1">
        <f t="array" ref="P1916">_xlfn.SWITCH(Table2[[#This Row],[mood]], "Tired", 3, "Neutral", 2, "Happy", 1)</f>
        <v>3</v>
      </c>
    </row>
    <row r="1917" spans="1:16" x14ac:dyDescent="0.3">
      <c r="A1917">
        <v>1712</v>
      </c>
      <c r="B1917" s="1">
        <v>43920</v>
      </c>
      <c r="C1917">
        <v>56</v>
      </c>
      <c r="D1917" t="s">
        <v>15</v>
      </c>
      <c r="E1917">
        <v>156</v>
      </c>
      <c r="F1917">
        <v>73.599999999999994</v>
      </c>
      <c r="G1917">
        <v>12604</v>
      </c>
      <c r="H1917">
        <v>689.1</v>
      </c>
      <c r="I1917">
        <v>5.8</v>
      </c>
      <c r="J1917">
        <v>79</v>
      </c>
      <c r="K1917" t="s">
        <v>25</v>
      </c>
      <c r="L1917">
        <v>73</v>
      </c>
      <c r="M1917">
        <v>2.0099999999999998</v>
      </c>
      <c r="N1917">
        <v>10</v>
      </c>
      <c r="O1917" t="s">
        <v>21</v>
      </c>
      <c r="P1917" cm="1">
        <f t="array" ref="P1917">_xlfn.SWITCH(Table2[[#This Row],[mood]], "Tired", 3, "Neutral", 2, "Happy", 1)</f>
        <v>1</v>
      </c>
    </row>
    <row r="1918" spans="1:16" x14ac:dyDescent="0.3">
      <c r="A1918">
        <v>1295</v>
      </c>
      <c r="B1918" s="1">
        <v>43921</v>
      </c>
      <c r="C1918">
        <v>34</v>
      </c>
      <c r="D1918" t="s">
        <v>20</v>
      </c>
      <c r="E1918">
        <v>173.7</v>
      </c>
      <c r="F1918">
        <v>45</v>
      </c>
      <c r="G1918">
        <v>6203</v>
      </c>
      <c r="H1918">
        <v>423.6</v>
      </c>
      <c r="I1918">
        <v>9.1999999999999993</v>
      </c>
      <c r="J1918">
        <v>78</v>
      </c>
      <c r="K1918" t="s">
        <v>24</v>
      </c>
      <c r="L1918">
        <v>57</v>
      </c>
      <c r="M1918">
        <v>3.06</v>
      </c>
      <c r="N1918">
        <v>10</v>
      </c>
      <c r="O1918" t="s">
        <v>21</v>
      </c>
      <c r="P1918" cm="1">
        <f t="array" ref="P1918">_xlfn.SWITCH(Table2[[#This Row],[mood]], "Tired", 3, "Neutral", 2, "Happy", 1)</f>
        <v>1</v>
      </c>
    </row>
    <row r="1919" spans="1:16" x14ac:dyDescent="0.3">
      <c r="A1919">
        <v>1016</v>
      </c>
      <c r="B1919" s="1">
        <v>43922</v>
      </c>
      <c r="C1919">
        <v>28</v>
      </c>
      <c r="D1919" t="s">
        <v>20</v>
      </c>
      <c r="E1919">
        <v>178.4</v>
      </c>
      <c r="F1919">
        <v>80.7</v>
      </c>
      <c r="G1919">
        <v>3976</v>
      </c>
      <c r="H1919">
        <v>322.3</v>
      </c>
      <c r="I1919">
        <v>9.6</v>
      </c>
      <c r="J1919">
        <v>77</v>
      </c>
      <c r="K1919" t="s">
        <v>25</v>
      </c>
      <c r="L1919">
        <v>64</v>
      </c>
      <c r="M1919">
        <v>3.35</v>
      </c>
      <c r="N1919">
        <v>10</v>
      </c>
      <c r="O1919" t="s">
        <v>19</v>
      </c>
      <c r="P1919" cm="1">
        <f t="array" ref="P1919">_xlfn.SWITCH(Table2[[#This Row],[mood]], "Tired", 3, "Neutral", 2, "Happy", 1)</f>
        <v>2</v>
      </c>
    </row>
    <row r="1920" spans="1:16" x14ac:dyDescent="0.3">
      <c r="A1920">
        <v>1640</v>
      </c>
      <c r="B1920" s="1">
        <v>43923</v>
      </c>
      <c r="C1920">
        <v>23</v>
      </c>
      <c r="D1920" t="s">
        <v>20</v>
      </c>
      <c r="E1920">
        <v>182.9</v>
      </c>
      <c r="F1920">
        <v>66.5</v>
      </c>
      <c r="G1920">
        <v>8426</v>
      </c>
      <c r="H1920">
        <v>510.7</v>
      </c>
      <c r="I1920">
        <v>5.4</v>
      </c>
      <c r="J1920">
        <v>75</v>
      </c>
      <c r="K1920" t="s">
        <v>23</v>
      </c>
      <c r="L1920">
        <v>28</v>
      </c>
      <c r="M1920">
        <v>2.93</v>
      </c>
      <c r="N1920">
        <v>6</v>
      </c>
      <c r="O1920" t="s">
        <v>21</v>
      </c>
      <c r="P1920" cm="1">
        <f t="array" ref="P1920">_xlfn.SWITCH(Table2[[#This Row],[mood]], "Tired", 3, "Neutral", 2, "Happy", 1)</f>
        <v>1</v>
      </c>
    </row>
    <row r="1921" spans="1:16" x14ac:dyDescent="0.3">
      <c r="A1921">
        <v>1216</v>
      </c>
      <c r="B1921" s="1">
        <v>43924</v>
      </c>
      <c r="C1921">
        <v>40</v>
      </c>
      <c r="D1921" t="s">
        <v>20</v>
      </c>
      <c r="E1921">
        <v>158.9</v>
      </c>
      <c r="F1921">
        <v>98.6</v>
      </c>
      <c r="G1921">
        <v>9619</v>
      </c>
      <c r="H1921">
        <v>514.9</v>
      </c>
      <c r="I1921">
        <v>7.6</v>
      </c>
      <c r="J1921">
        <v>61</v>
      </c>
      <c r="K1921" t="s">
        <v>23</v>
      </c>
      <c r="L1921">
        <v>74</v>
      </c>
      <c r="M1921">
        <v>2.71</v>
      </c>
      <c r="N1921">
        <v>5</v>
      </c>
      <c r="O1921" t="s">
        <v>21</v>
      </c>
      <c r="P1921" cm="1">
        <f t="array" ref="P1921">_xlfn.SWITCH(Table2[[#This Row],[mood]], "Tired", 3, "Neutral", 2, "Happy", 1)</f>
        <v>1</v>
      </c>
    </row>
    <row r="1922" spans="1:16" x14ac:dyDescent="0.3">
      <c r="A1922">
        <v>1060</v>
      </c>
      <c r="B1922" s="1">
        <v>43925</v>
      </c>
      <c r="C1922">
        <v>44</v>
      </c>
      <c r="D1922" t="s">
        <v>15</v>
      </c>
      <c r="E1922">
        <v>183.7</v>
      </c>
      <c r="F1922">
        <v>77.3</v>
      </c>
      <c r="G1922">
        <v>15702</v>
      </c>
      <c r="H1922">
        <v>795.6</v>
      </c>
      <c r="I1922">
        <v>5.6</v>
      </c>
      <c r="J1922">
        <v>79</v>
      </c>
      <c r="K1922" t="s">
        <v>22</v>
      </c>
      <c r="L1922">
        <v>71</v>
      </c>
      <c r="M1922">
        <v>3.27</v>
      </c>
      <c r="N1922">
        <v>10</v>
      </c>
      <c r="O1922" t="s">
        <v>19</v>
      </c>
      <c r="P1922" cm="1">
        <f t="array" ref="P1922">_xlfn.SWITCH(Table2[[#This Row],[mood]], "Tired", 3, "Neutral", 2, "Happy", 1)</f>
        <v>2</v>
      </c>
    </row>
    <row r="1923" spans="1:16" x14ac:dyDescent="0.3">
      <c r="A1923">
        <v>1938</v>
      </c>
      <c r="B1923" s="1">
        <v>43926</v>
      </c>
      <c r="C1923">
        <v>23</v>
      </c>
      <c r="D1923" t="s">
        <v>20</v>
      </c>
      <c r="E1923">
        <v>169.4</v>
      </c>
      <c r="F1923">
        <v>83.9</v>
      </c>
      <c r="G1923">
        <v>7486</v>
      </c>
      <c r="H1923">
        <v>438.9</v>
      </c>
      <c r="I1923">
        <v>6</v>
      </c>
      <c r="J1923">
        <v>82</v>
      </c>
      <c r="K1923" t="s">
        <v>25</v>
      </c>
      <c r="L1923">
        <v>68</v>
      </c>
      <c r="M1923">
        <v>3.04</v>
      </c>
      <c r="N1923">
        <v>8</v>
      </c>
      <c r="O1923" t="s">
        <v>17</v>
      </c>
      <c r="P1923" cm="1">
        <f t="array" ref="P1923">_xlfn.SWITCH(Table2[[#This Row],[mood]], "Tired", 3, "Neutral", 2, "Happy", 1)</f>
        <v>3</v>
      </c>
    </row>
    <row r="1924" spans="1:16" x14ac:dyDescent="0.3">
      <c r="A1924">
        <v>1615</v>
      </c>
      <c r="B1924" s="1">
        <v>43927</v>
      </c>
      <c r="C1924">
        <v>55</v>
      </c>
      <c r="D1924" t="s">
        <v>15</v>
      </c>
      <c r="E1924">
        <v>170.3</v>
      </c>
      <c r="F1924">
        <v>54.3</v>
      </c>
      <c r="G1924">
        <v>7490</v>
      </c>
      <c r="H1924">
        <v>535.5</v>
      </c>
      <c r="I1924">
        <v>3.9</v>
      </c>
      <c r="J1924">
        <v>78</v>
      </c>
      <c r="K1924" t="s">
        <v>24</v>
      </c>
      <c r="L1924">
        <v>74</v>
      </c>
      <c r="M1924">
        <v>1.65</v>
      </c>
      <c r="N1924">
        <v>4</v>
      </c>
      <c r="O1924" t="s">
        <v>19</v>
      </c>
      <c r="P1924" cm="1">
        <f t="array" ref="P1924">_xlfn.SWITCH(Table2[[#This Row],[mood]], "Tired", 3, "Neutral", 2, "Happy", 1)</f>
        <v>2</v>
      </c>
    </row>
    <row r="1925" spans="1:16" x14ac:dyDescent="0.3">
      <c r="A1925">
        <v>1041</v>
      </c>
      <c r="B1925" s="1">
        <v>43928</v>
      </c>
      <c r="C1925">
        <v>19</v>
      </c>
      <c r="D1925" t="s">
        <v>20</v>
      </c>
      <c r="E1925">
        <v>178.9</v>
      </c>
      <c r="F1925">
        <v>80.3</v>
      </c>
      <c r="G1925">
        <v>15114</v>
      </c>
      <c r="H1925">
        <v>878.6</v>
      </c>
      <c r="I1925">
        <v>10</v>
      </c>
      <c r="J1925">
        <v>73</v>
      </c>
      <c r="K1925" t="s">
        <v>24</v>
      </c>
      <c r="L1925">
        <v>89</v>
      </c>
      <c r="M1925">
        <v>2.37</v>
      </c>
      <c r="N1925">
        <v>8</v>
      </c>
      <c r="O1925" t="s">
        <v>19</v>
      </c>
      <c r="P1925" cm="1">
        <f t="array" ref="P1925">_xlfn.SWITCH(Table2[[#This Row],[mood]], "Tired", 3, "Neutral", 2, "Happy", 1)</f>
        <v>2</v>
      </c>
    </row>
    <row r="1926" spans="1:16" x14ac:dyDescent="0.3">
      <c r="A1926">
        <v>1024</v>
      </c>
      <c r="B1926" s="1">
        <v>43929</v>
      </c>
      <c r="C1926">
        <v>39</v>
      </c>
      <c r="D1926" t="s">
        <v>20</v>
      </c>
      <c r="E1926">
        <v>164.6</v>
      </c>
      <c r="F1926">
        <v>60.4</v>
      </c>
      <c r="G1926">
        <v>19328</v>
      </c>
      <c r="H1926">
        <v>900</v>
      </c>
      <c r="I1926">
        <v>8.6</v>
      </c>
      <c r="J1926">
        <v>81</v>
      </c>
      <c r="K1926" t="s">
        <v>23</v>
      </c>
      <c r="L1926">
        <v>22</v>
      </c>
      <c r="M1926">
        <v>2.11</v>
      </c>
      <c r="N1926">
        <v>3</v>
      </c>
      <c r="O1926" t="s">
        <v>19</v>
      </c>
      <c r="P1926" cm="1">
        <f t="array" ref="P1926">_xlfn.SWITCH(Table2[[#This Row],[mood]], "Tired", 3, "Neutral", 2, "Happy", 1)</f>
        <v>2</v>
      </c>
    </row>
    <row r="1927" spans="1:16" x14ac:dyDescent="0.3">
      <c r="A1927">
        <v>1038</v>
      </c>
      <c r="B1927" s="1">
        <v>43930</v>
      </c>
      <c r="C1927">
        <v>37</v>
      </c>
      <c r="D1927" t="s">
        <v>20</v>
      </c>
      <c r="E1927">
        <v>150</v>
      </c>
      <c r="F1927">
        <v>86.4</v>
      </c>
      <c r="G1927">
        <v>6973</v>
      </c>
      <c r="H1927">
        <v>445.2</v>
      </c>
      <c r="I1927">
        <v>6</v>
      </c>
      <c r="J1927">
        <v>77</v>
      </c>
      <c r="K1927" t="s">
        <v>22</v>
      </c>
      <c r="L1927">
        <v>87</v>
      </c>
      <c r="M1927">
        <v>3.31</v>
      </c>
      <c r="N1927">
        <v>7</v>
      </c>
      <c r="O1927" t="s">
        <v>21</v>
      </c>
      <c r="P1927" cm="1">
        <f t="array" ref="P1927">_xlfn.SWITCH(Table2[[#This Row],[mood]], "Tired", 3, "Neutral", 2, "Happy", 1)</f>
        <v>1</v>
      </c>
    </row>
    <row r="1928" spans="1:16" x14ac:dyDescent="0.3">
      <c r="A1928">
        <v>1802</v>
      </c>
      <c r="B1928" s="1">
        <v>43931</v>
      </c>
      <c r="C1928">
        <v>42</v>
      </c>
      <c r="D1928" t="s">
        <v>15</v>
      </c>
      <c r="E1928">
        <v>177</v>
      </c>
      <c r="F1928">
        <v>53.2</v>
      </c>
      <c r="G1928">
        <v>14447</v>
      </c>
      <c r="H1928">
        <v>815.1</v>
      </c>
      <c r="I1928">
        <v>7.4</v>
      </c>
      <c r="J1928">
        <v>82</v>
      </c>
      <c r="K1928" t="s">
        <v>24</v>
      </c>
      <c r="L1928">
        <v>57</v>
      </c>
      <c r="M1928">
        <v>2.09</v>
      </c>
      <c r="N1928">
        <v>5</v>
      </c>
      <c r="O1928" t="s">
        <v>19</v>
      </c>
      <c r="P1928" cm="1">
        <f t="array" ref="P1928">_xlfn.SWITCH(Table2[[#This Row],[mood]], "Tired", 3, "Neutral", 2, "Happy", 1)</f>
        <v>2</v>
      </c>
    </row>
    <row r="1929" spans="1:16" x14ac:dyDescent="0.3">
      <c r="A1929">
        <v>1130</v>
      </c>
      <c r="B1929" s="1">
        <v>43932</v>
      </c>
      <c r="C1929">
        <v>32</v>
      </c>
      <c r="D1929" t="s">
        <v>15</v>
      </c>
      <c r="E1929">
        <v>173.5</v>
      </c>
      <c r="F1929">
        <v>71.599999999999994</v>
      </c>
      <c r="G1929">
        <v>16858</v>
      </c>
      <c r="H1929">
        <v>872.4</v>
      </c>
      <c r="I1929">
        <v>6.4</v>
      </c>
      <c r="J1929">
        <v>74</v>
      </c>
      <c r="K1929" t="s">
        <v>25</v>
      </c>
      <c r="L1929">
        <v>89</v>
      </c>
      <c r="M1929">
        <v>1.97</v>
      </c>
      <c r="N1929">
        <v>5</v>
      </c>
      <c r="O1929" t="s">
        <v>21</v>
      </c>
      <c r="P1929" cm="1">
        <f t="array" ref="P1929">_xlfn.SWITCH(Table2[[#This Row],[mood]], "Tired", 3, "Neutral", 2, "Happy", 1)</f>
        <v>1</v>
      </c>
    </row>
    <row r="1930" spans="1:16" x14ac:dyDescent="0.3">
      <c r="A1930">
        <v>1497</v>
      </c>
      <c r="B1930" s="1">
        <v>43933</v>
      </c>
      <c r="C1930">
        <v>46</v>
      </c>
      <c r="D1930" t="s">
        <v>20</v>
      </c>
      <c r="E1930">
        <v>166.4</v>
      </c>
      <c r="F1930">
        <v>52.6</v>
      </c>
      <c r="G1930">
        <v>14171</v>
      </c>
      <c r="H1930">
        <v>817.6</v>
      </c>
      <c r="I1930">
        <v>8.4</v>
      </c>
      <c r="J1930">
        <v>61</v>
      </c>
      <c r="K1930" t="s">
        <v>22</v>
      </c>
      <c r="L1930">
        <v>68</v>
      </c>
      <c r="M1930">
        <v>3.22</v>
      </c>
      <c r="N1930">
        <v>6</v>
      </c>
      <c r="O1930" t="s">
        <v>21</v>
      </c>
      <c r="P1930" cm="1">
        <f t="array" ref="P1930">_xlfn.SWITCH(Table2[[#This Row],[mood]], "Tired", 3, "Neutral", 2, "Happy", 1)</f>
        <v>1</v>
      </c>
    </row>
    <row r="1931" spans="1:16" x14ac:dyDescent="0.3">
      <c r="A1931">
        <v>1228</v>
      </c>
      <c r="B1931" s="1">
        <v>43934</v>
      </c>
      <c r="C1931">
        <v>25</v>
      </c>
      <c r="D1931" t="s">
        <v>15</v>
      </c>
      <c r="E1931">
        <v>176.2</v>
      </c>
      <c r="F1931">
        <v>71.900000000000006</v>
      </c>
      <c r="G1931">
        <v>17317</v>
      </c>
      <c r="H1931">
        <v>845.4</v>
      </c>
      <c r="I1931">
        <v>6.5</v>
      </c>
      <c r="J1931">
        <v>73</v>
      </c>
      <c r="K1931" t="s">
        <v>16</v>
      </c>
      <c r="L1931">
        <v>0</v>
      </c>
      <c r="M1931">
        <v>2.68</v>
      </c>
      <c r="N1931">
        <v>5</v>
      </c>
      <c r="O1931" t="s">
        <v>21</v>
      </c>
      <c r="P1931" cm="1">
        <f t="array" ref="P1931">_xlfn.SWITCH(Table2[[#This Row],[mood]], "Tired", 3, "Neutral", 2, "Happy", 1)</f>
        <v>1</v>
      </c>
    </row>
    <row r="1932" spans="1:16" x14ac:dyDescent="0.3">
      <c r="A1932">
        <v>1107</v>
      </c>
      <c r="B1932" s="1">
        <v>43935</v>
      </c>
      <c r="C1932">
        <v>54</v>
      </c>
      <c r="D1932" t="s">
        <v>15</v>
      </c>
      <c r="E1932">
        <v>178.3</v>
      </c>
      <c r="F1932">
        <v>100.3</v>
      </c>
      <c r="G1932">
        <v>6521</v>
      </c>
      <c r="H1932">
        <v>417</v>
      </c>
      <c r="I1932">
        <v>6.7</v>
      </c>
      <c r="J1932">
        <v>66</v>
      </c>
      <c r="K1932" t="s">
        <v>25</v>
      </c>
      <c r="L1932">
        <v>64</v>
      </c>
      <c r="M1932">
        <v>3.98</v>
      </c>
      <c r="N1932">
        <v>1</v>
      </c>
      <c r="O1932" t="s">
        <v>21</v>
      </c>
      <c r="P1932" cm="1">
        <f t="array" ref="P1932">_xlfn.SWITCH(Table2[[#This Row],[mood]], "Tired", 3, "Neutral", 2, "Happy", 1)</f>
        <v>1</v>
      </c>
    </row>
    <row r="1933" spans="1:16" x14ac:dyDescent="0.3">
      <c r="A1933">
        <v>1171</v>
      </c>
      <c r="B1933" s="1">
        <v>43936</v>
      </c>
      <c r="C1933">
        <v>50</v>
      </c>
      <c r="D1933" t="s">
        <v>20</v>
      </c>
      <c r="E1933">
        <v>154.9</v>
      </c>
      <c r="F1933">
        <v>80.8</v>
      </c>
      <c r="G1933">
        <v>13891</v>
      </c>
      <c r="H1933">
        <v>791.9</v>
      </c>
      <c r="I1933">
        <v>6</v>
      </c>
      <c r="J1933">
        <v>70</v>
      </c>
      <c r="K1933" t="s">
        <v>25</v>
      </c>
      <c r="L1933">
        <v>48</v>
      </c>
      <c r="M1933">
        <v>1.9</v>
      </c>
      <c r="N1933">
        <v>9</v>
      </c>
      <c r="O1933" t="s">
        <v>17</v>
      </c>
      <c r="P1933" cm="1">
        <f t="array" ref="P1933">_xlfn.SWITCH(Table2[[#This Row],[mood]], "Tired", 3, "Neutral", 2, "Happy", 1)</f>
        <v>3</v>
      </c>
    </row>
    <row r="1934" spans="1:16" x14ac:dyDescent="0.3">
      <c r="A1934">
        <v>1434</v>
      </c>
      <c r="B1934" s="1">
        <v>43937</v>
      </c>
      <c r="C1934">
        <v>39</v>
      </c>
      <c r="D1934" t="s">
        <v>20</v>
      </c>
      <c r="E1934">
        <v>170.2</v>
      </c>
      <c r="F1934">
        <v>69.5</v>
      </c>
      <c r="G1934">
        <v>17795</v>
      </c>
      <c r="H1934">
        <v>900</v>
      </c>
      <c r="I1934">
        <v>7.9</v>
      </c>
      <c r="J1934">
        <v>76</v>
      </c>
      <c r="K1934" t="s">
        <v>23</v>
      </c>
      <c r="L1934">
        <v>68</v>
      </c>
      <c r="M1934">
        <v>2.14</v>
      </c>
      <c r="N1934">
        <v>4</v>
      </c>
      <c r="O1934" t="s">
        <v>21</v>
      </c>
      <c r="P1934" cm="1">
        <f t="array" ref="P1934">_xlfn.SWITCH(Table2[[#This Row],[mood]], "Tired", 3, "Neutral", 2, "Happy", 1)</f>
        <v>1</v>
      </c>
    </row>
    <row r="1935" spans="1:16" x14ac:dyDescent="0.3">
      <c r="A1935">
        <v>1477</v>
      </c>
      <c r="B1935" s="1">
        <v>43938</v>
      </c>
      <c r="C1935">
        <v>22</v>
      </c>
      <c r="D1935" t="s">
        <v>15</v>
      </c>
      <c r="E1935">
        <v>150</v>
      </c>
      <c r="F1935">
        <v>45</v>
      </c>
      <c r="G1935">
        <v>11687</v>
      </c>
      <c r="H1935">
        <v>713.8</v>
      </c>
      <c r="I1935">
        <v>10</v>
      </c>
      <c r="J1935">
        <v>85</v>
      </c>
      <c r="K1935" t="s">
        <v>25</v>
      </c>
      <c r="L1935">
        <v>43</v>
      </c>
      <c r="M1935">
        <v>3.29</v>
      </c>
      <c r="N1935">
        <v>5</v>
      </c>
      <c r="O1935" t="s">
        <v>21</v>
      </c>
      <c r="P1935" cm="1">
        <f t="array" ref="P1935">_xlfn.SWITCH(Table2[[#This Row],[mood]], "Tired", 3, "Neutral", 2, "Happy", 1)</f>
        <v>1</v>
      </c>
    </row>
    <row r="1936" spans="1:16" x14ac:dyDescent="0.3">
      <c r="A1936">
        <v>1101</v>
      </c>
      <c r="B1936" s="1">
        <v>43939</v>
      </c>
      <c r="C1936">
        <v>56</v>
      </c>
      <c r="D1936" t="s">
        <v>15</v>
      </c>
      <c r="E1936">
        <v>168.8</v>
      </c>
      <c r="F1936">
        <v>62</v>
      </c>
      <c r="G1936">
        <v>1246</v>
      </c>
      <c r="H1936">
        <v>206.9</v>
      </c>
      <c r="I1936">
        <v>6.6</v>
      </c>
      <c r="J1936">
        <v>82</v>
      </c>
      <c r="K1936" t="s">
        <v>18</v>
      </c>
      <c r="L1936">
        <v>40</v>
      </c>
      <c r="M1936">
        <v>1.6</v>
      </c>
      <c r="N1936">
        <v>1</v>
      </c>
      <c r="O1936" t="s">
        <v>19</v>
      </c>
      <c r="P1936" cm="1">
        <f t="array" ref="P1936">_xlfn.SWITCH(Table2[[#This Row],[mood]], "Tired", 3, "Neutral", 2, "Happy", 1)</f>
        <v>2</v>
      </c>
    </row>
    <row r="1937" spans="1:16" x14ac:dyDescent="0.3">
      <c r="A1937">
        <v>1865</v>
      </c>
      <c r="B1937" s="1">
        <v>43940</v>
      </c>
      <c r="C1937">
        <v>35</v>
      </c>
      <c r="D1937" t="s">
        <v>15</v>
      </c>
      <c r="E1937">
        <v>166.3</v>
      </c>
      <c r="F1937">
        <v>77.099999999999994</v>
      </c>
      <c r="G1937">
        <v>12009</v>
      </c>
      <c r="H1937">
        <v>702</v>
      </c>
      <c r="I1937">
        <v>6.6</v>
      </c>
      <c r="J1937">
        <v>77</v>
      </c>
      <c r="K1937" t="s">
        <v>22</v>
      </c>
      <c r="L1937">
        <v>42</v>
      </c>
      <c r="M1937">
        <v>3.42</v>
      </c>
      <c r="N1937">
        <v>3</v>
      </c>
      <c r="O1937" t="s">
        <v>19</v>
      </c>
      <c r="P1937" cm="1">
        <f t="array" ref="P1937">_xlfn.SWITCH(Table2[[#This Row],[mood]], "Tired", 3, "Neutral", 2, "Happy", 1)</f>
        <v>2</v>
      </c>
    </row>
    <row r="1938" spans="1:16" x14ac:dyDescent="0.3">
      <c r="A1938">
        <v>1523</v>
      </c>
      <c r="B1938" s="1">
        <v>43941</v>
      </c>
      <c r="C1938">
        <v>55</v>
      </c>
      <c r="D1938" t="s">
        <v>20</v>
      </c>
      <c r="E1938">
        <v>174.9</v>
      </c>
      <c r="F1938">
        <v>62.3</v>
      </c>
      <c r="G1938">
        <v>3171</v>
      </c>
      <c r="H1938">
        <v>354.2</v>
      </c>
      <c r="I1938">
        <v>7</v>
      </c>
      <c r="J1938">
        <v>87</v>
      </c>
      <c r="K1938" t="s">
        <v>18</v>
      </c>
      <c r="L1938">
        <v>47</v>
      </c>
      <c r="M1938">
        <v>1.65</v>
      </c>
      <c r="N1938">
        <v>3</v>
      </c>
      <c r="O1938" t="s">
        <v>21</v>
      </c>
      <c r="P1938" cm="1">
        <f t="array" ref="P1938">_xlfn.SWITCH(Table2[[#This Row],[mood]], "Tired", 3, "Neutral", 2, "Happy", 1)</f>
        <v>1</v>
      </c>
    </row>
    <row r="1939" spans="1:16" x14ac:dyDescent="0.3">
      <c r="A1939">
        <v>1274</v>
      </c>
      <c r="B1939" s="1">
        <v>43942</v>
      </c>
      <c r="C1939">
        <v>54</v>
      </c>
      <c r="D1939" t="s">
        <v>20</v>
      </c>
      <c r="E1939">
        <v>159.30000000000001</v>
      </c>
      <c r="F1939">
        <v>91.4</v>
      </c>
      <c r="G1939">
        <v>12523</v>
      </c>
      <c r="H1939">
        <v>624.1</v>
      </c>
      <c r="I1939">
        <v>7.4</v>
      </c>
      <c r="J1939">
        <v>75</v>
      </c>
      <c r="K1939" t="s">
        <v>25</v>
      </c>
      <c r="L1939">
        <v>51</v>
      </c>
      <c r="M1939">
        <v>2.93</v>
      </c>
      <c r="N1939">
        <v>8</v>
      </c>
      <c r="O1939" t="s">
        <v>17</v>
      </c>
      <c r="P1939" cm="1">
        <f t="array" ref="P1939">_xlfn.SWITCH(Table2[[#This Row],[mood]], "Tired", 3, "Neutral", 2, "Happy", 1)</f>
        <v>3</v>
      </c>
    </row>
    <row r="1940" spans="1:16" x14ac:dyDescent="0.3">
      <c r="A1940">
        <v>1612</v>
      </c>
      <c r="B1940" s="1">
        <v>43943</v>
      </c>
      <c r="C1940">
        <v>47</v>
      </c>
      <c r="D1940" t="s">
        <v>15</v>
      </c>
      <c r="E1940">
        <v>165.8</v>
      </c>
      <c r="F1940">
        <v>71.099999999999994</v>
      </c>
      <c r="G1940">
        <v>16528</v>
      </c>
      <c r="H1940">
        <v>860.9</v>
      </c>
      <c r="I1940">
        <v>6.6</v>
      </c>
      <c r="J1940">
        <v>77</v>
      </c>
      <c r="K1940" t="s">
        <v>25</v>
      </c>
      <c r="L1940">
        <v>41</v>
      </c>
      <c r="M1940">
        <v>1.21</v>
      </c>
      <c r="N1940">
        <v>8</v>
      </c>
      <c r="O1940" t="s">
        <v>17</v>
      </c>
      <c r="P1940" cm="1">
        <f t="array" ref="P1940">_xlfn.SWITCH(Table2[[#This Row],[mood]], "Tired", 3, "Neutral", 2, "Happy", 1)</f>
        <v>3</v>
      </c>
    </row>
    <row r="1941" spans="1:16" x14ac:dyDescent="0.3">
      <c r="A1941">
        <v>1043</v>
      </c>
      <c r="B1941" s="1">
        <v>43944</v>
      </c>
      <c r="C1941">
        <v>48</v>
      </c>
      <c r="D1941" t="s">
        <v>20</v>
      </c>
      <c r="E1941">
        <v>150</v>
      </c>
      <c r="F1941">
        <v>86.2</v>
      </c>
      <c r="G1941">
        <v>16276</v>
      </c>
      <c r="H1941">
        <v>750.2</v>
      </c>
      <c r="I1941">
        <v>6.4</v>
      </c>
      <c r="J1941">
        <v>71</v>
      </c>
      <c r="K1941" t="s">
        <v>23</v>
      </c>
      <c r="L1941">
        <v>81</v>
      </c>
      <c r="M1941">
        <v>2.5299999999999998</v>
      </c>
      <c r="N1941">
        <v>9</v>
      </c>
      <c r="O1941" t="s">
        <v>19</v>
      </c>
      <c r="P1941" cm="1">
        <f t="array" ref="P1941">_xlfn.SWITCH(Table2[[#This Row],[mood]], "Tired", 3, "Neutral", 2, "Happy", 1)</f>
        <v>2</v>
      </c>
    </row>
    <row r="1942" spans="1:16" x14ac:dyDescent="0.3">
      <c r="A1942">
        <v>1954</v>
      </c>
      <c r="B1942" s="1">
        <v>43945</v>
      </c>
      <c r="C1942">
        <v>27</v>
      </c>
      <c r="D1942" t="s">
        <v>20</v>
      </c>
      <c r="E1942">
        <v>175.6</v>
      </c>
      <c r="F1942">
        <v>73.099999999999994</v>
      </c>
      <c r="G1942">
        <v>8457</v>
      </c>
      <c r="H1942">
        <v>611.79999999999995</v>
      </c>
      <c r="I1942">
        <v>7.1</v>
      </c>
      <c r="J1942">
        <v>64</v>
      </c>
      <c r="K1942" t="s">
        <v>23</v>
      </c>
      <c r="L1942">
        <v>86</v>
      </c>
      <c r="M1942">
        <v>1.54</v>
      </c>
      <c r="N1942">
        <v>10</v>
      </c>
      <c r="O1942" t="s">
        <v>17</v>
      </c>
      <c r="P1942" cm="1">
        <f t="array" ref="P1942">_xlfn.SWITCH(Table2[[#This Row],[mood]], "Tired", 3, "Neutral", 2, "Happy", 1)</f>
        <v>3</v>
      </c>
    </row>
    <row r="1943" spans="1:16" x14ac:dyDescent="0.3">
      <c r="A1943">
        <v>1816</v>
      </c>
      <c r="B1943" s="1">
        <v>43946</v>
      </c>
      <c r="C1943">
        <v>32</v>
      </c>
      <c r="D1943" t="s">
        <v>15</v>
      </c>
      <c r="E1943">
        <v>169.1</v>
      </c>
      <c r="F1943">
        <v>65.900000000000006</v>
      </c>
      <c r="G1943">
        <v>3060</v>
      </c>
      <c r="H1943">
        <v>256.5</v>
      </c>
      <c r="I1943">
        <v>4.4000000000000004</v>
      </c>
      <c r="J1943">
        <v>81</v>
      </c>
      <c r="K1943" t="s">
        <v>16</v>
      </c>
      <c r="L1943">
        <v>0</v>
      </c>
      <c r="M1943">
        <v>3.85</v>
      </c>
      <c r="N1943">
        <v>7</v>
      </c>
      <c r="O1943" t="s">
        <v>19</v>
      </c>
      <c r="P1943" cm="1">
        <f t="array" ref="P1943">_xlfn.SWITCH(Table2[[#This Row],[mood]], "Tired", 3, "Neutral", 2, "Happy", 1)</f>
        <v>2</v>
      </c>
    </row>
    <row r="1944" spans="1:16" x14ac:dyDescent="0.3">
      <c r="A1944">
        <v>1956</v>
      </c>
      <c r="B1944" s="1">
        <v>43947</v>
      </c>
      <c r="C1944">
        <v>59</v>
      </c>
      <c r="D1944" t="s">
        <v>15</v>
      </c>
      <c r="E1944">
        <v>170.9</v>
      </c>
      <c r="F1944">
        <v>62.9</v>
      </c>
      <c r="G1944">
        <v>4334</v>
      </c>
      <c r="H1944">
        <v>363.9</v>
      </c>
      <c r="I1944">
        <v>6.2</v>
      </c>
      <c r="J1944">
        <v>59</v>
      </c>
      <c r="K1944" t="s">
        <v>23</v>
      </c>
      <c r="L1944">
        <v>84</v>
      </c>
      <c r="M1944">
        <v>1.75</v>
      </c>
      <c r="N1944">
        <v>6</v>
      </c>
      <c r="O1944" t="s">
        <v>17</v>
      </c>
      <c r="P1944" cm="1">
        <f t="array" ref="P1944">_xlfn.SWITCH(Table2[[#This Row],[mood]], "Tired", 3, "Neutral", 2, "Happy", 1)</f>
        <v>3</v>
      </c>
    </row>
    <row r="1945" spans="1:16" x14ac:dyDescent="0.3">
      <c r="A1945">
        <v>1016</v>
      </c>
      <c r="B1945" s="1">
        <v>43948</v>
      </c>
      <c r="C1945">
        <v>35</v>
      </c>
      <c r="D1945" t="s">
        <v>20</v>
      </c>
      <c r="E1945">
        <v>155.1</v>
      </c>
      <c r="F1945">
        <v>54.8</v>
      </c>
      <c r="G1945">
        <v>14087</v>
      </c>
      <c r="H1945">
        <v>763.2</v>
      </c>
      <c r="I1945">
        <v>4</v>
      </c>
      <c r="J1945">
        <v>66</v>
      </c>
      <c r="K1945" t="s">
        <v>16</v>
      </c>
      <c r="L1945">
        <v>0</v>
      </c>
      <c r="M1945">
        <v>1.92</v>
      </c>
      <c r="N1945">
        <v>8</v>
      </c>
      <c r="O1945" t="s">
        <v>17</v>
      </c>
      <c r="P1945" cm="1">
        <f t="array" ref="P1945">_xlfn.SWITCH(Table2[[#This Row],[mood]], "Tired", 3, "Neutral", 2, "Happy", 1)</f>
        <v>3</v>
      </c>
    </row>
    <row r="1946" spans="1:16" x14ac:dyDescent="0.3">
      <c r="A1946">
        <v>1329</v>
      </c>
      <c r="B1946" s="1">
        <v>43949</v>
      </c>
      <c r="C1946">
        <v>40</v>
      </c>
      <c r="D1946" t="s">
        <v>20</v>
      </c>
      <c r="E1946">
        <v>174</v>
      </c>
      <c r="F1946">
        <v>86.4</v>
      </c>
      <c r="G1946">
        <v>1944</v>
      </c>
      <c r="H1946">
        <v>229.7</v>
      </c>
      <c r="I1946">
        <v>6.3</v>
      </c>
      <c r="J1946">
        <v>77</v>
      </c>
      <c r="K1946" t="s">
        <v>23</v>
      </c>
      <c r="L1946">
        <v>70</v>
      </c>
      <c r="M1946">
        <v>2.87</v>
      </c>
      <c r="N1946">
        <v>3</v>
      </c>
      <c r="O1946" t="s">
        <v>17</v>
      </c>
      <c r="P1946" cm="1">
        <f t="array" ref="P1946">_xlfn.SWITCH(Table2[[#This Row],[mood]], "Tired", 3, "Neutral", 2, "Happy", 1)</f>
        <v>3</v>
      </c>
    </row>
    <row r="1947" spans="1:16" x14ac:dyDescent="0.3">
      <c r="A1947">
        <v>1568</v>
      </c>
      <c r="B1947" s="1">
        <v>43950</v>
      </c>
      <c r="C1947">
        <v>50</v>
      </c>
      <c r="D1947" t="s">
        <v>15</v>
      </c>
      <c r="E1947">
        <v>186.5</v>
      </c>
      <c r="F1947">
        <v>63.6</v>
      </c>
      <c r="G1947">
        <v>6361</v>
      </c>
      <c r="H1947">
        <v>546.9</v>
      </c>
      <c r="I1947">
        <v>5.6</v>
      </c>
      <c r="J1947">
        <v>67</v>
      </c>
      <c r="K1947" t="s">
        <v>16</v>
      </c>
      <c r="L1947">
        <v>0</v>
      </c>
      <c r="M1947">
        <v>2.08</v>
      </c>
      <c r="N1947">
        <v>10</v>
      </c>
      <c r="O1947" t="s">
        <v>19</v>
      </c>
      <c r="P1947" cm="1">
        <f t="array" ref="P1947">_xlfn.SWITCH(Table2[[#This Row],[mood]], "Tired", 3, "Neutral", 2, "Happy", 1)</f>
        <v>2</v>
      </c>
    </row>
    <row r="1948" spans="1:16" x14ac:dyDescent="0.3">
      <c r="A1948">
        <v>1822</v>
      </c>
      <c r="B1948" s="1">
        <v>43951</v>
      </c>
      <c r="C1948">
        <v>33</v>
      </c>
      <c r="D1948" t="s">
        <v>20</v>
      </c>
      <c r="E1948">
        <v>168.2</v>
      </c>
      <c r="F1948">
        <v>77.8</v>
      </c>
      <c r="G1948">
        <v>15638</v>
      </c>
      <c r="H1948">
        <v>790.9</v>
      </c>
      <c r="I1948">
        <v>7.9</v>
      </c>
      <c r="J1948">
        <v>75</v>
      </c>
      <c r="K1948" t="s">
        <v>24</v>
      </c>
      <c r="L1948">
        <v>76</v>
      </c>
      <c r="M1948">
        <v>2.99</v>
      </c>
      <c r="N1948">
        <v>10</v>
      </c>
      <c r="O1948" t="s">
        <v>19</v>
      </c>
      <c r="P1948" cm="1">
        <f t="array" ref="P1948">_xlfn.SWITCH(Table2[[#This Row],[mood]], "Tired", 3, "Neutral", 2, "Happy", 1)</f>
        <v>2</v>
      </c>
    </row>
    <row r="1949" spans="1:16" x14ac:dyDescent="0.3">
      <c r="A1949">
        <v>1496</v>
      </c>
      <c r="B1949" s="1">
        <v>43952</v>
      </c>
      <c r="C1949">
        <v>55</v>
      </c>
      <c r="D1949" t="s">
        <v>20</v>
      </c>
      <c r="E1949">
        <v>176.5</v>
      </c>
      <c r="F1949">
        <v>62.1</v>
      </c>
      <c r="G1949">
        <v>6284</v>
      </c>
      <c r="H1949">
        <v>437.9</v>
      </c>
      <c r="I1949">
        <v>5.9</v>
      </c>
      <c r="J1949">
        <v>76</v>
      </c>
      <c r="K1949" t="s">
        <v>23</v>
      </c>
      <c r="L1949">
        <v>74</v>
      </c>
      <c r="M1949">
        <v>2</v>
      </c>
      <c r="N1949">
        <v>10</v>
      </c>
      <c r="O1949" t="s">
        <v>21</v>
      </c>
      <c r="P1949" cm="1">
        <f t="array" ref="P1949">_xlfn.SWITCH(Table2[[#This Row],[mood]], "Tired", 3, "Neutral", 2, "Happy", 1)</f>
        <v>1</v>
      </c>
    </row>
    <row r="1950" spans="1:16" x14ac:dyDescent="0.3">
      <c r="A1950">
        <v>1814</v>
      </c>
      <c r="B1950" s="1">
        <v>43953</v>
      </c>
      <c r="C1950">
        <v>52</v>
      </c>
      <c r="D1950" t="s">
        <v>15</v>
      </c>
      <c r="E1950">
        <v>161.30000000000001</v>
      </c>
      <c r="F1950">
        <v>53.8</v>
      </c>
      <c r="G1950">
        <v>10244</v>
      </c>
      <c r="H1950">
        <v>575.29999999999995</v>
      </c>
      <c r="I1950">
        <v>6.5</v>
      </c>
      <c r="J1950">
        <v>69</v>
      </c>
      <c r="K1950" t="s">
        <v>25</v>
      </c>
      <c r="L1950">
        <v>61</v>
      </c>
      <c r="M1950">
        <v>1.95</v>
      </c>
      <c r="N1950">
        <v>8</v>
      </c>
      <c r="O1950" t="s">
        <v>21</v>
      </c>
      <c r="P1950" cm="1">
        <f t="array" ref="P1950">_xlfn.SWITCH(Table2[[#This Row],[mood]], "Tired", 3, "Neutral", 2, "Happy", 1)</f>
        <v>1</v>
      </c>
    </row>
    <row r="1951" spans="1:16" x14ac:dyDescent="0.3">
      <c r="A1951">
        <v>1011</v>
      </c>
      <c r="B1951" s="1">
        <v>43954</v>
      </c>
      <c r="C1951">
        <v>51</v>
      </c>
      <c r="D1951" t="s">
        <v>15</v>
      </c>
      <c r="E1951">
        <v>169.2</v>
      </c>
      <c r="F1951">
        <v>78.3</v>
      </c>
      <c r="G1951">
        <v>11916</v>
      </c>
      <c r="H1951">
        <v>641.70000000000005</v>
      </c>
      <c r="I1951">
        <v>3.8</v>
      </c>
      <c r="J1951">
        <v>76</v>
      </c>
      <c r="K1951" t="s">
        <v>16</v>
      </c>
      <c r="L1951">
        <v>0</v>
      </c>
      <c r="M1951">
        <v>2.48</v>
      </c>
      <c r="N1951">
        <v>3</v>
      </c>
      <c r="O1951" t="s">
        <v>17</v>
      </c>
      <c r="P1951" cm="1">
        <f t="array" ref="P1951">_xlfn.SWITCH(Table2[[#This Row],[mood]], "Tired", 3, "Neutral", 2, "Happy", 1)</f>
        <v>3</v>
      </c>
    </row>
    <row r="1952" spans="1:16" x14ac:dyDescent="0.3">
      <c r="A1952">
        <v>1317</v>
      </c>
      <c r="B1952" s="1">
        <v>43955</v>
      </c>
      <c r="C1952">
        <v>45</v>
      </c>
      <c r="D1952" t="s">
        <v>20</v>
      </c>
      <c r="E1952">
        <v>154.69999999999999</v>
      </c>
      <c r="F1952">
        <v>58.8</v>
      </c>
      <c r="G1952">
        <v>10509</v>
      </c>
      <c r="H1952">
        <v>614.9</v>
      </c>
      <c r="I1952">
        <v>8.5</v>
      </c>
      <c r="J1952">
        <v>75</v>
      </c>
      <c r="K1952" t="s">
        <v>25</v>
      </c>
      <c r="L1952">
        <v>80</v>
      </c>
      <c r="M1952">
        <v>1.65</v>
      </c>
      <c r="N1952">
        <v>2</v>
      </c>
      <c r="O1952" t="s">
        <v>17</v>
      </c>
      <c r="P1952" cm="1">
        <f t="array" ref="P1952">_xlfn.SWITCH(Table2[[#This Row],[mood]], "Tired", 3, "Neutral", 2, "Happy", 1)</f>
        <v>3</v>
      </c>
    </row>
    <row r="1953" spans="1:16" x14ac:dyDescent="0.3">
      <c r="A1953">
        <v>1591</v>
      </c>
      <c r="B1953" s="1">
        <v>43956</v>
      </c>
      <c r="C1953">
        <v>19</v>
      </c>
      <c r="D1953" t="s">
        <v>20</v>
      </c>
      <c r="E1953">
        <v>177.9</v>
      </c>
      <c r="F1953">
        <v>64</v>
      </c>
      <c r="G1953">
        <v>13764</v>
      </c>
      <c r="H1953">
        <v>785.7</v>
      </c>
      <c r="I1953">
        <v>5.4</v>
      </c>
      <c r="J1953">
        <v>64</v>
      </c>
      <c r="K1953" t="s">
        <v>16</v>
      </c>
      <c r="L1953">
        <v>0</v>
      </c>
      <c r="M1953">
        <v>2.78</v>
      </c>
      <c r="N1953">
        <v>9</v>
      </c>
      <c r="O1953" t="s">
        <v>17</v>
      </c>
      <c r="P1953" cm="1">
        <f t="array" ref="P1953">_xlfn.SWITCH(Table2[[#This Row],[mood]], "Tired", 3, "Neutral", 2, "Happy", 1)</f>
        <v>3</v>
      </c>
    </row>
    <row r="1954" spans="1:16" x14ac:dyDescent="0.3">
      <c r="A1954">
        <v>1215</v>
      </c>
      <c r="B1954" s="1">
        <v>43957</v>
      </c>
      <c r="C1954">
        <v>47</v>
      </c>
      <c r="D1954" t="s">
        <v>20</v>
      </c>
      <c r="E1954">
        <v>171.6</v>
      </c>
      <c r="F1954">
        <v>51.3</v>
      </c>
      <c r="G1954">
        <v>15891</v>
      </c>
      <c r="H1954">
        <v>843.6</v>
      </c>
      <c r="I1954">
        <v>6.3</v>
      </c>
      <c r="J1954">
        <v>80</v>
      </c>
      <c r="K1954" t="s">
        <v>22</v>
      </c>
      <c r="L1954">
        <v>20</v>
      </c>
      <c r="M1954">
        <v>3.11</v>
      </c>
      <c r="N1954">
        <v>1</v>
      </c>
      <c r="O1954" t="s">
        <v>19</v>
      </c>
      <c r="P1954" cm="1">
        <f t="array" ref="P1954">_xlfn.SWITCH(Table2[[#This Row],[mood]], "Tired", 3, "Neutral", 2, "Happy", 1)</f>
        <v>2</v>
      </c>
    </row>
    <row r="1955" spans="1:16" x14ac:dyDescent="0.3">
      <c r="A1955">
        <v>1338</v>
      </c>
      <c r="B1955" s="1">
        <v>43958</v>
      </c>
      <c r="C1955">
        <v>30</v>
      </c>
      <c r="D1955" t="s">
        <v>15</v>
      </c>
      <c r="E1955">
        <v>157.80000000000001</v>
      </c>
      <c r="F1955">
        <v>62.6</v>
      </c>
      <c r="G1955">
        <v>15003</v>
      </c>
      <c r="H1955">
        <v>762.2</v>
      </c>
      <c r="I1955">
        <v>8.1999999999999993</v>
      </c>
      <c r="J1955">
        <v>55</v>
      </c>
      <c r="K1955" t="s">
        <v>16</v>
      </c>
      <c r="L1955">
        <v>0</v>
      </c>
      <c r="M1955">
        <v>2.89</v>
      </c>
      <c r="N1955">
        <v>10</v>
      </c>
      <c r="O1955" t="s">
        <v>17</v>
      </c>
      <c r="P1955" cm="1">
        <f t="array" ref="P1955">_xlfn.SWITCH(Table2[[#This Row],[mood]], "Tired", 3, "Neutral", 2, "Happy", 1)</f>
        <v>3</v>
      </c>
    </row>
    <row r="1956" spans="1:16" x14ac:dyDescent="0.3">
      <c r="A1956">
        <v>1775</v>
      </c>
      <c r="B1956" s="1">
        <v>43959</v>
      </c>
      <c r="C1956">
        <v>58</v>
      </c>
      <c r="D1956" t="s">
        <v>20</v>
      </c>
      <c r="E1956">
        <v>162</v>
      </c>
      <c r="F1956">
        <v>70.400000000000006</v>
      </c>
      <c r="G1956">
        <v>10866</v>
      </c>
      <c r="H1956">
        <v>634.29999999999995</v>
      </c>
      <c r="I1956">
        <v>8.1999999999999993</v>
      </c>
      <c r="J1956">
        <v>94</v>
      </c>
      <c r="K1956" t="s">
        <v>18</v>
      </c>
      <c r="L1956">
        <v>82</v>
      </c>
      <c r="M1956">
        <v>2.95</v>
      </c>
      <c r="N1956">
        <v>10</v>
      </c>
      <c r="O1956" t="s">
        <v>21</v>
      </c>
      <c r="P1956" cm="1">
        <f t="array" ref="P1956">_xlfn.SWITCH(Table2[[#This Row],[mood]], "Tired", 3, "Neutral", 2, "Happy", 1)</f>
        <v>1</v>
      </c>
    </row>
    <row r="1957" spans="1:16" x14ac:dyDescent="0.3">
      <c r="A1957">
        <v>1990</v>
      </c>
      <c r="B1957" s="1">
        <v>43960</v>
      </c>
      <c r="C1957">
        <v>33</v>
      </c>
      <c r="D1957" t="s">
        <v>20</v>
      </c>
      <c r="E1957">
        <v>170.6</v>
      </c>
      <c r="F1957">
        <v>65.7</v>
      </c>
      <c r="G1957">
        <v>1333</v>
      </c>
      <c r="H1957">
        <v>185</v>
      </c>
      <c r="I1957">
        <v>5.3</v>
      </c>
      <c r="J1957">
        <v>80</v>
      </c>
      <c r="K1957" t="s">
        <v>16</v>
      </c>
      <c r="L1957">
        <v>0</v>
      </c>
      <c r="M1957">
        <v>1.1499999999999999</v>
      </c>
      <c r="N1957">
        <v>2</v>
      </c>
      <c r="O1957" t="s">
        <v>17</v>
      </c>
      <c r="P1957" cm="1">
        <f t="array" ref="P1957">_xlfn.SWITCH(Table2[[#This Row],[mood]], "Tired", 3, "Neutral", 2, "Happy", 1)</f>
        <v>3</v>
      </c>
    </row>
    <row r="1958" spans="1:16" x14ac:dyDescent="0.3">
      <c r="A1958">
        <v>1660</v>
      </c>
      <c r="B1958" s="1">
        <v>43961</v>
      </c>
      <c r="C1958">
        <v>22</v>
      </c>
      <c r="D1958" t="s">
        <v>15</v>
      </c>
      <c r="E1958">
        <v>179.2</v>
      </c>
      <c r="F1958">
        <v>82.3</v>
      </c>
      <c r="G1958">
        <v>10456</v>
      </c>
      <c r="H1958">
        <v>677.4</v>
      </c>
      <c r="I1958">
        <v>7.8</v>
      </c>
      <c r="J1958">
        <v>85</v>
      </c>
      <c r="K1958" t="s">
        <v>16</v>
      </c>
      <c r="L1958">
        <v>0</v>
      </c>
      <c r="M1958">
        <v>2.1800000000000002</v>
      </c>
      <c r="N1958">
        <v>7</v>
      </c>
      <c r="O1958" t="s">
        <v>21</v>
      </c>
      <c r="P1958" cm="1">
        <f t="array" ref="P1958">_xlfn.SWITCH(Table2[[#This Row],[mood]], "Tired", 3, "Neutral", 2, "Happy", 1)</f>
        <v>1</v>
      </c>
    </row>
    <row r="1959" spans="1:16" x14ac:dyDescent="0.3">
      <c r="A1959">
        <v>1080</v>
      </c>
      <c r="B1959" s="1">
        <v>43962</v>
      </c>
      <c r="C1959">
        <v>45</v>
      </c>
      <c r="D1959" t="s">
        <v>15</v>
      </c>
      <c r="E1959">
        <v>184.8</v>
      </c>
      <c r="F1959">
        <v>72.2</v>
      </c>
      <c r="G1959">
        <v>12369</v>
      </c>
      <c r="H1959">
        <v>669.5</v>
      </c>
      <c r="I1959">
        <v>5.3</v>
      </c>
      <c r="J1959">
        <v>82</v>
      </c>
      <c r="K1959" t="s">
        <v>24</v>
      </c>
      <c r="L1959">
        <v>69</v>
      </c>
      <c r="M1959">
        <v>2.34</v>
      </c>
      <c r="N1959">
        <v>1</v>
      </c>
      <c r="O1959" t="s">
        <v>17</v>
      </c>
      <c r="P1959" cm="1">
        <f t="array" ref="P1959">_xlfn.SWITCH(Table2[[#This Row],[mood]], "Tired", 3, "Neutral", 2, "Happy", 1)</f>
        <v>3</v>
      </c>
    </row>
    <row r="1960" spans="1:16" x14ac:dyDescent="0.3">
      <c r="A1960">
        <v>1726</v>
      </c>
      <c r="B1960" s="1">
        <v>43963</v>
      </c>
      <c r="C1960">
        <v>56</v>
      </c>
      <c r="D1960" t="s">
        <v>20</v>
      </c>
      <c r="E1960">
        <v>168.7</v>
      </c>
      <c r="F1960">
        <v>116.3</v>
      </c>
      <c r="G1960">
        <v>14218</v>
      </c>
      <c r="H1960">
        <v>746.1</v>
      </c>
      <c r="I1960">
        <v>7.3</v>
      </c>
      <c r="J1960">
        <v>75</v>
      </c>
      <c r="K1960" t="s">
        <v>24</v>
      </c>
      <c r="L1960">
        <v>33</v>
      </c>
      <c r="M1960">
        <v>3.52</v>
      </c>
      <c r="N1960">
        <v>5</v>
      </c>
      <c r="O1960" t="s">
        <v>17</v>
      </c>
      <c r="P1960" cm="1">
        <f t="array" ref="P1960">_xlfn.SWITCH(Table2[[#This Row],[mood]], "Tired", 3, "Neutral", 2, "Happy", 1)</f>
        <v>3</v>
      </c>
    </row>
    <row r="1961" spans="1:16" x14ac:dyDescent="0.3">
      <c r="A1961">
        <v>1484</v>
      </c>
      <c r="B1961" s="1">
        <v>43964</v>
      </c>
      <c r="C1961">
        <v>37</v>
      </c>
      <c r="D1961" t="s">
        <v>15</v>
      </c>
      <c r="E1961">
        <v>156.4</v>
      </c>
      <c r="F1961">
        <v>76.400000000000006</v>
      </c>
      <c r="G1961">
        <v>5656</v>
      </c>
      <c r="H1961">
        <v>328.9</v>
      </c>
      <c r="I1961">
        <v>5.8</v>
      </c>
      <c r="J1961">
        <v>67</v>
      </c>
      <c r="K1961" t="s">
        <v>22</v>
      </c>
      <c r="L1961">
        <v>36</v>
      </c>
      <c r="M1961">
        <v>2.09</v>
      </c>
      <c r="N1961">
        <v>9</v>
      </c>
      <c r="O1961" t="s">
        <v>17</v>
      </c>
      <c r="P1961" cm="1">
        <f t="array" ref="P1961">_xlfn.SWITCH(Table2[[#This Row],[mood]], "Tired", 3, "Neutral", 2, "Happy", 1)</f>
        <v>3</v>
      </c>
    </row>
    <row r="1962" spans="1:16" x14ac:dyDescent="0.3">
      <c r="A1962">
        <v>1373</v>
      </c>
      <c r="B1962" s="1">
        <v>43965</v>
      </c>
      <c r="C1962">
        <v>41</v>
      </c>
      <c r="D1962" t="s">
        <v>15</v>
      </c>
      <c r="E1962">
        <v>172.4</v>
      </c>
      <c r="F1962">
        <v>45</v>
      </c>
      <c r="G1962">
        <v>13410</v>
      </c>
      <c r="H1962">
        <v>711.1</v>
      </c>
      <c r="I1962">
        <v>5.5</v>
      </c>
      <c r="J1962">
        <v>75</v>
      </c>
      <c r="K1962" t="s">
        <v>22</v>
      </c>
      <c r="L1962">
        <v>49</v>
      </c>
      <c r="M1962">
        <v>0.89</v>
      </c>
      <c r="N1962">
        <v>9</v>
      </c>
      <c r="O1962" t="s">
        <v>21</v>
      </c>
      <c r="P1962" cm="1">
        <f t="array" ref="P1962">_xlfn.SWITCH(Table2[[#This Row],[mood]], "Tired", 3, "Neutral", 2, "Happy", 1)</f>
        <v>1</v>
      </c>
    </row>
    <row r="1963" spans="1:16" x14ac:dyDescent="0.3">
      <c r="A1963">
        <v>1975</v>
      </c>
      <c r="B1963" s="1">
        <v>43966</v>
      </c>
      <c r="C1963">
        <v>44</v>
      </c>
      <c r="D1963" t="s">
        <v>20</v>
      </c>
      <c r="E1963">
        <v>187.8</v>
      </c>
      <c r="F1963">
        <v>66.8</v>
      </c>
      <c r="G1963">
        <v>3665</v>
      </c>
      <c r="H1963">
        <v>430.7</v>
      </c>
      <c r="I1963">
        <v>7.1</v>
      </c>
      <c r="J1963">
        <v>83</v>
      </c>
      <c r="K1963" t="s">
        <v>23</v>
      </c>
      <c r="L1963">
        <v>70</v>
      </c>
      <c r="M1963">
        <v>1.8</v>
      </c>
      <c r="N1963">
        <v>4</v>
      </c>
      <c r="O1963" t="s">
        <v>21</v>
      </c>
      <c r="P1963" cm="1">
        <f t="array" ref="P1963">_xlfn.SWITCH(Table2[[#This Row],[mood]], "Tired", 3, "Neutral", 2, "Happy", 1)</f>
        <v>1</v>
      </c>
    </row>
    <row r="1964" spans="1:16" x14ac:dyDescent="0.3">
      <c r="A1964">
        <v>1709</v>
      </c>
      <c r="B1964" s="1">
        <v>43967</v>
      </c>
      <c r="C1964">
        <v>47</v>
      </c>
      <c r="D1964" t="s">
        <v>15</v>
      </c>
      <c r="E1964">
        <v>153.80000000000001</v>
      </c>
      <c r="F1964">
        <v>68.099999999999994</v>
      </c>
      <c r="G1964">
        <v>8131</v>
      </c>
      <c r="H1964">
        <v>555.79999999999995</v>
      </c>
      <c r="I1964">
        <v>5.9</v>
      </c>
      <c r="J1964">
        <v>67</v>
      </c>
      <c r="K1964" t="s">
        <v>22</v>
      </c>
      <c r="L1964">
        <v>81</v>
      </c>
      <c r="M1964">
        <v>2.04</v>
      </c>
      <c r="N1964">
        <v>10</v>
      </c>
      <c r="O1964" t="s">
        <v>19</v>
      </c>
      <c r="P1964" cm="1">
        <f t="array" ref="P1964">_xlfn.SWITCH(Table2[[#This Row],[mood]], "Tired", 3, "Neutral", 2, "Happy", 1)</f>
        <v>2</v>
      </c>
    </row>
    <row r="1965" spans="1:16" x14ac:dyDescent="0.3">
      <c r="A1965">
        <v>1199</v>
      </c>
      <c r="B1965" s="1">
        <v>43968</v>
      </c>
      <c r="C1965">
        <v>44</v>
      </c>
      <c r="D1965" t="s">
        <v>15</v>
      </c>
      <c r="E1965">
        <v>160.5</v>
      </c>
      <c r="F1965">
        <v>60.8</v>
      </c>
      <c r="G1965">
        <v>5935</v>
      </c>
      <c r="H1965">
        <v>492.8</v>
      </c>
      <c r="I1965">
        <v>10</v>
      </c>
      <c r="J1965">
        <v>77</v>
      </c>
      <c r="K1965" t="s">
        <v>24</v>
      </c>
      <c r="L1965">
        <v>43</v>
      </c>
      <c r="M1965">
        <v>0.99</v>
      </c>
      <c r="N1965">
        <v>2</v>
      </c>
      <c r="O1965" t="s">
        <v>21</v>
      </c>
      <c r="P1965" cm="1">
        <f t="array" ref="P1965">_xlfn.SWITCH(Table2[[#This Row],[mood]], "Tired", 3, "Neutral", 2, "Happy", 1)</f>
        <v>1</v>
      </c>
    </row>
    <row r="1966" spans="1:16" x14ac:dyDescent="0.3">
      <c r="A1966">
        <v>1536</v>
      </c>
      <c r="B1966" s="1">
        <v>43969</v>
      </c>
      <c r="C1966">
        <v>43</v>
      </c>
      <c r="D1966" t="s">
        <v>20</v>
      </c>
      <c r="E1966">
        <v>176.1</v>
      </c>
      <c r="F1966">
        <v>71.099999999999994</v>
      </c>
      <c r="G1966">
        <v>1415</v>
      </c>
      <c r="H1966">
        <v>262.39999999999998</v>
      </c>
      <c r="I1966">
        <v>6.1</v>
      </c>
      <c r="J1966">
        <v>57</v>
      </c>
      <c r="K1966" t="s">
        <v>18</v>
      </c>
      <c r="L1966">
        <v>82</v>
      </c>
      <c r="M1966">
        <v>3.18</v>
      </c>
      <c r="N1966">
        <v>9</v>
      </c>
      <c r="O1966" t="s">
        <v>17</v>
      </c>
      <c r="P1966" cm="1">
        <f t="array" ref="P1966">_xlfn.SWITCH(Table2[[#This Row],[mood]], "Tired", 3, "Neutral", 2, "Happy", 1)</f>
        <v>3</v>
      </c>
    </row>
    <row r="1967" spans="1:16" x14ac:dyDescent="0.3">
      <c r="A1967">
        <v>1465</v>
      </c>
      <c r="B1967" s="1">
        <v>43970</v>
      </c>
      <c r="C1967">
        <v>24</v>
      </c>
      <c r="D1967" t="s">
        <v>15</v>
      </c>
      <c r="E1967">
        <v>171.5</v>
      </c>
      <c r="F1967">
        <v>60.3</v>
      </c>
      <c r="G1967">
        <v>1707</v>
      </c>
      <c r="H1967">
        <v>137.30000000000001</v>
      </c>
      <c r="I1967">
        <v>5.2</v>
      </c>
      <c r="J1967">
        <v>67</v>
      </c>
      <c r="K1967" t="s">
        <v>16</v>
      </c>
      <c r="L1967">
        <v>0</v>
      </c>
      <c r="M1967">
        <v>1.4</v>
      </c>
      <c r="N1967">
        <v>4</v>
      </c>
      <c r="O1967" t="s">
        <v>21</v>
      </c>
      <c r="P1967" cm="1">
        <f t="array" ref="P1967">_xlfn.SWITCH(Table2[[#This Row],[mood]], "Tired", 3, "Neutral", 2, "Happy", 1)</f>
        <v>1</v>
      </c>
    </row>
    <row r="1968" spans="1:16" x14ac:dyDescent="0.3">
      <c r="A1968">
        <v>1088</v>
      </c>
      <c r="B1968" s="1">
        <v>43971</v>
      </c>
      <c r="C1968">
        <v>59</v>
      </c>
      <c r="D1968" t="s">
        <v>20</v>
      </c>
      <c r="E1968">
        <v>164.5</v>
      </c>
      <c r="F1968">
        <v>75</v>
      </c>
      <c r="G1968">
        <v>3684</v>
      </c>
      <c r="H1968">
        <v>350.8</v>
      </c>
      <c r="I1968">
        <v>5.7</v>
      </c>
      <c r="J1968">
        <v>66</v>
      </c>
      <c r="K1968" t="s">
        <v>18</v>
      </c>
      <c r="L1968">
        <v>53</v>
      </c>
      <c r="M1968">
        <v>2.81</v>
      </c>
      <c r="N1968">
        <v>3</v>
      </c>
      <c r="O1968" t="s">
        <v>17</v>
      </c>
      <c r="P1968" cm="1">
        <f t="array" ref="P1968">_xlfn.SWITCH(Table2[[#This Row],[mood]], "Tired", 3, "Neutral", 2, "Happy", 1)</f>
        <v>3</v>
      </c>
    </row>
    <row r="1969" spans="1:16" x14ac:dyDescent="0.3">
      <c r="A1969">
        <v>1267</v>
      </c>
      <c r="B1969" s="1">
        <v>43972</v>
      </c>
      <c r="C1969">
        <v>55</v>
      </c>
      <c r="D1969" t="s">
        <v>20</v>
      </c>
      <c r="E1969">
        <v>172.2</v>
      </c>
      <c r="F1969">
        <v>45</v>
      </c>
      <c r="G1969">
        <v>8494</v>
      </c>
      <c r="H1969">
        <v>549.79999999999995</v>
      </c>
      <c r="I1969">
        <v>7</v>
      </c>
      <c r="J1969">
        <v>92</v>
      </c>
      <c r="K1969" t="s">
        <v>24</v>
      </c>
      <c r="L1969">
        <v>78</v>
      </c>
      <c r="M1969">
        <v>1.74</v>
      </c>
      <c r="N1969">
        <v>3</v>
      </c>
      <c r="O1969" t="s">
        <v>17</v>
      </c>
      <c r="P1969" cm="1">
        <f t="array" ref="P1969">_xlfn.SWITCH(Table2[[#This Row],[mood]], "Tired", 3, "Neutral", 2, "Happy", 1)</f>
        <v>3</v>
      </c>
    </row>
    <row r="1970" spans="1:16" x14ac:dyDescent="0.3">
      <c r="A1970">
        <v>1654</v>
      </c>
      <c r="B1970" s="1">
        <v>43973</v>
      </c>
      <c r="C1970">
        <v>22</v>
      </c>
      <c r="D1970" t="s">
        <v>15</v>
      </c>
      <c r="E1970">
        <v>179.8</v>
      </c>
      <c r="F1970">
        <v>87.2</v>
      </c>
      <c r="G1970">
        <v>7180</v>
      </c>
      <c r="H1970">
        <v>532</v>
      </c>
      <c r="I1970">
        <v>7.2</v>
      </c>
      <c r="J1970">
        <v>62</v>
      </c>
      <c r="K1970" t="s">
        <v>23</v>
      </c>
      <c r="L1970">
        <v>84</v>
      </c>
      <c r="M1970">
        <v>3.55</v>
      </c>
      <c r="N1970">
        <v>7</v>
      </c>
      <c r="O1970" t="s">
        <v>21</v>
      </c>
      <c r="P1970" cm="1">
        <f t="array" ref="P1970">_xlfn.SWITCH(Table2[[#This Row],[mood]], "Tired", 3, "Neutral", 2, "Happy", 1)</f>
        <v>1</v>
      </c>
    </row>
    <row r="1971" spans="1:16" x14ac:dyDescent="0.3">
      <c r="A1971">
        <v>1570</v>
      </c>
      <c r="B1971" s="1">
        <v>43974</v>
      </c>
      <c r="C1971">
        <v>40</v>
      </c>
      <c r="D1971" t="s">
        <v>15</v>
      </c>
      <c r="E1971">
        <v>169</v>
      </c>
      <c r="F1971">
        <v>46.3</v>
      </c>
      <c r="G1971">
        <v>15011</v>
      </c>
      <c r="H1971">
        <v>798.6</v>
      </c>
      <c r="I1971">
        <v>7.5</v>
      </c>
      <c r="J1971">
        <v>79</v>
      </c>
      <c r="K1971" t="s">
        <v>18</v>
      </c>
      <c r="L1971">
        <v>52</v>
      </c>
      <c r="M1971">
        <v>2.31</v>
      </c>
      <c r="N1971">
        <v>2</v>
      </c>
      <c r="O1971" t="s">
        <v>19</v>
      </c>
      <c r="P1971" cm="1">
        <f t="array" ref="P1971">_xlfn.SWITCH(Table2[[#This Row],[mood]], "Tired", 3, "Neutral", 2, "Happy", 1)</f>
        <v>2</v>
      </c>
    </row>
    <row r="1972" spans="1:16" x14ac:dyDescent="0.3">
      <c r="A1972">
        <v>1921</v>
      </c>
      <c r="B1972" s="1">
        <v>43975</v>
      </c>
      <c r="C1972">
        <v>45</v>
      </c>
      <c r="D1972" t="s">
        <v>15</v>
      </c>
      <c r="E1972">
        <v>168.1</v>
      </c>
      <c r="F1972">
        <v>66</v>
      </c>
      <c r="G1972">
        <v>3559</v>
      </c>
      <c r="H1972">
        <v>303.8</v>
      </c>
      <c r="I1972">
        <v>8.4</v>
      </c>
      <c r="J1972">
        <v>91</v>
      </c>
      <c r="K1972" t="s">
        <v>16</v>
      </c>
      <c r="L1972">
        <v>0</v>
      </c>
      <c r="M1972">
        <v>2.16</v>
      </c>
      <c r="N1972">
        <v>5</v>
      </c>
      <c r="O1972" t="s">
        <v>21</v>
      </c>
      <c r="P1972" cm="1">
        <f t="array" ref="P1972">_xlfn.SWITCH(Table2[[#This Row],[mood]], "Tired", 3, "Neutral", 2, "Happy", 1)</f>
        <v>1</v>
      </c>
    </row>
    <row r="1973" spans="1:16" x14ac:dyDescent="0.3">
      <c r="A1973">
        <v>1488</v>
      </c>
      <c r="B1973" s="1">
        <v>43976</v>
      </c>
      <c r="C1973">
        <v>51</v>
      </c>
      <c r="D1973" t="s">
        <v>20</v>
      </c>
      <c r="E1973">
        <v>175.9</v>
      </c>
      <c r="F1973">
        <v>59</v>
      </c>
      <c r="G1973">
        <v>9137</v>
      </c>
      <c r="H1973">
        <v>560.5</v>
      </c>
      <c r="I1973">
        <v>4.5</v>
      </c>
      <c r="J1973">
        <v>85</v>
      </c>
      <c r="K1973" t="s">
        <v>16</v>
      </c>
      <c r="L1973">
        <v>0</v>
      </c>
      <c r="M1973">
        <v>2.87</v>
      </c>
      <c r="N1973">
        <v>2</v>
      </c>
      <c r="O1973" t="s">
        <v>21</v>
      </c>
      <c r="P1973" cm="1">
        <f t="array" ref="P1973">_xlfn.SWITCH(Table2[[#This Row],[mood]], "Tired", 3, "Neutral", 2, "Happy", 1)</f>
        <v>1</v>
      </c>
    </row>
    <row r="1974" spans="1:16" x14ac:dyDescent="0.3">
      <c r="A1974">
        <v>1876</v>
      </c>
      <c r="B1974" s="1">
        <v>43977</v>
      </c>
      <c r="C1974">
        <v>32</v>
      </c>
      <c r="D1974" t="s">
        <v>15</v>
      </c>
      <c r="E1974">
        <v>167.3</v>
      </c>
      <c r="F1974">
        <v>74.599999999999994</v>
      </c>
      <c r="G1974">
        <v>4971</v>
      </c>
      <c r="H1974">
        <v>381.7</v>
      </c>
      <c r="I1974">
        <v>8.4</v>
      </c>
      <c r="J1974">
        <v>90</v>
      </c>
      <c r="K1974" t="s">
        <v>18</v>
      </c>
      <c r="L1974">
        <v>31</v>
      </c>
      <c r="M1974">
        <v>1.79</v>
      </c>
      <c r="N1974">
        <v>7</v>
      </c>
      <c r="O1974" t="s">
        <v>17</v>
      </c>
      <c r="P1974" cm="1">
        <f t="array" ref="P1974">_xlfn.SWITCH(Table2[[#This Row],[mood]], "Tired", 3, "Neutral", 2, "Happy", 1)</f>
        <v>3</v>
      </c>
    </row>
    <row r="1975" spans="1:16" x14ac:dyDescent="0.3">
      <c r="A1975">
        <v>1537</v>
      </c>
      <c r="B1975" s="1">
        <v>43978</v>
      </c>
      <c r="C1975">
        <v>49</v>
      </c>
      <c r="D1975" t="s">
        <v>20</v>
      </c>
      <c r="E1975">
        <v>181.4</v>
      </c>
      <c r="F1975">
        <v>67.3</v>
      </c>
      <c r="G1975">
        <v>3957</v>
      </c>
      <c r="H1975">
        <v>384.5</v>
      </c>
      <c r="I1975">
        <v>5.6</v>
      </c>
      <c r="J1975">
        <v>92</v>
      </c>
      <c r="K1975" t="s">
        <v>23</v>
      </c>
      <c r="L1975">
        <v>85</v>
      </c>
      <c r="M1975">
        <v>2.9</v>
      </c>
      <c r="N1975">
        <v>7</v>
      </c>
      <c r="O1975" t="s">
        <v>21</v>
      </c>
      <c r="P1975" cm="1">
        <f t="array" ref="P1975">_xlfn.SWITCH(Table2[[#This Row],[mood]], "Tired", 3, "Neutral", 2, "Happy", 1)</f>
        <v>1</v>
      </c>
    </row>
    <row r="1976" spans="1:16" x14ac:dyDescent="0.3">
      <c r="A1976">
        <v>1046</v>
      </c>
      <c r="B1976" s="1">
        <v>43979</v>
      </c>
      <c r="C1976">
        <v>43</v>
      </c>
      <c r="D1976" t="s">
        <v>15</v>
      </c>
      <c r="E1976">
        <v>190.3</v>
      </c>
      <c r="F1976">
        <v>73.8</v>
      </c>
      <c r="G1976">
        <v>19113</v>
      </c>
      <c r="H1976">
        <v>900</v>
      </c>
      <c r="I1976">
        <v>7.6</v>
      </c>
      <c r="J1976">
        <v>76</v>
      </c>
      <c r="K1976" t="s">
        <v>18</v>
      </c>
      <c r="L1976">
        <v>21</v>
      </c>
      <c r="M1976">
        <v>2.16</v>
      </c>
      <c r="N1976">
        <v>3</v>
      </c>
      <c r="O1976" t="s">
        <v>19</v>
      </c>
      <c r="P1976" cm="1">
        <f t="array" ref="P1976">_xlfn.SWITCH(Table2[[#This Row],[mood]], "Tired", 3, "Neutral", 2, "Happy", 1)</f>
        <v>2</v>
      </c>
    </row>
    <row r="1977" spans="1:16" x14ac:dyDescent="0.3">
      <c r="A1977">
        <v>1287</v>
      </c>
      <c r="B1977" s="1">
        <v>43980</v>
      </c>
      <c r="C1977">
        <v>48</v>
      </c>
      <c r="D1977" t="s">
        <v>15</v>
      </c>
      <c r="E1977">
        <v>161.1</v>
      </c>
      <c r="F1977">
        <v>86.7</v>
      </c>
      <c r="G1977">
        <v>11093</v>
      </c>
      <c r="H1977">
        <v>594.20000000000005</v>
      </c>
      <c r="I1977">
        <v>9.6</v>
      </c>
      <c r="J1977">
        <v>80</v>
      </c>
      <c r="K1977" t="s">
        <v>25</v>
      </c>
      <c r="L1977">
        <v>89</v>
      </c>
      <c r="M1977">
        <v>2.08</v>
      </c>
      <c r="N1977">
        <v>3</v>
      </c>
      <c r="O1977" t="s">
        <v>17</v>
      </c>
      <c r="P1977" cm="1">
        <f t="array" ref="P1977">_xlfn.SWITCH(Table2[[#This Row],[mood]], "Tired", 3, "Neutral", 2, "Happy", 1)</f>
        <v>3</v>
      </c>
    </row>
    <row r="1978" spans="1:16" x14ac:dyDescent="0.3">
      <c r="A1978">
        <v>1777</v>
      </c>
      <c r="B1978" s="1">
        <v>43981</v>
      </c>
      <c r="C1978">
        <v>36</v>
      </c>
      <c r="D1978" t="s">
        <v>15</v>
      </c>
      <c r="E1978">
        <v>157.5</v>
      </c>
      <c r="F1978">
        <v>81.5</v>
      </c>
      <c r="G1978">
        <v>13951</v>
      </c>
      <c r="H1978">
        <v>786.4</v>
      </c>
      <c r="I1978">
        <v>5.8</v>
      </c>
      <c r="J1978">
        <v>77</v>
      </c>
      <c r="K1978" t="s">
        <v>24</v>
      </c>
      <c r="L1978">
        <v>47</v>
      </c>
      <c r="M1978">
        <v>2.44</v>
      </c>
      <c r="N1978">
        <v>8</v>
      </c>
      <c r="O1978" t="s">
        <v>21</v>
      </c>
      <c r="P1978" cm="1">
        <f t="array" ref="P1978">_xlfn.SWITCH(Table2[[#This Row],[mood]], "Tired", 3, "Neutral", 2, "Happy", 1)</f>
        <v>1</v>
      </c>
    </row>
    <row r="1979" spans="1:16" x14ac:dyDescent="0.3">
      <c r="A1979">
        <v>1015</v>
      </c>
      <c r="B1979" s="1">
        <v>43982</v>
      </c>
      <c r="C1979">
        <v>26</v>
      </c>
      <c r="D1979" t="s">
        <v>20</v>
      </c>
      <c r="E1979">
        <v>173.7</v>
      </c>
      <c r="F1979">
        <v>70.5</v>
      </c>
      <c r="G1979">
        <v>1026</v>
      </c>
      <c r="H1979">
        <v>204.1</v>
      </c>
      <c r="I1979">
        <v>5.7</v>
      </c>
      <c r="J1979">
        <v>80</v>
      </c>
      <c r="K1979" t="s">
        <v>18</v>
      </c>
      <c r="L1979">
        <v>61</v>
      </c>
      <c r="M1979">
        <v>1.74</v>
      </c>
      <c r="N1979">
        <v>7</v>
      </c>
      <c r="O1979" t="s">
        <v>19</v>
      </c>
      <c r="P1979" cm="1">
        <f t="array" ref="P1979">_xlfn.SWITCH(Table2[[#This Row],[mood]], "Tired", 3, "Neutral", 2, "Happy", 1)</f>
        <v>2</v>
      </c>
    </row>
    <row r="1980" spans="1:16" x14ac:dyDescent="0.3">
      <c r="A1980">
        <v>1710</v>
      </c>
      <c r="B1980" s="1">
        <v>43983</v>
      </c>
      <c r="C1980">
        <v>46</v>
      </c>
      <c r="D1980" t="s">
        <v>15</v>
      </c>
      <c r="E1980">
        <v>157.1</v>
      </c>
      <c r="F1980">
        <v>76.900000000000006</v>
      </c>
      <c r="G1980">
        <v>3583</v>
      </c>
      <c r="H1980">
        <v>327.5</v>
      </c>
      <c r="I1980">
        <v>5.5</v>
      </c>
      <c r="J1980">
        <v>79</v>
      </c>
      <c r="K1980" t="s">
        <v>18</v>
      </c>
      <c r="L1980">
        <v>22</v>
      </c>
      <c r="M1980">
        <v>2.37</v>
      </c>
      <c r="N1980">
        <v>4</v>
      </c>
      <c r="O1980" t="s">
        <v>17</v>
      </c>
      <c r="P1980" cm="1">
        <f t="array" ref="P1980">_xlfn.SWITCH(Table2[[#This Row],[mood]], "Tired", 3, "Neutral", 2, "Happy", 1)</f>
        <v>3</v>
      </c>
    </row>
    <row r="1981" spans="1:16" x14ac:dyDescent="0.3">
      <c r="A1981">
        <v>1400</v>
      </c>
      <c r="B1981" s="1">
        <v>43984</v>
      </c>
      <c r="C1981">
        <v>56</v>
      </c>
      <c r="D1981" t="s">
        <v>15</v>
      </c>
      <c r="E1981">
        <v>157</v>
      </c>
      <c r="F1981">
        <v>99.4</v>
      </c>
      <c r="G1981">
        <v>4055</v>
      </c>
      <c r="H1981">
        <v>339</v>
      </c>
      <c r="I1981">
        <v>6.5</v>
      </c>
      <c r="J1981">
        <v>92</v>
      </c>
      <c r="K1981" t="s">
        <v>23</v>
      </c>
      <c r="L1981">
        <v>67</v>
      </c>
      <c r="M1981">
        <v>2.74</v>
      </c>
      <c r="N1981">
        <v>2</v>
      </c>
      <c r="O1981" t="s">
        <v>19</v>
      </c>
      <c r="P1981" cm="1">
        <f t="array" ref="P1981">_xlfn.SWITCH(Table2[[#This Row],[mood]], "Tired", 3, "Neutral", 2, "Happy", 1)</f>
        <v>2</v>
      </c>
    </row>
    <row r="1982" spans="1:16" x14ac:dyDescent="0.3">
      <c r="A1982">
        <v>1918</v>
      </c>
      <c r="B1982" s="1">
        <v>43985</v>
      </c>
      <c r="C1982">
        <v>21</v>
      </c>
      <c r="D1982" t="s">
        <v>20</v>
      </c>
      <c r="E1982">
        <v>150</v>
      </c>
      <c r="F1982">
        <v>82.1</v>
      </c>
      <c r="G1982">
        <v>7801</v>
      </c>
      <c r="H1982">
        <v>523.9</v>
      </c>
      <c r="I1982">
        <v>8.9</v>
      </c>
      <c r="J1982">
        <v>78</v>
      </c>
      <c r="K1982" t="s">
        <v>18</v>
      </c>
      <c r="L1982">
        <v>32</v>
      </c>
      <c r="M1982">
        <v>0.88</v>
      </c>
      <c r="N1982">
        <v>3</v>
      </c>
      <c r="O1982" t="s">
        <v>19</v>
      </c>
      <c r="P1982" cm="1">
        <f t="array" ref="P1982">_xlfn.SWITCH(Table2[[#This Row],[mood]], "Tired", 3, "Neutral", 2, "Happy", 1)</f>
        <v>2</v>
      </c>
    </row>
    <row r="1983" spans="1:16" x14ac:dyDescent="0.3">
      <c r="A1983">
        <v>1793</v>
      </c>
      <c r="B1983" s="1">
        <v>43986</v>
      </c>
      <c r="C1983">
        <v>20</v>
      </c>
      <c r="D1983" t="s">
        <v>20</v>
      </c>
      <c r="E1983">
        <v>166.2</v>
      </c>
      <c r="F1983">
        <v>65.599999999999994</v>
      </c>
      <c r="G1983">
        <v>2658</v>
      </c>
      <c r="H1983">
        <v>237.8</v>
      </c>
      <c r="I1983">
        <v>5.3</v>
      </c>
      <c r="J1983">
        <v>65</v>
      </c>
      <c r="K1983" t="s">
        <v>23</v>
      </c>
      <c r="L1983">
        <v>76</v>
      </c>
      <c r="M1983">
        <v>3.26</v>
      </c>
      <c r="N1983">
        <v>3</v>
      </c>
      <c r="O1983" t="s">
        <v>17</v>
      </c>
      <c r="P1983" cm="1">
        <f t="array" ref="P1983">_xlfn.SWITCH(Table2[[#This Row],[mood]], "Tired", 3, "Neutral", 2, "Happy", 1)</f>
        <v>3</v>
      </c>
    </row>
    <row r="1984" spans="1:16" x14ac:dyDescent="0.3">
      <c r="A1984">
        <v>1980</v>
      </c>
      <c r="B1984" s="1">
        <v>43987</v>
      </c>
      <c r="C1984">
        <v>46</v>
      </c>
      <c r="D1984" t="s">
        <v>15</v>
      </c>
      <c r="E1984">
        <v>169.7</v>
      </c>
      <c r="F1984">
        <v>89.2</v>
      </c>
      <c r="G1984">
        <v>4951</v>
      </c>
      <c r="H1984">
        <v>399.6</v>
      </c>
      <c r="I1984">
        <v>6.3</v>
      </c>
      <c r="J1984">
        <v>81</v>
      </c>
      <c r="K1984" t="s">
        <v>24</v>
      </c>
      <c r="L1984">
        <v>22</v>
      </c>
      <c r="M1984">
        <v>3.07</v>
      </c>
      <c r="N1984">
        <v>5</v>
      </c>
      <c r="O1984" t="s">
        <v>21</v>
      </c>
      <c r="P1984" cm="1">
        <f t="array" ref="P1984">_xlfn.SWITCH(Table2[[#This Row],[mood]], "Tired", 3, "Neutral", 2, "Happy", 1)</f>
        <v>1</v>
      </c>
    </row>
    <row r="1985" spans="1:16" x14ac:dyDescent="0.3">
      <c r="A1985">
        <v>1085</v>
      </c>
      <c r="B1985" s="1">
        <v>43988</v>
      </c>
      <c r="C1985">
        <v>28</v>
      </c>
      <c r="D1985" t="s">
        <v>15</v>
      </c>
      <c r="E1985">
        <v>164.8</v>
      </c>
      <c r="F1985">
        <v>75.900000000000006</v>
      </c>
      <c r="G1985">
        <v>8299</v>
      </c>
      <c r="H1985">
        <v>586</v>
      </c>
      <c r="I1985">
        <v>8.5</v>
      </c>
      <c r="J1985">
        <v>82</v>
      </c>
      <c r="K1985" t="s">
        <v>25</v>
      </c>
      <c r="L1985">
        <v>82</v>
      </c>
      <c r="M1985">
        <v>1.2</v>
      </c>
      <c r="N1985">
        <v>7</v>
      </c>
      <c r="O1985" t="s">
        <v>19</v>
      </c>
      <c r="P1985" cm="1">
        <f t="array" ref="P1985">_xlfn.SWITCH(Table2[[#This Row],[mood]], "Tired", 3, "Neutral", 2, "Happy", 1)</f>
        <v>2</v>
      </c>
    </row>
    <row r="1986" spans="1:16" x14ac:dyDescent="0.3">
      <c r="A1986">
        <v>1249</v>
      </c>
      <c r="B1986" s="1">
        <v>43989</v>
      </c>
      <c r="C1986">
        <v>50</v>
      </c>
      <c r="D1986" t="s">
        <v>15</v>
      </c>
      <c r="E1986">
        <v>183.9</v>
      </c>
      <c r="F1986">
        <v>55.6</v>
      </c>
      <c r="G1986">
        <v>10933</v>
      </c>
      <c r="H1986">
        <v>642.1</v>
      </c>
      <c r="I1986">
        <v>7.9</v>
      </c>
      <c r="J1986">
        <v>67</v>
      </c>
      <c r="K1986" t="s">
        <v>22</v>
      </c>
      <c r="L1986">
        <v>57</v>
      </c>
      <c r="M1986">
        <v>1.0900000000000001</v>
      </c>
      <c r="N1986">
        <v>4</v>
      </c>
      <c r="O1986" t="s">
        <v>17</v>
      </c>
      <c r="P1986" cm="1">
        <f t="array" ref="P1986">_xlfn.SWITCH(Table2[[#This Row],[mood]], "Tired", 3, "Neutral", 2, "Happy", 1)</f>
        <v>3</v>
      </c>
    </row>
    <row r="1987" spans="1:16" x14ac:dyDescent="0.3">
      <c r="A1987">
        <v>1390</v>
      </c>
      <c r="B1987" s="1">
        <v>43990</v>
      </c>
      <c r="C1987">
        <v>55</v>
      </c>
      <c r="D1987" t="s">
        <v>20</v>
      </c>
      <c r="E1987">
        <v>183.2</v>
      </c>
      <c r="F1987">
        <v>67.3</v>
      </c>
      <c r="G1987">
        <v>13279</v>
      </c>
      <c r="H1987">
        <v>697.8</v>
      </c>
      <c r="I1987">
        <v>6.3</v>
      </c>
      <c r="J1987">
        <v>66</v>
      </c>
      <c r="K1987" t="s">
        <v>24</v>
      </c>
      <c r="L1987">
        <v>78</v>
      </c>
      <c r="M1987">
        <v>3.09</v>
      </c>
      <c r="N1987">
        <v>1</v>
      </c>
      <c r="O1987" t="s">
        <v>21</v>
      </c>
      <c r="P1987" cm="1">
        <f t="array" ref="P1987">_xlfn.SWITCH(Table2[[#This Row],[mood]], "Tired", 3, "Neutral", 2, "Happy", 1)</f>
        <v>1</v>
      </c>
    </row>
    <row r="1988" spans="1:16" x14ac:dyDescent="0.3">
      <c r="A1988">
        <v>1781</v>
      </c>
      <c r="B1988" s="1">
        <v>43991</v>
      </c>
      <c r="C1988">
        <v>28</v>
      </c>
      <c r="D1988" t="s">
        <v>20</v>
      </c>
      <c r="E1988">
        <v>189.3</v>
      </c>
      <c r="F1988">
        <v>47.9</v>
      </c>
      <c r="G1988">
        <v>5137</v>
      </c>
      <c r="H1988">
        <v>387.2</v>
      </c>
      <c r="I1988">
        <v>6.7</v>
      </c>
      <c r="J1988">
        <v>85</v>
      </c>
      <c r="K1988" t="s">
        <v>18</v>
      </c>
      <c r="L1988">
        <v>47</v>
      </c>
      <c r="M1988">
        <v>3.04</v>
      </c>
      <c r="N1988">
        <v>3</v>
      </c>
      <c r="O1988" t="s">
        <v>19</v>
      </c>
      <c r="P1988" cm="1">
        <f t="array" ref="P1988">_xlfn.SWITCH(Table2[[#This Row],[mood]], "Tired", 3, "Neutral", 2, "Happy", 1)</f>
        <v>2</v>
      </c>
    </row>
    <row r="1989" spans="1:16" x14ac:dyDescent="0.3">
      <c r="A1989">
        <v>1334</v>
      </c>
      <c r="B1989" s="1">
        <v>43992</v>
      </c>
      <c r="C1989">
        <v>44</v>
      </c>
      <c r="D1989" t="s">
        <v>20</v>
      </c>
      <c r="E1989">
        <v>170.5</v>
      </c>
      <c r="F1989">
        <v>45</v>
      </c>
      <c r="G1989">
        <v>12423</v>
      </c>
      <c r="H1989">
        <v>711.7</v>
      </c>
      <c r="I1989">
        <v>8.4</v>
      </c>
      <c r="J1989">
        <v>70</v>
      </c>
      <c r="K1989" t="s">
        <v>25</v>
      </c>
      <c r="L1989">
        <v>45</v>
      </c>
      <c r="M1989">
        <v>2.94</v>
      </c>
      <c r="N1989">
        <v>3</v>
      </c>
      <c r="O1989" t="s">
        <v>17</v>
      </c>
      <c r="P1989" cm="1">
        <f t="array" ref="P1989">_xlfn.SWITCH(Table2[[#This Row],[mood]], "Tired", 3, "Neutral", 2, "Happy", 1)</f>
        <v>3</v>
      </c>
    </row>
    <row r="1990" spans="1:16" x14ac:dyDescent="0.3">
      <c r="A1990">
        <v>1628</v>
      </c>
      <c r="B1990" s="1">
        <v>43993</v>
      </c>
      <c r="C1990">
        <v>50</v>
      </c>
      <c r="D1990" t="s">
        <v>20</v>
      </c>
      <c r="E1990">
        <v>181.8</v>
      </c>
      <c r="F1990">
        <v>55.8</v>
      </c>
      <c r="G1990">
        <v>2714</v>
      </c>
      <c r="H1990">
        <v>336.6</v>
      </c>
      <c r="I1990">
        <v>9.4</v>
      </c>
      <c r="J1990">
        <v>71</v>
      </c>
      <c r="K1990" t="s">
        <v>22</v>
      </c>
      <c r="L1990">
        <v>84</v>
      </c>
      <c r="M1990">
        <v>1.5</v>
      </c>
      <c r="N1990">
        <v>1</v>
      </c>
      <c r="O1990" t="s">
        <v>19</v>
      </c>
      <c r="P1990" cm="1">
        <f t="array" ref="P1990">_xlfn.SWITCH(Table2[[#This Row],[mood]], "Tired", 3, "Neutral", 2, "Happy", 1)</f>
        <v>2</v>
      </c>
    </row>
    <row r="1991" spans="1:16" x14ac:dyDescent="0.3">
      <c r="A1991">
        <v>1518</v>
      </c>
      <c r="B1991" s="1">
        <v>43994</v>
      </c>
      <c r="C1991">
        <v>38</v>
      </c>
      <c r="D1991" t="s">
        <v>15</v>
      </c>
      <c r="E1991">
        <v>173.1</v>
      </c>
      <c r="F1991">
        <v>71.8</v>
      </c>
      <c r="G1991">
        <v>12388</v>
      </c>
      <c r="H1991">
        <v>770.7</v>
      </c>
      <c r="I1991">
        <v>9.6</v>
      </c>
      <c r="J1991">
        <v>70</v>
      </c>
      <c r="K1991" t="s">
        <v>22</v>
      </c>
      <c r="L1991">
        <v>80</v>
      </c>
      <c r="M1991">
        <v>3.78</v>
      </c>
      <c r="N1991">
        <v>8</v>
      </c>
      <c r="O1991" t="s">
        <v>21</v>
      </c>
      <c r="P1991" cm="1">
        <f t="array" ref="P1991">_xlfn.SWITCH(Table2[[#This Row],[mood]], "Tired", 3, "Neutral", 2, "Happy", 1)</f>
        <v>1</v>
      </c>
    </row>
    <row r="1992" spans="1:16" x14ac:dyDescent="0.3">
      <c r="A1992">
        <v>1136</v>
      </c>
      <c r="B1992" s="1">
        <v>43995</v>
      </c>
      <c r="C1992">
        <v>56</v>
      </c>
      <c r="D1992" t="s">
        <v>20</v>
      </c>
      <c r="E1992">
        <v>172.1</v>
      </c>
      <c r="F1992">
        <v>71.900000000000006</v>
      </c>
      <c r="G1992">
        <v>4347</v>
      </c>
      <c r="H1992">
        <v>292.60000000000002</v>
      </c>
      <c r="I1992">
        <v>9.1</v>
      </c>
      <c r="J1992">
        <v>77</v>
      </c>
      <c r="K1992" t="s">
        <v>16</v>
      </c>
      <c r="L1992">
        <v>0</v>
      </c>
      <c r="M1992">
        <v>1.97</v>
      </c>
      <c r="N1992">
        <v>4</v>
      </c>
      <c r="O1992" t="s">
        <v>21</v>
      </c>
      <c r="P1992" cm="1">
        <f t="array" ref="P1992">_xlfn.SWITCH(Table2[[#This Row],[mood]], "Tired", 3, "Neutral", 2, "Happy", 1)</f>
        <v>1</v>
      </c>
    </row>
    <row r="1993" spans="1:16" x14ac:dyDescent="0.3">
      <c r="A1993">
        <v>1882</v>
      </c>
      <c r="B1993" s="1">
        <v>43996</v>
      </c>
      <c r="C1993">
        <v>48</v>
      </c>
      <c r="D1993" t="s">
        <v>20</v>
      </c>
      <c r="E1993">
        <v>165.3</v>
      </c>
      <c r="F1993">
        <v>48.8</v>
      </c>
      <c r="G1993">
        <v>2986</v>
      </c>
      <c r="H1993">
        <v>332.6</v>
      </c>
      <c r="I1993">
        <v>6</v>
      </c>
      <c r="J1993">
        <v>86</v>
      </c>
      <c r="K1993" t="s">
        <v>16</v>
      </c>
      <c r="L1993">
        <v>0</v>
      </c>
      <c r="M1993">
        <v>2.67</v>
      </c>
      <c r="N1993">
        <v>5</v>
      </c>
      <c r="O1993" t="s">
        <v>21</v>
      </c>
      <c r="P1993" cm="1">
        <f t="array" ref="P1993">_xlfn.SWITCH(Table2[[#This Row],[mood]], "Tired", 3, "Neutral", 2, "Happy", 1)</f>
        <v>1</v>
      </c>
    </row>
    <row r="1994" spans="1:16" x14ac:dyDescent="0.3">
      <c r="A1994">
        <v>1687</v>
      </c>
      <c r="B1994" s="1">
        <v>43997</v>
      </c>
      <c r="C1994">
        <v>55</v>
      </c>
      <c r="D1994" t="s">
        <v>20</v>
      </c>
      <c r="E1994">
        <v>150</v>
      </c>
      <c r="F1994">
        <v>45</v>
      </c>
      <c r="G1994">
        <v>4544</v>
      </c>
      <c r="H1994">
        <v>391</v>
      </c>
      <c r="I1994">
        <v>9.6999999999999993</v>
      </c>
      <c r="J1994">
        <v>82</v>
      </c>
      <c r="K1994" t="s">
        <v>18</v>
      </c>
      <c r="L1994">
        <v>51</v>
      </c>
      <c r="M1994">
        <v>2.68</v>
      </c>
      <c r="N1994">
        <v>3</v>
      </c>
      <c r="O1994" t="s">
        <v>17</v>
      </c>
      <c r="P1994" cm="1">
        <f t="array" ref="P1994">_xlfn.SWITCH(Table2[[#This Row],[mood]], "Tired", 3, "Neutral", 2, "Happy", 1)</f>
        <v>3</v>
      </c>
    </row>
    <row r="1995" spans="1:16" x14ac:dyDescent="0.3">
      <c r="A1995">
        <v>1839</v>
      </c>
      <c r="B1995" s="1">
        <v>43998</v>
      </c>
      <c r="C1995">
        <v>19</v>
      </c>
      <c r="D1995" t="s">
        <v>15</v>
      </c>
      <c r="E1995">
        <v>176.4</v>
      </c>
      <c r="F1995">
        <v>92.1</v>
      </c>
      <c r="G1995">
        <v>18085</v>
      </c>
      <c r="H1995">
        <v>900</v>
      </c>
      <c r="I1995">
        <v>5.9</v>
      </c>
      <c r="J1995">
        <v>70</v>
      </c>
      <c r="K1995" t="s">
        <v>16</v>
      </c>
      <c r="L1995">
        <v>0</v>
      </c>
      <c r="M1995">
        <v>3.62</v>
      </c>
      <c r="N1995">
        <v>4</v>
      </c>
      <c r="O1995" t="s">
        <v>21</v>
      </c>
      <c r="P1995" cm="1">
        <f t="array" ref="P1995">_xlfn.SWITCH(Table2[[#This Row],[mood]], "Tired", 3, "Neutral", 2, "Happy", 1)</f>
        <v>1</v>
      </c>
    </row>
    <row r="1996" spans="1:16" x14ac:dyDescent="0.3">
      <c r="A1996">
        <v>1497</v>
      </c>
      <c r="B1996" s="1">
        <v>43999</v>
      </c>
      <c r="C1996">
        <v>44</v>
      </c>
      <c r="D1996" t="s">
        <v>15</v>
      </c>
      <c r="E1996">
        <v>181.5</v>
      </c>
      <c r="F1996">
        <v>71.400000000000006</v>
      </c>
      <c r="G1996">
        <v>10646</v>
      </c>
      <c r="H1996">
        <v>643.6</v>
      </c>
      <c r="I1996">
        <v>4.5</v>
      </c>
      <c r="J1996">
        <v>88</v>
      </c>
      <c r="K1996" t="s">
        <v>22</v>
      </c>
      <c r="L1996">
        <v>46</v>
      </c>
      <c r="M1996">
        <v>2.59</v>
      </c>
      <c r="N1996">
        <v>1</v>
      </c>
      <c r="O1996" t="s">
        <v>21</v>
      </c>
      <c r="P1996" cm="1">
        <f t="array" ref="P1996">_xlfn.SWITCH(Table2[[#This Row],[mood]], "Tired", 3, "Neutral", 2, "Happy", 1)</f>
        <v>1</v>
      </c>
    </row>
    <row r="1997" spans="1:16" x14ac:dyDescent="0.3">
      <c r="A1997">
        <v>1826</v>
      </c>
      <c r="B1997" s="1">
        <v>44000</v>
      </c>
      <c r="C1997">
        <v>53</v>
      </c>
      <c r="D1997" t="s">
        <v>20</v>
      </c>
      <c r="E1997">
        <v>154.69999999999999</v>
      </c>
      <c r="F1997">
        <v>93.3</v>
      </c>
      <c r="G1997">
        <v>4786</v>
      </c>
      <c r="H1997">
        <v>380</v>
      </c>
      <c r="I1997">
        <v>7.2</v>
      </c>
      <c r="J1997">
        <v>84</v>
      </c>
      <c r="K1997" t="s">
        <v>22</v>
      </c>
      <c r="L1997">
        <v>32</v>
      </c>
      <c r="M1997">
        <v>2.79</v>
      </c>
      <c r="N1997">
        <v>4</v>
      </c>
      <c r="O1997" t="s">
        <v>17</v>
      </c>
      <c r="P1997" cm="1">
        <f t="array" ref="P1997">_xlfn.SWITCH(Table2[[#This Row],[mood]], "Tired", 3, "Neutral", 2, "Happy", 1)</f>
        <v>3</v>
      </c>
    </row>
    <row r="1998" spans="1:16" x14ac:dyDescent="0.3">
      <c r="A1998">
        <v>1726</v>
      </c>
      <c r="B1998" s="1">
        <v>44001</v>
      </c>
      <c r="C1998">
        <v>28</v>
      </c>
      <c r="D1998" t="s">
        <v>20</v>
      </c>
      <c r="E1998">
        <v>169.9</v>
      </c>
      <c r="F1998">
        <v>92.5</v>
      </c>
      <c r="G1998">
        <v>15415</v>
      </c>
      <c r="H1998">
        <v>766.7</v>
      </c>
      <c r="I1998">
        <v>9.1999999999999993</v>
      </c>
      <c r="J1998">
        <v>85</v>
      </c>
      <c r="K1998" t="s">
        <v>24</v>
      </c>
      <c r="L1998">
        <v>36</v>
      </c>
      <c r="M1998">
        <v>2.4500000000000002</v>
      </c>
      <c r="N1998">
        <v>2</v>
      </c>
      <c r="O1998" t="s">
        <v>21</v>
      </c>
      <c r="P1998" cm="1">
        <f t="array" ref="P1998">_xlfn.SWITCH(Table2[[#This Row],[mood]], "Tired", 3, "Neutral", 2, "Happy", 1)</f>
        <v>1</v>
      </c>
    </row>
    <row r="1999" spans="1:16" x14ac:dyDescent="0.3">
      <c r="A1999">
        <v>1476</v>
      </c>
      <c r="B1999" s="1">
        <v>44002</v>
      </c>
      <c r="C1999">
        <v>35</v>
      </c>
      <c r="D1999" t="s">
        <v>15</v>
      </c>
      <c r="E1999">
        <v>179.9</v>
      </c>
      <c r="F1999">
        <v>81</v>
      </c>
      <c r="G1999">
        <v>19855</v>
      </c>
      <c r="H1999">
        <v>900</v>
      </c>
      <c r="I1999">
        <v>8</v>
      </c>
      <c r="J1999">
        <v>85</v>
      </c>
      <c r="K1999" t="s">
        <v>16</v>
      </c>
      <c r="L1999">
        <v>0</v>
      </c>
      <c r="M1999">
        <v>1.66</v>
      </c>
      <c r="N1999">
        <v>10</v>
      </c>
      <c r="O1999" t="s">
        <v>21</v>
      </c>
      <c r="P1999" cm="1">
        <f t="array" ref="P1999">_xlfn.SWITCH(Table2[[#This Row],[mood]], "Tired", 3, "Neutral", 2, "Happy", 1)</f>
        <v>1</v>
      </c>
    </row>
    <row r="2000" spans="1:16" x14ac:dyDescent="0.3">
      <c r="A2000">
        <v>1593</v>
      </c>
      <c r="B2000" s="1">
        <v>44003</v>
      </c>
      <c r="C2000">
        <v>18</v>
      </c>
      <c r="D2000" t="s">
        <v>15</v>
      </c>
      <c r="E2000">
        <v>166.4</v>
      </c>
      <c r="F2000">
        <v>70.900000000000006</v>
      </c>
      <c r="G2000">
        <v>15284</v>
      </c>
      <c r="H2000">
        <v>843.8</v>
      </c>
      <c r="I2000">
        <v>6.9</v>
      </c>
      <c r="J2000">
        <v>70</v>
      </c>
      <c r="K2000" t="s">
        <v>16</v>
      </c>
      <c r="L2000">
        <v>0</v>
      </c>
      <c r="M2000">
        <v>0.88</v>
      </c>
      <c r="N2000">
        <v>6</v>
      </c>
      <c r="O2000" t="s">
        <v>21</v>
      </c>
      <c r="P2000" cm="1">
        <f t="array" ref="P2000">_xlfn.SWITCH(Table2[[#This Row],[mood]], "Tired", 3, "Neutral", 2, "Happy", 1)</f>
        <v>1</v>
      </c>
    </row>
    <row r="2001" spans="1:16" x14ac:dyDescent="0.3">
      <c r="A2001">
        <v>1222</v>
      </c>
      <c r="B2001" s="1">
        <v>44004</v>
      </c>
      <c r="C2001">
        <v>52</v>
      </c>
      <c r="D2001" t="s">
        <v>15</v>
      </c>
      <c r="E2001">
        <v>181.9</v>
      </c>
      <c r="F2001">
        <v>64</v>
      </c>
      <c r="G2001">
        <v>7659</v>
      </c>
      <c r="H2001">
        <v>504</v>
      </c>
      <c r="I2001">
        <v>7.4</v>
      </c>
      <c r="J2001">
        <v>66</v>
      </c>
      <c r="K2001" t="s">
        <v>24</v>
      </c>
      <c r="L2001">
        <v>55</v>
      </c>
      <c r="M2001">
        <v>2.52</v>
      </c>
      <c r="N2001">
        <v>2</v>
      </c>
      <c r="O2001" t="s">
        <v>17</v>
      </c>
      <c r="P2001" cm="1">
        <f t="array" ref="P2001">_xlfn.SWITCH(Table2[[#This Row],[mood]], "Tired", 3, "Neutral", 2, "Happy", 1)</f>
        <v>3</v>
      </c>
    </row>
    <row r="2002" spans="1:16" x14ac:dyDescent="0.3">
      <c r="A2002">
        <v>1989</v>
      </c>
      <c r="B2002" s="1">
        <v>44005</v>
      </c>
      <c r="C2002">
        <v>52</v>
      </c>
      <c r="D2002" t="s">
        <v>15</v>
      </c>
      <c r="E2002">
        <v>168.6</v>
      </c>
      <c r="F2002">
        <v>80.8</v>
      </c>
      <c r="G2002">
        <v>4044</v>
      </c>
      <c r="H2002">
        <v>414.7</v>
      </c>
      <c r="I2002">
        <v>7.8</v>
      </c>
      <c r="J2002">
        <v>72</v>
      </c>
      <c r="K2002" t="s">
        <v>22</v>
      </c>
      <c r="L2002">
        <v>66</v>
      </c>
      <c r="M2002">
        <v>1.51</v>
      </c>
      <c r="N2002">
        <v>9</v>
      </c>
      <c r="O2002" t="s">
        <v>21</v>
      </c>
      <c r="P2002" cm="1">
        <f t="array" ref="P2002">_xlfn.SWITCH(Table2[[#This Row],[mood]], "Tired", 3, "Neutral", 2, "Happy", 1)</f>
        <v>1</v>
      </c>
    </row>
    <row r="2003" spans="1:16" x14ac:dyDescent="0.3">
      <c r="A2003">
        <v>1371</v>
      </c>
      <c r="B2003" s="1">
        <v>44006</v>
      </c>
      <c r="C2003">
        <v>48</v>
      </c>
      <c r="D2003" t="s">
        <v>15</v>
      </c>
      <c r="E2003">
        <v>164.7</v>
      </c>
      <c r="F2003">
        <v>67.599999999999994</v>
      </c>
      <c r="G2003">
        <v>4883</v>
      </c>
      <c r="H2003">
        <v>383.5</v>
      </c>
      <c r="I2003">
        <v>7.2</v>
      </c>
      <c r="J2003">
        <v>85</v>
      </c>
      <c r="K2003" t="s">
        <v>23</v>
      </c>
      <c r="L2003">
        <v>85</v>
      </c>
      <c r="M2003">
        <v>2.75</v>
      </c>
      <c r="N2003">
        <v>2</v>
      </c>
      <c r="O2003" t="s">
        <v>19</v>
      </c>
      <c r="P2003" cm="1">
        <f t="array" ref="P2003">_xlfn.SWITCH(Table2[[#This Row],[mood]], "Tired", 3, "Neutral", 2, "Happy", 1)</f>
        <v>2</v>
      </c>
    </row>
    <row r="2004" spans="1:16" x14ac:dyDescent="0.3">
      <c r="A2004">
        <v>1934</v>
      </c>
      <c r="B2004" s="1">
        <v>44007</v>
      </c>
      <c r="C2004">
        <v>45</v>
      </c>
      <c r="D2004" t="s">
        <v>15</v>
      </c>
      <c r="E2004">
        <v>182.5</v>
      </c>
      <c r="F2004">
        <v>61.2</v>
      </c>
      <c r="G2004">
        <v>16351</v>
      </c>
      <c r="H2004">
        <v>877.1</v>
      </c>
      <c r="I2004">
        <v>6.6</v>
      </c>
      <c r="J2004">
        <v>63</v>
      </c>
      <c r="K2004" t="s">
        <v>18</v>
      </c>
      <c r="L2004">
        <v>51</v>
      </c>
      <c r="M2004">
        <v>2.6</v>
      </c>
      <c r="N2004">
        <v>4</v>
      </c>
      <c r="O2004" t="s">
        <v>17</v>
      </c>
      <c r="P2004" cm="1">
        <f t="array" ref="P2004">_xlfn.SWITCH(Table2[[#This Row],[mood]], "Tired", 3, "Neutral", 2, "Happy", 1)</f>
        <v>3</v>
      </c>
    </row>
    <row r="2005" spans="1:16" x14ac:dyDescent="0.3">
      <c r="A2005">
        <v>1994</v>
      </c>
      <c r="B2005" s="1">
        <v>44008</v>
      </c>
      <c r="C2005">
        <v>56</v>
      </c>
      <c r="D2005" t="s">
        <v>15</v>
      </c>
      <c r="E2005">
        <v>160.69999999999999</v>
      </c>
      <c r="F2005">
        <v>45</v>
      </c>
      <c r="G2005">
        <v>19204</v>
      </c>
      <c r="H2005">
        <v>889.1</v>
      </c>
      <c r="I2005">
        <v>5.9</v>
      </c>
      <c r="J2005">
        <v>62</v>
      </c>
      <c r="K2005" t="s">
        <v>23</v>
      </c>
      <c r="L2005">
        <v>51</v>
      </c>
      <c r="M2005">
        <v>2.59</v>
      </c>
      <c r="N2005">
        <v>4</v>
      </c>
      <c r="O2005" t="s">
        <v>19</v>
      </c>
      <c r="P2005" cm="1">
        <f t="array" ref="P2005">_xlfn.SWITCH(Table2[[#This Row],[mood]], "Tired", 3, "Neutral", 2, "Happy", 1)</f>
        <v>2</v>
      </c>
    </row>
    <row r="2006" spans="1:16" x14ac:dyDescent="0.3">
      <c r="A2006">
        <v>1401</v>
      </c>
      <c r="B2006" s="1">
        <v>44009</v>
      </c>
      <c r="C2006">
        <v>18</v>
      </c>
      <c r="D2006" t="s">
        <v>15</v>
      </c>
      <c r="E2006">
        <v>162.80000000000001</v>
      </c>
      <c r="F2006">
        <v>68.8</v>
      </c>
      <c r="G2006">
        <v>16762</v>
      </c>
      <c r="H2006">
        <v>900</v>
      </c>
      <c r="I2006">
        <v>7.2</v>
      </c>
      <c r="J2006">
        <v>57</v>
      </c>
      <c r="K2006" t="s">
        <v>23</v>
      </c>
      <c r="L2006">
        <v>89</v>
      </c>
      <c r="M2006">
        <v>1.76</v>
      </c>
      <c r="N2006">
        <v>1</v>
      </c>
      <c r="O2006" t="s">
        <v>17</v>
      </c>
      <c r="P2006" cm="1">
        <f t="array" ref="P2006">_xlfn.SWITCH(Table2[[#This Row],[mood]], "Tired", 3, "Neutral", 2, "Happy", 1)</f>
        <v>3</v>
      </c>
    </row>
    <row r="2007" spans="1:16" x14ac:dyDescent="0.3">
      <c r="A2007">
        <v>1442</v>
      </c>
      <c r="B2007" s="1">
        <v>44010</v>
      </c>
      <c r="C2007">
        <v>42</v>
      </c>
      <c r="D2007" t="s">
        <v>20</v>
      </c>
      <c r="E2007">
        <v>161</v>
      </c>
      <c r="F2007">
        <v>86.5</v>
      </c>
      <c r="G2007">
        <v>19847</v>
      </c>
      <c r="H2007">
        <v>900</v>
      </c>
      <c r="I2007">
        <v>6.8</v>
      </c>
      <c r="J2007">
        <v>62</v>
      </c>
      <c r="K2007" t="s">
        <v>22</v>
      </c>
      <c r="L2007">
        <v>74</v>
      </c>
      <c r="M2007">
        <v>3.23</v>
      </c>
      <c r="N2007">
        <v>7</v>
      </c>
      <c r="O2007" t="s">
        <v>17</v>
      </c>
      <c r="P2007" cm="1">
        <f t="array" ref="P2007">_xlfn.SWITCH(Table2[[#This Row],[mood]], "Tired", 3, "Neutral", 2, "Happy", 1)</f>
        <v>3</v>
      </c>
    </row>
    <row r="2008" spans="1:16" x14ac:dyDescent="0.3">
      <c r="A2008">
        <v>1489</v>
      </c>
      <c r="B2008" s="1">
        <v>44011</v>
      </c>
      <c r="C2008">
        <v>55</v>
      </c>
      <c r="D2008" t="s">
        <v>20</v>
      </c>
      <c r="E2008">
        <v>158.6</v>
      </c>
      <c r="F2008">
        <v>88.9</v>
      </c>
      <c r="G2008">
        <v>4371</v>
      </c>
      <c r="H2008">
        <v>350.4</v>
      </c>
      <c r="I2008">
        <v>7</v>
      </c>
      <c r="J2008">
        <v>67</v>
      </c>
      <c r="K2008" t="s">
        <v>18</v>
      </c>
      <c r="L2008">
        <v>59</v>
      </c>
      <c r="M2008">
        <v>2.83</v>
      </c>
      <c r="N2008">
        <v>1</v>
      </c>
      <c r="O2008" t="s">
        <v>17</v>
      </c>
      <c r="P2008" cm="1">
        <f t="array" ref="P2008">_xlfn.SWITCH(Table2[[#This Row],[mood]], "Tired", 3, "Neutral", 2, "Happy", 1)</f>
        <v>3</v>
      </c>
    </row>
    <row r="2009" spans="1:16" x14ac:dyDescent="0.3">
      <c r="A2009">
        <v>1614</v>
      </c>
      <c r="B2009" s="1">
        <v>44012</v>
      </c>
      <c r="C2009">
        <v>37</v>
      </c>
      <c r="D2009" t="s">
        <v>20</v>
      </c>
      <c r="E2009">
        <v>171.5</v>
      </c>
      <c r="F2009">
        <v>70.8</v>
      </c>
      <c r="G2009">
        <v>9527</v>
      </c>
      <c r="H2009">
        <v>567.79999999999995</v>
      </c>
      <c r="I2009">
        <v>8.6</v>
      </c>
      <c r="J2009">
        <v>76</v>
      </c>
      <c r="K2009" t="s">
        <v>23</v>
      </c>
      <c r="L2009">
        <v>47</v>
      </c>
      <c r="M2009">
        <v>1.67</v>
      </c>
      <c r="N2009">
        <v>8</v>
      </c>
      <c r="O2009" t="s">
        <v>19</v>
      </c>
      <c r="P2009" cm="1">
        <f t="array" ref="P2009">_xlfn.SWITCH(Table2[[#This Row],[mood]], "Tired", 3, "Neutral", 2, "Happy", 1)</f>
        <v>2</v>
      </c>
    </row>
    <row r="2010" spans="1:16" x14ac:dyDescent="0.3">
      <c r="A2010">
        <v>1272</v>
      </c>
      <c r="B2010" s="1">
        <v>44013</v>
      </c>
      <c r="C2010">
        <v>20</v>
      </c>
      <c r="D2010" t="s">
        <v>20</v>
      </c>
      <c r="E2010">
        <v>164.9</v>
      </c>
      <c r="F2010">
        <v>56.7</v>
      </c>
      <c r="G2010">
        <v>11116</v>
      </c>
      <c r="H2010">
        <v>597.20000000000005</v>
      </c>
      <c r="I2010">
        <v>6.6</v>
      </c>
      <c r="J2010">
        <v>63</v>
      </c>
      <c r="K2010" t="s">
        <v>24</v>
      </c>
      <c r="L2010">
        <v>50</v>
      </c>
      <c r="M2010">
        <v>3.95</v>
      </c>
      <c r="N2010">
        <v>3</v>
      </c>
      <c r="O2010" t="s">
        <v>21</v>
      </c>
      <c r="P2010" cm="1">
        <f t="array" ref="P2010">_xlfn.SWITCH(Table2[[#This Row],[mood]], "Tired", 3, "Neutral", 2, "Happy", 1)</f>
        <v>1</v>
      </c>
    </row>
    <row r="2011" spans="1:16" x14ac:dyDescent="0.3">
      <c r="A2011">
        <v>1525</v>
      </c>
      <c r="B2011" s="1">
        <v>44014</v>
      </c>
      <c r="C2011">
        <v>19</v>
      </c>
      <c r="D2011" t="s">
        <v>20</v>
      </c>
      <c r="E2011">
        <v>174.9</v>
      </c>
      <c r="F2011">
        <v>83.5</v>
      </c>
      <c r="G2011">
        <v>3788</v>
      </c>
      <c r="H2011">
        <v>293.10000000000002</v>
      </c>
      <c r="I2011">
        <v>6.7</v>
      </c>
      <c r="J2011">
        <v>82</v>
      </c>
      <c r="K2011" t="s">
        <v>24</v>
      </c>
      <c r="L2011">
        <v>50</v>
      </c>
      <c r="M2011">
        <v>2.35</v>
      </c>
      <c r="N2011">
        <v>8</v>
      </c>
      <c r="O2011" t="s">
        <v>21</v>
      </c>
      <c r="P2011" cm="1">
        <f t="array" ref="P2011">_xlfn.SWITCH(Table2[[#This Row],[mood]], "Tired", 3, "Neutral", 2, "Happy", 1)</f>
        <v>1</v>
      </c>
    </row>
    <row r="2012" spans="1:16" x14ac:dyDescent="0.3">
      <c r="A2012">
        <v>1158</v>
      </c>
      <c r="B2012" s="1">
        <v>44015</v>
      </c>
      <c r="C2012">
        <v>35</v>
      </c>
      <c r="D2012" t="s">
        <v>20</v>
      </c>
      <c r="E2012">
        <v>152.69999999999999</v>
      </c>
      <c r="F2012">
        <v>69.8</v>
      </c>
      <c r="G2012">
        <v>5125</v>
      </c>
      <c r="H2012">
        <v>407.1</v>
      </c>
      <c r="I2012">
        <v>7.3</v>
      </c>
      <c r="J2012">
        <v>75</v>
      </c>
      <c r="K2012" t="s">
        <v>18</v>
      </c>
      <c r="L2012">
        <v>45</v>
      </c>
      <c r="M2012">
        <v>1.57</v>
      </c>
      <c r="N2012">
        <v>8</v>
      </c>
      <c r="O2012" t="s">
        <v>21</v>
      </c>
      <c r="P2012" cm="1">
        <f t="array" ref="P2012">_xlfn.SWITCH(Table2[[#This Row],[mood]], "Tired", 3, "Neutral", 2, "Happy", 1)</f>
        <v>1</v>
      </c>
    </row>
    <row r="2013" spans="1:16" x14ac:dyDescent="0.3">
      <c r="A2013">
        <v>1151</v>
      </c>
      <c r="B2013" s="1">
        <v>44016</v>
      </c>
      <c r="C2013">
        <v>27</v>
      </c>
      <c r="D2013" t="s">
        <v>15</v>
      </c>
      <c r="E2013">
        <v>158.80000000000001</v>
      </c>
      <c r="F2013">
        <v>64.5</v>
      </c>
      <c r="G2013">
        <v>4606</v>
      </c>
      <c r="H2013">
        <v>389.9</v>
      </c>
      <c r="I2013">
        <v>10</v>
      </c>
      <c r="J2013">
        <v>55</v>
      </c>
      <c r="K2013" t="s">
        <v>23</v>
      </c>
      <c r="L2013">
        <v>23</v>
      </c>
      <c r="M2013">
        <v>1.97</v>
      </c>
      <c r="N2013">
        <v>10</v>
      </c>
      <c r="O2013" t="s">
        <v>21</v>
      </c>
      <c r="P2013" cm="1">
        <f t="array" ref="P2013">_xlfn.SWITCH(Table2[[#This Row],[mood]], "Tired", 3, "Neutral", 2, "Happy", 1)</f>
        <v>1</v>
      </c>
    </row>
    <row r="2014" spans="1:16" x14ac:dyDescent="0.3">
      <c r="A2014">
        <v>1994</v>
      </c>
      <c r="B2014" s="1">
        <v>44017</v>
      </c>
      <c r="C2014">
        <v>22</v>
      </c>
      <c r="D2014" t="s">
        <v>15</v>
      </c>
      <c r="E2014">
        <v>170.5</v>
      </c>
      <c r="F2014">
        <v>48.2</v>
      </c>
      <c r="G2014">
        <v>18924</v>
      </c>
      <c r="H2014">
        <v>900</v>
      </c>
      <c r="I2014">
        <v>5.4</v>
      </c>
      <c r="J2014">
        <v>75</v>
      </c>
      <c r="K2014" t="s">
        <v>25</v>
      </c>
      <c r="L2014">
        <v>77</v>
      </c>
      <c r="M2014">
        <v>1.44</v>
      </c>
      <c r="N2014">
        <v>10</v>
      </c>
      <c r="O2014" t="s">
        <v>17</v>
      </c>
      <c r="P2014" cm="1">
        <f t="array" ref="P2014">_xlfn.SWITCH(Table2[[#This Row],[mood]], "Tired", 3, "Neutral", 2, "Happy", 1)</f>
        <v>3</v>
      </c>
    </row>
    <row r="2015" spans="1:16" x14ac:dyDescent="0.3">
      <c r="A2015">
        <v>1619</v>
      </c>
      <c r="B2015" s="1">
        <v>44018</v>
      </c>
      <c r="C2015">
        <v>26</v>
      </c>
      <c r="D2015" t="s">
        <v>20</v>
      </c>
      <c r="E2015">
        <v>184.7</v>
      </c>
      <c r="F2015">
        <v>101.6</v>
      </c>
      <c r="G2015">
        <v>9766</v>
      </c>
      <c r="H2015">
        <v>588.9</v>
      </c>
      <c r="I2015">
        <v>8.6</v>
      </c>
      <c r="J2015">
        <v>76</v>
      </c>
      <c r="K2015" t="s">
        <v>16</v>
      </c>
      <c r="L2015">
        <v>0</v>
      </c>
      <c r="M2015">
        <v>3.45</v>
      </c>
      <c r="N2015">
        <v>5</v>
      </c>
      <c r="O2015" t="s">
        <v>17</v>
      </c>
      <c r="P2015" cm="1">
        <f t="array" ref="P2015">_xlfn.SWITCH(Table2[[#This Row],[mood]], "Tired", 3, "Neutral", 2, "Happy", 1)</f>
        <v>3</v>
      </c>
    </row>
    <row r="2016" spans="1:16" x14ac:dyDescent="0.3">
      <c r="A2016">
        <v>1187</v>
      </c>
      <c r="B2016" s="1">
        <v>44019</v>
      </c>
      <c r="C2016">
        <v>19</v>
      </c>
      <c r="D2016" t="s">
        <v>20</v>
      </c>
      <c r="E2016">
        <v>173.8</v>
      </c>
      <c r="F2016">
        <v>81.099999999999994</v>
      </c>
      <c r="G2016">
        <v>1220</v>
      </c>
      <c r="H2016">
        <v>244.6</v>
      </c>
      <c r="I2016">
        <v>6.6</v>
      </c>
      <c r="J2016">
        <v>94</v>
      </c>
      <c r="K2016" t="s">
        <v>25</v>
      </c>
      <c r="L2016">
        <v>88</v>
      </c>
      <c r="M2016">
        <v>3.26</v>
      </c>
      <c r="N2016">
        <v>3</v>
      </c>
      <c r="O2016" t="s">
        <v>19</v>
      </c>
      <c r="P2016" cm="1">
        <f t="array" ref="P2016">_xlfn.SWITCH(Table2[[#This Row],[mood]], "Tired", 3, "Neutral", 2, "Happy", 1)</f>
        <v>2</v>
      </c>
    </row>
    <row r="2017" spans="1:16" x14ac:dyDescent="0.3">
      <c r="A2017">
        <v>1812</v>
      </c>
      <c r="B2017" s="1">
        <v>44020</v>
      </c>
      <c r="C2017">
        <v>51</v>
      </c>
      <c r="D2017" t="s">
        <v>15</v>
      </c>
      <c r="E2017">
        <v>164.1</v>
      </c>
      <c r="F2017">
        <v>82.7</v>
      </c>
      <c r="G2017">
        <v>11205</v>
      </c>
      <c r="H2017">
        <v>588</v>
      </c>
      <c r="I2017">
        <v>6.9</v>
      </c>
      <c r="J2017">
        <v>77</v>
      </c>
      <c r="K2017" t="s">
        <v>18</v>
      </c>
      <c r="L2017">
        <v>79</v>
      </c>
      <c r="M2017">
        <v>3.02</v>
      </c>
      <c r="N2017">
        <v>9</v>
      </c>
      <c r="O2017" t="s">
        <v>21</v>
      </c>
      <c r="P2017" cm="1">
        <f t="array" ref="P2017">_xlfn.SWITCH(Table2[[#This Row],[mood]], "Tired", 3, "Neutral", 2, "Happy", 1)</f>
        <v>1</v>
      </c>
    </row>
    <row r="2018" spans="1:16" x14ac:dyDescent="0.3">
      <c r="A2018">
        <v>1097</v>
      </c>
      <c r="B2018" s="1">
        <v>44021</v>
      </c>
      <c r="C2018">
        <v>55</v>
      </c>
      <c r="D2018" t="s">
        <v>15</v>
      </c>
      <c r="E2018">
        <v>155.1</v>
      </c>
      <c r="F2018">
        <v>57.1</v>
      </c>
      <c r="G2018">
        <v>11833</v>
      </c>
      <c r="H2018">
        <v>649</v>
      </c>
      <c r="I2018">
        <v>5</v>
      </c>
      <c r="J2018">
        <v>57</v>
      </c>
      <c r="K2018" t="s">
        <v>16</v>
      </c>
      <c r="L2018">
        <v>0</v>
      </c>
      <c r="M2018">
        <v>2.89</v>
      </c>
      <c r="N2018">
        <v>1</v>
      </c>
      <c r="O2018" t="s">
        <v>17</v>
      </c>
      <c r="P2018" cm="1">
        <f t="array" ref="P2018">_xlfn.SWITCH(Table2[[#This Row],[mood]], "Tired", 3, "Neutral", 2, "Happy", 1)</f>
        <v>3</v>
      </c>
    </row>
    <row r="2019" spans="1:16" x14ac:dyDescent="0.3">
      <c r="A2019">
        <v>1130</v>
      </c>
      <c r="B2019" s="1">
        <v>44022</v>
      </c>
      <c r="C2019">
        <v>48</v>
      </c>
      <c r="D2019" t="s">
        <v>15</v>
      </c>
      <c r="E2019">
        <v>163.5</v>
      </c>
      <c r="F2019">
        <v>71.2</v>
      </c>
      <c r="G2019">
        <v>1753</v>
      </c>
      <c r="H2019">
        <v>278.2</v>
      </c>
      <c r="I2019">
        <v>9.8000000000000007</v>
      </c>
      <c r="J2019">
        <v>77</v>
      </c>
      <c r="K2019" t="s">
        <v>18</v>
      </c>
      <c r="L2019">
        <v>45</v>
      </c>
      <c r="M2019">
        <v>3.37</v>
      </c>
      <c r="N2019">
        <v>1</v>
      </c>
      <c r="O2019" t="s">
        <v>21</v>
      </c>
      <c r="P2019" cm="1">
        <f t="array" ref="P2019">_xlfn.SWITCH(Table2[[#This Row],[mood]], "Tired", 3, "Neutral", 2, "Happy", 1)</f>
        <v>1</v>
      </c>
    </row>
    <row r="2020" spans="1:16" x14ac:dyDescent="0.3">
      <c r="A2020">
        <v>1804</v>
      </c>
      <c r="B2020" s="1">
        <v>44023</v>
      </c>
      <c r="C2020">
        <v>27</v>
      </c>
      <c r="D2020" t="s">
        <v>20</v>
      </c>
      <c r="E2020">
        <v>169.6</v>
      </c>
      <c r="F2020">
        <v>68.8</v>
      </c>
      <c r="G2020">
        <v>14875</v>
      </c>
      <c r="H2020">
        <v>768.1</v>
      </c>
      <c r="I2020">
        <v>7.3</v>
      </c>
      <c r="J2020">
        <v>77</v>
      </c>
      <c r="K2020" t="s">
        <v>25</v>
      </c>
      <c r="L2020">
        <v>86</v>
      </c>
      <c r="M2020">
        <v>2.33</v>
      </c>
      <c r="N2020">
        <v>2</v>
      </c>
      <c r="O2020" t="s">
        <v>21</v>
      </c>
      <c r="P2020" cm="1">
        <f t="array" ref="P2020">_xlfn.SWITCH(Table2[[#This Row],[mood]], "Tired", 3, "Neutral", 2, "Happy", 1)</f>
        <v>1</v>
      </c>
    </row>
    <row r="2021" spans="1:16" x14ac:dyDescent="0.3">
      <c r="A2021">
        <v>1170</v>
      </c>
      <c r="B2021" s="1">
        <v>44024</v>
      </c>
      <c r="C2021">
        <v>29</v>
      </c>
      <c r="D2021" t="s">
        <v>15</v>
      </c>
      <c r="E2021">
        <v>150</v>
      </c>
      <c r="F2021">
        <v>81.7</v>
      </c>
      <c r="G2021">
        <v>8488</v>
      </c>
      <c r="H2021">
        <v>554.1</v>
      </c>
      <c r="I2021">
        <v>8</v>
      </c>
      <c r="J2021">
        <v>81</v>
      </c>
      <c r="K2021" t="s">
        <v>23</v>
      </c>
      <c r="L2021">
        <v>87</v>
      </c>
      <c r="M2021">
        <v>2.8</v>
      </c>
      <c r="N2021">
        <v>10</v>
      </c>
      <c r="O2021" t="s">
        <v>19</v>
      </c>
      <c r="P2021" cm="1">
        <f t="array" ref="P2021">_xlfn.SWITCH(Table2[[#This Row],[mood]], "Tired", 3, "Neutral", 2, "Happy", 1)</f>
        <v>2</v>
      </c>
    </row>
    <row r="2022" spans="1:16" x14ac:dyDescent="0.3">
      <c r="A2022">
        <v>1935</v>
      </c>
      <c r="B2022" s="1">
        <v>44025</v>
      </c>
      <c r="C2022">
        <v>53</v>
      </c>
      <c r="D2022" t="s">
        <v>20</v>
      </c>
      <c r="E2022">
        <v>157.9</v>
      </c>
      <c r="F2022">
        <v>90.4</v>
      </c>
      <c r="G2022">
        <v>8206</v>
      </c>
      <c r="H2022">
        <v>521.5</v>
      </c>
      <c r="I2022">
        <v>4.8</v>
      </c>
      <c r="J2022">
        <v>101</v>
      </c>
      <c r="K2022" t="s">
        <v>23</v>
      </c>
      <c r="L2022">
        <v>74</v>
      </c>
      <c r="M2022">
        <v>1.93</v>
      </c>
      <c r="N2022">
        <v>6</v>
      </c>
      <c r="O2022" t="s">
        <v>17</v>
      </c>
      <c r="P2022" cm="1">
        <f t="array" ref="P2022">_xlfn.SWITCH(Table2[[#This Row],[mood]], "Tired", 3, "Neutral", 2, "Happy", 1)</f>
        <v>3</v>
      </c>
    </row>
    <row r="2023" spans="1:16" x14ac:dyDescent="0.3">
      <c r="A2023">
        <v>1985</v>
      </c>
      <c r="B2023" s="1">
        <v>44026</v>
      </c>
      <c r="C2023">
        <v>38</v>
      </c>
      <c r="D2023" t="s">
        <v>20</v>
      </c>
      <c r="E2023">
        <v>162.6</v>
      </c>
      <c r="F2023">
        <v>48.5</v>
      </c>
      <c r="G2023">
        <v>10680</v>
      </c>
      <c r="H2023">
        <v>620.1</v>
      </c>
      <c r="I2023">
        <v>6</v>
      </c>
      <c r="J2023">
        <v>70</v>
      </c>
      <c r="K2023" t="s">
        <v>22</v>
      </c>
      <c r="L2023">
        <v>66</v>
      </c>
      <c r="M2023">
        <v>2.39</v>
      </c>
      <c r="N2023">
        <v>2</v>
      </c>
      <c r="O2023" t="s">
        <v>21</v>
      </c>
      <c r="P2023" cm="1">
        <f t="array" ref="P2023">_xlfn.SWITCH(Table2[[#This Row],[mood]], "Tired", 3, "Neutral", 2, "Happy", 1)</f>
        <v>1</v>
      </c>
    </row>
    <row r="2024" spans="1:16" x14ac:dyDescent="0.3">
      <c r="A2024">
        <v>1182</v>
      </c>
      <c r="B2024" s="1">
        <v>44027</v>
      </c>
      <c r="C2024">
        <v>23</v>
      </c>
      <c r="D2024" t="s">
        <v>15</v>
      </c>
      <c r="E2024">
        <v>167.4</v>
      </c>
      <c r="F2024">
        <v>53.9</v>
      </c>
      <c r="G2024">
        <v>8938</v>
      </c>
      <c r="H2024">
        <v>567.9</v>
      </c>
      <c r="I2024">
        <v>7.6</v>
      </c>
      <c r="J2024">
        <v>68</v>
      </c>
      <c r="K2024" t="s">
        <v>16</v>
      </c>
      <c r="L2024">
        <v>0</v>
      </c>
      <c r="M2024">
        <v>2.82</v>
      </c>
      <c r="N2024">
        <v>4</v>
      </c>
      <c r="O2024" t="s">
        <v>19</v>
      </c>
      <c r="P2024" cm="1">
        <f t="array" ref="P2024">_xlfn.SWITCH(Table2[[#This Row],[mood]], "Tired", 3, "Neutral", 2, "Happy", 1)</f>
        <v>2</v>
      </c>
    </row>
    <row r="2025" spans="1:16" x14ac:dyDescent="0.3">
      <c r="A2025">
        <v>1982</v>
      </c>
      <c r="B2025" s="1">
        <v>44028</v>
      </c>
      <c r="C2025">
        <v>20</v>
      </c>
      <c r="D2025" t="s">
        <v>15</v>
      </c>
      <c r="E2025">
        <v>169.5</v>
      </c>
      <c r="F2025">
        <v>79.7</v>
      </c>
      <c r="G2025">
        <v>19345</v>
      </c>
      <c r="H2025">
        <v>900</v>
      </c>
      <c r="I2025">
        <v>6.8</v>
      </c>
      <c r="J2025">
        <v>80</v>
      </c>
      <c r="K2025" t="s">
        <v>18</v>
      </c>
      <c r="L2025">
        <v>35</v>
      </c>
      <c r="M2025">
        <v>0.5</v>
      </c>
      <c r="N2025">
        <v>6</v>
      </c>
      <c r="O2025" t="s">
        <v>19</v>
      </c>
      <c r="P2025" cm="1">
        <f t="array" ref="P2025">_xlfn.SWITCH(Table2[[#This Row],[mood]], "Tired", 3, "Neutral", 2, "Happy", 1)</f>
        <v>2</v>
      </c>
    </row>
    <row r="2026" spans="1:16" x14ac:dyDescent="0.3">
      <c r="A2026">
        <v>1363</v>
      </c>
      <c r="B2026" s="1">
        <v>44029</v>
      </c>
      <c r="C2026">
        <v>27</v>
      </c>
      <c r="D2026" t="s">
        <v>20</v>
      </c>
      <c r="E2026">
        <v>163.9</v>
      </c>
      <c r="F2026">
        <v>62.4</v>
      </c>
      <c r="G2026">
        <v>6958</v>
      </c>
      <c r="H2026">
        <v>513.70000000000005</v>
      </c>
      <c r="I2026">
        <v>7.7</v>
      </c>
      <c r="J2026">
        <v>93</v>
      </c>
      <c r="K2026" t="s">
        <v>23</v>
      </c>
      <c r="L2026">
        <v>77</v>
      </c>
      <c r="M2026">
        <v>2.0699999999999998</v>
      </c>
      <c r="N2026">
        <v>2</v>
      </c>
      <c r="O2026" t="s">
        <v>21</v>
      </c>
      <c r="P2026" cm="1">
        <f t="array" ref="P2026">_xlfn.SWITCH(Table2[[#This Row],[mood]], "Tired", 3, "Neutral", 2, "Happy", 1)</f>
        <v>1</v>
      </c>
    </row>
    <row r="2027" spans="1:16" x14ac:dyDescent="0.3">
      <c r="A2027">
        <v>1038</v>
      </c>
      <c r="B2027" s="1">
        <v>44030</v>
      </c>
      <c r="C2027">
        <v>22</v>
      </c>
      <c r="D2027" t="s">
        <v>15</v>
      </c>
      <c r="E2027">
        <v>175.1</v>
      </c>
      <c r="F2027">
        <v>82.2</v>
      </c>
      <c r="G2027">
        <v>16770</v>
      </c>
      <c r="H2027">
        <v>900</v>
      </c>
      <c r="I2027">
        <v>10</v>
      </c>
      <c r="J2027">
        <v>82</v>
      </c>
      <c r="K2027" t="s">
        <v>25</v>
      </c>
      <c r="L2027">
        <v>20</v>
      </c>
      <c r="M2027">
        <v>2.62</v>
      </c>
      <c r="N2027">
        <v>4</v>
      </c>
      <c r="O2027" t="s">
        <v>21</v>
      </c>
      <c r="P2027" cm="1">
        <f t="array" ref="P2027">_xlfn.SWITCH(Table2[[#This Row],[mood]], "Tired", 3, "Neutral", 2, "Happy", 1)</f>
        <v>1</v>
      </c>
    </row>
    <row r="2028" spans="1:16" x14ac:dyDescent="0.3">
      <c r="A2028">
        <v>1526</v>
      </c>
      <c r="B2028" s="1">
        <v>44031</v>
      </c>
      <c r="C2028">
        <v>43</v>
      </c>
      <c r="D2028" t="s">
        <v>15</v>
      </c>
      <c r="E2028">
        <v>171.2</v>
      </c>
      <c r="F2028">
        <v>64.400000000000006</v>
      </c>
      <c r="G2028">
        <v>7635</v>
      </c>
      <c r="H2028">
        <v>548.6</v>
      </c>
      <c r="I2028">
        <v>7.8</v>
      </c>
      <c r="J2028">
        <v>72</v>
      </c>
      <c r="K2028" t="s">
        <v>16</v>
      </c>
      <c r="L2028">
        <v>0</v>
      </c>
      <c r="M2028">
        <v>2.4500000000000002</v>
      </c>
      <c r="N2028">
        <v>7</v>
      </c>
      <c r="O2028" t="s">
        <v>19</v>
      </c>
      <c r="P2028" cm="1">
        <f t="array" ref="P2028">_xlfn.SWITCH(Table2[[#This Row],[mood]], "Tired", 3, "Neutral", 2, "Happy", 1)</f>
        <v>2</v>
      </c>
    </row>
    <row r="2029" spans="1:16" x14ac:dyDescent="0.3">
      <c r="A2029">
        <v>1887</v>
      </c>
      <c r="B2029" s="1">
        <v>44032</v>
      </c>
      <c r="C2029">
        <v>38</v>
      </c>
      <c r="D2029" t="s">
        <v>20</v>
      </c>
      <c r="E2029">
        <v>166.3</v>
      </c>
      <c r="F2029">
        <v>51.3</v>
      </c>
      <c r="G2029">
        <v>9629</v>
      </c>
      <c r="H2029">
        <v>511.1</v>
      </c>
      <c r="I2029">
        <v>6.3</v>
      </c>
      <c r="J2029">
        <v>85</v>
      </c>
      <c r="K2029" t="s">
        <v>25</v>
      </c>
      <c r="L2029">
        <v>25</v>
      </c>
      <c r="M2029">
        <v>2.1800000000000002</v>
      </c>
      <c r="N2029">
        <v>1</v>
      </c>
      <c r="O2029" t="s">
        <v>19</v>
      </c>
      <c r="P2029" cm="1">
        <f t="array" ref="P2029">_xlfn.SWITCH(Table2[[#This Row],[mood]], "Tired", 3, "Neutral", 2, "Happy", 1)</f>
        <v>2</v>
      </c>
    </row>
    <row r="2030" spans="1:16" x14ac:dyDescent="0.3">
      <c r="A2030">
        <v>1496</v>
      </c>
      <c r="B2030" s="1">
        <v>44033</v>
      </c>
      <c r="C2030">
        <v>43</v>
      </c>
      <c r="D2030" t="s">
        <v>15</v>
      </c>
      <c r="E2030">
        <v>176.4</v>
      </c>
      <c r="F2030">
        <v>45</v>
      </c>
      <c r="G2030">
        <v>18166</v>
      </c>
      <c r="H2030">
        <v>872.4</v>
      </c>
      <c r="I2030">
        <v>6</v>
      </c>
      <c r="J2030">
        <v>93</v>
      </c>
      <c r="K2030" t="s">
        <v>24</v>
      </c>
      <c r="L2030">
        <v>71</v>
      </c>
      <c r="M2030">
        <v>2.91</v>
      </c>
      <c r="N2030">
        <v>9</v>
      </c>
      <c r="O2030" t="s">
        <v>21</v>
      </c>
      <c r="P2030" cm="1">
        <f t="array" ref="P2030">_xlfn.SWITCH(Table2[[#This Row],[mood]], "Tired", 3, "Neutral", 2, "Happy", 1)</f>
        <v>1</v>
      </c>
    </row>
    <row r="2031" spans="1:16" x14ac:dyDescent="0.3">
      <c r="A2031">
        <v>1515</v>
      </c>
      <c r="B2031" s="1">
        <v>44034</v>
      </c>
      <c r="C2031">
        <v>55</v>
      </c>
      <c r="D2031" t="s">
        <v>20</v>
      </c>
      <c r="E2031">
        <v>175.6</v>
      </c>
      <c r="F2031">
        <v>77.3</v>
      </c>
      <c r="G2031">
        <v>13869</v>
      </c>
      <c r="H2031">
        <v>741</v>
      </c>
      <c r="I2031">
        <v>5.9</v>
      </c>
      <c r="J2031">
        <v>67</v>
      </c>
      <c r="K2031" t="s">
        <v>23</v>
      </c>
      <c r="L2031">
        <v>38</v>
      </c>
      <c r="M2031">
        <v>2</v>
      </c>
      <c r="N2031">
        <v>10</v>
      </c>
      <c r="O2031" t="s">
        <v>21</v>
      </c>
      <c r="P2031" cm="1">
        <f t="array" ref="P2031">_xlfn.SWITCH(Table2[[#This Row],[mood]], "Tired", 3, "Neutral", 2, "Happy", 1)</f>
        <v>1</v>
      </c>
    </row>
    <row r="2032" spans="1:16" x14ac:dyDescent="0.3">
      <c r="A2032">
        <v>1348</v>
      </c>
      <c r="B2032" s="1">
        <v>44035</v>
      </c>
      <c r="C2032">
        <v>43</v>
      </c>
      <c r="D2032" t="s">
        <v>20</v>
      </c>
      <c r="E2032">
        <v>155.5</v>
      </c>
      <c r="F2032">
        <v>77.599999999999994</v>
      </c>
      <c r="G2032">
        <v>17603</v>
      </c>
      <c r="H2032">
        <v>866</v>
      </c>
      <c r="I2032">
        <v>6.4</v>
      </c>
      <c r="J2032">
        <v>65</v>
      </c>
      <c r="K2032" t="s">
        <v>22</v>
      </c>
      <c r="L2032">
        <v>62</v>
      </c>
      <c r="M2032">
        <v>1.64</v>
      </c>
      <c r="N2032">
        <v>10</v>
      </c>
      <c r="O2032" t="s">
        <v>19</v>
      </c>
      <c r="P2032" cm="1">
        <f t="array" ref="P2032">_xlfn.SWITCH(Table2[[#This Row],[mood]], "Tired", 3, "Neutral", 2, "Happy", 1)</f>
        <v>2</v>
      </c>
    </row>
    <row r="2033" spans="1:16" x14ac:dyDescent="0.3">
      <c r="A2033">
        <v>1981</v>
      </c>
      <c r="B2033" s="1">
        <v>44036</v>
      </c>
      <c r="C2033">
        <v>25</v>
      </c>
      <c r="D2033" t="s">
        <v>15</v>
      </c>
      <c r="E2033">
        <v>169.7</v>
      </c>
      <c r="F2033">
        <v>84.6</v>
      </c>
      <c r="G2033">
        <v>10219</v>
      </c>
      <c r="H2033">
        <v>628.29999999999995</v>
      </c>
      <c r="I2033">
        <v>6.4</v>
      </c>
      <c r="J2033">
        <v>76</v>
      </c>
      <c r="K2033" t="s">
        <v>22</v>
      </c>
      <c r="L2033">
        <v>38</v>
      </c>
      <c r="M2033">
        <v>3.33</v>
      </c>
      <c r="N2033">
        <v>7</v>
      </c>
      <c r="O2033" t="s">
        <v>17</v>
      </c>
      <c r="P2033" cm="1">
        <f t="array" ref="P2033">_xlfn.SWITCH(Table2[[#This Row],[mood]], "Tired", 3, "Neutral", 2, "Happy", 1)</f>
        <v>3</v>
      </c>
    </row>
    <row r="2034" spans="1:16" x14ac:dyDescent="0.3">
      <c r="A2034">
        <v>1920</v>
      </c>
      <c r="B2034" s="1">
        <v>44037</v>
      </c>
      <c r="C2034">
        <v>22</v>
      </c>
      <c r="D2034" t="s">
        <v>20</v>
      </c>
      <c r="E2034">
        <v>178.9</v>
      </c>
      <c r="F2034">
        <v>74.900000000000006</v>
      </c>
      <c r="G2034">
        <v>9029</v>
      </c>
      <c r="H2034">
        <v>586</v>
      </c>
      <c r="I2034">
        <v>7.2</v>
      </c>
      <c r="J2034">
        <v>78</v>
      </c>
      <c r="K2034" t="s">
        <v>16</v>
      </c>
      <c r="L2034">
        <v>0</v>
      </c>
      <c r="M2034">
        <v>3.23</v>
      </c>
      <c r="N2034">
        <v>9</v>
      </c>
      <c r="O2034" t="s">
        <v>19</v>
      </c>
      <c r="P2034" cm="1">
        <f t="array" ref="P2034">_xlfn.SWITCH(Table2[[#This Row],[mood]], "Tired", 3, "Neutral", 2, "Happy", 1)</f>
        <v>2</v>
      </c>
    </row>
    <row r="2035" spans="1:16" x14ac:dyDescent="0.3">
      <c r="A2035">
        <v>1396</v>
      </c>
      <c r="B2035" s="1">
        <v>44038</v>
      </c>
      <c r="C2035">
        <v>32</v>
      </c>
      <c r="D2035" t="s">
        <v>20</v>
      </c>
      <c r="E2035">
        <v>180.6</v>
      </c>
      <c r="F2035">
        <v>45</v>
      </c>
      <c r="G2035">
        <v>17272</v>
      </c>
      <c r="H2035">
        <v>866.7</v>
      </c>
      <c r="I2035">
        <v>7.8</v>
      </c>
      <c r="J2035">
        <v>89</v>
      </c>
      <c r="K2035" t="s">
        <v>18</v>
      </c>
      <c r="L2035">
        <v>51</v>
      </c>
      <c r="M2035">
        <v>2.08</v>
      </c>
      <c r="N2035">
        <v>7</v>
      </c>
      <c r="O2035" t="s">
        <v>19</v>
      </c>
      <c r="P2035" cm="1">
        <f t="array" ref="P2035">_xlfn.SWITCH(Table2[[#This Row],[mood]], "Tired", 3, "Neutral", 2, "Happy", 1)</f>
        <v>2</v>
      </c>
    </row>
    <row r="2036" spans="1:16" x14ac:dyDescent="0.3">
      <c r="A2036">
        <v>1721</v>
      </c>
      <c r="B2036" s="1">
        <v>44039</v>
      </c>
      <c r="C2036">
        <v>33</v>
      </c>
      <c r="D2036" t="s">
        <v>15</v>
      </c>
      <c r="E2036">
        <v>173.7</v>
      </c>
      <c r="F2036">
        <v>77.599999999999994</v>
      </c>
      <c r="G2036">
        <v>17673</v>
      </c>
      <c r="H2036">
        <v>900</v>
      </c>
      <c r="I2036">
        <v>7.7</v>
      </c>
      <c r="J2036">
        <v>70</v>
      </c>
      <c r="K2036" t="s">
        <v>24</v>
      </c>
      <c r="L2036">
        <v>84</v>
      </c>
      <c r="M2036">
        <v>2.4500000000000002</v>
      </c>
      <c r="N2036">
        <v>1</v>
      </c>
      <c r="O2036" t="s">
        <v>17</v>
      </c>
      <c r="P2036" cm="1">
        <f t="array" ref="P2036">_xlfn.SWITCH(Table2[[#This Row],[mood]], "Tired", 3, "Neutral", 2, "Happy", 1)</f>
        <v>3</v>
      </c>
    </row>
    <row r="2037" spans="1:16" x14ac:dyDescent="0.3">
      <c r="A2037">
        <v>1160</v>
      </c>
      <c r="B2037" s="1">
        <v>44040</v>
      </c>
      <c r="C2037">
        <v>18</v>
      </c>
      <c r="D2037" t="s">
        <v>15</v>
      </c>
      <c r="E2037">
        <v>167.7</v>
      </c>
      <c r="F2037">
        <v>48.1</v>
      </c>
      <c r="G2037">
        <v>17763</v>
      </c>
      <c r="H2037">
        <v>900</v>
      </c>
      <c r="I2037">
        <v>7.2</v>
      </c>
      <c r="J2037">
        <v>79</v>
      </c>
      <c r="K2037" t="s">
        <v>16</v>
      </c>
      <c r="L2037">
        <v>0</v>
      </c>
      <c r="M2037">
        <v>3.09</v>
      </c>
      <c r="N2037">
        <v>7</v>
      </c>
      <c r="O2037" t="s">
        <v>21</v>
      </c>
      <c r="P2037" cm="1">
        <f t="array" ref="P2037">_xlfn.SWITCH(Table2[[#This Row],[mood]], "Tired", 3, "Neutral", 2, "Happy", 1)</f>
        <v>1</v>
      </c>
    </row>
    <row r="2038" spans="1:16" x14ac:dyDescent="0.3">
      <c r="A2038">
        <v>1015</v>
      </c>
      <c r="B2038" s="1">
        <v>44041</v>
      </c>
      <c r="C2038">
        <v>33</v>
      </c>
      <c r="D2038" t="s">
        <v>15</v>
      </c>
      <c r="E2038">
        <v>174.2</v>
      </c>
      <c r="F2038">
        <v>45</v>
      </c>
      <c r="G2038">
        <v>13165</v>
      </c>
      <c r="H2038">
        <v>636</v>
      </c>
      <c r="I2038">
        <v>7.3</v>
      </c>
      <c r="J2038">
        <v>91</v>
      </c>
      <c r="K2038" t="s">
        <v>25</v>
      </c>
      <c r="L2038">
        <v>32</v>
      </c>
      <c r="M2038">
        <v>2.5299999999999998</v>
      </c>
      <c r="N2038">
        <v>9</v>
      </c>
      <c r="O2038" t="s">
        <v>19</v>
      </c>
      <c r="P2038" cm="1">
        <f t="array" ref="P2038">_xlfn.SWITCH(Table2[[#This Row],[mood]], "Tired", 3, "Neutral", 2, "Happy", 1)</f>
        <v>2</v>
      </c>
    </row>
    <row r="2039" spans="1:16" x14ac:dyDescent="0.3">
      <c r="A2039">
        <v>1492</v>
      </c>
      <c r="B2039" s="1">
        <v>44042</v>
      </c>
      <c r="C2039">
        <v>54</v>
      </c>
      <c r="D2039" t="s">
        <v>20</v>
      </c>
      <c r="E2039">
        <v>178.1</v>
      </c>
      <c r="F2039">
        <v>45</v>
      </c>
      <c r="G2039">
        <v>12043</v>
      </c>
      <c r="H2039">
        <v>610.29999999999995</v>
      </c>
      <c r="I2039">
        <v>10</v>
      </c>
      <c r="J2039">
        <v>77</v>
      </c>
      <c r="K2039" t="s">
        <v>25</v>
      </c>
      <c r="L2039">
        <v>55</v>
      </c>
      <c r="M2039">
        <v>2.87</v>
      </c>
      <c r="N2039">
        <v>8</v>
      </c>
      <c r="O2039" t="s">
        <v>21</v>
      </c>
      <c r="P2039" cm="1">
        <f t="array" ref="P2039">_xlfn.SWITCH(Table2[[#This Row],[mood]], "Tired", 3, "Neutral", 2, "Happy", 1)</f>
        <v>1</v>
      </c>
    </row>
    <row r="2040" spans="1:16" x14ac:dyDescent="0.3">
      <c r="A2040">
        <v>1425</v>
      </c>
      <c r="B2040" s="1">
        <v>44043</v>
      </c>
      <c r="C2040">
        <v>20</v>
      </c>
      <c r="D2040" t="s">
        <v>20</v>
      </c>
      <c r="E2040">
        <v>171.2</v>
      </c>
      <c r="F2040">
        <v>45</v>
      </c>
      <c r="G2040">
        <v>10570</v>
      </c>
      <c r="H2040">
        <v>677.7</v>
      </c>
      <c r="I2040">
        <v>5.9</v>
      </c>
      <c r="J2040">
        <v>71</v>
      </c>
      <c r="K2040" t="s">
        <v>18</v>
      </c>
      <c r="L2040">
        <v>89</v>
      </c>
      <c r="M2040">
        <v>2.83</v>
      </c>
      <c r="N2040">
        <v>4</v>
      </c>
      <c r="O2040" t="s">
        <v>17</v>
      </c>
      <c r="P2040" cm="1">
        <f t="array" ref="P2040">_xlfn.SWITCH(Table2[[#This Row],[mood]], "Tired", 3, "Neutral", 2, "Happy", 1)</f>
        <v>3</v>
      </c>
    </row>
    <row r="2041" spans="1:16" x14ac:dyDescent="0.3">
      <c r="A2041">
        <v>1107</v>
      </c>
      <c r="B2041" s="1">
        <v>44044</v>
      </c>
      <c r="C2041">
        <v>48</v>
      </c>
      <c r="D2041" t="s">
        <v>15</v>
      </c>
      <c r="E2041">
        <v>172.3</v>
      </c>
      <c r="F2041">
        <v>74.2</v>
      </c>
      <c r="G2041">
        <v>7886</v>
      </c>
      <c r="H2041">
        <v>558.9</v>
      </c>
      <c r="I2041">
        <v>6.9</v>
      </c>
      <c r="J2041">
        <v>81</v>
      </c>
      <c r="K2041" t="s">
        <v>22</v>
      </c>
      <c r="L2041">
        <v>46</v>
      </c>
      <c r="M2041">
        <v>2.2799999999999998</v>
      </c>
      <c r="N2041">
        <v>5</v>
      </c>
      <c r="O2041" t="s">
        <v>19</v>
      </c>
      <c r="P2041" cm="1">
        <f t="array" ref="P2041">_xlfn.SWITCH(Table2[[#This Row],[mood]], "Tired", 3, "Neutral", 2, "Happy", 1)</f>
        <v>2</v>
      </c>
    </row>
    <row r="2042" spans="1:16" x14ac:dyDescent="0.3">
      <c r="A2042">
        <v>1893</v>
      </c>
      <c r="B2042" s="1">
        <v>44045</v>
      </c>
      <c r="C2042">
        <v>30</v>
      </c>
      <c r="D2042" t="s">
        <v>20</v>
      </c>
      <c r="E2042">
        <v>167.5</v>
      </c>
      <c r="F2042">
        <v>59</v>
      </c>
      <c r="G2042">
        <v>2958</v>
      </c>
      <c r="H2042">
        <v>343.5</v>
      </c>
      <c r="I2042">
        <v>4.3</v>
      </c>
      <c r="J2042">
        <v>72</v>
      </c>
      <c r="K2042" t="s">
        <v>22</v>
      </c>
      <c r="L2042">
        <v>43</v>
      </c>
      <c r="M2042">
        <v>2.86</v>
      </c>
      <c r="N2042">
        <v>3</v>
      </c>
      <c r="O2042" t="s">
        <v>21</v>
      </c>
      <c r="P2042" cm="1">
        <f t="array" ref="P2042">_xlfn.SWITCH(Table2[[#This Row],[mood]], "Tired", 3, "Neutral", 2, "Happy", 1)</f>
        <v>1</v>
      </c>
    </row>
    <row r="2043" spans="1:16" x14ac:dyDescent="0.3">
      <c r="A2043">
        <v>1449</v>
      </c>
      <c r="B2043" s="1">
        <v>44046</v>
      </c>
      <c r="C2043">
        <v>33</v>
      </c>
      <c r="D2043" t="s">
        <v>15</v>
      </c>
      <c r="E2043">
        <v>156.6</v>
      </c>
      <c r="F2043">
        <v>47.2</v>
      </c>
      <c r="G2043">
        <v>11319</v>
      </c>
      <c r="H2043">
        <v>653.29999999999995</v>
      </c>
      <c r="I2043">
        <v>6.4</v>
      </c>
      <c r="J2043">
        <v>78</v>
      </c>
      <c r="K2043" t="s">
        <v>25</v>
      </c>
      <c r="L2043">
        <v>39</v>
      </c>
      <c r="M2043">
        <v>1.82</v>
      </c>
      <c r="N2043">
        <v>10</v>
      </c>
      <c r="O2043" t="s">
        <v>21</v>
      </c>
      <c r="P2043" cm="1">
        <f t="array" ref="P2043">_xlfn.SWITCH(Table2[[#This Row],[mood]], "Tired", 3, "Neutral", 2, "Happy", 1)</f>
        <v>1</v>
      </c>
    </row>
    <row r="2044" spans="1:16" x14ac:dyDescent="0.3">
      <c r="A2044">
        <v>1310</v>
      </c>
      <c r="B2044" s="1">
        <v>44047</v>
      </c>
      <c r="C2044">
        <v>38</v>
      </c>
      <c r="D2044" t="s">
        <v>15</v>
      </c>
      <c r="E2044">
        <v>168.3</v>
      </c>
      <c r="F2044">
        <v>70.3</v>
      </c>
      <c r="G2044">
        <v>3183</v>
      </c>
      <c r="H2044">
        <v>322.2</v>
      </c>
      <c r="I2044">
        <v>5.7</v>
      </c>
      <c r="J2044">
        <v>73</v>
      </c>
      <c r="K2044" t="s">
        <v>18</v>
      </c>
      <c r="L2044">
        <v>28</v>
      </c>
      <c r="M2044">
        <v>2.78</v>
      </c>
      <c r="N2044">
        <v>10</v>
      </c>
      <c r="O2044" t="s">
        <v>21</v>
      </c>
      <c r="P2044" cm="1">
        <f t="array" ref="P2044">_xlfn.SWITCH(Table2[[#This Row],[mood]], "Tired", 3, "Neutral", 2, "Happy", 1)</f>
        <v>1</v>
      </c>
    </row>
    <row r="2045" spans="1:16" x14ac:dyDescent="0.3">
      <c r="A2045">
        <v>1738</v>
      </c>
      <c r="B2045" s="1">
        <v>44048</v>
      </c>
      <c r="C2045">
        <v>19</v>
      </c>
      <c r="D2045" t="s">
        <v>20</v>
      </c>
      <c r="E2045">
        <v>163.19999999999999</v>
      </c>
      <c r="F2045">
        <v>53.4</v>
      </c>
      <c r="G2045">
        <v>4774</v>
      </c>
      <c r="H2045">
        <v>417.8</v>
      </c>
      <c r="I2045">
        <v>5.9</v>
      </c>
      <c r="J2045">
        <v>74</v>
      </c>
      <c r="K2045" t="s">
        <v>16</v>
      </c>
      <c r="L2045">
        <v>0</v>
      </c>
      <c r="M2045">
        <v>2.4500000000000002</v>
      </c>
      <c r="N2045">
        <v>2</v>
      </c>
      <c r="O2045" t="s">
        <v>21</v>
      </c>
      <c r="P2045" cm="1">
        <f t="array" ref="P2045">_xlfn.SWITCH(Table2[[#This Row],[mood]], "Tired", 3, "Neutral", 2, "Happy", 1)</f>
        <v>1</v>
      </c>
    </row>
    <row r="2046" spans="1:16" x14ac:dyDescent="0.3">
      <c r="A2046">
        <v>1169</v>
      </c>
      <c r="B2046" s="1">
        <v>44049</v>
      </c>
      <c r="C2046">
        <v>44</v>
      </c>
      <c r="D2046" t="s">
        <v>15</v>
      </c>
      <c r="E2046">
        <v>163.30000000000001</v>
      </c>
      <c r="F2046">
        <v>84.7</v>
      </c>
      <c r="G2046">
        <v>15272</v>
      </c>
      <c r="H2046">
        <v>819.7</v>
      </c>
      <c r="I2046">
        <v>5.2</v>
      </c>
      <c r="J2046">
        <v>71</v>
      </c>
      <c r="K2046" t="s">
        <v>23</v>
      </c>
      <c r="L2046">
        <v>20</v>
      </c>
      <c r="M2046">
        <v>2.25</v>
      </c>
      <c r="N2046">
        <v>3</v>
      </c>
      <c r="O2046" t="s">
        <v>21</v>
      </c>
      <c r="P2046" cm="1">
        <f t="array" ref="P2046">_xlfn.SWITCH(Table2[[#This Row],[mood]], "Tired", 3, "Neutral", 2, "Happy", 1)</f>
        <v>1</v>
      </c>
    </row>
    <row r="2047" spans="1:16" x14ac:dyDescent="0.3">
      <c r="A2047">
        <v>1545</v>
      </c>
      <c r="B2047" s="1">
        <v>44050</v>
      </c>
      <c r="C2047">
        <v>55</v>
      </c>
      <c r="D2047" t="s">
        <v>20</v>
      </c>
      <c r="E2047">
        <v>184.3</v>
      </c>
      <c r="F2047">
        <v>91.8</v>
      </c>
      <c r="G2047">
        <v>1777</v>
      </c>
      <c r="H2047">
        <v>336.5</v>
      </c>
      <c r="I2047">
        <v>5</v>
      </c>
      <c r="J2047">
        <v>69</v>
      </c>
      <c r="K2047" t="s">
        <v>16</v>
      </c>
      <c r="L2047">
        <v>0</v>
      </c>
      <c r="M2047">
        <v>1.63</v>
      </c>
      <c r="N2047">
        <v>7</v>
      </c>
      <c r="O2047" t="s">
        <v>21</v>
      </c>
      <c r="P2047" cm="1">
        <f t="array" ref="P2047">_xlfn.SWITCH(Table2[[#This Row],[mood]], "Tired", 3, "Neutral", 2, "Happy", 1)</f>
        <v>1</v>
      </c>
    </row>
    <row r="2048" spans="1:16" x14ac:dyDescent="0.3">
      <c r="A2048">
        <v>1413</v>
      </c>
      <c r="B2048" s="1">
        <v>44051</v>
      </c>
      <c r="C2048">
        <v>43</v>
      </c>
      <c r="D2048" t="s">
        <v>20</v>
      </c>
      <c r="E2048">
        <v>179.5</v>
      </c>
      <c r="F2048">
        <v>66.7</v>
      </c>
      <c r="G2048">
        <v>3566</v>
      </c>
      <c r="H2048">
        <v>308.60000000000002</v>
      </c>
      <c r="I2048">
        <v>7.2</v>
      </c>
      <c r="J2048">
        <v>85</v>
      </c>
      <c r="K2048" t="s">
        <v>24</v>
      </c>
      <c r="L2048">
        <v>20</v>
      </c>
      <c r="M2048">
        <v>2.59</v>
      </c>
      <c r="N2048">
        <v>8</v>
      </c>
      <c r="O2048" t="s">
        <v>19</v>
      </c>
      <c r="P2048" cm="1">
        <f t="array" ref="P2048">_xlfn.SWITCH(Table2[[#This Row],[mood]], "Tired", 3, "Neutral", 2, "Happy", 1)</f>
        <v>2</v>
      </c>
    </row>
    <row r="2049" spans="1:16" x14ac:dyDescent="0.3">
      <c r="A2049">
        <v>1250</v>
      </c>
      <c r="B2049" s="1">
        <v>44052</v>
      </c>
      <c r="C2049">
        <v>55</v>
      </c>
      <c r="D2049" t="s">
        <v>15</v>
      </c>
      <c r="E2049">
        <v>153.1</v>
      </c>
      <c r="F2049">
        <v>90.7</v>
      </c>
      <c r="G2049">
        <v>11095</v>
      </c>
      <c r="H2049">
        <v>644.70000000000005</v>
      </c>
      <c r="I2049">
        <v>8.1</v>
      </c>
      <c r="J2049">
        <v>77</v>
      </c>
      <c r="K2049" t="s">
        <v>22</v>
      </c>
      <c r="L2049">
        <v>63</v>
      </c>
      <c r="M2049">
        <v>2.5299999999999998</v>
      </c>
      <c r="N2049">
        <v>2</v>
      </c>
      <c r="O2049" t="s">
        <v>19</v>
      </c>
      <c r="P2049" cm="1">
        <f t="array" ref="P2049">_xlfn.SWITCH(Table2[[#This Row],[mood]], "Tired", 3, "Neutral", 2, "Happy", 1)</f>
        <v>2</v>
      </c>
    </row>
    <row r="2050" spans="1:16" x14ac:dyDescent="0.3">
      <c r="A2050">
        <v>1758</v>
      </c>
      <c r="B2050" s="1">
        <v>44053</v>
      </c>
      <c r="C2050">
        <v>42</v>
      </c>
      <c r="D2050" t="s">
        <v>20</v>
      </c>
      <c r="E2050">
        <v>159.19999999999999</v>
      </c>
      <c r="F2050">
        <v>90.6</v>
      </c>
      <c r="G2050">
        <v>11953</v>
      </c>
      <c r="H2050">
        <v>722.6</v>
      </c>
      <c r="I2050">
        <v>5.8</v>
      </c>
      <c r="J2050">
        <v>88</v>
      </c>
      <c r="K2050" t="s">
        <v>16</v>
      </c>
      <c r="L2050">
        <v>0</v>
      </c>
      <c r="M2050">
        <v>1.91</v>
      </c>
      <c r="N2050">
        <v>9</v>
      </c>
      <c r="O2050" t="s">
        <v>17</v>
      </c>
      <c r="P2050" cm="1">
        <f t="array" ref="P2050">_xlfn.SWITCH(Table2[[#This Row],[mood]], "Tired", 3, "Neutral", 2, "Happy", 1)</f>
        <v>3</v>
      </c>
    </row>
    <row r="2051" spans="1:16" x14ac:dyDescent="0.3">
      <c r="A2051">
        <v>1780</v>
      </c>
      <c r="B2051" s="1">
        <v>44054</v>
      </c>
      <c r="C2051">
        <v>28</v>
      </c>
      <c r="D2051" t="s">
        <v>15</v>
      </c>
      <c r="E2051">
        <v>166.4</v>
      </c>
      <c r="F2051">
        <v>71.3</v>
      </c>
      <c r="G2051">
        <v>8404</v>
      </c>
      <c r="H2051">
        <v>544.4</v>
      </c>
      <c r="I2051">
        <v>4</v>
      </c>
      <c r="J2051">
        <v>52</v>
      </c>
      <c r="K2051" t="s">
        <v>22</v>
      </c>
      <c r="L2051">
        <v>36</v>
      </c>
      <c r="M2051">
        <v>1.38</v>
      </c>
      <c r="N2051">
        <v>4</v>
      </c>
      <c r="O2051" t="s">
        <v>21</v>
      </c>
      <c r="P2051" cm="1">
        <f t="array" ref="P2051">_xlfn.SWITCH(Table2[[#This Row],[mood]], "Tired", 3, "Neutral", 2, "Happy", 1)</f>
        <v>1</v>
      </c>
    </row>
    <row r="2052" spans="1:16" x14ac:dyDescent="0.3">
      <c r="A2052">
        <v>1140</v>
      </c>
      <c r="B2052" s="1">
        <v>44055</v>
      </c>
      <c r="C2052">
        <v>25</v>
      </c>
      <c r="D2052" t="s">
        <v>20</v>
      </c>
      <c r="E2052">
        <v>163.6</v>
      </c>
      <c r="F2052">
        <v>96</v>
      </c>
      <c r="G2052">
        <v>1078</v>
      </c>
      <c r="H2052">
        <v>276.8</v>
      </c>
      <c r="I2052">
        <v>7.2</v>
      </c>
      <c r="J2052">
        <v>70</v>
      </c>
      <c r="K2052" t="s">
        <v>22</v>
      </c>
      <c r="L2052">
        <v>85</v>
      </c>
      <c r="M2052">
        <v>1.35</v>
      </c>
      <c r="N2052">
        <v>2</v>
      </c>
      <c r="O2052" t="s">
        <v>17</v>
      </c>
      <c r="P2052" cm="1">
        <f t="array" ref="P2052">_xlfn.SWITCH(Table2[[#This Row],[mood]], "Tired", 3, "Neutral", 2, "Happy", 1)</f>
        <v>3</v>
      </c>
    </row>
    <row r="2053" spans="1:16" x14ac:dyDescent="0.3">
      <c r="A2053">
        <v>1273</v>
      </c>
      <c r="B2053" s="1">
        <v>44056</v>
      </c>
      <c r="C2053">
        <v>25</v>
      </c>
      <c r="D2053" t="s">
        <v>20</v>
      </c>
      <c r="E2053">
        <v>173.2</v>
      </c>
      <c r="F2053">
        <v>60.7</v>
      </c>
      <c r="G2053">
        <v>2581</v>
      </c>
      <c r="H2053">
        <v>336.2</v>
      </c>
      <c r="I2053">
        <v>7.7</v>
      </c>
      <c r="J2053">
        <v>68</v>
      </c>
      <c r="K2053" t="s">
        <v>23</v>
      </c>
      <c r="L2053">
        <v>42</v>
      </c>
      <c r="M2053">
        <v>2.3199999999999998</v>
      </c>
      <c r="N2053">
        <v>7</v>
      </c>
      <c r="O2053" t="s">
        <v>19</v>
      </c>
      <c r="P2053" cm="1">
        <f t="array" ref="P2053">_xlfn.SWITCH(Table2[[#This Row],[mood]], "Tired", 3, "Neutral", 2, "Happy", 1)</f>
        <v>2</v>
      </c>
    </row>
    <row r="2054" spans="1:16" x14ac:dyDescent="0.3">
      <c r="A2054">
        <v>1415</v>
      </c>
      <c r="B2054" s="1">
        <v>44057</v>
      </c>
      <c r="C2054">
        <v>50</v>
      </c>
      <c r="D2054" t="s">
        <v>20</v>
      </c>
      <c r="E2054">
        <v>157.6</v>
      </c>
      <c r="F2054">
        <v>45</v>
      </c>
      <c r="G2054">
        <v>15066</v>
      </c>
      <c r="H2054">
        <v>781.4</v>
      </c>
      <c r="I2054">
        <v>8</v>
      </c>
      <c r="J2054">
        <v>72</v>
      </c>
      <c r="K2054" t="s">
        <v>23</v>
      </c>
      <c r="L2054">
        <v>60</v>
      </c>
      <c r="M2054">
        <v>2.71</v>
      </c>
      <c r="N2054">
        <v>2</v>
      </c>
      <c r="O2054" t="s">
        <v>17</v>
      </c>
      <c r="P2054" cm="1">
        <f t="array" ref="P2054">_xlfn.SWITCH(Table2[[#This Row],[mood]], "Tired", 3, "Neutral", 2, "Happy", 1)</f>
        <v>3</v>
      </c>
    </row>
    <row r="2055" spans="1:16" x14ac:dyDescent="0.3">
      <c r="A2055">
        <v>1607</v>
      </c>
      <c r="B2055" s="1">
        <v>44058</v>
      </c>
      <c r="C2055">
        <v>24</v>
      </c>
      <c r="D2055" t="s">
        <v>15</v>
      </c>
      <c r="E2055">
        <v>179.6</v>
      </c>
      <c r="F2055">
        <v>46.7</v>
      </c>
      <c r="G2055">
        <v>8967</v>
      </c>
      <c r="H2055">
        <v>507.6</v>
      </c>
      <c r="I2055">
        <v>5.5</v>
      </c>
      <c r="J2055">
        <v>65</v>
      </c>
      <c r="K2055" t="s">
        <v>16</v>
      </c>
      <c r="L2055">
        <v>0</v>
      </c>
      <c r="M2055">
        <v>3.79</v>
      </c>
      <c r="N2055">
        <v>7</v>
      </c>
      <c r="O2055" t="s">
        <v>19</v>
      </c>
      <c r="P2055" cm="1">
        <f t="array" ref="P2055">_xlfn.SWITCH(Table2[[#This Row],[mood]], "Tired", 3, "Neutral", 2, "Happy", 1)</f>
        <v>2</v>
      </c>
    </row>
    <row r="2056" spans="1:16" x14ac:dyDescent="0.3">
      <c r="A2056">
        <v>1738</v>
      </c>
      <c r="B2056" s="1">
        <v>44059</v>
      </c>
      <c r="C2056">
        <v>55</v>
      </c>
      <c r="D2056" t="s">
        <v>20</v>
      </c>
      <c r="E2056">
        <v>169.6</v>
      </c>
      <c r="F2056">
        <v>60</v>
      </c>
      <c r="G2056">
        <v>8839</v>
      </c>
      <c r="H2056">
        <v>516.20000000000005</v>
      </c>
      <c r="I2056">
        <v>6.1</v>
      </c>
      <c r="J2056">
        <v>59</v>
      </c>
      <c r="K2056" t="s">
        <v>24</v>
      </c>
      <c r="L2056">
        <v>44</v>
      </c>
      <c r="M2056">
        <v>2.4700000000000002</v>
      </c>
      <c r="N2056">
        <v>8</v>
      </c>
      <c r="O2056" t="s">
        <v>19</v>
      </c>
      <c r="P2056" cm="1">
        <f t="array" ref="P2056">_xlfn.SWITCH(Table2[[#This Row],[mood]], "Tired", 3, "Neutral", 2, "Happy", 1)</f>
        <v>2</v>
      </c>
    </row>
    <row r="2057" spans="1:16" x14ac:dyDescent="0.3">
      <c r="A2057">
        <v>1890</v>
      </c>
      <c r="B2057" s="1">
        <v>44060</v>
      </c>
      <c r="C2057">
        <v>38</v>
      </c>
      <c r="D2057" t="s">
        <v>15</v>
      </c>
      <c r="E2057">
        <v>166.6</v>
      </c>
      <c r="F2057">
        <v>78</v>
      </c>
      <c r="G2057">
        <v>3162</v>
      </c>
      <c r="H2057">
        <v>272.3</v>
      </c>
      <c r="I2057">
        <v>5.3</v>
      </c>
      <c r="J2057">
        <v>82</v>
      </c>
      <c r="K2057" t="s">
        <v>22</v>
      </c>
      <c r="L2057">
        <v>36</v>
      </c>
      <c r="M2057">
        <v>1.36</v>
      </c>
      <c r="N2057">
        <v>9</v>
      </c>
      <c r="O2057" t="s">
        <v>17</v>
      </c>
      <c r="P2057" cm="1">
        <f t="array" ref="P2057">_xlfn.SWITCH(Table2[[#This Row],[mood]], "Tired", 3, "Neutral", 2, "Happy", 1)</f>
        <v>3</v>
      </c>
    </row>
    <row r="2058" spans="1:16" x14ac:dyDescent="0.3">
      <c r="A2058">
        <v>1038</v>
      </c>
      <c r="B2058" s="1">
        <v>44061</v>
      </c>
      <c r="C2058">
        <v>25</v>
      </c>
      <c r="D2058" t="s">
        <v>20</v>
      </c>
      <c r="E2058">
        <v>169.9</v>
      </c>
      <c r="F2058">
        <v>52.7</v>
      </c>
      <c r="G2058">
        <v>18869</v>
      </c>
      <c r="H2058">
        <v>862</v>
      </c>
      <c r="I2058">
        <v>5.9</v>
      </c>
      <c r="J2058">
        <v>69</v>
      </c>
      <c r="K2058" t="s">
        <v>25</v>
      </c>
      <c r="L2058">
        <v>38</v>
      </c>
      <c r="M2058">
        <v>2.36</v>
      </c>
      <c r="N2058">
        <v>1</v>
      </c>
      <c r="O2058" t="s">
        <v>19</v>
      </c>
      <c r="P2058" cm="1">
        <f t="array" ref="P2058">_xlfn.SWITCH(Table2[[#This Row],[mood]], "Tired", 3, "Neutral", 2, "Happy", 1)</f>
        <v>2</v>
      </c>
    </row>
    <row r="2059" spans="1:16" x14ac:dyDescent="0.3">
      <c r="A2059">
        <v>1813</v>
      </c>
      <c r="B2059" s="1">
        <v>44062</v>
      </c>
      <c r="C2059">
        <v>38</v>
      </c>
      <c r="D2059" t="s">
        <v>20</v>
      </c>
      <c r="E2059">
        <v>165.8</v>
      </c>
      <c r="F2059">
        <v>59.9</v>
      </c>
      <c r="G2059">
        <v>14913</v>
      </c>
      <c r="H2059">
        <v>851.1</v>
      </c>
      <c r="I2059">
        <v>5.8</v>
      </c>
      <c r="J2059">
        <v>81</v>
      </c>
      <c r="K2059" t="s">
        <v>22</v>
      </c>
      <c r="L2059">
        <v>65</v>
      </c>
      <c r="M2059">
        <v>3.38</v>
      </c>
      <c r="N2059">
        <v>2</v>
      </c>
      <c r="O2059" t="s">
        <v>19</v>
      </c>
      <c r="P2059" cm="1">
        <f t="array" ref="P2059">_xlfn.SWITCH(Table2[[#This Row],[mood]], "Tired", 3, "Neutral", 2, "Happy", 1)</f>
        <v>2</v>
      </c>
    </row>
    <row r="2060" spans="1:16" x14ac:dyDescent="0.3">
      <c r="A2060">
        <v>1028</v>
      </c>
      <c r="B2060" s="1">
        <v>44063</v>
      </c>
      <c r="C2060">
        <v>37</v>
      </c>
      <c r="D2060" t="s">
        <v>15</v>
      </c>
      <c r="E2060">
        <v>150</v>
      </c>
      <c r="F2060">
        <v>51.3</v>
      </c>
      <c r="G2060">
        <v>1964</v>
      </c>
      <c r="H2060">
        <v>184.3</v>
      </c>
      <c r="I2060">
        <v>6.2</v>
      </c>
      <c r="J2060">
        <v>63</v>
      </c>
      <c r="K2060" t="s">
        <v>24</v>
      </c>
      <c r="L2060">
        <v>54</v>
      </c>
      <c r="M2060">
        <v>2.02</v>
      </c>
      <c r="N2060">
        <v>2</v>
      </c>
      <c r="O2060" t="s">
        <v>17</v>
      </c>
      <c r="P2060" cm="1">
        <f t="array" ref="P2060">_xlfn.SWITCH(Table2[[#This Row],[mood]], "Tired", 3, "Neutral", 2, "Happy", 1)</f>
        <v>3</v>
      </c>
    </row>
    <row r="2061" spans="1:16" x14ac:dyDescent="0.3">
      <c r="A2061">
        <v>1957</v>
      </c>
      <c r="B2061" s="1">
        <v>44064</v>
      </c>
      <c r="C2061">
        <v>25</v>
      </c>
      <c r="D2061" t="s">
        <v>15</v>
      </c>
      <c r="E2061">
        <v>170.1</v>
      </c>
      <c r="F2061">
        <v>60.2</v>
      </c>
      <c r="G2061">
        <v>11739</v>
      </c>
      <c r="H2061">
        <v>762.6</v>
      </c>
      <c r="I2061">
        <v>6.6</v>
      </c>
      <c r="J2061">
        <v>59</v>
      </c>
      <c r="K2061" t="s">
        <v>16</v>
      </c>
      <c r="L2061">
        <v>0</v>
      </c>
      <c r="M2061">
        <v>3.28</v>
      </c>
      <c r="N2061">
        <v>7</v>
      </c>
      <c r="O2061" t="s">
        <v>17</v>
      </c>
      <c r="P2061" cm="1">
        <f t="array" ref="P2061">_xlfn.SWITCH(Table2[[#This Row],[mood]], "Tired", 3, "Neutral", 2, "Happy", 1)</f>
        <v>3</v>
      </c>
    </row>
    <row r="2062" spans="1:16" x14ac:dyDescent="0.3">
      <c r="A2062">
        <v>1476</v>
      </c>
      <c r="B2062" s="1">
        <v>44065</v>
      </c>
      <c r="C2062">
        <v>48</v>
      </c>
      <c r="D2062" t="s">
        <v>15</v>
      </c>
      <c r="E2062">
        <v>166.8</v>
      </c>
      <c r="F2062">
        <v>90.1</v>
      </c>
      <c r="G2062">
        <v>3673</v>
      </c>
      <c r="H2062">
        <v>320.5</v>
      </c>
      <c r="I2062">
        <v>7.2</v>
      </c>
      <c r="J2062">
        <v>77</v>
      </c>
      <c r="K2062" t="s">
        <v>24</v>
      </c>
      <c r="L2062">
        <v>63</v>
      </c>
      <c r="M2062">
        <v>2.62</v>
      </c>
      <c r="N2062">
        <v>6</v>
      </c>
      <c r="O2062" t="s">
        <v>21</v>
      </c>
      <c r="P2062" cm="1">
        <f t="array" ref="P2062">_xlfn.SWITCH(Table2[[#This Row],[mood]], "Tired", 3, "Neutral", 2, "Happy", 1)</f>
        <v>1</v>
      </c>
    </row>
    <row r="2063" spans="1:16" x14ac:dyDescent="0.3">
      <c r="A2063">
        <v>1317</v>
      </c>
      <c r="B2063" s="1">
        <v>44066</v>
      </c>
      <c r="C2063">
        <v>46</v>
      </c>
      <c r="D2063" t="s">
        <v>15</v>
      </c>
      <c r="E2063">
        <v>160.5</v>
      </c>
      <c r="F2063">
        <v>75.400000000000006</v>
      </c>
      <c r="G2063">
        <v>6293</v>
      </c>
      <c r="H2063">
        <v>437.8</v>
      </c>
      <c r="I2063">
        <v>5.7</v>
      </c>
      <c r="J2063">
        <v>81</v>
      </c>
      <c r="K2063" t="s">
        <v>25</v>
      </c>
      <c r="L2063">
        <v>28</v>
      </c>
      <c r="M2063">
        <v>2.95</v>
      </c>
      <c r="N2063">
        <v>9</v>
      </c>
      <c r="O2063" t="s">
        <v>17</v>
      </c>
      <c r="P2063" cm="1">
        <f t="array" ref="P2063">_xlfn.SWITCH(Table2[[#This Row],[mood]], "Tired", 3, "Neutral", 2, "Happy", 1)</f>
        <v>3</v>
      </c>
    </row>
    <row r="2064" spans="1:16" x14ac:dyDescent="0.3">
      <c r="A2064">
        <v>1244</v>
      </c>
      <c r="B2064" s="1">
        <v>44067</v>
      </c>
      <c r="C2064">
        <v>26</v>
      </c>
      <c r="D2064" t="s">
        <v>15</v>
      </c>
      <c r="E2064">
        <v>181</v>
      </c>
      <c r="F2064">
        <v>61.3</v>
      </c>
      <c r="G2064">
        <v>2718</v>
      </c>
      <c r="H2064">
        <v>233</v>
      </c>
      <c r="I2064">
        <v>6.8</v>
      </c>
      <c r="J2064">
        <v>69</v>
      </c>
      <c r="K2064" t="s">
        <v>23</v>
      </c>
      <c r="L2064">
        <v>51</v>
      </c>
      <c r="M2064">
        <v>3.8</v>
      </c>
      <c r="N2064">
        <v>3</v>
      </c>
      <c r="O2064" t="s">
        <v>19</v>
      </c>
      <c r="P2064" cm="1">
        <f t="array" ref="P2064">_xlfn.SWITCH(Table2[[#This Row],[mood]], "Tired", 3, "Neutral", 2, "Happy", 1)</f>
        <v>2</v>
      </c>
    </row>
    <row r="2065" spans="1:16" x14ac:dyDescent="0.3">
      <c r="A2065">
        <v>1747</v>
      </c>
      <c r="B2065" s="1">
        <v>44068</v>
      </c>
      <c r="C2065">
        <v>32</v>
      </c>
      <c r="D2065" t="s">
        <v>20</v>
      </c>
      <c r="E2065">
        <v>176.7</v>
      </c>
      <c r="F2065">
        <v>88.3</v>
      </c>
      <c r="G2065">
        <v>11624</v>
      </c>
      <c r="H2065">
        <v>684.2</v>
      </c>
      <c r="I2065">
        <v>5.6</v>
      </c>
      <c r="J2065">
        <v>65</v>
      </c>
      <c r="K2065" t="s">
        <v>25</v>
      </c>
      <c r="L2065">
        <v>78</v>
      </c>
      <c r="M2065">
        <v>1.21</v>
      </c>
      <c r="N2065">
        <v>8</v>
      </c>
      <c r="O2065" t="s">
        <v>21</v>
      </c>
      <c r="P2065" cm="1">
        <f t="array" ref="P2065">_xlfn.SWITCH(Table2[[#This Row],[mood]], "Tired", 3, "Neutral", 2, "Happy", 1)</f>
        <v>1</v>
      </c>
    </row>
    <row r="2066" spans="1:16" x14ac:dyDescent="0.3">
      <c r="A2066">
        <v>1696</v>
      </c>
      <c r="B2066" s="1">
        <v>44069</v>
      </c>
      <c r="C2066">
        <v>47</v>
      </c>
      <c r="D2066" t="s">
        <v>20</v>
      </c>
      <c r="E2066">
        <v>194.4</v>
      </c>
      <c r="F2066">
        <v>70.400000000000006</v>
      </c>
      <c r="G2066">
        <v>2228</v>
      </c>
      <c r="H2066">
        <v>276.10000000000002</v>
      </c>
      <c r="I2066">
        <v>4.4000000000000004</v>
      </c>
      <c r="J2066">
        <v>87</v>
      </c>
      <c r="K2066" t="s">
        <v>24</v>
      </c>
      <c r="L2066">
        <v>61</v>
      </c>
      <c r="M2066">
        <v>3.13</v>
      </c>
      <c r="N2066">
        <v>5</v>
      </c>
      <c r="O2066" t="s">
        <v>19</v>
      </c>
      <c r="P2066" cm="1">
        <f t="array" ref="P2066">_xlfn.SWITCH(Table2[[#This Row],[mood]], "Tired", 3, "Neutral", 2, "Happy", 1)</f>
        <v>2</v>
      </c>
    </row>
    <row r="2067" spans="1:16" x14ac:dyDescent="0.3">
      <c r="A2067">
        <v>1271</v>
      </c>
      <c r="B2067" s="1">
        <v>44070</v>
      </c>
      <c r="C2067">
        <v>43</v>
      </c>
      <c r="D2067" t="s">
        <v>15</v>
      </c>
      <c r="E2067">
        <v>178.3</v>
      </c>
      <c r="F2067">
        <v>72</v>
      </c>
      <c r="G2067">
        <v>11602</v>
      </c>
      <c r="H2067">
        <v>667.1</v>
      </c>
      <c r="I2067">
        <v>7.8</v>
      </c>
      <c r="J2067">
        <v>74</v>
      </c>
      <c r="K2067" t="s">
        <v>25</v>
      </c>
      <c r="L2067">
        <v>81</v>
      </c>
      <c r="M2067">
        <v>2.4300000000000002</v>
      </c>
      <c r="N2067">
        <v>5</v>
      </c>
      <c r="O2067" t="s">
        <v>17</v>
      </c>
      <c r="P2067" cm="1">
        <f t="array" ref="P2067">_xlfn.SWITCH(Table2[[#This Row],[mood]], "Tired", 3, "Neutral", 2, "Happy", 1)</f>
        <v>3</v>
      </c>
    </row>
    <row r="2068" spans="1:16" x14ac:dyDescent="0.3">
      <c r="A2068">
        <v>1439</v>
      </c>
      <c r="B2068" s="1">
        <v>44071</v>
      </c>
      <c r="C2068">
        <v>27</v>
      </c>
      <c r="D2068" t="s">
        <v>20</v>
      </c>
      <c r="E2068">
        <v>163.6</v>
      </c>
      <c r="F2068">
        <v>87.1</v>
      </c>
      <c r="G2068">
        <v>2840</v>
      </c>
      <c r="H2068">
        <v>274.2</v>
      </c>
      <c r="I2068">
        <v>6</v>
      </c>
      <c r="J2068">
        <v>65</v>
      </c>
      <c r="K2068" t="s">
        <v>22</v>
      </c>
      <c r="L2068">
        <v>38</v>
      </c>
      <c r="M2068">
        <v>1.84</v>
      </c>
      <c r="N2068">
        <v>10</v>
      </c>
      <c r="O2068" t="s">
        <v>19</v>
      </c>
      <c r="P2068" cm="1">
        <f t="array" ref="P2068">_xlfn.SWITCH(Table2[[#This Row],[mood]], "Tired", 3, "Neutral", 2, "Happy", 1)</f>
        <v>2</v>
      </c>
    </row>
    <row r="2069" spans="1:16" x14ac:dyDescent="0.3">
      <c r="A2069">
        <v>1747</v>
      </c>
      <c r="B2069" s="1">
        <v>44072</v>
      </c>
      <c r="C2069">
        <v>46</v>
      </c>
      <c r="D2069" t="s">
        <v>20</v>
      </c>
      <c r="E2069">
        <v>160.9</v>
      </c>
      <c r="F2069">
        <v>64.900000000000006</v>
      </c>
      <c r="G2069">
        <v>17881</v>
      </c>
      <c r="H2069">
        <v>900</v>
      </c>
      <c r="I2069">
        <v>4.4000000000000004</v>
      </c>
      <c r="J2069">
        <v>60</v>
      </c>
      <c r="K2069" t="s">
        <v>24</v>
      </c>
      <c r="L2069">
        <v>54</v>
      </c>
      <c r="M2069">
        <v>2.4300000000000002</v>
      </c>
      <c r="N2069">
        <v>5</v>
      </c>
      <c r="O2069" t="s">
        <v>17</v>
      </c>
      <c r="P2069" cm="1">
        <f t="array" ref="P2069">_xlfn.SWITCH(Table2[[#This Row],[mood]], "Tired", 3, "Neutral", 2, "Happy", 1)</f>
        <v>3</v>
      </c>
    </row>
    <row r="2070" spans="1:16" x14ac:dyDescent="0.3">
      <c r="A2070">
        <v>1238</v>
      </c>
      <c r="B2070" s="1">
        <v>44073</v>
      </c>
      <c r="C2070">
        <v>33</v>
      </c>
      <c r="D2070" t="s">
        <v>20</v>
      </c>
      <c r="E2070">
        <v>165.1</v>
      </c>
      <c r="F2070">
        <v>83.7</v>
      </c>
      <c r="G2070">
        <v>17920</v>
      </c>
      <c r="H2070">
        <v>875.6</v>
      </c>
      <c r="I2070">
        <v>7.8</v>
      </c>
      <c r="J2070">
        <v>68</v>
      </c>
      <c r="K2070" t="s">
        <v>16</v>
      </c>
      <c r="L2070">
        <v>0</v>
      </c>
      <c r="M2070">
        <v>3.68</v>
      </c>
      <c r="N2070">
        <v>8</v>
      </c>
      <c r="O2070" t="s">
        <v>17</v>
      </c>
      <c r="P2070" cm="1">
        <f t="array" ref="P2070">_xlfn.SWITCH(Table2[[#This Row],[mood]], "Tired", 3, "Neutral", 2, "Happy", 1)</f>
        <v>3</v>
      </c>
    </row>
    <row r="2071" spans="1:16" x14ac:dyDescent="0.3">
      <c r="A2071">
        <v>1376</v>
      </c>
      <c r="B2071" s="1">
        <v>44074</v>
      </c>
      <c r="C2071">
        <v>53</v>
      </c>
      <c r="D2071" t="s">
        <v>15</v>
      </c>
      <c r="E2071">
        <v>163.30000000000001</v>
      </c>
      <c r="F2071">
        <v>82.7</v>
      </c>
      <c r="G2071">
        <v>8124</v>
      </c>
      <c r="H2071">
        <v>528.9</v>
      </c>
      <c r="I2071">
        <v>6.6</v>
      </c>
      <c r="J2071">
        <v>71</v>
      </c>
      <c r="K2071" t="s">
        <v>23</v>
      </c>
      <c r="L2071">
        <v>62</v>
      </c>
      <c r="M2071">
        <v>3.43</v>
      </c>
      <c r="N2071">
        <v>7</v>
      </c>
      <c r="O2071" t="s">
        <v>17</v>
      </c>
      <c r="P2071" cm="1">
        <f t="array" ref="P2071">_xlfn.SWITCH(Table2[[#This Row],[mood]], "Tired", 3, "Neutral", 2, "Happy", 1)</f>
        <v>3</v>
      </c>
    </row>
    <row r="2072" spans="1:16" x14ac:dyDescent="0.3">
      <c r="A2072">
        <v>1265</v>
      </c>
      <c r="B2072" s="1">
        <v>44075</v>
      </c>
      <c r="C2072">
        <v>37</v>
      </c>
      <c r="D2072" t="s">
        <v>20</v>
      </c>
      <c r="E2072">
        <v>171.1</v>
      </c>
      <c r="F2072">
        <v>67.8</v>
      </c>
      <c r="G2072">
        <v>10356</v>
      </c>
      <c r="H2072">
        <v>637.29999999999995</v>
      </c>
      <c r="I2072">
        <v>7.7</v>
      </c>
      <c r="J2072">
        <v>83</v>
      </c>
      <c r="K2072" t="s">
        <v>23</v>
      </c>
      <c r="L2072">
        <v>64</v>
      </c>
      <c r="M2072">
        <v>1.1000000000000001</v>
      </c>
      <c r="N2072">
        <v>7</v>
      </c>
      <c r="O2072" t="s">
        <v>21</v>
      </c>
      <c r="P2072" cm="1">
        <f t="array" ref="P2072">_xlfn.SWITCH(Table2[[#This Row],[mood]], "Tired", 3, "Neutral", 2, "Happy", 1)</f>
        <v>1</v>
      </c>
    </row>
    <row r="2073" spans="1:16" x14ac:dyDescent="0.3">
      <c r="A2073">
        <v>1925</v>
      </c>
      <c r="B2073" s="1">
        <v>44076</v>
      </c>
      <c r="C2073">
        <v>54</v>
      </c>
      <c r="D2073" t="s">
        <v>20</v>
      </c>
      <c r="E2073">
        <v>154.6</v>
      </c>
      <c r="F2073">
        <v>49.1</v>
      </c>
      <c r="G2073">
        <v>19355</v>
      </c>
      <c r="H2073">
        <v>900</v>
      </c>
      <c r="I2073">
        <v>7.6</v>
      </c>
      <c r="J2073">
        <v>75</v>
      </c>
      <c r="K2073" t="s">
        <v>25</v>
      </c>
      <c r="L2073">
        <v>25</v>
      </c>
      <c r="M2073">
        <v>1.96</v>
      </c>
      <c r="N2073">
        <v>4</v>
      </c>
      <c r="O2073" t="s">
        <v>17</v>
      </c>
      <c r="P2073" cm="1">
        <f t="array" ref="P2073">_xlfn.SWITCH(Table2[[#This Row],[mood]], "Tired", 3, "Neutral", 2, "Happy", 1)</f>
        <v>3</v>
      </c>
    </row>
    <row r="2074" spans="1:16" x14ac:dyDescent="0.3">
      <c r="A2074">
        <v>1920</v>
      </c>
      <c r="B2074" s="1">
        <v>44077</v>
      </c>
      <c r="C2074">
        <v>39</v>
      </c>
      <c r="D2074" t="s">
        <v>20</v>
      </c>
      <c r="E2074">
        <v>176.5</v>
      </c>
      <c r="F2074">
        <v>70.2</v>
      </c>
      <c r="G2074">
        <v>8587</v>
      </c>
      <c r="H2074">
        <v>583.79999999999995</v>
      </c>
      <c r="I2074">
        <v>5.4</v>
      </c>
      <c r="J2074">
        <v>74</v>
      </c>
      <c r="K2074" t="s">
        <v>25</v>
      </c>
      <c r="L2074">
        <v>32</v>
      </c>
      <c r="M2074">
        <v>3.16</v>
      </c>
      <c r="N2074">
        <v>6</v>
      </c>
      <c r="O2074" t="s">
        <v>19</v>
      </c>
      <c r="P2074" cm="1">
        <f t="array" ref="P2074">_xlfn.SWITCH(Table2[[#This Row],[mood]], "Tired", 3, "Neutral", 2, "Happy", 1)</f>
        <v>2</v>
      </c>
    </row>
    <row r="2075" spans="1:16" x14ac:dyDescent="0.3">
      <c r="A2075">
        <v>1358</v>
      </c>
      <c r="B2075" s="1">
        <v>44078</v>
      </c>
      <c r="C2075">
        <v>24</v>
      </c>
      <c r="D2075" t="s">
        <v>15</v>
      </c>
      <c r="E2075">
        <v>170.9</v>
      </c>
      <c r="F2075">
        <v>87.1</v>
      </c>
      <c r="G2075">
        <v>4527</v>
      </c>
      <c r="H2075">
        <v>385.6</v>
      </c>
      <c r="I2075">
        <v>8.4</v>
      </c>
      <c r="J2075">
        <v>66</v>
      </c>
      <c r="K2075" t="s">
        <v>25</v>
      </c>
      <c r="L2075">
        <v>30</v>
      </c>
      <c r="M2075">
        <v>2.48</v>
      </c>
      <c r="N2075">
        <v>1</v>
      </c>
      <c r="O2075" t="s">
        <v>21</v>
      </c>
      <c r="P2075" cm="1">
        <f t="array" ref="P2075">_xlfn.SWITCH(Table2[[#This Row],[mood]], "Tired", 3, "Neutral", 2, "Happy", 1)</f>
        <v>1</v>
      </c>
    </row>
    <row r="2076" spans="1:16" x14ac:dyDescent="0.3">
      <c r="A2076">
        <v>1339</v>
      </c>
      <c r="B2076" s="1">
        <v>44079</v>
      </c>
      <c r="C2076">
        <v>40</v>
      </c>
      <c r="D2076" t="s">
        <v>20</v>
      </c>
      <c r="E2076">
        <v>175.3</v>
      </c>
      <c r="F2076">
        <v>82.3</v>
      </c>
      <c r="G2076">
        <v>1299</v>
      </c>
      <c r="H2076">
        <v>251.6</v>
      </c>
      <c r="I2076">
        <v>4.3</v>
      </c>
      <c r="J2076">
        <v>89</v>
      </c>
      <c r="K2076" t="s">
        <v>16</v>
      </c>
      <c r="L2076">
        <v>0</v>
      </c>
      <c r="M2076">
        <v>2.4900000000000002</v>
      </c>
      <c r="N2076">
        <v>6</v>
      </c>
      <c r="O2076" t="s">
        <v>21</v>
      </c>
      <c r="P2076" cm="1">
        <f t="array" ref="P2076">_xlfn.SWITCH(Table2[[#This Row],[mood]], "Tired", 3, "Neutral", 2, "Happy", 1)</f>
        <v>1</v>
      </c>
    </row>
    <row r="2077" spans="1:16" x14ac:dyDescent="0.3">
      <c r="A2077">
        <v>1388</v>
      </c>
      <c r="B2077" s="1">
        <v>44080</v>
      </c>
      <c r="C2077">
        <v>58</v>
      </c>
      <c r="D2077" t="s">
        <v>20</v>
      </c>
      <c r="E2077">
        <v>158.6</v>
      </c>
      <c r="F2077">
        <v>95.7</v>
      </c>
      <c r="G2077">
        <v>19770</v>
      </c>
      <c r="H2077">
        <v>900</v>
      </c>
      <c r="I2077">
        <v>6.4</v>
      </c>
      <c r="J2077">
        <v>85</v>
      </c>
      <c r="K2077" t="s">
        <v>22</v>
      </c>
      <c r="L2077">
        <v>88</v>
      </c>
      <c r="M2077">
        <v>1.4</v>
      </c>
      <c r="N2077">
        <v>5</v>
      </c>
      <c r="O2077" t="s">
        <v>21</v>
      </c>
      <c r="P2077" cm="1">
        <f t="array" ref="P2077">_xlfn.SWITCH(Table2[[#This Row],[mood]], "Tired", 3, "Neutral", 2, "Happy", 1)</f>
        <v>1</v>
      </c>
    </row>
    <row r="2078" spans="1:16" x14ac:dyDescent="0.3">
      <c r="A2078">
        <v>1576</v>
      </c>
      <c r="B2078" s="1">
        <v>44081</v>
      </c>
      <c r="C2078">
        <v>57</v>
      </c>
      <c r="D2078" t="s">
        <v>15</v>
      </c>
      <c r="E2078">
        <v>172.5</v>
      </c>
      <c r="F2078">
        <v>62.6</v>
      </c>
      <c r="G2078">
        <v>13590</v>
      </c>
      <c r="H2078">
        <v>781.9</v>
      </c>
      <c r="I2078">
        <v>6.3</v>
      </c>
      <c r="J2078">
        <v>84</v>
      </c>
      <c r="K2078" t="s">
        <v>23</v>
      </c>
      <c r="L2078">
        <v>26</v>
      </c>
      <c r="M2078">
        <v>1.98</v>
      </c>
      <c r="N2078">
        <v>1</v>
      </c>
      <c r="O2078" t="s">
        <v>19</v>
      </c>
      <c r="P2078" cm="1">
        <f t="array" ref="P2078">_xlfn.SWITCH(Table2[[#This Row],[mood]], "Tired", 3, "Neutral", 2, "Happy", 1)</f>
        <v>2</v>
      </c>
    </row>
    <row r="2079" spans="1:16" x14ac:dyDescent="0.3">
      <c r="A2079">
        <v>1989</v>
      </c>
      <c r="B2079" s="1">
        <v>44082</v>
      </c>
      <c r="C2079">
        <v>46</v>
      </c>
      <c r="D2079" t="s">
        <v>15</v>
      </c>
      <c r="E2079">
        <v>183</v>
      </c>
      <c r="F2079">
        <v>81.7</v>
      </c>
      <c r="G2079">
        <v>4963</v>
      </c>
      <c r="H2079">
        <v>361.3</v>
      </c>
      <c r="I2079">
        <v>5.8</v>
      </c>
      <c r="J2079">
        <v>74</v>
      </c>
      <c r="K2079" t="s">
        <v>24</v>
      </c>
      <c r="L2079">
        <v>74</v>
      </c>
      <c r="M2079">
        <v>1.55</v>
      </c>
      <c r="N2079">
        <v>1</v>
      </c>
      <c r="O2079" t="s">
        <v>17</v>
      </c>
      <c r="P2079" cm="1">
        <f t="array" ref="P2079">_xlfn.SWITCH(Table2[[#This Row],[mood]], "Tired", 3, "Neutral", 2, "Happy", 1)</f>
        <v>3</v>
      </c>
    </row>
    <row r="2080" spans="1:16" x14ac:dyDescent="0.3">
      <c r="A2080">
        <v>1688</v>
      </c>
      <c r="B2080" s="1">
        <v>44083</v>
      </c>
      <c r="C2080">
        <v>33</v>
      </c>
      <c r="D2080" t="s">
        <v>20</v>
      </c>
      <c r="E2080">
        <v>161.4</v>
      </c>
      <c r="F2080">
        <v>54.9</v>
      </c>
      <c r="G2080">
        <v>5687</v>
      </c>
      <c r="H2080">
        <v>472.6</v>
      </c>
      <c r="I2080">
        <v>8.8000000000000007</v>
      </c>
      <c r="J2080">
        <v>79</v>
      </c>
      <c r="K2080" t="s">
        <v>24</v>
      </c>
      <c r="L2080">
        <v>74</v>
      </c>
      <c r="M2080">
        <v>1.34</v>
      </c>
      <c r="N2080">
        <v>3</v>
      </c>
      <c r="O2080" t="s">
        <v>21</v>
      </c>
      <c r="P2080" cm="1">
        <f t="array" ref="P2080">_xlfn.SWITCH(Table2[[#This Row],[mood]], "Tired", 3, "Neutral", 2, "Happy", 1)</f>
        <v>1</v>
      </c>
    </row>
    <row r="2081" spans="1:16" x14ac:dyDescent="0.3">
      <c r="A2081">
        <v>1002</v>
      </c>
      <c r="B2081" s="1">
        <v>44084</v>
      </c>
      <c r="C2081">
        <v>55</v>
      </c>
      <c r="D2081" t="s">
        <v>20</v>
      </c>
      <c r="E2081">
        <v>161.1</v>
      </c>
      <c r="F2081">
        <v>73</v>
      </c>
      <c r="G2081">
        <v>5171</v>
      </c>
      <c r="H2081">
        <v>360</v>
      </c>
      <c r="I2081">
        <v>7.5</v>
      </c>
      <c r="J2081">
        <v>50</v>
      </c>
      <c r="K2081" t="s">
        <v>23</v>
      </c>
      <c r="L2081">
        <v>38</v>
      </c>
      <c r="M2081">
        <v>1.62</v>
      </c>
      <c r="N2081">
        <v>4</v>
      </c>
      <c r="O2081" t="s">
        <v>17</v>
      </c>
      <c r="P2081" cm="1">
        <f t="array" ref="P2081">_xlfn.SWITCH(Table2[[#This Row],[mood]], "Tired", 3, "Neutral", 2, "Happy", 1)</f>
        <v>3</v>
      </c>
    </row>
    <row r="2082" spans="1:16" x14ac:dyDescent="0.3">
      <c r="A2082">
        <v>1428</v>
      </c>
      <c r="B2082" s="1">
        <v>44085</v>
      </c>
      <c r="C2082">
        <v>45</v>
      </c>
      <c r="D2082" t="s">
        <v>15</v>
      </c>
      <c r="E2082">
        <v>177.1</v>
      </c>
      <c r="F2082">
        <v>86.6</v>
      </c>
      <c r="G2082">
        <v>14067</v>
      </c>
      <c r="H2082">
        <v>785.5</v>
      </c>
      <c r="I2082">
        <v>4.9000000000000004</v>
      </c>
      <c r="J2082">
        <v>77</v>
      </c>
      <c r="K2082" t="s">
        <v>16</v>
      </c>
      <c r="L2082">
        <v>0</v>
      </c>
      <c r="M2082">
        <v>1.85</v>
      </c>
      <c r="N2082">
        <v>1</v>
      </c>
      <c r="O2082" t="s">
        <v>17</v>
      </c>
      <c r="P2082" cm="1">
        <f t="array" ref="P2082">_xlfn.SWITCH(Table2[[#This Row],[mood]], "Tired", 3, "Neutral", 2, "Happy", 1)</f>
        <v>3</v>
      </c>
    </row>
    <row r="2083" spans="1:16" x14ac:dyDescent="0.3">
      <c r="A2083">
        <v>1141</v>
      </c>
      <c r="B2083" s="1">
        <v>44086</v>
      </c>
      <c r="C2083">
        <v>55</v>
      </c>
      <c r="D2083" t="s">
        <v>15</v>
      </c>
      <c r="E2083">
        <v>160.30000000000001</v>
      </c>
      <c r="F2083">
        <v>83.6</v>
      </c>
      <c r="G2083">
        <v>4695</v>
      </c>
      <c r="H2083">
        <v>414.9</v>
      </c>
      <c r="I2083">
        <v>5.0999999999999996</v>
      </c>
      <c r="J2083">
        <v>94</v>
      </c>
      <c r="K2083" t="s">
        <v>25</v>
      </c>
      <c r="L2083">
        <v>28</v>
      </c>
      <c r="M2083">
        <v>1.97</v>
      </c>
      <c r="N2083">
        <v>10</v>
      </c>
      <c r="O2083" t="s">
        <v>19</v>
      </c>
      <c r="P2083" cm="1">
        <f t="array" ref="P2083">_xlfn.SWITCH(Table2[[#This Row],[mood]], "Tired", 3, "Neutral", 2, "Happy", 1)</f>
        <v>2</v>
      </c>
    </row>
    <row r="2084" spans="1:16" x14ac:dyDescent="0.3">
      <c r="A2084">
        <v>1375</v>
      </c>
      <c r="B2084" s="1">
        <v>44087</v>
      </c>
      <c r="C2084">
        <v>48</v>
      </c>
      <c r="D2084" t="s">
        <v>15</v>
      </c>
      <c r="E2084">
        <v>167.7</v>
      </c>
      <c r="F2084">
        <v>71.5</v>
      </c>
      <c r="G2084">
        <v>10112</v>
      </c>
      <c r="H2084">
        <v>570.9</v>
      </c>
      <c r="I2084">
        <v>10</v>
      </c>
      <c r="J2084">
        <v>69</v>
      </c>
      <c r="K2084" t="s">
        <v>18</v>
      </c>
      <c r="L2084">
        <v>39</v>
      </c>
      <c r="M2084">
        <v>1.91</v>
      </c>
      <c r="N2084">
        <v>7</v>
      </c>
      <c r="O2084" t="s">
        <v>21</v>
      </c>
      <c r="P2084" cm="1">
        <f t="array" ref="P2084">_xlfn.SWITCH(Table2[[#This Row],[mood]], "Tired", 3, "Neutral", 2, "Happy", 1)</f>
        <v>1</v>
      </c>
    </row>
    <row r="2085" spans="1:16" x14ac:dyDescent="0.3">
      <c r="A2085">
        <v>1669</v>
      </c>
      <c r="B2085" s="1">
        <v>44088</v>
      </c>
      <c r="C2085">
        <v>31</v>
      </c>
      <c r="D2085" t="s">
        <v>15</v>
      </c>
      <c r="E2085">
        <v>184.8</v>
      </c>
      <c r="F2085">
        <v>66</v>
      </c>
      <c r="G2085">
        <v>8242</v>
      </c>
      <c r="H2085">
        <v>452.6</v>
      </c>
      <c r="I2085">
        <v>6.3</v>
      </c>
      <c r="J2085">
        <v>65</v>
      </c>
      <c r="K2085" t="s">
        <v>25</v>
      </c>
      <c r="L2085">
        <v>44</v>
      </c>
      <c r="M2085">
        <v>3.21</v>
      </c>
      <c r="N2085">
        <v>2</v>
      </c>
      <c r="O2085" t="s">
        <v>19</v>
      </c>
      <c r="P2085" cm="1">
        <f t="array" ref="P2085">_xlfn.SWITCH(Table2[[#This Row],[mood]], "Tired", 3, "Neutral", 2, "Happy", 1)</f>
        <v>2</v>
      </c>
    </row>
    <row r="2086" spans="1:16" x14ac:dyDescent="0.3">
      <c r="A2086">
        <v>1323</v>
      </c>
      <c r="B2086" s="1">
        <v>44089</v>
      </c>
      <c r="C2086">
        <v>50</v>
      </c>
      <c r="D2086" t="s">
        <v>15</v>
      </c>
      <c r="E2086">
        <v>161.30000000000001</v>
      </c>
      <c r="F2086">
        <v>55.1</v>
      </c>
      <c r="G2086">
        <v>10941</v>
      </c>
      <c r="H2086">
        <v>624.4</v>
      </c>
      <c r="I2086">
        <v>5.8</v>
      </c>
      <c r="J2086">
        <v>74</v>
      </c>
      <c r="K2086" t="s">
        <v>16</v>
      </c>
      <c r="L2086">
        <v>0</v>
      </c>
      <c r="M2086">
        <v>1.86</v>
      </c>
      <c r="N2086">
        <v>4</v>
      </c>
      <c r="O2086" t="s">
        <v>21</v>
      </c>
      <c r="P2086" cm="1">
        <f t="array" ref="P2086">_xlfn.SWITCH(Table2[[#This Row],[mood]], "Tired", 3, "Neutral", 2, "Happy", 1)</f>
        <v>1</v>
      </c>
    </row>
    <row r="2087" spans="1:16" x14ac:dyDescent="0.3">
      <c r="A2087">
        <v>1145</v>
      </c>
      <c r="B2087" s="1">
        <v>44090</v>
      </c>
      <c r="C2087">
        <v>26</v>
      </c>
      <c r="D2087" t="s">
        <v>15</v>
      </c>
      <c r="E2087">
        <v>185.4</v>
      </c>
      <c r="F2087">
        <v>66.599999999999994</v>
      </c>
      <c r="G2087">
        <v>3700</v>
      </c>
      <c r="H2087">
        <v>216.5</v>
      </c>
      <c r="I2087">
        <v>8.6999999999999993</v>
      </c>
      <c r="J2087">
        <v>66</v>
      </c>
      <c r="K2087" t="s">
        <v>23</v>
      </c>
      <c r="L2087">
        <v>69</v>
      </c>
      <c r="M2087">
        <v>3.5</v>
      </c>
      <c r="N2087">
        <v>9</v>
      </c>
      <c r="O2087" t="s">
        <v>21</v>
      </c>
      <c r="P2087" cm="1">
        <f t="array" ref="P2087">_xlfn.SWITCH(Table2[[#This Row],[mood]], "Tired", 3, "Neutral", 2, "Happy", 1)</f>
        <v>1</v>
      </c>
    </row>
    <row r="2088" spans="1:16" x14ac:dyDescent="0.3">
      <c r="A2088">
        <v>1957</v>
      </c>
      <c r="B2088" s="1">
        <v>44091</v>
      </c>
      <c r="C2088">
        <v>44</v>
      </c>
      <c r="D2088" t="s">
        <v>15</v>
      </c>
      <c r="E2088">
        <v>166.6</v>
      </c>
      <c r="F2088">
        <v>50.3</v>
      </c>
      <c r="G2088">
        <v>18389</v>
      </c>
      <c r="H2088">
        <v>900</v>
      </c>
      <c r="I2088">
        <v>4.3</v>
      </c>
      <c r="J2088">
        <v>66</v>
      </c>
      <c r="K2088" t="s">
        <v>22</v>
      </c>
      <c r="L2088">
        <v>57</v>
      </c>
      <c r="M2088">
        <v>2.16</v>
      </c>
      <c r="N2088">
        <v>8</v>
      </c>
      <c r="O2088" t="s">
        <v>17</v>
      </c>
      <c r="P2088" cm="1">
        <f t="array" ref="P2088">_xlfn.SWITCH(Table2[[#This Row],[mood]], "Tired", 3, "Neutral", 2, "Happy", 1)</f>
        <v>3</v>
      </c>
    </row>
    <row r="2089" spans="1:16" x14ac:dyDescent="0.3">
      <c r="A2089">
        <v>1292</v>
      </c>
      <c r="B2089" s="1">
        <v>44092</v>
      </c>
      <c r="C2089">
        <v>41</v>
      </c>
      <c r="D2089" t="s">
        <v>20</v>
      </c>
      <c r="E2089">
        <v>158.80000000000001</v>
      </c>
      <c r="F2089">
        <v>64.900000000000006</v>
      </c>
      <c r="G2089">
        <v>19085</v>
      </c>
      <c r="H2089">
        <v>900</v>
      </c>
      <c r="I2089">
        <v>9.1</v>
      </c>
      <c r="J2089">
        <v>78</v>
      </c>
      <c r="K2089" t="s">
        <v>25</v>
      </c>
      <c r="L2089">
        <v>85</v>
      </c>
      <c r="M2089">
        <v>2.81</v>
      </c>
      <c r="N2089">
        <v>2</v>
      </c>
      <c r="O2089" t="s">
        <v>17</v>
      </c>
      <c r="P2089" cm="1">
        <f t="array" ref="P2089">_xlfn.SWITCH(Table2[[#This Row],[mood]], "Tired", 3, "Neutral", 2, "Happy", 1)</f>
        <v>3</v>
      </c>
    </row>
    <row r="2090" spans="1:16" x14ac:dyDescent="0.3">
      <c r="A2090">
        <v>1664</v>
      </c>
      <c r="B2090" s="1">
        <v>44093</v>
      </c>
      <c r="C2090">
        <v>30</v>
      </c>
      <c r="D2090" t="s">
        <v>15</v>
      </c>
      <c r="E2090">
        <v>176</v>
      </c>
      <c r="F2090">
        <v>45</v>
      </c>
      <c r="G2090">
        <v>14339</v>
      </c>
      <c r="H2090">
        <v>900</v>
      </c>
      <c r="I2090">
        <v>5.8</v>
      </c>
      <c r="J2090">
        <v>83</v>
      </c>
      <c r="K2090" t="s">
        <v>24</v>
      </c>
      <c r="L2090">
        <v>76</v>
      </c>
      <c r="M2090">
        <v>2.83</v>
      </c>
      <c r="N2090">
        <v>9</v>
      </c>
      <c r="O2090" t="s">
        <v>21</v>
      </c>
      <c r="P2090" cm="1">
        <f t="array" ref="P2090">_xlfn.SWITCH(Table2[[#This Row],[mood]], "Tired", 3, "Neutral", 2, "Happy", 1)</f>
        <v>1</v>
      </c>
    </row>
    <row r="2091" spans="1:16" x14ac:dyDescent="0.3">
      <c r="A2091">
        <v>1431</v>
      </c>
      <c r="B2091" s="1">
        <v>44094</v>
      </c>
      <c r="C2091">
        <v>43</v>
      </c>
      <c r="D2091" t="s">
        <v>15</v>
      </c>
      <c r="E2091">
        <v>171.1</v>
      </c>
      <c r="F2091">
        <v>50.2</v>
      </c>
      <c r="G2091">
        <v>16834</v>
      </c>
      <c r="H2091">
        <v>900</v>
      </c>
      <c r="I2091">
        <v>7.8</v>
      </c>
      <c r="J2091">
        <v>78</v>
      </c>
      <c r="K2091" t="s">
        <v>22</v>
      </c>
      <c r="L2091">
        <v>41</v>
      </c>
      <c r="M2091">
        <v>1.87</v>
      </c>
      <c r="N2091">
        <v>1</v>
      </c>
      <c r="O2091" t="s">
        <v>21</v>
      </c>
      <c r="P2091" cm="1">
        <f t="array" ref="P2091">_xlfn.SWITCH(Table2[[#This Row],[mood]], "Tired", 3, "Neutral", 2, "Happy", 1)</f>
        <v>1</v>
      </c>
    </row>
    <row r="2092" spans="1:16" x14ac:dyDescent="0.3">
      <c r="A2092">
        <v>1704</v>
      </c>
      <c r="B2092" s="1">
        <v>44095</v>
      </c>
      <c r="C2092">
        <v>46</v>
      </c>
      <c r="D2092" t="s">
        <v>20</v>
      </c>
      <c r="E2092">
        <v>170.1</v>
      </c>
      <c r="F2092">
        <v>82.8</v>
      </c>
      <c r="G2092">
        <v>12084</v>
      </c>
      <c r="H2092">
        <v>687</v>
      </c>
      <c r="I2092">
        <v>6.3</v>
      </c>
      <c r="J2092">
        <v>64</v>
      </c>
      <c r="K2092" t="s">
        <v>23</v>
      </c>
      <c r="L2092">
        <v>75</v>
      </c>
      <c r="M2092">
        <v>2.27</v>
      </c>
      <c r="N2092">
        <v>6</v>
      </c>
      <c r="O2092" t="s">
        <v>17</v>
      </c>
      <c r="P2092" cm="1">
        <f t="array" ref="P2092">_xlfn.SWITCH(Table2[[#This Row],[mood]], "Tired", 3, "Neutral", 2, "Happy", 1)</f>
        <v>3</v>
      </c>
    </row>
    <row r="2093" spans="1:16" x14ac:dyDescent="0.3">
      <c r="A2093">
        <v>1948</v>
      </c>
      <c r="B2093" s="1">
        <v>44096</v>
      </c>
      <c r="C2093">
        <v>45</v>
      </c>
      <c r="D2093" t="s">
        <v>15</v>
      </c>
      <c r="E2093">
        <v>162.30000000000001</v>
      </c>
      <c r="F2093">
        <v>81.099999999999994</v>
      </c>
      <c r="G2093">
        <v>4162</v>
      </c>
      <c r="H2093">
        <v>433.1</v>
      </c>
      <c r="I2093">
        <v>4.5999999999999996</v>
      </c>
      <c r="J2093">
        <v>68</v>
      </c>
      <c r="K2093" t="s">
        <v>18</v>
      </c>
      <c r="L2093">
        <v>55</v>
      </c>
      <c r="M2093">
        <v>2.15</v>
      </c>
      <c r="N2093">
        <v>3</v>
      </c>
      <c r="O2093" t="s">
        <v>21</v>
      </c>
      <c r="P2093" cm="1">
        <f t="array" ref="P2093">_xlfn.SWITCH(Table2[[#This Row],[mood]], "Tired", 3, "Neutral", 2, "Happy", 1)</f>
        <v>1</v>
      </c>
    </row>
    <row r="2094" spans="1:16" x14ac:dyDescent="0.3">
      <c r="A2094">
        <v>1974</v>
      </c>
      <c r="B2094" s="1">
        <v>44097</v>
      </c>
      <c r="C2094">
        <v>45</v>
      </c>
      <c r="D2094" t="s">
        <v>15</v>
      </c>
      <c r="E2094">
        <v>171</v>
      </c>
      <c r="F2094">
        <v>65.7</v>
      </c>
      <c r="G2094">
        <v>9306</v>
      </c>
      <c r="H2094">
        <v>607.5</v>
      </c>
      <c r="I2094">
        <v>7.3</v>
      </c>
      <c r="J2094">
        <v>78</v>
      </c>
      <c r="K2094" t="s">
        <v>25</v>
      </c>
      <c r="L2094">
        <v>70</v>
      </c>
      <c r="M2094">
        <v>2.76</v>
      </c>
      <c r="N2094">
        <v>1</v>
      </c>
      <c r="O2094" t="s">
        <v>21</v>
      </c>
      <c r="P2094" cm="1">
        <f t="array" ref="P2094">_xlfn.SWITCH(Table2[[#This Row],[mood]], "Tired", 3, "Neutral", 2, "Happy", 1)</f>
        <v>1</v>
      </c>
    </row>
    <row r="2095" spans="1:16" x14ac:dyDescent="0.3">
      <c r="A2095">
        <v>1584</v>
      </c>
      <c r="B2095" s="1">
        <v>44098</v>
      </c>
      <c r="C2095">
        <v>25</v>
      </c>
      <c r="D2095" t="s">
        <v>20</v>
      </c>
      <c r="E2095">
        <v>150</v>
      </c>
      <c r="F2095">
        <v>71</v>
      </c>
      <c r="G2095">
        <v>14137</v>
      </c>
      <c r="H2095">
        <v>707.3</v>
      </c>
      <c r="I2095">
        <v>8.4</v>
      </c>
      <c r="J2095">
        <v>82</v>
      </c>
      <c r="K2095" t="s">
        <v>22</v>
      </c>
      <c r="L2095">
        <v>87</v>
      </c>
      <c r="M2095">
        <v>2.41</v>
      </c>
      <c r="N2095">
        <v>8</v>
      </c>
      <c r="O2095" t="s">
        <v>21</v>
      </c>
      <c r="P2095" cm="1">
        <f t="array" ref="P2095">_xlfn.SWITCH(Table2[[#This Row],[mood]], "Tired", 3, "Neutral", 2, "Happy", 1)</f>
        <v>1</v>
      </c>
    </row>
    <row r="2096" spans="1:16" x14ac:dyDescent="0.3">
      <c r="A2096">
        <v>1398</v>
      </c>
      <c r="B2096" s="1">
        <v>44099</v>
      </c>
      <c r="C2096">
        <v>40</v>
      </c>
      <c r="D2096" t="s">
        <v>15</v>
      </c>
      <c r="E2096">
        <v>172.2</v>
      </c>
      <c r="F2096">
        <v>73</v>
      </c>
      <c r="G2096">
        <v>3137</v>
      </c>
      <c r="H2096">
        <v>294.2</v>
      </c>
      <c r="I2096">
        <v>3.5</v>
      </c>
      <c r="J2096">
        <v>73</v>
      </c>
      <c r="K2096" t="s">
        <v>22</v>
      </c>
      <c r="L2096">
        <v>20</v>
      </c>
      <c r="M2096">
        <v>1.98</v>
      </c>
      <c r="N2096">
        <v>6</v>
      </c>
      <c r="O2096" t="s">
        <v>19</v>
      </c>
      <c r="P2096" cm="1">
        <f t="array" ref="P2096">_xlfn.SWITCH(Table2[[#This Row],[mood]], "Tired", 3, "Neutral", 2, "Happy", 1)</f>
        <v>2</v>
      </c>
    </row>
    <row r="2097" spans="1:16" x14ac:dyDescent="0.3">
      <c r="A2097">
        <v>1816</v>
      </c>
      <c r="B2097" s="1">
        <v>44100</v>
      </c>
      <c r="C2097">
        <v>46</v>
      </c>
      <c r="D2097" t="s">
        <v>20</v>
      </c>
      <c r="E2097">
        <v>183</v>
      </c>
      <c r="F2097">
        <v>76.900000000000006</v>
      </c>
      <c r="G2097">
        <v>17414</v>
      </c>
      <c r="H2097">
        <v>900</v>
      </c>
      <c r="I2097">
        <v>5.3</v>
      </c>
      <c r="J2097">
        <v>66</v>
      </c>
      <c r="K2097" t="s">
        <v>24</v>
      </c>
      <c r="L2097">
        <v>67</v>
      </c>
      <c r="M2097">
        <v>2.58</v>
      </c>
      <c r="N2097">
        <v>4</v>
      </c>
      <c r="O2097" t="s">
        <v>21</v>
      </c>
      <c r="P2097" cm="1">
        <f t="array" ref="P2097">_xlfn.SWITCH(Table2[[#This Row],[mood]], "Tired", 3, "Neutral", 2, "Happy", 1)</f>
        <v>1</v>
      </c>
    </row>
    <row r="2098" spans="1:16" x14ac:dyDescent="0.3">
      <c r="A2098">
        <v>1888</v>
      </c>
      <c r="B2098" s="1">
        <v>44101</v>
      </c>
      <c r="C2098">
        <v>22</v>
      </c>
      <c r="D2098" t="s">
        <v>20</v>
      </c>
      <c r="E2098">
        <v>152.30000000000001</v>
      </c>
      <c r="F2098">
        <v>75.3</v>
      </c>
      <c r="G2098">
        <v>6948</v>
      </c>
      <c r="H2098">
        <v>429.9</v>
      </c>
      <c r="I2098">
        <v>8.9</v>
      </c>
      <c r="J2098">
        <v>83</v>
      </c>
      <c r="K2098" t="s">
        <v>25</v>
      </c>
      <c r="L2098">
        <v>52</v>
      </c>
      <c r="M2098">
        <v>2.74</v>
      </c>
      <c r="N2098">
        <v>3</v>
      </c>
      <c r="O2098" t="s">
        <v>21</v>
      </c>
      <c r="P2098" cm="1">
        <f t="array" ref="P2098">_xlfn.SWITCH(Table2[[#This Row],[mood]], "Tired", 3, "Neutral", 2, "Happy", 1)</f>
        <v>1</v>
      </c>
    </row>
    <row r="2099" spans="1:16" x14ac:dyDescent="0.3">
      <c r="A2099">
        <v>1343</v>
      </c>
      <c r="B2099" s="1">
        <v>44102</v>
      </c>
      <c r="C2099">
        <v>59</v>
      </c>
      <c r="D2099" t="s">
        <v>20</v>
      </c>
      <c r="E2099">
        <v>165.9</v>
      </c>
      <c r="F2099">
        <v>49.9</v>
      </c>
      <c r="G2099">
        <v>15693</v>
      </c>
      <c r="H2099">
        <v>847.5</v>
      </c>
      <c r="I2099">
        <v>7.6</v>
      </c>
      <c r="J2099">
        <v>93</v>
      </c>
      <c r="K2099" t="s">
        <v>18</v>
      </c>
      <c r="L2099">
        <v>43</v>
      </c>
      <c r="M2099">
        <v>3.8</v>
      </c>
      <c r="N2099">
        <v>10</v>
      </c>
      <c r="O2099" t="s">
        <v>17</v>
      </c>
      <c r="P2099" cm="1">
        <f t="array" ref="P2099">_xlfn.SWITCH(Table2[[#This Row],[mood]], "Tired", 3, "Neutral", 2, "Happy", 1)</f>
        <v>3</v>
      </c>
    </row>
    <row r="2100" spans="1:16" x14ac:dyDescent="0.3">
      <c r="A2100">
        <v>1963</v>
      </c>
      <c r="B2100" s="1">
        <v>44103</v>
      </c>
      <c r="C2100">
        <v>24</v>
      </c>
      <c r="D2100" t="s">
        <v>20</v>
      </c>
      <c r="E2100">
        <v>161.30000000000001</v>
      </c>
      <c r="F2100">
        <v>45</v>
      </c>
      <c r="G2100">
        <v>17099</v>
      </c>
      <c r="H2100">
        <v>900</v>
      </c>
      <c r="I2100">
        <v>7.7</v>
      </c>
      <c r="J2100">
        <v>86</v>
      </c>
      <c r="K2100" t="s">
        <v>22</v>
      </c>
      <c r="L2100">
        <v>68</v>
      </c>
      <c r="M2100">
        <v>2.5499999999999998</v>
      </c>
      <c r="N2100">
        <v>2</v>
      </c>
      <c r="O2100" t="s">
        <v>17</v>
      </c>
      <c r="P2100" cm="1">
        <f t="array" ref="P2100">_xlfn.SWITCH(Table2[[#This Row],[mood]], "Tired", 3, "Neutral", 2, "Happy", 1)</f>
        <v>3</v>
      </c>
    </row>
    <row r="2101" spans="1:16" x14ac:dyDescent="0.3">
      <c r="A2101">
        <v>1139</v>
      </c>
      <c r="B2101" s="1">
        <v>44104</v>
      </c>
      <c r="C2101">
        <v>59</v>
      </c>
      <c r="D2101" t="s">
        <v>15</v>
      </c>
      <c r="E2101">
        <v>154.9</v>
      </c>
      <c r="F2101">
        <v>54.7</v>
      </c>
      <c r="G2101">
        <v>17210</v>
      </c>
      <c r="H2101">
        <v>875.4</v>
      </c>
      <c r="I2101">
        <v>8.4</v>
      </c>
      <c r="J2101">
        <v>95</v>
      </c>
      <c r="K2101" t="s">
        <v>24</v>
      </c>
      <c r="L2101">
        <v>88</v>
      </c>
      <c r="M2101">
        <v>2.5099999999999998</v>
      </c>
      <c r="N2101">
        <v>5</v>
      </c>
      <c r="O2101" t="s">
        <v>19</v>
      </c>
      <c r="P2101" cm="1">
        <f t="array" ref="P2101">_xlfn.SWITCH(Table2[[#This Row],[mood]], "Tired", 3, "Neutral", 2, "Happy", 1)</f>
        <v>2</v>
      </c>
    </row>
    <row r="2102" spans="1:16" x14ac:dyDescent="0.3">
      <c r="A2102">
        <v>1186</v>
      </c>
      <c r="B2102" s="1">
        <v>44105</v>
      </c>
      <c r="C2102">
        <v>53</v>
      </c>
      <c r="D2102" t="s">
        <v>20</v>
      </c>
      <c r="E2102">
        <v>150</v>
      </c>
      <c r="F2102">
        <v>67.7</v>
      </c>
      <c r="G2102">
        <v>19189</v>
      </c>
      <c r="H2102">
        <v>900</v>
      </c>
      <c r="I2102">
        <v>7.7</v>
      </c>
      <c r="J2102">
        <v>69</v>
      </c>
      <c r="K2102" t="s">
        <v>25</v>
      </c>
      <c r="L2102">
        <v>77</v>
      </c>
      <c r="M2102">
        <v>2.8</v>
      </c>
      <c r="N2102">
        <v>8</v>
      </c>
      <c r="O2102" t="s">
        <v>17</v>
      </c>
      <c r="P2102" cm="1">
        <f t="array" ref="P2102">_xlfn.SWITCH(Table2[[#This Row],[mood]], "Tired", 3, "Neutral", 2, "Happy", 1)</f>
        <v>3</v>
      </c>
    </row>
    <row r="2103" spans="1:16" x14ac:dyDescent="0.3">
      <c r="A2103">
        <v>1804</v>
      </c>
      <c r="B2103" s="1">
        <v>44106</v>
      </c>
      <c r="C2103">
        <v>58</v>
      </c>
      <c r="D2103" t="s">
        <v>20</v>
      </c>
      <c r="E2103">
        <v>158.19999999999999</v>
      </c>
      <c r="F2103">
        <v>84.4</v>
      </c>
      <c r="G2103">
        <v>4569</v>
      </c>
      <c r="H2103">
        <v>424.3</v>
      </c>
      <c r="I2103">
        <v>7.2</v>
      </c>
      <c r="J2103">
        <v>85</v>
      </c>
      <c r="K2103" t="s">
        <v>25</v>
      </c>
      <c r="L2103">
        <v>67</v>
      </c>
      <c r="M2103">
        <v>1.84</v>
      </c>
      <c r="N2103">
        <v>8</v>
      </c>
      <c r="O2103" t="s">
        <v>21</v>
      </c>
      <c r="P2103" cm="1">
        <f t="array" ref="P2103">_xlfn.SWITCH(Table2[[#This Row],[mood]], "Tired", 3, "Neutral", 2, "Happy", 1)</f>
        <v>1</v>
      </c>
    </row>
    <row r="2104" spans="1:16" x14ac:dyDescent="0.3">
      <c r="A2104">
        <v>1060</v>
      </c>
      <c r="B2104" s="1">
        <v>44107</v>
      </c>
      <c r="C2104">
        <v>44</v>
      </c>
      <c r="D2104" t="s">
        <v>15</v>
      </c>
      <c r="E2104">
        <v>167.6</v>
      </c>
      <c r="F2104">
        <v>73.5</v>
      </c>
      <c r="G2104">
        <v>13977</v>
      </c>
      <c r="H2104">
        <v>798.3</v>
      </c>
      <c r="I2104">
        <v>8.6999999999999993</v>
      </c>
      <c r="J2104">
        <v>88</v>
      </c>
      <c r="K2104" t="s">
        <v>18</v>
      </c>
      <c r="L2104">
        <v>76</v>
      </c>
      <c r="M2104">
        <v>1.29</v>
      </c>
      <c r="N2104">
        <v>3</v>
      </c>
      <c r="O2104" t="s">
        <v>19</v>
      </c>
      <c r="P2104" cm="1">
        <f t="array" ref="P2104">_xlfn.SWITCH(Table2[[#This Row],[mood]], "Tired", 3, "Neutral", 2, "Happy", 1)</f>
        <v>2</v>
      </c>
    </row>
    <row r="2105" spans="1:16" x14ac:dyDescent="0.3">
      <c r="A2105">
        <v>1996</v>
      </c>
      <c r="B2105" s="1">
        <v>44108</v>
      </c>
      <c r="C2105">
        <v>19</v>
      </c>
      <c r="D2105" t="s">
        <v>20</v>
      </c>
      <c r="E2105">
        <v>181.5</v>
      </c>
      <c r="F2105">
        <v>78</v>
      </c>
      <c r="G2105">
        <v>12620</v>
      </c>
      <c r="H2105">
        <v>727.2</v>
      </c>
      <c r="I2105">
        <v>6.4</v>
      </c>
      <c r="J2105">
        <v>70</v>
      </c>
      <c r="K2105" t="s">
        <v>24</v>
      </c>
      <c r="L2105">
        <v>83</v>
      </c>
      <c r="M2105">
        <v>2.2799999999999998</v>
      </c>
      <c r="N2105">
        <v>9</v>
      </c>
      <c r="O2105" t="s">
        <v>21</v>
      </c>
      <c r="P2105" cm="1">
        <f t="array" ref="P2105">_xlfn.SWITCH(Table2[[#This Row],[mood]], "Tired", 3, "Neutral", 2, "Happy", 1)</f>
        <v>1</v>
      </c>
    </row>
    <row r="2106" spans="1:16" x14ac:dyDescent="0.3">
      <c r="A2106">
        <v>1938</v>
      </c>
      <c r="B2106" s="1">
        <v>44109</v>
      </c>
      <c r="C2106">
        <v>42</v>
      </c>
      <c r="D2106" t="s">
        <v>20</v>
      </c>
      <c r="E2106">
        <v>154.80000000000001</v>
      </c>
      <c r="F2106">
        <v>56.5</v>
      </c>
      <c r="G2106">
        <v>1456</v>
      </c>
      <c r="H2106">
        <v>257.60000000000002</v>
      </c>
      <c r="I2106">
        <v>7</v>
      </c>
      <c r="J2106">
        <v>67</v>
      </c>
      <c r="K2106" t="s">
        <v>18</v>
      </c>
      <c r="L2106">
        <v>72</v>
      </c>
      <c r="M2106">
        <v>3.25</v>
      </c>
      <c r="N2106">
        <v>10</v>
      </c>
      <c r="O2106" t="s">
        <v>21</v>
      </c>
      <c r="P2106" cm="1">
        <f t="array" ref="P2106">_xlfn.SWITCH(Table2[[#This Row],[mood]], "Tired", 3, "Neutral", 2, "Happy", 1)</f>
        <v>1</v>
      </c>
    </row>
    <row r="2107" spans="1:16" x14ac:dyDescent="0.3">
      <c r="A2107">
        <v>1379</v>
      </c>
      <c r="B2107" s="1">
        <v>44110</v>
      </c>
      <c r="C2107">
        <v>26</v>
      </c>
      <c r="D2107" t="s">
        <v>20</v>
      </c>
      <c r="E2107">
        <v>172.9</v>
      </c>
      <c r="F2107">
        <v>68.900000000000006</v>
      </c>
      <c r="G2107">
        <v>17832</v>
      </c>
      <c r="H2107">
        <v>900</v>
      </c>
      <c r="I2107">
        <v>8.1999999999999993</v>
      </c>
      <c r="J2107">
        <v>65</v>
      </c>
      <c r="K2107" t="s">
        <v>22</v>
      </c>
      <c r="L2107">
        <v>79</v>
      </c>
      <c r="M2107">
        <v>3.36</v>
      </c>
      <c r="N2107">
        <v>5</v>
      </c>
      <c r="O2107" t="s">
        <v>21</v>
      </c>
      <c r="P2107" cm="1">
        <f t="array" ref="P2107">_xlfn.SWITCH(Table2[[#This Row],[mood]], "Tired", 3, "Neutral", 2, "Happy", 1)</f>
        <v>1</v>
      </c>
    </row>
    <row r="2108" spans="1:16" x14ac:dyDescent="0.3">
      <c r="A2108">
        <v>1709</v>
      </c>
      <c r="B2108" s="1">
        <v>44111</v>
      </c>
      <c r="C2108">
        <v>44</v>
      </c>
      <c r="D2108" t="s">
        <v>20</v>
      </c>
      <c r="E2108">
        <v>172.2</v>
      </c>
      <c r="F2108">
        <v>71</v>
      </c>
      <c r="G2108">
        <v>1067</v>
      </c>
      <c r="H2108">
        <v>141.6</v>
      </c>
      <c r="I2108">
        <v>5.9</v>
      </c>
      <c r="J2108">
        <v>74</v>
      </c>
      <c r="K2108" t="s">
        <v>16</v>
      </c>
      <c r="L2108">
        <v>0</v>
      </c>
      <c r="M2108">
        <v>1.18</v>
      </c>
      <c r="N2108">
        <v>7</v>
      </c>
      <c r="O2108" t="s">
        <v>19</v>
      </c>
      <c r="P2108" cm="1">
        <f t="array" ref="P2108">_xlfn.SWITCH(Table2[[#This Row],[mood]], "Tired", 3, "Neutral", 2, "Happy", 1)</f>
        <v>2</v>
      </c>
    </row>
    <row r="2109" spans="1:16" x14ac:dyDescent="0.3">
      <c r="A2109">
        <v>1806</v>
      </c>
      <c r="B2109" s="1">
        <v>44112</v>
      </c>
      <c r="C2109">
        <v>18</v>
      </c>
      <c r="D2109" t="s">
        <v>15</v>
      </c>
      <c r="E2109">
        <v>186.7</v>
      </c>
      <c r="F2109">
        <v>58.7</v>
      </c>
      <c r="G2109">
        <v>2862</v>
      </c>
      <c r="H2109">
        <v>388.3</v>
      </c>
      <c r="I2109">
        <v>9.1</v>
      </c>
      <c r="J2109">
        <v>60</v>
      </c>
      <c r="K2109" t="s">
        <v>23</v>
      </c>
      <c r="L2109">
        <v>60</v>
      </c>
      <c r="M2109">
        <v>2.97</v>
      </c>
      <c r="N2109">
        <v>9</v>
      </c>
      <c r="O2109" t="s">
        <v>17</v>
      </c>
      <c r="P2109" cm="1">
        <f t="array" ref="P2109">_xlfn.SWITCH(Table2[[#This Row],[mood]], "Tired", 3, "Neutral", 2, "Happy", 1)</f>
        <v>3</v>
      </c>
    </row>
    <row r="2110" spans="1:16" x14ac:dyDescent="0.3">
      <c r="A2110">
        <v>1439</v>
      </c>
      <c r="B2110" s="1">
        <v>44113</v>
      </c>
      <c r="C2110">
        <v>40</v>
      </c>
      <c r="D2110" t="s">
        <v>20</v>
      </c>
      <c r="E2110">
        <v>175.7</v>
      </c>
      <c r="F2110">
        <v>54</v>
      </c>
      <c r="G2110">
        <v>19186</v>
      </c>
      <c r="H2110">
        <v>900</v>
      </c>
      <c r="I2110">
        <v>7.4</v>
      </c>
      <c r="J2110">
        <v>92</v>
      </c>
      <c r="K2110" t="s">
        <v>23</v>
      </c>
      <c r="L2110">
        <v>45</v>
      </c>
      <c r="M2110">
        <v>0.97</v>
      </c>
      <c r="N2110">
        <v>7</v>
      </c>
      <c r="O2110" t="s">
        <v>17</v>
      </c>
      <c r="P2110" cm="1">
        <f t="array" ref="P2110">_xlfn.SWITCH(Table2[[#This Row],[mood]], "Tired", 3, "Neutral", 2, "Happy", 1)</f>
        <v>3</v>
      </c>
    </row>
    <row r="2111" spans="1:16" x14ac:dyDescent="0.3">
      <c r="A2111">
        <v>1318</v>
      </c>
      <c r="B2111" s="1">
        <v>44114</v>
      </c>
      <c r="C2111">
        <v>27</v>
      </c>
      <c r="D2111" t="s">
        <v>15</v>
      </c>
      <c r="E2111">
        <v>176.3</v>
      </c>
      <c r="F2111">
        <v>66.599999999999994</v>
      </c>
      <c r="G2111">
        <v>13754</v>
      </c>
      <c r="H2111">
        <v>713.4</v>
      </c>
      <c r="I2111">
        <v>5.3</v>
      </c>
      <c r="J2111">
        <v>62</v>
      </c>
      <c r="K2111" t="s">
        <v>18</v>
      </c>
      <c r="L2111">
        <v>78</v>
      </c>
      <c r="M2111">
        <v>2.82</v>
      </c>
      <c r="N2111">
        <v>10</v>
      </c>
      <c r="O2111" t="s">
        <v>17</v>
      </c>
      <c r="P2111" cm="1">
        <f t="array" ref="P2111">_xlfn.SWITCH(Table2[[#This Row],[mood]], "Tired", 3, "Neutral", 2, "Happy", 1)</f>
        <v>3</v>
      </c>
    </row>
    <row r="2112" spans="1:16" x14ac:dyDescent="0.3">
      <c r="A2112">
        <v>1301</v>
      </c>
      <c r="B2112" s="1">
        <v>44115</v>
      </c>
      <c r="C2112">
        <v>59</v>
      </c>
      <c r="D2112" t="s">
        <v>15</v>
      </c>
      <c r="E2112">
        <v>177</v>
      </c>
      <c r="F2112">
        <v>79.900000000000006</v>
      </c>
      <c r="G2112">
        <v>12623</v>
      </c>
      <c r="H2112">
        <v>734.9</v>
      </c>
      <c r="I2112">
        <v>6.7</v>
      </c>
      <c r="J2112">
        <v>79</v>
      </c>
      <c r="K2112" t="s">
        <v>18</v>
      </c>
      <c r="L2112">
        <v>68</v>
      </c>
      <c r="M2112">
        <v>2.78</v>
      </c>
      <c r="N2112">
        <v>3</v>
      </c>
      <c r="O2112" t="s">
        <v>21</v>
      </c>
      <c r="P2112" cm="1">
        <f t="array" ref="P2112">_xlfn.SWITCH(Table2[[#This Row],[mood]], "Tired", 3, "Neutral", 2, "Happy", 1)</f>
        <v>1</v>
      </c>
    </row>
    <row r="2113" spans="1:16" x14ac:dyDescent="0.3">
      <c r="A2113">
        <v>1343</v>
      </c>
      <c r="B2113" s="1">
        <v>44116</v>
      </c>
      <c r="C2113">
        <v>42</v>
      </c>
      <c r="D2113" t="s">
        <v>20</v>
      </c>
      <c r="E2113">
        <v>160.80000000000001</v>
      </c>
      <c r="F2113">
        <v>56.4</v>
      </c>
      <c r="G2113">
        <v>8554</v>
      </c>
      <c r="H2113">
        <v>570.70000000000005</v>
      </c>
      <c r="I2113">
        <v>4.9000000000000004</v>
      </c>
      <c r="J2113">
        <v>52</v>
      </c>
      <c r="K2113" t="s">
        <v>16</v>
      </c>
      <c r="L2113">
        <v>0</v>
      </c>
      <c r="M2113">
        <v>1.29</v>
      </c>
      <c r="N2113">
        <v>2</v>
      </c>
      <c r="O2113" t="s">
        <v>19</v>
      </c>
      <c r="P2113" cm="1">
        <f t="array" ref="P2113">_xlfn.SWITCH(Table2[[#This Row],[mood]], "Tired", 3, "Neutral", 2, "Happy", 1)</f>
        <v>2</v>
      </c>
    </row>
    <row r="2114" spans="1:16" x14ac:dyDescent="0.3">
      <c r="A2114">
        <v>1010</v>
      </c>
      <c r="B2114" s="1">
        <v>44117</v>
      </c>
      <c r="C2114">
        <v>20</v>
      </c>
      <c r="D2114" t="s">
        <v>20</v>
      </c>
      <c r="E2114">
        <v>164.3</v>
      </c>
      <c r="F2114">
        <v>66.900000000000006</v>
      </c>
      <c r="G2114">
        <v>9319</v>
      </c>
      <c r="H2114">
        <v>523.9</v>
      </c>
      <c r="I2114">
        <v>7.1</v>
      </c>
      <c r="J2114">
        <v>95</v>
      </c>
      <c r="K2114" t="s">
        <v>16</v>
      </c>
      <c r="L2114">
        <v>0</v>
      </c>
      <c r="M2114">
        <v>3.2</v>
      </c>
      <c r="N2114">
        <v>7</v>
      </c>
      <c r="O2114" t="s">
        <v>17</v>
      </c>
      <c r="P2114" cm="1">
        <f t="array" ref="P2114">_xlfn.SWITCH(Table2[[#This Row],[mood]], "Tired", 3, "Neutral", 2, "Happy", 1)</f>
        <v>3</v>
      </c>
    </row>
    <row r="2115" spans="1:16" x14ac:dyDescent="0.3">
      <c r="A2115">
        <v>1061</v>
      </c>
      <c r="B2115" s="1">
        <v>44118</v>
      </c>
      <c r="C2115">
        <v>23</v>
      </c>
      <c r="D2115" t="s">
        <v>20</v>
      </c>
      <c r="E2115">
        <v>181.2</v>
      </c>
      <c r="F2115">
        <v>90.3</v>
      </c>
      <c r="G2115">
        <v>6895</v>
      </c>
      <c r="H2115">
        <v>479.2</v>
      </c>
      <c r="I2115">
        <v>6.4</v>
      </c>
      <c r="J2115">
        <v>87</v>
      </c>
      <c r="K2115" t="s">
        <v>16</v>
      </c>
      <c r="L2115">
        <v>0</v>
      </c>
      <c r="M2115">
        <v>3.72</v>
      </c>
      <c r="N2115">
        <v>10</v>
      </c>
      <c r="O2115" t="s">
        <v>19</v>
      </c>
      <c r="P2115" cm="1">
        <f t="array" ref="P2115">_xlfn.SWITCH(Table2[[#This Row],[mood]], "Tired", 3, "Neutral", 2, "Happy", 1)</f>
        <v>2</v>
      </c>
    </row>
    <row r="2116" spans="1:16" x14ac:dyDescent="0.3">
      <c r="A2116">
        <v>1844</v>
      </c>
      <c r="B2116" s="1">
        <v>44119</v>
      </c>
      <c r="C2116">
        <v>23</v>
      </c>
      <c r="D2116" t="s">
        <v>20</v>
      </c>
      <c r="E2116">
        <v>150</v>
      </c>
      <c r="F2116">
        <v>62.2</v>
      </c>
      <c r="G2116">
        <v>14020</v>
      </c>
      <c r="H2116">
        <v>762.7</v>
      </c>
      <c r="I2116">
        <v>5.7</v>
      </c>
      <c r="J2116">
        <v>59</v>
      </c>
      <c r="K2116" t="s">
        <v>16</v>
      </c>
      <c r="L2116">
        <v>0</v>
      </c>
      <c r="M2116">
        <v>2.46</v>
      </c>
      <c r="N2116">
        <v>8</v>
      </c>
      <c r="O2116" t="s">
        <v>19</v>
      </c>
      <c r="P2116" cm="1">
        <f t="array" ref="P2116">_xlfn.SWITCH(Table2[[#This Row],[mood]], "Tired", 3, "Neutral", 2, "Happy", 1)</f>
        <v>2</v>
      </c>
    </row>
    <row r="2117" spans="1:16" x14ac:dyDescent="0.3">
      <c r="A2117">
        <v>1225</v>
      </c>
      <c r="B2117" s="1">
        <v>44120</v>
      </c>
      <c r="C2117">
        <v>19</v>
      </c>
      <c r="D2117" t="s">
        <v>15</v>
      </c>
      <c r="E2117">
        <v>163.19999999999999</v>
      </c>
      <c r="F2117">
        <v>70.099999999999994</v>
      </c>
      <c r="G2117">
        <v>13202</v>
      </c>
      <c r="H2117">
        <v>726.7</v>
      </c>
      <c r="I2117">
        <v>4.3</v>
      </c>
      <c r="J2117">
        <v>78</v>
      </c>
      <c r="K2117" t="s">
        <v>23</v>
      </c>
      <c r="L2117">
        <v>76</v>
      </c>
      <c r="M2117">
        <v>2.6</v>
      </c>
      <c r="N2117">
        <v>4</v>
      </c>
      <c r="O2117" t="s">
        <v>21</v>
      </c>
      <c r="P2117" cm="1">
        <f t="array" ref="P2117">_xlfn.SWITCH(Table2[[#This Row],[mood]], "Tired", 3, "Neutral", 2, "Happy", 1)</f>
        <v>1</v>
      </c>
    </row>
    <row r="2118" spans="1:16" x14ac:dyDescent="0.3">
      <c r="A2118">
        <v>1152</v>
      </c>
      <c r="B2118" s="1">
        <v>44121</v>
      </c>
      <c r="C2118">
        <v>35</v>
      </c>
      <c r="D2118" t="s">
        <v>15</v>
      </c>
      <c r="E2118">
        <v>156.69999999999999</v>
      </c>
      <c r="F2118">
        <v>68.400000000000006</v>
      </c>
      <c r="G2118">
        <v>6515</v>
      </c>
      <c r="H2118">
        <v>541.79999999999995</v>
      </c>
      <c r="I2118">
        <v>5.8</v>
      </c>
      <c r="J2118">
        <v>73</v>
      </c>
      <c r="K2118" t="s">
        <v>22</v>
      </c>
      <c r="L2118">
        <v>59</v>
      </c>
      <c r="M2118">
        <v>3.54</v>
      </c>
      <c r="N2118">
        <v>1</v>
      </c>
      <c r="O2118" t="s">
        <v>19</v>
      </c>
      <c r="P2118" cm="1">
        <f t="array" ref="P2118">_xlfn.SWITCH(Table2[[#This Row],[mood]], "Tired", 3, "Neutral", 2, "Happy", 1)</f>
        <v>2</v>
      </c>
    </row>
    <row r="2119" spans="1:16" x14ac:dyDescent="0.3">
      <c r="A2119">
        <v>1710</v>
      </c>
      <c r="B2119" s="1">
        <v>44122</v>
      </c>
      <c r="C2119">
        <v>40</v>
      </c>
      <c r="D2119" t="s">
        <v>15</v>
      </c>
      <c r="E2119">
        <v>172.3</v>
      </c>
      <c r="F2119">
        <v>67.2</v>
      </c>
      <c r="G2119">
        <v>1367</v>
      </c>
      <c r="H2119">
        <v>253.7</v>
      </c>
      <c r="I2119">
        <v>6.7</v>
      </c>
      <c r="J2119">
        <v>77</v>
      </c>
      <c r="K2119" t="s">
        <v>16</v>
      </c>
      <c r="L2119">
        <v>0</v>
      </c>
      <c r="M2119">
        <v>1.71</v>
      </c>
      <c r="N2119">
        <v>6</v>
      </c>
      <c r="O2119" t="s">
        <v>17</v>
      </c>
      <c r="P2119" cm="1">
        <f t="array" ref="P2119">_xlfn.SWITCH(Table2[[#This Row],[mood]], "Tired", 3, "Neutral", 2, "Happy", 1)</f>
        <v>3</v>
      </c>
    </row>
    <row r="2120" spans="1:16" x14ac:dyDescent="0.3">
      <c r="A2120">
        <v>1563</v>
      </c>
      <c r="B2120" s="1">
        <v>44123</v>
      </c>
      <c r="C2120">
        <v>19</v>
      </c>
      <c r="D2120" t="s">
        <v>20</v>
      </c>
      <c r="E2120">
        <v>165.8</v>
      </c>
      <c r="F2120">
        <v>95</v>
      </c>
      <c r="G2120">
        <v>16640</v>
      </c>
      <c r="H2120">
        <v>859.1</v>
      </c>
      <c r="I2120">
        <v>6.4</v>
      </c>
      <c r="J2120">
        <v>81</v>
      </c>
      <c r="K2120" t="s">
        <v>16</v>
      </c>
      <c r="L2120">
        <v>0</v>
      </c>
      <c r="M2120">
        <v>1.73</v>
      </c>
      <c r="N2120">
        <v>9</v>
      </c>
      <c r="O2120" t="s">
        <v>17</v>
      </c>
      <c r="P2120" cm="1">
        <f t="array" ref="P2120">_xlfn.SWITCH(Table2[[#This Row],[mood]], "Tired", 3, "Neutral", 2, "Happy", 1)</f>
        <v>3</v>
      </c>
    </row>
    <row r="2121" spans="1:16" x14ac:dyDescent="0.3">
      <c r="A2121">
        <v>1771</v>
      </c>
      <c r="B2121" s="1">
        <v>44124</v>
      </c>
      <c r="C2121">
        <v>29</v>
      </c>
      <c r="D2121" t="s">
        <v>15</v>
      </c>
      <c r="E2121">
        <v>176.3</v>
      </c>
      <c r="F2121">
        <v>74.599999999999994</v>
      </c>
      <c r="G2121">
        <v>16461</v>
      </c>
      <c r="H2121">
        <v>824.4</v>
      </c>
      <c r="I2121">
        <v>4.9000000000000004</v>
      </c>
      <c r="J2121">
        <v>67</v>
      </c>
      <c r="K2121" t="s">
        <v>18</v>
      </c>
      <c r="L2121">
        <v>43</v>
      </c>
      <c r="M2121">
        <v>1.91</v>
      </c>
      <c r="N2121">
        <v>4</v>
      </c>
      <c r="O2121" t="s">
        <v>19</v>
      </c>
      <c r="P2121" cm="1">
        <f t="array" ref="P2121">_xlfn.SWITCH(Table2[[#This Row],[mood]], "Tired", 3, "Neutral", 2, "Happy", 1)</f>
        <v>2</v>
      </c>
    </row>
    <row r="2122" spans="1:16" x14ac:dyDescent="0.3">
      <c r="A2122">
        <v>1570</v>
      </c>
      <c r="B2122" s="1">
        <v>44125</v>
      </c>
      <c r="C2122">
        <v>39</v>
      </c>
      <c r="D2122" t="s">
        <v>20</v>
      </c>
      <c r="E2122">
        <v>168.9</v>
      </c>
      <c r="F2122">
        <v>46.4</v>
      </c>
      <c r="G2122">
        <v>15897</v>
      </c>
      <c r="H2122">
        <v>794.6</v>
      </c>
      <c r="I2122">
        <v>7</v>
      </c>
      <c r="J2122">
        <v>74</v>
      </c>
      <c r="K2122" t="s">
        <v>16</v>
      </c>
      <c r="L2122">
        <v>0</v>
      </c>
      <c r="M2122">
        <v>2.5299999999999998</v>
      </c>
      <c r="N2122">
        <v>3</v>
      </c>
      <c r="O2122" t="s">
        <v>19</v>
      </c>
      <c r="P2122" cm="1">
        <f t="array" ref="P2122">_xlfn.SWITCH(Table2[[#This Row],[mood]], "Tired", 3, "Neutral", 2, "Happy", 1)</f>
        <v>2</v>
      </c>
    </row>
    <row r="2123" spans="1:16" x14ac:dyDescent="0.3">
      <c r="A2123">
        <v>1583</v>
      </c>
      <c r="B2123" s="1">
        <v>44126</v>
      </c>
      <c r="C2123">
        <v>54</v>
      </c>
      <c r="D2123" t="s">
        <v>20</v>
      </c>
      <c r="E2123">
        <v>154.5</v>
      </c>
      <c r="F2123">
        <v>92.9</v>
      </c>
      <c r="G2123">
        <v>1058</v>
      </c>
      <c r="H2123">
        <v>261.89999999999998</v>
      </c>
      <c r="I2123">
        <v>5.5</v>
      </c>
      <c r="J2123">
        <v>57</v>
      </c>
      <c r="K2123" t="s">
        <v>22</v>
      </c>
      <c r="L2123">
        <v>65</v>
      </c>
      <c r="M2123">
        <v>2.52</v>
      </c>
      <c r="N2123">
        <v>6</v>
      </c>
      <c r="O2123" t="s">
        <v>19</v>
      </c>
      <c r="P2123" cm="1">
        <f t="array" ref="P2123">_xlfn.SWITCH(Table2[[#This Row],[mood]], "Tired", 3, "Neutral", 2, "Happy", 1)</f>
        <v>2</v>
      </c>
    </row>
    <row r="2124" spans="1:16" x14ac:dyDescent="0.3">
      <c r="A2124">
        <v>1659</v>
      </c>
      <c r="B2124" s="1">
        <v>44127</v>
      </c>
      <c r="C2124">
        <v>37</v>
      </c>
      <c r="D2124" t="s">
        <v>20</v>
      </c>
      <c r="E2124">
        <v>155</v>
      </c>
      <c r="F2124">
        <v>74.099999999999994</v>
      </c>
      <c r="G2124">
        <v>9294</v>
      </c>
      <c r="H2124">
        <v>548.29999999999995</v>
      </c>
      <c r="I2124">
        <v>8.4</v>
      </c>
      <c r="J2124">
        <v>76</v>
      </c>
      <c r="K2124" t="s">
        <v>22</v>
      </c>
      <c r="L2124">
        <v>87</v>
      </c>
      <c r="M2124">
        <v>2.11</v>
      </c>
      <c r="N2124">
        <v>6</v>
      </c>
      <c r="O2124" t="s">
        <v>19</v>
      </c>
      <c r="P2124" cm="1">
        <f t="array" ref="P2124">_xlfn.SWITCH(Table2[[#This Row],[mood]], "Tired", 3, "Neutral", 2, "Happy", 1)</f>
        <v>2</v>
      </c>
    </row>
    <row r="2125" spans="1:16" x14ac:dyDescent="0.3">
      <c r="A2125">
        <v>1860</v>
      </c>
      <c r="B2125" s="1">
        <v>44128</v>
      </c>
      <c r="C2125">
        <v>56</v>
      </c>
      <c r="D2125" t="s">
        <v>20</v>
      </c>
      <c r="E2125">
        <v>169.9</v>
      </c>
      <c r="F2125">
        <v>64.400000000000006</v>
      </c>
      <c r="G2125">
        <v>5507</v>
      </c>
      <c r="H2125">
        <v>410.9</v>
      </c>
      <c r="I2125">
        <v>8.6</v>
      </c>
      <c r="J2125">
        <v>54</v>
      </c>
      <c r="K2125" t="s">
        <v>24</v>
      </c>
      <c r="L2125">
        <v>73</v>
      </c>
      <c r="M2125">
        <v>2.29</v>
      </c>
      <c r="N2125">
        <v>4</v>
      </c>
      <c r="O2125" t="s">
        <v>17</v>
      </c>
      <c r="P2125" cm="1">
        <f t="array" ref="P2125">_xlfn.SWITCH(Table2[[#This Row],[mood]], "Tired", 3, "Neutral", 2, "Happy", 1)</f>
        <v>3</v>
      </c>
    </row>
    <row r="2126" spans="1:16" x14ac:dyDescent="0.3">
      <c r="A2126">
        <v>1574</v>
      </c>
      <c r="B2126" s="1">
        <v>44129</v>
      </c>
      <c r="C2126">
        <v>41</v>
      </c>
      <c r="D2126" t="s">
        <v>20</v>
      </c>
      <c r="E2126">
        <v>162.30000000000001</v>
      </c>
      <c r="F2126">
        <v>90.2</v>
      </c>
      <c r="G2126">
        <v>18169</v>
      </c>
      <c r="H2126">
        <v>900</v>
      </c>
      <c r="I2126">
        <v>6.6</v>
      </c>
      <c r="J2126">
        <v>88</v>
      </c>
      <c r="K2126" t="s">
        <v>22</v>
      </c>
      <c r="L2126">
        <v>52</v>
      </c>
      <c r="M2126">
        <v>2.12</v>
      </c>
      <c r="N2126">
        <v>7</v>
      </c>
      <c r="O2126" t="s">
        <v>17</v>
      </c>
      <c r="P2126" cm="1">
        <f t="array" ref="P2126">_xlfn.SWITCH(Table2[[#This Row],[mood]], "Tired", 3, "Neutral", 2, "Happy", 1)</f>
        <v>3</v>
      </c>
    </row>
    <row r="2127" spans="1:16" x14ac:dyDescent="0.3">
      <c r="A2127">
        <v>1309</v>
      </c>
      <c r="B2127" s="1">
        <v>44130</v>
      </c>
      <c r="C2127">
        <v>37</v>
      </c>
      <c r="D2127" t="s">
        <v>15</v>
      </c>
      <c r="E2127">
        <v>164.7</v>
      </c>
      <c r="F2127">
        <v>58.3</v>
      </c>
      <c r="G2127">
        <v>15752</v>
      </c>
      <c r="H2127">
        <v>833.3</v>
      </c>
      <c r="I2127">
        <v>9.4</v>
      </c>
      <c r="J2127">
        <v>60</v>
      </c>
      <c r="K2127" t="s">
        <v>16</v>
      </c>
      <c r="L2127">
        <v>0</v>
      </c>
      <c r="M2127">
        <v>2.16</v>
      </c>
      <c r="N2127">
        <v>2</v>
      </c>
      <c r="O2127" t="s">
        <v>21</v>
      </c>
      <c r="P2127" cm="1">
        <f t="array" ref="P2127">_xlfn.SWITCH(Table2[[#This Row],[mood]], "Tired", 3, "Neutral", 2, "Happy", 1)</f>
        <v>1</v>
      </c>
    </row>
    <row r="2128" spans="1:16" x14ac:dyDescent="0.3">
      <c r="A2128">
        <v>1884</v>
      </c>
      <c r="B2128" s="1">
        <v>44131</v>
      </c>
      <c r="C2128">
        <v>18</v>
      </c>
      <c r="D2128" t="s">
        <v>15</v>
      </c>
      <c r="E2128">
        <v>179.4</v>
      </c>
      <c r="F2128">
        <v>95.7</v>
      </c>
      <c r="G2128">
        <v>16475</v>
      </c>
      <c r="H2128">
        <v>865.7</v>
      </c>
      <c r="I2128">
        <v>6.8</v>
      </c>
      <c r="J2128">
        <v>78</v>
      </c>
      <c r="K2128" t="s">
        <v>25</v>
      </c>
      <c r="L2128">
        <v>54</v>
      </c>
      <c r="M2128">
        <v>1.96</v>
      </c>
      <c r="N2128">
        <v>1</v>
      </c>
      <c r="O2128" t="s">
        <v>19</v>
      </c>
      <c r="P2128" cm="1">
        <f t="array" ref="P2128">_xlfn.SWITCH(Table2[[#This Row],[mood]], "Tired", 3, "Neutral", 2, "Happy", 1)</f>
        <v>2</v>
      </c>
    </row>
    <row r="2129" spans="1:16" x14ac:dyDescent="0.3">
      <c r="A2129">
        <v>1242</v>
      </c>
      <c r="B2129" s="1">
        <v>44132</v>
      </c>
      <c r="C2129">
        <v>18</v>
      </c>
      <c r="D2129" t="s">
        <v>20</v>
      </c>
      <c r="E2129">
        <v>177.6</v>
      </c>
      <c r="F2129">
        <v>71.400000000000006</v>
      </c>
      <c r="G2129">
        <v>13137</v>
      </c>
      <c r="H2129">
        <v>732</v>
      </c>
      <c r="I2129">
        <v>5</v>
      </c>
      <c r="J2129">
        <v>83</v>
      </c>
      <c r="K2129" t="s">
        <v>16</v>
      </c>
      <c r="L2129">
        <v>0</v>
      </c>
      <c r="M2129">
        <v>1.97</v>
      </c>
      <c r="N2129">
        <v>6</v>
      </c>
      <c r="O2129" t="s">
        <v>17</v>
      </c>
      <c r="P2129" cm="1">
        <f t="array" ref="P2129">_xlfn.SWITCH(Table2[[#This Row],[mood]], "Tired", 3, "Neutral", 2, "Happy", 1)</f>
        <v>3</v>
      </c>
    </row>
    <row r="2130" spans="1:16" x14ac:dyDescent="0.3">
      <c r="A2130">
        <v>1492</v>
      </c>
      <c r="B2130" s="1">
        <v>44133</v>
      </c>
      <c r="C2130">
        <v>34</v>
      </c>
      <c r="D2130" t="s">
        <v>15</v>
      </c>
      <c r="E2130">
        <v>188</v>
      </c>
      <c r="F2130">
        <v>85.1</v>
      </c>
      <c r="G2130">
        <v>15334</v>
      </c>
      <c r="H2130">
        <v>844.6</v>
      </c>
      <c r="I2130">
        <v>8.8000000000000007</v>
      </c>
      <c r="J2130">
        <v>94</v>
      </c>
      <c r="K2130" t="s">
        <v>23</v>
      </c>
      <c r="L2130">
        <v>66</v>
      </c>
      <c r="M2130">
        <v>1.1000000000000001</v>
      </c>
      <c r="N2130">
        <v>3</v>
      </c>
      <c r="O2130" t="s">
        <v>19</v>
      </c>
      <c r="P2130" cm="1">
        <f t="array" ref="P2130">_xlfn.SWITCH(Table2[[#This Row],[mood]], "Tired", 3, "Neutral", 2, "Happy", 1)</f>
        <v>2</v>
      </c>
    </row>
    <row r="2131" spans="1:16" x14ac:dyDescent="0.3">
      <c r="A2131">
        <v>1365</v>
      </c>
      <c r="B2131" s="1">
        <v>44134</v>
      </c>
      <c r="C2131">
        <v>18</v>
      </c>
      <c r="D2131" t="s">
        <v>20</v>
      </c>
      <c r="E2131">
        <v>166.8</v>
      </c>
      <c r="F2131">
        <v>116</v>
      </c>
      <c r="G2131">
        <v>19830</v>
      </c>
      <c r="H2131">
        <v>900</v>
      </c>
      <c r="I2131">
        <v>9.4</v>
      </c>
      <c r="J2131">
        <v>93</v>
      </c>
      <c r="K2131" t="s">
        <v>23</v>
      </c>
      <c r="L2131">
        <v>24</v>
      </c>
      <c r="M2131">
        <v>2.34</v>
      </c>
      <c r="N2131">
        <v>3</v>
      </c>
      <c r="O2131" t="s">
        <v>17</v>
      </c>
      <c r="P2131" cm="1">
        <f t="array" ref="P2131">_xlfn.SWITCH(Table2[[#This Row],[mood]], "Tired", 3, "Neutral", 2, "Happy", 1)</f>
        <v>3</v>
      </c>
    </row>
    <row r="2132" spans="1:16" x14ac:dyDescent="0.3">
      <c r="A2132">
        <v>1329</v>
      </c>
      <c r="B2132" s="1">
        <v>44135</v>
      </c>
      <c r="C2132">
        <v>47</v>
      </c>
      <c r="D2132" t="s">
        <v>20</v>
      </c>
      <c r="E2132">
        <v>163.6</v>
      </c>
      <c r="F2132">
        <v>72.7</v>
      </c>
      <c r="G2132">
        <v>16114</v>
      </c>
      <c r="H2132">
        <v>900</v>
      </c>
      <c r="I2132">
        <v>8.5</v>
      </c>
      <c r="J2132">
        <v>89</v>
      </c>
      <c r="K2132" t="s">
        <v>18</v>
      </c>
      <c r="L2132">
        <v>56</v>
      </c>
      <c r="M2132">
        <v>1.1299999999999999</v>
      </c>
      <c r="N2132">
        <v>1</v>
      </c>
      <c r="O2132" t="s">
        <v>21</v>
      </c>
      <c r="P2132" cm="1">
        <f t="array" ref="P2132">_xlfn.SWITCH(Table2[[#This Row],[mood]], "Tired", 3, "Neutral", 2, "Happy", 1)</f>
        <v>1</v>
      </c>
    </row>
    <row r="2133" spans="1:16" x14ac:dyDescent="0.3">
      <c r="A2133">
        <v>1106</v>
      </c>
      <c r="B2133" s="1">
        <v>44136</v>
      </c>
      <c r="C2133">
        <v>58</v>
      </c>
      <c r="D2133" t="s">
        <v>20</v>
      </c>
      <c r="E2133">
        <v>174.2</v>
      </c>
      <c r="F2133">
        <v>68.5</v>
      </c>
      <c r="G2133">
        <v>17035</v>
      </c>
      <c r="H2133">
        <v>863.3</v>
      </c>
      <c r="I2133">
        <v>5.9</v>
      </c>
      <c r="J2133">
        <v>75</v>
      </c>
      <c r="K2133" t="s">
        <v>18</v>
      </c>
      <c r="L2133">
        <v>20</v>
      </c>
      <c r="M2133">
        <v>3.03</v>
      </c>
      <c r="N2133">
        <v>2</v>
      </c>
      <c r="O2133" t="s">
        <v>17</v>
      </c>
      <c r="P2133" cm="1">
        <f t="array" ref="P2133">_xlfn.SWITCH(Table2[[#This Row],[mood]], "Tired", 3, "Neutral", 2, "Happy", 1)</f>
        <v>3</v>
      </c>
    </row>
    <row r="2134" spans="1:16" x14ac:dyDescent="0.3">
      <c r="A2134">
        <v>1225</v>
      </c>
      <c r="B2134" s="1">
        <v>44137</v>
      </c>
      <c r="C2134">
        <v>20</v>
      </c>
      <c r="D2134" t="s">
        <v>15</v>
      </c>
      <c r="E2134">
        <v>164.4</v>
      </c>
      <c r="F2134">
        <v>54</v>
      </c>
      <c r="G2134">
        <v>19749</v>
      </c>
      <c r="H2134">
        <v>900</v>
      </c>
      <c r="I2134">
        <v>5.0999999999999996</v>
      </c>
      <c r="J2134">
        <v>86</v>
      </c>
      <c r="K2134" t="s">
        <v>24</v>
      </c>
      <c r="L2134">
        <v>75</v>
      </c>
      <c r="M2134">
        <v>2.11</v>
      </c>
      <c r="N2134">
        <v>3</v>
      </c>
      <c r="O2134" t="s">
        <v>17</v>
      </c>
      <c r="P2134" cm="1">
        <f t="array" ref="P2134">_xlfn.SWITCH(Table2[[#This Row],[mood]], "Tired", 3, "Neutral", 2, "Happy", 1)</f>
        <v>3</v>
      </c>
    </row>
    <row r="2135" spans="1:16" x14ac:dyDescent="0.3">
      <c r="A2135">
        <v>1824</v>
      </c>
      <c r="B2135" s="1">
        <v>44138</v>
      </c>
      <c r="C2135">
        <v>28</v>
      </c>
      <c r="D2135" t="s">
        <v>20</v>
      </c>
      <c r="E2135">
        <v>164.7</v>
      </c>
      <c r="F2135">
        <v>68.2</v>
      </c>
      <c r="G2135">
        <v>5701</v>
      </c>
      <c r="H2135">
        <v>375.4</v>
      </c>
      <c r="I2135">
        <v>6.5</v>
      </c>
      <c r="J2135">
        <v>78</v>
      </c>
      <c r="K2135" t="s">
        <v>16</v>
      </c>
      <c r="L2135">
        <v>0</v>
      </c>
      <c r="M2135">
        <v>2.42</v>
      </c>
      <c r="N2135">
        <v>1</v>
      </c>
      <c r="O2135" t="s">
        <v>21</v>
      </c>
      <c r="P2135" cm="1">
        <f t="array" ref="P2135">_xlfn.SWITCH(Table2[[#This Row],[mood]], "Tired", 3, "Neutral", 2, "Happy", 1)</f>
        <v>1</v>
      </c>
    </row>
    <row r="2136" spans="1:16" x14ac:dyDescent="0.3">
      <c r="A2136">
        <v>1217</v>
      </c>
      <c r="B2136" s="1">
        <v>44139</v>
      </c>
      <c r="C2136">
        <v>41</v>
      </c>
      <c r="D2136" t="s">
        <v>20</v>
      </c>
      <c r="E2136">
        <v>168</v>
      </c>
      <c r="F2136">
        <v>54.5</v>
      </c>
      <c r="G2136">
        <v>8417</v>
      </c>
      <c r="H2136">
        <v>508.4</v>
      </c>
      <c r="I2136">
        <v>10</v>
      </c>
      <c r="J2136">
        <v>79</v>
      </c>
      <c r="K2136" t="s">
        <v>24</v>
      </c>
      <c r="L2136">
        <v>83</v>
      </c>
      <c r="M2136">
        <v>2.2400000000000002</v>
      </c>
      <c r="N2136">
        <v>8</v>
      </c>
      <c r="O2136" t="s">
        <v>19</v>
      </c>
      <c r="P2136" cm="1">
        <f t="array" ref="P2136">_xlfn.SWITCH(Table2[[#This Row],[mood]], "Tired", 3, "Neutral", 2, "Happy", 1)</f>
        <v>2</v>
      </c>
    </row>
    <row r="2137" spans="1:16" x14ac:dyDescent="0.3">
      <c r="A2137">
        <v>1936</v>
      </c>
      <c r="B2137" s="1">
        <v>44140</v>
      </c>
      <c r="C2137">
        <v>39</v>
      </c>
      <c r="D2137" t="s">
        <v>15</v>
      </c>
      <c r="E2137">
        <v>186.5</v>
      </c>
      <c r="F2137">
        <v>67.2</v>
      </c>
      <c r="G2137">
        <v>10558</v>
      </c>
      <c r="H2137">
        <v>657.7</v>
      </c>
      <c r="I2137">
        <v>5.2</v>
      </c>
      <c r="J2137">
        <v>69</v>
      </c>
      <c r="K2137" t="s">
        <v>25</v>
      </c>
      <c r="L2137">
        <v>27</v>
      </c>
      <c r="M2137">
        <v>2.33</v>
      </c>
      <c r="N2137">
        <v>6</v>
      </c>
      <c r="O2137" t="s">
        <v>17</v>
      </c>
      <c r="P2137" cm="1">
        <f t="array" ref="P2137">_xlfn.SWITCH(Table2[[#This Row],[mood]], "Tired", 3, "Neutral", 2, "Happy", 1)</f>
        <v>3</v>
      </c>
    </row>
    <row r="2138" spans="1:16" x14ac:dyDescent="0.3">
      <c r="A2138">
        <v>1752</v>
      </c>
      <c r="B2138" s="1">
        <v>44141</v>
      </c>
      <c r="C2138">
        <v>43</v>
      </c>
      <c r="D2138" t="s">
        <v>15</v>
      </c>
      <c r="E2138">
        <v>177</v>
      </c>
      <c r="F2138">
        <v>113.4</v>
      </c>
      <c r="G2138">
        <v>12057</v>
      </c>
      <c r="H2138">
        <v>716.1</v>
      </c>
      <c r="I2138">
        <v>8.1999999999999993</v>
      </c>
      <c r="J2138">
        <v>92</v>
      </c>
      <c r="K2138" t="s">
        <v>18</v>
      </c>
      <c r="L2138">
        <v>83</v>
      </c>
      <c r="M2138">
        <v>3.38</v>
      </c>
      <c r="N2138">
        <v>9</v>
      </c>
      <c r="O2138" t="s">
        <v>21</v>
      </c>
      <c r="P2138" cm="1">
        <f t="array" ref="P2138">_xlfn.SWITCH(Table2[[#This Row],[mood]], "Tired", 3, "Neutral", 2, "Happy", 1)</f>
        <v>1</v>
      </c>
    </row>
    <row r="2139" spans="1:16" x14ac:dyDescent="0.3">
      <c r="A2139">
        <v>1505</v>
      </c>
      <c r="B2139" s="1">
        <v>44142</v>
      </c>
      <c r="C2139">
        <v>30</v>
      </c>
      <c r="D2139" t="s">
        <v>15</v>
      </c>
      <c r="E2139">
        <v>178.1</v>
      </c>
      <c r="F2139">
        <v>71.8</v>
      </c>
      <c r="G2139">
        <v>10214</v>
      </c>
      <c r="H2139">
        <v>638.6</v>
      </c>
      <c r="I2139">
        <v>6.9</v>
      </c>
      <c r="J2139">
        <v>67</v>
      </c>
      <c r="K2139" t="s">
        <v>23</v>
      </c>
      <c r="L2139">
        <v>76</v>
      </c>
      <c r="M2139">
        <v>1.55</v>
      </c>
      <c r="N2139">
        <v>1</v>
      </c>
      <c r="O2139" t="s">
        <v>21</v>
      </c>
      <c r="P2139" cm="1">
        <f t="array" ref="P2139">_xlfn.SWITCH(Table2[[#This Row],[mood]], "Tired", 3, "Neutral", 2, "Happy", 1)</f>
        <v>1</v>
      </c>
    </row>
    <row r="2140" spans="1:16" x14ac:dyDescent="0.3">
      <c r="A2140">
        <v>1258</v>
      </c>
      <c r="B2140" s="1">
        <v>44143</v>
      </c>
      <c r="C2140">
        <v>18</v>
      </c>
      <c r="D2140" t="s">
        <v>20</v>
      </c>
      <c r="E2140">
        <v>186.1</v>
      </c>
      <c r="F2140">
        <v>61.7</v>
      </c>
      <c r="G2140">
        <v>12322</v>
      </c>
      <c r="H2140">
        <v>663.4</v>
      </c>
      <c r="I2140">
        <v>8.4</v>
      </c>
      <c r="J2140">
        <v>64</v>
      </c>
      <c r="K2140" t="s">
        <v>25</v>
      </c>
      <c r="L2140">
        <v>47</v>
      </c>
      <c r="M2140">
        <v>1.36</v>
      </c>
      <c r="N2140">
        <v>4</v>
      </c>
      <c r="O2140" t="s">
        <v>21</v>
      </c>
      <c r="P2140" cm="1">
        <f t="array" ref="P2140">_xlfn.SWITCH(Table2[[#This Row],[mood]], "Tired", 3, "Neutral", 2, "Happy", 1)</f>
        <v>1</v>
      </c>
    </row>
    <row r="2141" spans="1:16" x14ac:dyDescent="0.3">
      <c r="A2141">
        <v>1887</v>
      </c>
      <c r="B2141" s="1">
        <v>44144</v>
      </c>
      <c r="C2141">
        <v>41</v>
      </c>
      <c r="D2141" t="s">
        <v>20</v>
      </c>
      <c r="E2141">
        <v>179</v>
      </c>
      <c r="F2141">
        <v>66.900000000000006</v>
      </c>
      <c r="G2141">
        <v>16886</v>
      </c>
      <c r="H2141">
        <v>846.3</v>
      </c>
      <c r="I2141">
        <v>5.0999999999999996</v>
      </c>
      <c r="J2141">
        <v>79</v>
      </c>
      <c r="K2141" t="s">
        <v>18</v>
      </c>
      <c r="L2141">
        <v>45</v>
      </c>
      <c r="M2141">
        <v>2.58</v>
      </c>
      <c r="N2141">
        <v>4</v>
      </c>
      <c r="O2141" t="s">
        <v>17</v>
      </c>
      <c r="P2141" cm="1">
        <f t="array" ref="P2141">_xlfn.SWITCH(Table2[[#This Row],[mood]], "Tired", 3, "Neutral", 2, "Happy", 1)</f>
        <v>3</v>
      </c>
    </row>
    <row r="2142" spans="1:16" x14ac:dyDescent="0.3">
      <c r="A2142">
        <v>1773</v>
      </c>
      <c r="B2142" s="1">
        <v>44145</v>
      </c>
      <c r="C2142">
        <v>27</v>
      </c>
      <c r="D2142" t="s">
        <v>15</v>
      </c>
      <c r="E2142">
        <v>158.69999999999999</v>
      </c>
      <c r="F2142">
        <v>63.8</v>
      </c>
      <c r="G2142">
        <v>12036</v>
      </c>
      <c r="H2142">
        <v>688</v>
      </c>
      <c r="I2142">
        <v>6.6</v>
      </c>
      <c r="J2142">
        <v>57</v>
      </c>
      <c r="K2142" t="s">
        <v>25</v>
      </c>
      <c r="L2142">
        <v>53</v>
      </c>
      <c r="M2142">
        <v>2.15</v>
      </c>
      <c r="N2142">
        <v>5</v>
      </c>
      <c r="O2142" t="s">
        <v>19</v>
      </c>
      <c r="P2142" cm="1">
        <f t="array" ref="P2142">_xlfn.SWITCH(Table2[[#This Row],[mood]], "Tired", 3, "Neutral", 2, "Happy", 1)</f>
        <v>2</v>
      </c>
    </row>
    <row r="2143" spans="1:16" x14ac:dyDescent="0.3">
      <c r="A2143">
        <v>1516</v>
      </c>
      <c r="B2143" s="1">
        <v>44146</v>
      </c>
      <c r="C2143">
        <v>52</v>
      </c>
      <c r="D2143" t="s">
        <v>20</v>
      </c>
      <c r="E2143">
        <v>178.9</v>
      </c>
      <c r="F2143">
        <v>85.7</v>
      </c>
      <c r="G2143">
        <v>15060</v>
      </c>
      <c r="H2143">
        <v>789.8</v>
      </c>
      <c r="I2143">
        <v>5.7</v>
      </c>
      <c r="J2143">
        <v>76</v>
      </c>
      <c r="K2143" t="s">
        <v>16</v>
      </c>
      <c r="L2143">
        <v>0</v>
      </c>
      <c r="M2143">
        <v>2.75</v>
      </c>
      <c r="N2143">
        <v>2</v>
      </c>
      <c r="O2143" t="s">
        <v>17</v>
      </c>
      <c r="P2143" cm="1">
        <f t="array" ref="P2143">_xlfn.SWITCH(Table2[[#This Row],[mood]], "Tired", 3, "Neutral", 2, "Happy", 1)</f>
        <v>3</v>
      </c>
    </row>
    <row r="2144" spans="1:16" x14ac:dyDescent="0.3">
      <c r="A2144">
        <v>1772</v>
      </c>
      <c r="B2144" s="1">
        <v>44147</v>
      </c>
      <c r="C2144">
        <v>41</v>
      </c>
      <c r="D2144" t="s">
        <v>15</v>
      </c>
      <c r="E2144">
        <v>180.1</v>
      </c>
      <c r="F2144">
        <v>68.599999999999994</v>
      </c>
      <c r="G2144">
        <v>18873</v>
      </c>
      <c r="H2144">
        <v>900</v>
      </c>
      <c r="I2144">
        <v>5.7</v>
      </c>
      <c r="J2144">
        <v>91</v>
      </c>
      <c r="K2144" t="s">
        <v>22</v>
      </c>
      <c r="L2144">
        <v>39</v>
      </c>
      <c r="M2144">
        <v>3</v>
      </c>
      <c r="N2144">
        <v>1</v>
      </c>
      <c r="O2144" t="s">
        <v>17</v>
      </c>
      <c r="P2144" cm="1">
        <f t="array" ref="P2144">_xlfn.SWITCH(Table2[[#This Row],[mood]], "Tired", 3, "Neutral", 2, "Happy", 1)</f>
        <v>3</v>
      </c>
    </row>
    <row r="2145" spans="1:16" x14ac:dyDescent="0.3">
      <c r="A2145">
        <v>1053</v>
      </c>
      <c r="B2145" s="1">
        <v>44148</v>
      </c>
      <c r="C2145">
        <v>45</v>
      </c>
      <c r="D2145" t="s">
        <v>15</v>
      </c>
      <c r="E2145">
        <v>176.5</v>
      </c>
      <c r="F2145">
        <v>94.1</v>
      </c>
      <c r="G2145">
        <v>14607</v>
      </c>
      <c r="H2145">
        <v>770.4</v>
      </c>
      <c r="I2145">
        <v>8.1</v>
      </c>
      <c r="J2145">
        <v>79</v>
      </c>
      <c r="K2145" t="s">
        <v>22</v>
      </c>
      <c r="L2145">
        <v>33</v>
      </c>
      <c r="M2145">
        <v>1.73</v>
      </c>
      <c r="N2145">
        <v>9</v>
      </c>
      <c r="O2145" t="s">
        <v>17</v>
      </c>
      <c r="P2145" cm="1">
        <f t="array" ref="P2145">_xlfn.SWITCH(Table2[[#This Row],[mood]], "Tired", 3, "Neutral", 2, "Happy", 1)</f>
        <v>3</v>
      </c>
    </row>
    <row r="2146" spans="1:16" x14ac:dyDescent="0.3">
      <c r="A2146">
        <v>1046</v>
      </c>
      <c r="B2146" s="1">
        <v>44149</v>
      </c>
      <c r="C2146">
        <v>53</v>
      </c>
      <c r="D2146" t="s">
        <v>20</v>
      </c>
      <c r="E2146">
        <v>168</v>
      </c>
      <c r="F2146">
        <v>65.3</v>
      </c>
      <c r="G2146">
        <v>3334</v>
      </c>
      <c r="H2146">
        <v>318</v>
      </c>
      <c r="I2146">
        <v>5.3</v>
      </c>
      <c r="J2146">
        <v>75</v>
      </c>
      <c r="K2146" t="s">
        <v>25</v>
      </c>
      <c r="L2146">
        <v>42</v>
      </c>
      <c r="M2146">
        <v>2.92</v>
      </c>
      <c r="N2146">
        <v>5</v>
      </c>
      <c r="O2146" t="s">
        <v>21</v>
      </c>
      <c r="P2146" cm="1">
        <f t="array" ref="P2146">_xlfn.SWITCH(Table2[[#This Row],[mood]], "Tired", 3, "Neutral", 2, "Happy", 1)</f>
        <v>1</v>
      </c>
    </row>
    <row r="2147" spans="1:16" x14ac:dyDescent="0.3">
      <c r="A2147">
        <v>1726</v>
      </c>
      <c r="B2147" s="1">
        <v>44150</v>
      </c>
      <c r="C2147">
        <v>33</v>
      </c>
      <c r="D2147" t="s">
        <v>20</v>
      </c>
      <c r="E2147">
        <v>175.5</v>
      </c>
      <c r="F2147">
        <v>66.2</v>
      </c>
      <c r="G2147">
        <v>17096</v>
      </c>
      <c r="H2147">
        <v>802.5</v>
      </c>
      <c r="I2147">
        <v>7.4</v>
      </c>
      <c r="J2147">
        <v>67</v>
      </c>
      <c r="K2147" t="s">
        <v>18</v>
      </c>
      <c r="L2147">
        <v>86</v>
      </c>
      <c r="M2147">
        <v>1.78</v>
      </c>
      <c r="N2147">
        <v>8</v>
      </c>
      <c r="O2147" t="s">
        <v>19</v>
      </c>
      <c r="P2147" cm="1">
        <f t="array" ref="P2147">_xlfn.SWITCH(Table2[[#This Row],[mood]], "Tired", 3, "Neutral", 2, "Happy", 1)</f>
        <v>2</v>
      </c>
    </row>
    <row r="2148" spans="1:16" x14ac:dyDescent="0.3">
      <c r="A2148">
        <v>1688</v>
      </c>
      <c r="B2148" s="1">
        <v>44151</v>
      </c>
      <c r="C2148">
        <v>57</v>
      </c>
      <c r="D2148" t="s">
        <v>15</v>
      </c>
      <c r="E2148">
        <v>169.8</v>
      </c>
      <c r="F2148">
        <v>56.5</v>
      </c>
      <c r="G2148">
        <v>1202</v>
      </c>
      <c r="H2148">
        <v>291.8</v>
      </c>
      <c r="I2148">
        <v>7.1</v>
      </c>
      <c r="J2148">
        <v>60</v>
      </c>
      <c r="K2148" t="s">
        <v>22</v>
      </c>
      <c r="L2148">
        <v>38</v>
      </c>
      <c r="M2148">
        <v>2.5499999999999998</v>
      </c>
      <c r="N2148">
        <v>3</v>
      </c>
      <c r="O2148" t="s">
        <v>17</v>
      </c>
      <c r="P2148" cm="1">
        <f t="array" ref="P2148">_xlfn.SWITCH(Table2[[#This Row],[mood]], "Tired", 3, "Neutral", 2, "Happy", 1)</f>
        <v>3</v>
      </c>
    </row>
    <row r="2149" spans="1:16" x14ac:dyDescent="0.3">
      <c r="A2149">
        <v>1520</v>
      </c>
      <c r="B2149" s="1">
        <v>44152</v>
      </c>
      <c r="C2149">
        <v>33</v>
      </c>
      <c r="D2149" t="s">
        <v>15</v>
      </c>
      <c r="E2149">
        <v>160.19999999999999</v>
      </c>
      <c r="F2149">
        <v>64.2</v>
      </c>
      <c r="G2149">
        <v>1230</v>
      </c>
      <c r="H2149">
        <v>265.3</v>
      </c>
      <c r="I2149">
        <v>5.6</v>
      </c>
      <c r="J2149">
        <v>84</v>
      </c>
      <c r="K2149" t="s">
        <v>22</v>
      </c>
      <c r="L2149">
        <v>58</v>
      </c>
      <c r="M2149">
        <v>1.63</v>
      </c>
      <c r="N2149">
        <v>4</v>
      </c>
      <c r="O2149" t="s">
        <v>19</v>
      </c>
      <c r="P2149" cm="1">
        <f t="array" ref="P2149">_xlfn.SWITCH(Table2[[#This Row],[mood]], "Tired", 3, "Neutral", 2, "Happy", 1)</f>
        <v>2</v>
      </c>
    </row>
    <row r="2150" spans="1:16" x14ac:dyDescent="0.3">
      <c r="A2150">
        <v>1098</v>
      </c>
      <c r="B2150" s="1">
        <v>44153</v>
      </c>
      <c r="C2150">
        <v>34</v>
      </c>
      <c r="D2150" t="s">
        <v>15</v>
      </c>
      <c r="E2150">
        <v>162.69999999999999</v>
      </c>
      <c r="F2150">
        <v>45</v>
      </c>
      <c r="G2150">
        <v>12320</v>
      </c>
      <c r="H2150">
        <v>578.5</v>
      </c>
      <c r="I2150">
        <v>5.9</v>
      </c>
      <c r="J2150">
        <v>75</v>
      </c>
      <c r="K2150" t="s">
        <v>25</v>
      </c>
      <c r="L2150">
        <v>56</v>
      </c>
      <c r="M2150">
        <v>2.59</v>
      </c>
      <c r="N2150">
        <v>4</v>
      </c>
      <c r="O2150" t="s">
        <v>17</v>
      </c>
      <c r="P2150" cm="1">
        <f t="array" ref="P2150">_xlfn.SWITCH(Table2[[#This Row],[mood]], "Tired", 3, "Neutral", 2, "Happy", 1)</f>
        <v>3</v>
      </c>
    </row>
    <row r="2151" spans="1:16" x14ac:dyDescent="0.3">
      <c r="A2151">
        <v>1019</v>
      </c>
      <c r="B2151" s="1">
        <v>44154</v>
      </c>
      <c r="C2151">
        <v>32</v>
      </c>
      <c r="D2151" t="s">
        <v>15</v>
      </c>
      <c r="E2151">
        <v>177</v>
      </c>
      <c r="F2151">
        <v>45</v>
      </c>
      <c r="G2151">
        <v>12683</v>
      </c>
      <c r="H2151">
        <v>729.6</v>
      </c>
      <c r="I2151">
        <v>7.5</v>
      </c>
      <c r="J2151">
        <v>81</v>
      </c>
      <c r="K2151" t="s">
        <v>22</v>
      </c>
      <c r="L2151">
        <v>20</v>
      </c>
      <c r="M2151">
        <v>2.4900000000000002</v>
      </c>
      <c r="N2151">
        <v>6</v>
      </c>
      <c r="O2151" t="s">
        <v>19</v>
      </c>
      <c r="P2151" cm="1">
        <f t="array" ref="P2151">_xlfn.SWITCH(Table2[[#This Row],[mood]], "Tired", 3, "Neutral", 2, "Happy", 1)</f>
        <v>2</v>
      </c>
    </row>
    <row r="2152" spans="1:16" x14ac:dyDescent="0.3">
      <c r="A2152">
        <v>1889</v>
      </c>
      <c r="B2152" s="1">
        <v>44155</v>
      </c>
      <c r="C2152">
        <v>33</v>
      </c>
      <c r="D2152" t="s">
        <v>20</v>
      </c>
      <c r="E2152">
        <v>160.9</v>
      </c>
      <c r="F2152">
        <v>79.400000000000006</v>
      </c>
      <c r="G2152">
        <v>3962</v>
      </c>
      <c r="H2152">
        <v>338.4</v>
      </c>
      <c r="I2152">
        <v>7</v>
      </c>
      <c r="J2152">
        <v>53</v>
      </c>
      <c r="K2152" t="s">
        <v>16</v>
      </c>
      <c r="L2152">
        <v>0</v>
      </c>
      <c r="M2152">
        <v>1.73</v>
      </c>
      <c r="N2152">
        <v>4</v>
      </c>
      <c r="O2152" t="s">
        <v>21</v>
      </c>
      <c r="P2152" cm="1">
        <f t="array" ref="P2152">_xlfn.SWITCH(Table2[[#This Row],[mood]], "Tired", 3, "Neutral", 2, "Happy", 1)</f>
        <v>1</v>
      </c>
    </row>
    <row r="2153" spans="1:16" x14ac:dyDescent="0.3">
      <c r="A2153">
        <v>1752</v>
      </c>
      <c r="B2153" s="1">
        <v>44156</v>
      </c>
      <c r="C2153">
        <v>32</v>
      </c>
      <c r="D2153" t="s">
        <v>15</v>
      </c>
      <c r="E2153">
        <v>161.9</v>
      </c>
      <c r="F2153">
        <v>45</v>
      </c>
      <c r="G2153">
        <v>3327</v>
      </c>
      <c r="H2153">
        <v>371.9</v>
      </c>
      <c r="I2153">
        <v>7.1</v>
      </c>
      <c r="J2153">
        <v>82</v>
      </c>
      <c r="K2153" t="s">
        <v>23</v>
      </c>
      <c r="L2153">
        <v>34</v>
      </c>
      <c r="M2153">
        <v>1.55</v>
      </c>
      <c r="N2153">
        <v>5</v>
      </c>
      <c r="O2153" t="s">
        <v>19</v>
      </c>
      <c r="P2153" cm="1">
        <f t="array" ref="P2153">_xlfn.SWITCH(Table2[[#This Row],[mood]], "Tired", 3, "Neutral", 2, "Happy", 1)</f>
        <v>2</v>
      </c>
    </row>
    <row r="2154" spans="1:16" x14ac:dyDescent="0.3">
      <c r="A2154">
        <v>1572</v>
      </c>
      <c r="B2154" s="1">
        <v>44157</v>
      </c>
      <c r="C2154">
        <v>51</v>
      </c>
      <c r="D2154" t="s">
        <v>15</v>
      </c>
      <c r="E2154">
        <v>177.5</v>
      </c>
      <c r="F2154">
        <v>76.099999999999994</v>
      </c>
      <c r="G2154">
        <v>3784</v>
      </c>
      <c r="H2154">
        <v>346.1</v>
      </c>
      <c r="I2154">
        <v>6.7</v>
      </c>
      <c r="J2154">
        <v>95</v>
      </c>
      <c r="K2154" t="s">
        <v>22</v>
      </c>
      <c r="L2154">
        <v>20</v>
      </c>
      <c r="M2154">
        <v>3.03</v>
      </c>
      <c r="N2154">
        <v>5</v>
      </c>
      <c r="O2154" t="s">
        <v>21</v>
      </c>
      <c r="P2154" cm="1">
        <f t="array" ref="P2154">_xlfn.SWITCH(Table2[[#This Row],[mood]], "Tired", 3, "Neutral", 2, "Happy", 1)</f>
        <v>1</v>
      </c>
    </row>
    <row r="2155" spans="1:16" x14ac:dyDescent="0.3">
      <c r="A2155">
        <v>1890</v>
      </c>
      <c r="B2155" s="1">
        <v>44158</v>
      </c>
      <c r="C2155">
        <v>28</v>
      </c>
      <c r="D2155" t="s">
        <v>15</v>
      </c>
      <c r="E2155">
        <v>171.3</v>
      </c>
      <c r="F2155">
        <v>62.5</v>
      </c>
      <c r="G2155">
        <v>14485</v>
      </c>
      <c r="H2155">
        <v>739.2</v>
      </c>
      <c r="I2155">
        <v>6.6</v>
      </c>
      <c r="J2155">
        <v>88</v>
      </c>
      <c r="K2155" t="s">
        <v>16</v>
      </c>
      <c r="L2155">
        <v>0</v>
      </c>
      <c r="M2155">
        <v>2.1800000000000002</v>
      </c>
      <c r="N2155">
        <v>8</v>
      </c>
      <c r="O2155" t="s">
        <v>21</v>
      </c>
      <c r="P2155" cm="1">
        <f t="array" ref="P2155">_xlfn.SWITCH(Table2[[#This Row],[mood]], "Tired", 3, "Neutral", 2, "Happy", 1)</f>
        <v>1</v>
      </c>
    </row>
    <row r="2156" spans="1:16" x14ac:dyDescent="0.3">
      <c r="A2156">
        <v>1489</v>
      </c>
      <c r="B2156" s="1">
        <v>44159</v>
      </c>
      <c r="C2156">
        <v>18</v>
      </c>
      <c r="D2156" t="s">
        <v>20</v>
      </c>
      <c r="E2156">
        <v>175.8</v>
      </c>
      <c r="F2156">
        <v>84.1</v>
      </c>
      <c r="G2156">
        <v>1803</v>
      </c>
      <c r="H2156">
        <v>358.6</v>
      </c>
      <c r="I2156">
        <v>7</v>
      </c>
      <c r="J2156">
        <v>78</v>
      </c>
      <c r="K2156" t="s">
        <v>25</v>
      </c>
      <c r="L2156">
        <v>71</v>
      </c>
      <c r="M2156">
        <v>3.21</v>
      </c>
      <c r="N2156">
        <v>9</v>
      </c>
      <c r="O2156" t="s">
        <v>19</v>
      </c>
      <c r="P2156" cm="1">
        <f t="array" ref="P2156">_xlfn.SWITCH(Table2[[#This Row],[mood]], "Tired", 3, "Neutral", 2, "Happy", 1)</f>
        <v>2</v>
      </c>
    </row>
    <row r="2157" spans="1:16" x14ac:dyDescent="0.3">
      <c r="A2157">
        <v>1418</v>
      </c>
      <c r="B2157" s="1">
        <v>44160</v>
      </c>
      <c r="C2157">
        <v>32</v>
      </c>
      <c r="D2157" t="s">
        <v>20</v>
      </c>
      <c r="E2157">
        <v>157.69999999999999</v>
      </c>
      <c r="F2157">
        <v>45</v>
      </c>
      <c r="G2157">
        <v>13553</v>
      </c>
      <c r="H2157">
        <v>820.7</v>
      </c>
      <c r="I2157">
        <v>9.1999999999999993</v>
      </c>
      <c r="J2157">
        <v>65</v>
      </c>
      <c r="K2157" t="s">
        <v>22</v>
      </c>
      <c r="L2157">
        <v>62</v>
      </c>
      <c r="M2157">
        <v>2.12</v>
      </c>
      <c r="N2157">
        <v>8</v>
      </c>
      <c r="O2157" t="s">
        <v>17</v>
      </c>
      <c r="P2157" cm="1">
        <f t="array" ref="P2157">_xlfn.SWITCH(Table2[[#This Row],[mood]], "Tired", 3, "Neutral", 2, "Happy", 1)</f>
        <v>3</v>
      </c>
    </row>
    <row r="2158" spans="1:16" x14ac:dyDescent="0.3">
      <c r="A2158">
        <v>1689</v>
      </c>
      <c r="B2158" s="1">
        <v>44161</v>
      </c>
      <c r="C2158">
        <v>43</v>
      </c>
      <c r="D2158" t="s">
        <v>15</v>
      </c>
      <c r="E2158">
        <v>175.5</v>
      </c>
      <c r="F2158">
        <v>79</v>
      </c>
      <c r="G2158">
        <v>15582</v>
      </c>
      <c r="H2158">
        <v>814</v>
      </c>
      <c r="I2158">
        <v>7.8</v>
      </c>
      <c r="J2158">
        <v>76</v>
      </c>
      <c r="K2158" t="s">
        <v>22</v>
      </c>
      <c r="L2158">
        <v>65</v>
      </c>
      <c r="M2158">
        <v>3.41</v>
      </c>
      <c r="N2158">
        <v>5</v>
      </c>
      <c r="O2158" t="s">
        <v>17</v>
      </c>
      <c r="P2158" cm="1">
        <f t="array" ref="P2158">_xlfn.SWITCH(Table2[[#This Row],[mood]], "Tired", 3, "Neutral", 2, "Happy", 1)</f>
        <v>3</v>
      </c>
    </row>
    <row r="2159" spans="1:16" x14ac:dyDescent="0.3">
      <c r="A2159">
        <v>1849</v>
      </c>
      <c r="B2159" s="1">
        <v>44162</v>
      </c>
      <c r="C2159">
        <v>21</v>
      </c>
      <c r="D2159" t="s">
        <v>20</v>
      </c>
      <c r="E2159">
        <v>163.4</v>
      </c>
      <c r="F2159">
        <v>75</v>
      </c>
      <c r="G2159">
        <v>12093</v>
      </c>
      <c r="H2159">
        <v>702.4</v>
      </c>
      <c r="I2159">
        <v>6.8</v>
      </c>
      <c r="J2159">
        <v>77</v>
      </c>
      <c r="K2159" t="s">
        <v>24</v>
      </c>
      <c r="L2159">
        <v>69</v>
      </c>
      <c r="M2159">
        <v>1.84</v>
      </c>
      <c r="N2159">
        <v>6</v>
      </c>
      <c r="O2159" t="s">
        <v>17</v>
      </c>
      <c r="P2159" cm="1">
        <f t="array" ref="P2159">_xlfn.SWITCH(Table2[[#This Row],[mood]], "Tired", 3, "Neutral", 2, "Happy", 1)</f>
        <v>3</v>
      </c>
    </row>
    <row r="2160" spans="1:16" x14ac:dyDescent="0.3">
      <c r="A2160">
        <v>1061</v>
      </c>
      <c r="B2160" s="1">
        <v>44163</v>
      </c>
      <c r="C2160">
        <v>22</v>
      </c>
      <c r="D2160" t="s">
        <v>20</v>
      </c>
      <c r="E2160">
        <v>159.80000000000001</v>
      </c>
      <c r="F2160">
        <v>75.400000000000006</v>
      </c>
      <c r="G2160">
        <v>7396</v>
      </c>
      <c r="H2160">
        <v>472.9</v>
      </c>
      <c r="I2160">
        <v>5.4</v>
      </c>
      <c r="J2160">
        <v>70</v>
      </c>
      <c r="K2160" t="s">
        <v>25</v>
      </c>
      <c r="L2160">
        <v>39</v>
      </c>
      <c r="M2160">
        <v>3.53</v>
      </c>
      <c r="N2160">
        <v>4</v>
      </c>
      <c r="O2160" t="s">
        <v>17</v>
      </c>
      <c r="P2160" cm="1">
        <f t="array" ref="P2160">_xlfn.SWITCH(Table2[[#This Row],[mood]], "Tired", 3, "Neutral", 2, "Happy", 1)</f>
        <v>3</v>
      </c>
    </row>
    <row r="2161" spans="1:16" x14ac:dyDescent="0.3">
      <c r="A2161">
        <v>1144</v>
      </c>
      <c r="B2161" s="1">
        <v>44164</v>
      </c>
      <c r="C2161">
        <v>52</v>
      </c>
      <c r="D2161" t="s">
        <v>20</v>
      </c>
      <c r="E2161">
        <v>164.9</v>
      </c>
      <c r="F2161">
        <v>86.9</v>
      </c>
      <c r="G2161">
        <v>15810</v>
      </c>
      <c r="H2161">
        <v>747.1</v>
      </c>
      <c r="I2161">
        <v>6.4</v>
      </c>
      <c r="J2161">
        <v>71</v>
      </c>
      <c r="K2161" t="s">
        <v>25</v>
      </c>
      <c r="L2161">
        <v>81</v>
      </c>
      <c r="M2161">
        <v>2.62</v>
      </c>
      <c r="N2161">
        <v>2</v>
      </c>
      <c r="O2161" t="s">
        <v>19</v>
      </c>
      <c r="P2161" cm="1">
        <f t="array" ref="P2161">_xlfn.SWITCH(Table2[[#This Row],[mood]], "Tired", 3, "Neutral", 2, "Happy", 1)</f>
        <v>2</v>
      </c>
    </row>
    <row r="2162" spans="1:16" x14ac:dyDescent="0.3">
      <c r="A2162">
        <v>1215</v>
      </c>
      <c r="B2162" s="1">
        <v>44165</v>
      </c>
      <c r="C2162">
        <v>30</v>
      </c>
      <c r="D2162" t="s">
        <v>15</v>
      </c>
      <c r="E2162">
        <v>183.6</v>
      </c>
      <c r="F2162">
        <v>71.099999999999994</v>
      </c>
      <c r="G2162">
        <v>17559</v>
      </c>
      <c r="H2162">
        <v>900</v>
      </c>
      <c r="I2162">
        <v>5.6</v>
      </c>
      <c r="J2162">
        <v>96</v>
      </c>
      <c r="K2162" t="s">
        <v>16</v>
      </c>
      <c r="L2162">
        <v>0</v>
      </c>
      <c r="M2162">
        <v>2.78</v>
      </c>
      <c r="N2162">
        <v>5</v>
      </c>
      <c r="O2162" t="s">
        <v>17</v>
      </c>
      <c r="P2162" cm="1">
        <f t="array" ref="P2162">_xlfn.SWITCH(Table2[[#This Row],[mood]], "Tired", 3, "Neutral", 2, "Happy", 1)</f>
        <v>3</v>
      </c>
    </row>
    <row r="2163" spans="1:16" x14ac:dyDescent="0.3">
      <c r="A2163">
        <v>1002</v>
      </c>
      <c r="B2163" s="1">
        <v>44166</v>
      </c>
      <c r="C2163">
        <v>27</v>
      </c>
      <c r="D2163" t="s">
        <v>15</v>
      </c>
      <c r="E2163">
        <v>166.4</v>
      </c>
      <c r="F2163">
        <v>45</v>
      </c>
      <c r="G2163">
        <v>10636</v>
      </c>
      <c r="H2163">
        <v>585.6</v>
      </c>
      <c r="I2163">
        <v>5.8</v>
      </c>
      <c r="J2163">
        <v>65</v>
      </c>
      <c r="K2163" t="s">
        <v>24</v>
      </c>
      <c r="L2163">
        <v>24</v>
      </c>
      <c r="M2163">
        <v>1.8</v>
      </c>
      <c r="N2163">
        <v>1</v>
      </c>
      <c r="O2163" t="s">
        <v>17</v>
      </c>
      <c r="P2163" cm="1">
        <f t="array" ref="P2163">_xlfn.SWITCH(Table2[[#This Row],[mood]], "Tired", 3, "Neutral", 2, "Happy", 1)</f>
        <v>3</v>
      </c>
    </row>
    <row r="2164" spans="1:16" x14ac:dyDescent="0.3">
      <c r="A2164">
        <v>1159</v>
      </c>
      <c r="B2164" s="1">
        <v>44167</v>
      </c>
      <c r="C2164">
        <v>28</v>
      </c>
      <c r="D2164" t="s">
        <v>20</v>
      </c>
      <c r="E2164">
        <v>192</v>
      </c>
      <c r="F2164">
        <v>76.7</v>
      </c>
      <c r="G2164">
        <v>16306</v>
      </c>
      <c r="H2164">
        <v>900</v>
      </c>
      <c r="I2164">
        <v>4.2</v>
      </c>
      <c r="J2164">
        <v>71</v>
      </c>
      <c r="K2164" t="s">
        <v>24</v>
      </c>
      <c r="L2164">
        <v>85</v>
      </c>
      <c r="M2164">
        <v>3.01</v>
      </c>
      <c r="N2164">
        <v>1</v>
      </c>
      <c r="O2164" t="s">
        <v>21</v>
      </c>
      <c r="P2164" cm="1">
        <f t="array" ref="P2164">_xlfn.SWITCH(Table2[[#This Row],[mood]], "Tired", 3, "Neutral", 2, "Happy", 1)</f>
        <v>1</v>
      </c>
    </row>
    <row r="2165" spans="1:16" x14ac:dyDescent="0.3">
      <c r="A2165">
        <v>1738</v>
      </c>
      <c r="B2165" s="1">
        <v>44168</v>
      </c>
      <c r="C2165">
        <v>35</v>
      </c>
      <c r="D2165" t="s">
        <v>15</v>
      </c>
      <c r="E2165">
        <v>150</v>
      </c>
      <c r="F2165">
        <v>74.8</v>
      </c>
      <c r="G2165">
        <v>13195</v>
      </c>
      <c r="H2165">
        <v>762.7</v>
      </c>
      <c r="I2165">
        <v>7</v>
      </c>
      <c r="J2165">
        <v>81</v>
      </c>
      <c r="K2165" t="s">
        <v>16</v>
      </c>
      <c r="L2165">
        <v>0</v>
      </c>
      <c r="M2165">
        <v>3.03</v>
      </c>
      <c r="N2165">
        <v>1</v>
      </c>
      <c r="O2165" t="s">
        <v>19</v>
      </c>
      <c r="P2165" cm="1">
        <f t="array" ref="P2165">_xlfn.SWITCH(Table2[[#This Row],[mood]], "Tired", 3, "Neutral", 2, "Happy", 1)</f>
        <v>2</v>
      </c>
    </row>
    <row r="2166" spans="1:16" x14ac:dyDescent="0.3">
      <c r="A2166">
        <v>1997</v>
      </c>
      <c r="B2166" s="1">
        <v>44169</v>
      </c>
      <c r="C2166">
        <v>51</v>
      </c>
      <c r="D2166" t="s">
        <v>15</v>
      </c>
      <c r="E2166">
        <v>154.5</v>
      </c>
      <c r="F2166">
        <v>66.3</v>
      </c>
      <c r="G2166">
        <v>6691</v>
      </c>
      <c r="H2166">
        <v>482</v>
      </c>
      <c r="I2166">
        <v>10</v>
      </c>
      <c r="J2166">
        <v>97</v>
      </c>
      <c r="K2166" t="s">
        <v>23</v>
      </c>
      <c r="L2166">
        <v>76</v>
      </c>
      <c r="M2166">
        <v>2.27</v>
      </c>
      <c r="N2166">
        <v>4</v>
      </c>
      <c r="O2166" t="s">
        <v>21</v>
      </c>
      <c r="P2166" cm="1">
        <f t="array" ref="P2166">_xlfn.SWITCH(Table2[[#This Row],[mood]], "Tired", 3, "Neutral", 2, "Happy", 1)</f>
        <v>1</v>
      </c>
    </row>
    <row r="2167" spans="1:16" x14ac:dyDescent="0.3">
      <c r="A2167">
        <v>1780</v>
      </c>
      <c r="B2167" s="1">
        <v>44170</v>
      </c>
      <c r="C2167">
        <v>56</v>
      </c>
      <c r="D2167" t="s">
        <v>20</v>
      </c>
      <c r="E2167">
        <v>183.2</v>
      </c>
      <c r="F2167">
        <v>57.4</v>
      </c>
      <c r="G2167">
        <v>4532</v>
      </c>
      <c r="H2167">
        <v>379.2</v>
      </c>
      <c r="I2167">
        <v>7.3</v>
      </c>
      <c r="J2167">
        <v>72</v>
      </c>
      <c r="K2167" t="s">
        <v>22</v>
      </c>
      <c r="L2167">
        <v>79</v>
      </c>
      <c r="M2167">
        <v>1.01</v>
      </c>
      <c r="N2167">
        <v>5</v>
      </c>
      <c r="O2167" t="s">
        <v>21</v>
      </c>
      <c r="P2167" cm="1">
        <f t="array" ref="P2167">_xlfn.SWITCH(Table2[[#This Row],[mood]], "Tired", 3, "Neutral", 2, "Happy", 1)</f>
        <v>1</v>
      </c>
    </row>
    <row r="2168" spans="1:16" x14ac:dyDescent="0.3">
      <c r="A2168">
        <v>1119</v>
      </c>
      <c r="B2168" s="1">
        <v>44171</v>
      </c>
      <c r="C2168">
        <v>58</v>
      </c>
      <c r="D2168" t="s">
        <v>20</v>
      </c>
      <c r="E2168">
        <v>185.8</v>
      </c>
      <c r="F2168">
        <v>64.599999999999994</v>
      </c>
      <c r="G2168">
        <v>17223</v>
      </c>
      <c r="H2168">
        <v>900</v>
      </c>
      <c r="I2168">
        <v>8.1</v>
      </c>
      <c r="J2168">
        <v>57</v>
      </c>
      <c r="K2168" t="s">
        <v>18</v>
      </c>
      <c r="L2168">
        <v>74</v>
      </c>
      <c r="M2168">
        <v>1.72</v>
      </c>
      <c r="N2168">
        <v>4</v>
      </c>
      <c r="O2168" t="s">
        <v>17</v>
      </c>
      <c r="P2168" cm="1">
        <f t="array" ref="P2168">_xlfn.SWITCH(Table2[[#This Row],[mood]], "Tired", 3, "Neutral", 2, "Happy", 1)</f>
        <v>3</v>
      </c>
    </row>
    <row r="2169" spans="1:16" x14ac:dyDescent="0.3">
      <c r="A2169">
        <v>1892</v>
      </c>
      <c r="B2169" s="1">
        <v>44172</v>
      </c>
      <c r="C2169">
        <v>59</v>
      </c>
      <c r="D2169" t="s">
        <v>15</v>
      </c>
      <c r="E2169">
        <v>161.4</v>
      </c>
      <c r="F2169">
        <v>91.9</v>
      </c>
      <c r="G2169">
        <v>18927</v>
      </c>
      <c r="H2169">
        <v>900</v>
      </c>
      <c r="I2169">
        <v>8.4</v>
      </c>
      <c r="J2169">
        <v>54</v>
      </c>
      <c r="K2169" t="s">
        <v>18</v>
      </c>
      <c r="L2169">
        <v>85</v>
      </c>
      <c r="M2169">
        <v>1.72</v>
      </c>
      <c r="N2169">
        <v>6</v>
      </c>
      <c r="O2169" t="s">
        <v>17</v>
      </c>
      <c r="P2169" cm="1">
        <f t="array" ref="P2169">_xlfn.SWITCH(Table2[[#This Row],[mood]], "Tired", 3, "Neutral", 2, "Happy", 1)</f>
        <v>3</v>
      </c>
    </row>
    <row r="2170" spans="1:16" x14ac:dyDescent="0.3">
      <c r="A2170">
        <v>1088</v>
      </c>
      <c r="B2170" s="1">
        <v>44173</v>
      </c>
      <c r="C2170">
        <v>40</v>
      </c>
      <c r="D2170" t="s">
        <v>20</v>
      </c>
      <c r="E2170">
        <v>170.7</v>
      </c>
      <c r="F2170">
        <v>56.2</v>
      </c>
      <c r="G2170">
        <v>11346</v>
      </c>
      <c r="H2170">
        <v>720.6</v>
      </c>
      <c r="I2170">
        <v>6.6</v>
      </c>
      <c r="J2170">
        <v>100</v>
      </c>
      <c r="K2170" t="s">
        <v>24</v>
      </c>
      <c r="L2170">
        <v>46</v>
      </c>
      <c r="M2170">
        <v>2.81</v>
      </c>
      <c r="N2170">
        <v>2</v>
      </c>
      <c r="O2170" t="s">
        <v>19</v>
      </c>
      <c r="P2170" cm="1">
        <f t="array" ref="P2170">_xlfn.SWITCH(Table2[[#This Row],[mood]], "Tired", 3, "Neutral", 2, "Happy", 1)</f>
        <v>2</v>
      </c>
    </row>
    <row r="2171" spans="1:16" x14ac:dyDescent="0.3">
      <c r="A2171">
        <v>1328</v>
      </c>
      <c r="B2171" s="1">
        <v>44174</v>
      </c>
      <c r="C2171">
        <v>24</v>
      </c>
      <c r="D2171" t="s">
        <v>15</v>
      </c>
      <c r="E2171">
        <v>177.1</v>
      </c>
      <c r="F2171">
        <v>45</v>
      </c>
      <c r="G2171">
        <v>14482</v>
      </c>
      <c r="H2171">
        <v>786.4</v>
      </c>
      <c r="I2171">
        <v>6.7</v>
      </c>
      <c r="J2171">
        <v>56</v>
      </c>
      <c r="K2171" t="s">
        <v>25</v>
      </c>
      <c r="L2171">
        <v>47</v>
      </c>
      <c r="M2171">
        <v>2.17</v>
      </c>
      <c r="N2171">
        <v>5</v>
      </c>
      <c r="O2171" t="s">
        <v>21</v>
      </c>
      <c r="P2171" cm="1">
        <f t="array" ref="P2171">_xlfn.SWITCH(Table2[[#This Row],[mood]], "Tired", 3, "Neutral", 2, "Happy", 1)</f>
        <v>1</v>
      </c>
    </row>
    <row r="2172" spans="1:16" x14ac:dyDescent="0.3">
      <c r="A2172">
        <v>1579</v>
      </c>
      <c r="B2172" s="1">
        <v>44175</v>
      </c>
      <c r="C2172">
        <v>56</v>
      </c>
      <c r="D2172" t="s">
        <v>15</v>
      </c>
      <c r="E2172">
        <v>167.7</v>
      </c>
      <c r="F2172">
        <v>48</v>
      </c>
      <c r="G2172">
        <v>6456</v>
      </c>
      <c r="H2172">
        <v>533</v>
      </c>
      <c r="I2172">
        <v>4.9000000000000004</v>
      </c>
      <c r="J2172">
        <v>76</v>
      </c>
      <c r="K2172" t="s">
        <v>25</v>
      </c>
      <c r="L2172">
        <v>56</v>
      </c>
      <c r="M2172">
        <v>2.19</v>
      </c>
      <c r="N2172">
        <v>6</v>
      </c>
      <c r="O2172" t="s">
        <v>17</v>
      </c>
      <c r="P2172" cm="1">
        <f t="array" ref="P2172">_xlfn.SWITCH(Table2[[#This Row],[mood]], "Tired", 3, "Neutral", 2, "Happy", 1)</f>
        <v>3</v>
      </c>
    </row>
    <row r="2173" spans="1:16" x14ac:dyDescent="0.3">
      <c r="A2173">
        <v>1909</v>
      </c>
      <c r="B2173" s="1">
        <v>44176</v>
      </c>
      <c r="C2173">
        <v>20</v>
      </c>
      <c r="D2173" t="s">
        <v>20</v>
      </c>
      <c r="E2173">
        <v>171.5</v>
      </c>
      <c r="F2173">
        <v>69.5</v>
      </c>
      <c r="G2173">
        <v>4413</v>
      </c>
      <c r="H2173">
        <v>370.4</v>
      </c>
      <c r="I2173">
        <v>7.3</v>
      </c>
      <c r="J2173">
        <v>60</v>
      </c>
      <c r="K2173" t="s">
        <v>16</v>
      </c>
      <c r="L2173">
        <v>0</v>
      </c>
      <c r="M2173">
        <v>2.1</v>
      </c>
      <c r="N2173">
        <v>5</v>
      </c>
      <c r="O2173" t="s">
        <v>21</v>
      </c>
      <c r="P2173" cm="1">
        <f t="array" ref="P2173">_xlfn.SWITCH(Table2[[#This Row],[mood]], "Tired", 3, "Neutral", 2, "Happy", 1)</f>
        <v>1</v>
      </c>
    </row>
    <row r="2174" spans="1:16" x14ac:dyDescent="0.3">
      <c r="A2174">
        <v>1356</v>
      </c>
      <c r="B2174" s="1">
        <v>44177</v>
      </c>
      <c r="C2174">
        <v>29</v>
      </c>
      <c r="D2174" t="s">
        <v>15</v>
      </c>
      <c r="E2174">
        <v>170.1</v>
      </c>
      <c r="F2174">
        <v>95.1</v>
      </c>
      <c r="G2174">
        <v>8085</v>
      </c>
      <c r="H2174">
        <v>530.5</v>
      </c>
      <c r="I2174">
        <v>7.1</v>
      </c>
      <c r="J2174">
        <v>67</v>
      </c>
      <c r="K2174" t="s">
        <v>23</v>
      </c>
      <c r="L2174">
        <v>70</v>
      </c>
      <c r="M2174">
        <v>3.53</v>
      </c>
      <c r="N2174">
        <v>6</v>
      </c>
      <c r="O2174" t="s">
        <v>17</v>
      </c>
      <c r="P2174" cm="1">
        <f t="array" ref="P2174">_xlfn.SWITCH(Table2[[#This Row],[mood]], "Tired", 3, "Neutral", 2, "Happy", 1)</f>
        <v>3</v>
      </c>
    </row>
    <row r="2175" spans="1:16" x14ac:dyDescent="0.3">
      <c r="A2175">
        <v>1609</v>
      </c>
      <c r="B2175" s="1">
        <v>44178</v>
      </c>
      <c r="C2175">
        <v>24</v>
      </c>
      <c r="D2175" t="s">
        <v>15</v>
      </c>
      <c r="E2175">
        <v>155.19999999999999</v>
      </c>
      <c r="F2175">
        <v>103.1</v>
      </c>
      <c r="G2175">
        <v>10332</v>
      </c>
      <c r="H2175">
        <v>626.5</v>
      </c>
      <c r="I2175">
        <v>5.7</v>
      </c>
      <c r="J2175">
        <v>69</v>
      </c>
      <c r="K2175" t="s">
        <v>18</v>
      </c>
      <c r="L2175">
        <v>32</v>
      </c>
      <c r="M2175">
        <v>2.5299999999999998</v>
      </c>
      <c r="N2175">
        <v>8</v>
      </c>
      <c r="O2175" t="s">
        <v>17</v>
      </c>
      <c r="P2175" cm="1">
        <f t="array" ref="P2175">_xlfn.SWITCH(Table2[[#This Row],[mood]], "Tired", 3, "Neutral", 2, "Happy", 1)</f>
        <v>3</v>
      </c>
    </row>
    <row r="2176" spans="1:16" x14ac:dyDescent="0.3">
      <c r="A2176">
        <v>1266</v>
      </c>
      <c r="B2176" s="1">
        <v>44179</v>
      </c>
      <c r="C2176">
        <v>43</v>
      </c>
      <c r="D2176" t="s">
        <v>20</v>
      </c>
      <c r="E2176">
        <v>166.6</v>
      </c>
      <c r="F2176">
        <v>79.8</v>
      </c>
      <c r="G2176">
        <v>5807</v>
      </c>
      <c r="H2176">
        <v>461.1</v>
      </c>
      <c r="I2176">
        <v>8.6999999999999993</v>
      </c>
      <c r="J2176">
        <v>55</v>
      </c>
      <c r="K2176" t="s">
        <v>16</v>
      </c>
      <c r="L2176">
        <v>0</v>
      </c>
      <c r="M2176">
        <v>2.64</v>
      </c>
      <c r="N2176">
        <v>2</v>
      </c>
      <c r="O2176" t="s">
        <v>17</v>
      </c>
      <c r="P2176" cm="1">
        <f t="array" ref="P2176">_xlfn.SWITCH(Table2[[#This Row],[mood]], "Tired", 3, "Neutral", 2, "Happy", 1)</f>
        <v>3</v>
      </c>
    </row>
    <row r="2177" spans="1:16" x14ac:dyDescent="0.3">
      <c r="A2177">
        <v>1616</v>
      </c>
      <c r="B2177" s="1">
        <v>44180</v>
      </c>
      <c r="C2177">
        <v>50</v>
      </c>
      <c r="D2177" t="s">
        <v>20</v>
      </c>
      <c r="E2177">
        <v>170.1</v>
      </c>
      <c r="F2177">
        <v>55.3</v>
      </c>
      <c r="G2177">
        <v>8386</v>
      </c>
      <c r="H2177">
        <v>626</v>
      </c>
      <c r="I2177">
        <v>5.8</v>
      </c>
      <c r="J2177">
        <v>87</v>
      </c>
      <c r="K2177" t="s">
        <v>16</v>
      </c>
      <c r="L2177">
        <v>0</v>
      </c>
      <c r="M2177">
        <v>2.0699999999999998</v>
      </c>
      <c r="N2177">
        <v>7</v>
      </c>
      <c r="O2177" t="s">
        <v>17</v>
      </c>
      <c r="P2177" cm="1">
        <f t="array" ref="P2177">_xlfn.SWITCH(Table2[[#This Row],[mood]], "Tired", 3, "Neutral", 2, "Happy", 1)</f>
        <v>3</v>
      </c>
    </row>
    <row r="2178" spans="1:16" x14ac:dyDescent="0.3">
      <c r="A2178">
        <v>1951</v>
      </c>
      <c r="B2178" s="1">
        <v>44181</v>
      </c>
      <c r="C2178">
        <v>54</v>
      </c>
      <c r="D2178" t="s">
        <v>20</v>
      </c>
      <c r="E2178">
        <v>171</v>
      </c>
      <c r="F2178">
        <v>56.9</v>
      </c>
      <c r="G2178">
        <v>2940</v>
      </c>
      <c r="H2178">
        <v>295.7</v>
      </c>
      <c r="I2178">
        <v>10</v>
      </c>
      <c r="J2178">
        <v>79</v>
      </c>
      <c r="K2178" t="s">
        <v>25</v>
      </c>
      <c r="L2178">
        <v>20</v>
      </c>
      <c r="M2178">
        <v>2.48</v>
      </c>
      <c r="N2178">
        <v>6</v>
      </c>
      <c r="O2178" t="s">
        <v>19</v>
      </c>
      <c r="P2178" cm="1">
        <f t="array" ref="P2178">_xlfn.SWITCH(Table2[[#This Row],[mood]], "Tired", 3, "Neutral", 2, "Happy", 1)</f>
        <v>2</v>
      </c>
    </row>
    <row r="2179" spans="1:16" x14ac:dyDescent="0.3">
      <c r="A2179">
        <v>1322</v>
      </c>
      <c r="B2179" s="1">
        <v>44182</v>
      </c>
      <c r="C2179">
        <v>32</v>
      </c>
      <c r="D2179" t="s">
        <v>15</v>
      </c>
      <c r="E2179">
        <v>152.69999999999999</v>
      </c>
      <c r="F2179">
        <v>83.1</v>
      </c>
      <c r="G2179">
        <v>1656</v>
      </c>
      <c r="H2179">
        <v>259.8</v>
      </c>
      <c r="I2179">
        <v>7.6</v>
      </c>
      <c r="J2179">
        <v>71</v>
      </c>
      <c r="K2179" t="s">
        <v>23</v>
      </c>
      <c r="L2179">
        <v>44</v>
      </c>
      <c r="M2179">
        <v>1.82</v>
      </c>
      <c r="N2179">
        <v>10</v>
      </c>
      <c r="O2179" t="s">
        <v>21</v>
      </c>
      <c r="P2179" cm="1">
        <f t="array" ref="P2179">_xlfn.SWITCH(Table2[[#This Row],[mood]], "Tired", 3, "Neutral", 2, "Happy", 1)</f>
        <v>1</v>
      </c>
    </row>
    <row r="2180" spans="1:16" x14ac:dyDescent="0.3">
      <c r="A2180">
        <v>1634</v>
      </c>
      <c r="B2180" s="1">
        <v>44183</v>
      </c>
      <c r="C2180">
        <v>19</v>
      </c>
      <c r="D2180" t="s">
        <v>20</v>
      </c>
      <c r="E2180">
        <v>177.5</v>
      </c>
      <c r="F2180">
        <v>90</v>
      </c>
      <c r="G2180">
        <v>3503</v>
      </c>
      <c r="H2180">
        <v>339.2</v>
      </c>
      <c r="I2180">
        <v>7</v>
      </c>
      <c r="J2180">
        <v>69</v>
      </c>
      <c r="K2180" t="s">
        <v>23</v>
      </c>
      <c r="L2180">
        <v>45</v>
      </c>
      <c r="M2180">
        <v>2.74</v>
      </c>
      <c r="N2180">
        <v>8</v>
      </c>
      <c r="O2180" t="s">
        <v>21</v>
      </c>
      <c r="P2180" cm="1">
        <f t="array" ref="P2180">_xlfn.SWITCH(Table2[[#This Row],[mood]], "Tired", 3, "Neutral", 2, "Happy", 1)</f>
        <v>1</v>
      </c>
    </row>
    <row r="2181" spans="1:16" x14ac:dyDescent="0.3">
      <c r="A2181">
        <v>1987</v>
      </c>
      <c r="B2181" s="1">
        <v>44184</v>
      </c>
      <c r="C2181">
        <v>58</v>
      </c>
      <c r="D2181" t="s">
        <v>20</v>
      </c>
      <c r="E2181">
        <v>171.3</v>
      </c>
      <c r="F2181">
        <v>60.4</v>
      </c>
      <c r="G2181">
        <v>18042</v>
      </c>
      <c r="H2181">
        <v>805.9</v>
      </c>
      <c r="I2181">
        <v>9.9</v>
      </c>
      <c r="J2181">
        <v>86</v>
      </c>
      <c r="K2181" t="s">
        <v>24</v>
      </c>
      <c r="L2181">
        <v>32</v>
      </c>
      <c r="M2181">
        <v>1.7</v>
      </c>
      <c r="N2181">
        <v>9</v>
      </c>
      <c r="O2181" t="s">
        <v>19</v>
      </c>
      <c r="P2181" cm="1">
        <f t="array" ref="P2181">_xlfn.SWITCH(Table2[[#This Row],[mood]], "Tired", 3, "Neutral", 2, "Happy", 1)</f>
        <v>2</v>
      </c>
    </row>
    <row r="2182" spans="1:16" x14ac:dyDescent="0.3">
      <c r="A2182">
        <v>1540</v>
      </c>
      <c r="B2182" s="1">
        <v>44185</v>
      </c>
      <c r="C2182">
        <v>24</v>
      </c>
      <c r="D2182" t="s">
        <v>20</v>
      </c>
      <c r="E2182">
        <v>159.4</v>
      </c>
      <c r="F2182">
        <v>91.4</v>
      </c>
      <c r="G2182">
        <v>12030</v>
      </c>
      <c r="H2182">
        <v>653.5</v>
      </c>
      <c r="I2182">
        <v>3.6</v>
      </c>
      <c r="J2182">
        <v>76</v>
      </c>
      <c r="K2182" t="s">
        <v>18</v>
      </c>
      <c r="L2182">
        <v>38</v>
      </c>
      <c r="M2182">
        <v>3.02</v>
      </c>
      <c r="N2182">
        <v>8</v>
      </c>
      <c r="O2182" t="s">
        <v>19</v>
      </c>
      <c r="P2182" cm="1">
        <f t="array" ref="P2182">_xlfn.SWITCH(Table2[[#This Row],[mood]], "Tired", 3, "Neutral", 2, "Happy", 1)</f>
        <v>2</v>
      </c>
    </row>
    <row r="2183" spans="1:16" x14ac:dyDescent="0.3">
      <c r="A2183">
        <v>1648</v>
      </c>
      <c r="B2183" s="1">
        <v>44186</v>
      </c>
      <c r="C2183">
        <v>49</v>
      </c>
      <c r="D2183" t="s">
        <v>20</v>
      </c>
      <c r="E2183">
        <v>188</v>
      </c>
      <c r="F2183">
        <v>66.599999999999994</v>
      </c>
      <c r="G2183">
        <v>14138</v>
      </c>
      <c r="H2183">
        <v>741</v>
      </c>
      <c r="I2183">
        <v>6.6</v>
      </c>
      <c r="J2183">
        <v>96</v>
      </c>
      <c r="K2183" t="s">
        <v>23</v>
      </c>
      <c r="L2183">
        <v>29</v>
      </c>
      <c r="M2183">
        <v>1.99</v>
      </c>
      <c r="N2183">
        <v>5</v>
      </c>
      <c r="O2183" t="s">
        <v>19</v>
      </c>
      <c r="P2183" cm="1">
        <f t="array" ref="P2183">_xlfn.SWITCH(Table2[[#This Row],[mood]], "Tired", 3, "Neutral", 2, "Happy", 1)</f>
        <v>2</v>
      </c>
    </row>
    <row r="2184" spans="1:16" x14ac:dyDescent="0.3">
      <c r="A2184">
        <v>1194</v>
      </c>
      <c r="B2184" s="1">
        <v>44187</v>
      </c>
      <c r="C2184">
        <v>21</v>
      </c>
      <c r="D2184" t="s">
        <v>15</v>
      </c>
      <c r="E2184">
        <v>166.5</v>
      </c>
      <c r="F2184">
        <v>80.7</v>
      </c>
      <c r="G2184">
        <v>15601</v>
      </c>
      <c r="H2184">
        <v>900</v>
      </c>
      <c r="I2184">
        <v>6.3</v>
      </c>
      <c r="J2184">
        <v>71</v>
      </c>
      <c r="K2184" t="s">
        <v>23</v>
      </c>
      <c r="L2184">
        <v>64</v>
      </c>
      <c r="M2184">
        <v>3.16</v>
      </c>
      <c r="N2184">
        <v>4</v>
      </c>
      <c r="O2184" t="s">
        <v>17</v>
      </c>
      <c r="P2184" cm="1">
        <f t="array" ref="P2184">_xlfn.SWITCH(Table2[[#This Row],[mood]], "Tired", 3, "Neutral", 2, "Happy", 1)</f>
        <v>3</v>
      </c>
    </row>
    <row r="2185" spans="1:16" x14ac:dyDescent="0.3">
      <c r="A2185">
        <v>1920</v>
      </c>
      <c r="B2185" s="1">
        <v>44188</v>
      </c>
      <c r="C2185">
        <v>37</v>
      </c>
      <c r="D2185" t="s">
        <v>15</v>
      </c>
      <c r="E2185">
        <v>167.2</v>
      </c>
      <c r="F2185">
        <v>87.2</v>
      </c>
      <c r="G2185">
        <v>16646</v>
      </c>
      <c r="H2185">
        <v>878.8</v>
      </c>
      <c r="I2185">
        <v>6.7</v>
      </c>
      <c r="J2185">
        <v>79</v>
      </c>
      <c r="K2185" t="s">
        <v>23</v>
      </c>
      <c r="L2185">
        <v>34</v>
      </c>
      <c r="M2185">
        <v>3.84</v>
      </c>
      <c r="N2185">
        <v>3</v>
      </c>
      <c r="O2185" t="s">
        <v>17</v>
      </c>
      <c r="P2185" cm="1">
        <f t="array" ref="P2185">_xlfn.SWITCH(Table2[[#This Row],[mood]], "Tired", 3, "Neutral", 2, "Happy", 1)</f>
        <v>3</v>
      </c>
    </row>
    <row r="2186" spans="1:16" x14ac:dyDescent="0.3">
      <c r="A2186">
        <v>1737</v>
      </c>
      <c r="B2186" s="1">
        <v>44189</v>
      </c>
      <c r="C2186">
        <v>53</v>
      </c>
      <c r="D2186" t="s">
        <v>20</v>
      </c>
      <c r="E2186">
        <v>176.4</v>
      </c>
      <c r="F2186">
        <v>47.8</v>
      </c>
      <c r="G2186">
        <v>11645</v>
      </c>
      <c r="H2186">
        <v>690.5</v>
      </c>
      <c r="I2186">
        <v>7.3</v>
      </c>
      <c r="J2186">
        <v>63</v>
      </c>
      <c r="K2186" t="s">
        <v>18</v>
      </c>
      <c r="L2186">
        <v>50</v>
      </c>
      <c r="M2186">
        <v>2.5</v>
      </c>
      <c r="N2186">
        <v>10</v>
      </c>
      <c r="O2186" t="s">
        <v>21</v>
      </c>
      <c r="P2186" cm="1">
        <f t="array" ref="P2186">_xlfn.SWITCH(Table2[[#This Row],[mood]], "Tired", 3, "Neutral", 2, "Happy", 1)</f>
        <v>1</v>
      </c>
    </row>
    <row r="2187" spans="1:16" x14ac:dyDescent="0.3">
      <c r="A2187">
        <v>1331</v>
      </c>
      <c r="B2187" s="1">
        <v>44190</v>
      </c>
      <c r="C2187">
        <v>49</v>
      </c>
      <c r="D2187" t="s">
        <v>15</v>
      </c>
      <c r="E2187">
        <v>188.8</v>
      </c>
      <c r="F2187">
        <v>76.8</v>
      </c>
      <c r="G2187">
        <v>15628</v>
      </c>
      <c r="H2187">
        <v>751.7</v>
      </c>
      <c r="I2187">
        <v>6.7</v>
      </c>
      <c r="J2187">
        <v>71</v>
      </c>
      <c r="K2187" t="s">
        <v>24</v>
      </c>
      <c r="L2187">
        <v>27</v>
      </c>
      <c r="M2187">
        <v>3.42</v>
      </c>
      <c r="N2187">
        <v>9</v>
      </c>
      <c r="O2187" t="s">
        <v>19</v>
      </c>
      <c r="P2187" cm="1">
        <f t="array" ref="P2187">_xlfn.SWITCH(Table2[[#This Row],[mood]], "Tired", 3, "Neutral", 2, "Happy", 1)</f>
        <v>2</v>
      </c>
    </row>
    <row r="2188" spans="1:16" x14ac:dyDescent="0.3">
      <c r="A2188">
        <v>1169</v>
      </c>
      <c r="B2188" s="1">
        <v>44191</v>
      </c>
      <c r="C2188">
        <v>45</v>
      </c>
      <c r="D2188" t="s">
        <v>20</v>
      </c>
      <c r="E2188">
        <v>176.8</v>
      </c>
      <c r="F2188">
        <v>91.4</v>
      </c>
      <c r="G2188">
        <v>7498</v>
      </c>
      <c r="H2188">
        <v>496.8</v>
      </c>
      <c r="I2188">
        <v>9.1</v>
      </c>
      <c r="J2188">
        <v>85</v>
      </c>
      <c r="K2188" t="s">
        <v>22</v>
      </c>
      <c r="L2188">
        <v>49</v>
      </c>
      <c r="M2188">
        <v>3.03</v>
      </c>
      <c r="N2188">
        <v>7</v>
      </c>
      <c r="O2188" t="s">
        <v>21</v>
      </c>
      <c r="P2188" cm="1">
        <f t="array" ref="P2188">_xlfn.SWITCH(Table2[[#This Row],[mood]], "Tired", 3, "Neutral", 2, "Happy", 1)</f>
        <v>1</v>
      </c>
    </row>
    <row r="2189" spans="1:16" x14ac:dyDescent="0.3">
      <c r="A2189">
        <v>1520</v>
      </c>
      <c r="B2189" s="1">
        <v>44192</v>
      </c>
      <c r="C2189">
        <v>30</v>
      </c>
      <c r="D2189" t="s">
        <v>20</v>
      </c>
      <c r="E2189">
        <v>178.3</v>
      </c>
      <c r="F2189">
        <v>61.6</v>
      </c>
      <c r="G2189">
        <v>14789</v>
      </c>
      <c r="H2189">
        <v>838.4</v>
      </c>
      <c r="I2189">
        <v>7.7</v>
      </c>
      <c r="J2189">
        <v>87</v>
      </c>
      <c r="K2189" t="s">
        <v>25</v>
      </c>
      <c r="L2189">
        <v>20</v>
      </c>
      <c r="M2189">
        <v>1.5</v>
      </c>
      <c r="N2189">
        <v>1</v>
      </c>
      <c r="O2189" t="s">
        <v>19</v>
      </c>
      <c r="P2189" cm="1">
        <f t="array" ref="P2189">_xlfn.SWITCH(Table2[[#This Row],[mood]], "Tired", 3, "Neutral", 2, "Happy", 1)</f>
        <v>2</v>
      </c>
    </row>
    <row r="2190" spans="1:16" x14ac:dyDescent="0.3">
      <c r="A2190">
        <v>1462</v>
      </c>
      <c r="B2190" s="1">
        <v>44193</v>
      </c>
      <c r="C2190">
        <v>18</v>
      </c>
      <c r="D2190" t="s">
        <v>15</v>
      </c>
      <c r="E2190">
        <v>160</v>
      </c>
      <c r="F2190">
        <v>54.2</v>
      </c>
      <c r="G2190">
        <v>13195</v>
      </c>
      <c r="H2190">
        <v>853.6</v>
      </c>
      <c r="I2190">
        <v>7.7</v>
      </c>
      <c r="J2190">
        <v>93</v>
      </c>
      <c r="K2190" t="s">
        <v>16</v>
      </c>
      <c r="L2190">
        <v>0</v>
      </c>
      <c r="M2190">
        <v>2.58</v>
      </c>
      <c r="N2190">
        <v>3</v>
      </c>
      <c r="O2190" t="s">
        <v>21</v>
      </c>
      <c r="P2190" cm="1">
        <f t="array" ref="P2190">_xlfn.SWITCH(Table2[[#This Row],[mood]], "Tired", 3, "Neutral", 2, "Happy", 1)</f>
        <v>1</v>
      </c>
    </row>
    <row r="2191" spans="1:16" x14ac:dyDescent="0.3">
      <c r="A2191">
        <v>1039</v>
      </c>
      <c r="B2191" s="1">
        <v>44194</v>
      </c>
      <c r="C2191">
        <v>52</v>
      </c>
      <c r="D2191" t="s">
        <v>15</v>
      </c>
      <c r="E2191">
        <v>170.9</v>
      </c>
      <c r="F2191">
        <v>77.400000000000006</v>
      </c>
      <c r="G2191">
        <v>19722</v>
      </c>
      <c r="H2191">
        <v>900</v>
      </c>
      <c r="I2191">
        <v>7.7</v>
      </c>
      <c r="J2191">
        <v>79</v>
      </c>
      <c r="K2191" t="s">
        <v>16</v>
      </c>
      <c r="L2191">
        <v>0</v>
      </c>
      <c r="M2191">
        <v>2.85</v>
      </c>
      <c r="N2191">
        <v>3</v>
      </c>
      <c r="O2191" t="s">
        <v>19</v>
      </c>
      <c r="P2191" cm="1">
        <f t="array" ref="P2191">_xlfn.SWITCH(Table2[[#This Row],[mood]], "Tired", 3, "Neutral", 2, "Happy", 1)</f>
        <v>2</v>
      </c>
    </row>
    <row r="2192" spans="1:16" x14ac:dyDescent="0.3">
      <c r="A2192">
        <v>1536</v>
      </c>
      <c r="B2192" s="1">
        <v>44195</v>
      </c>
      <c r="C2192">
        <v>47</v>
      </c>
      <c r="D2192" t="s">
        <v>20</v>
      </c>
      <c r="E2192">
        <v>164.7</v>
      </c>
      <c r="F2192">
        <v>72</v>
      </c>
      <c r="G2192">
        <v>17494</v>
      </c>
      <c r="H2192">
        <v>809</v>
      </c>
      <c r="I2192">
        <v>5.0999999999999996</v>
      </c>
      <c r="J2192">
        <v>87</v>
      </c>
      <c r="K2192" t="s">
        <v>18</v>
      </c>
      <c r="L2192">
        <v>46</v>
      </c>
      <c r="M2192">
        <v>2.92</v>
      </c>
      <c r="N2192">
        <v>6</v>
      </c>
      <c r="O2192" t="s">
        <v>19</v>
      </c>
      <c r="P2192" cm="1">
        <f t="array" ref="P2192">_xlfn.SWITCH(Table2[[#This Row],[mood]], "Tired", 3, "Neutral", 2, "Happy", 1)</f>
        <v>2</v>
      </c>
    </row>
    <row r="2193" spans="1:16" x14ac:dyDescent="0.3">
      <c r="A2193">
        <v>1260</v>
      </c>
      <c r="B2193" s="1">
        <v>44196</v>
      </c>
      <c r="C2193">
        <v>53</v>
      </c>
      <c r="D2193" t="s">
        <v>20</v>
      </c>
      <c r="E2193">
        <v>177</v>
      </c>
      <c r="F2193">
        <v>65.099999999999994</v>
      </c>
      <c r="G2193">
        <v>2718</v>
      </c>
      <c r="H2193">
        <v>270</v>
      </c>
      <c r="I2193">
        <v>7.3</v>
      </c>
      <c r="J2193">
        <v>81</v>
      </c>
      <c r="K2193" t="s">
        <v>18</v>
      </c>
      <c r="L2193">
        <v>59</v>
      </c>
      <c r="M2193">
        <v>2.62</v>
      </c>
      <c r="N2193">
        <v>2</v>
      </c>
      <c r="O2193" t="s">
        <v>17</v>
      </c>
      <c r="P2193" cm="1">
        <f t="array" ref="P2193">_xlfn.SWITCH(Table2[[#This Row],[mood]], "Tired", 3, "Neutral", 2, "Happy", 1)</f>
        <v>3</v>
      </c>
    </row>
    <row r="2194" spans="1:16" x14ac:dyDescent="0.3">
      <c r="A2194">
        <v>1394</v>
      </c>
      <c r="B2194" s="1">
        <v>44197</v>
      </c>
      <c r="C2194">
        <v>42</v>
      </c>
      <c r="D2194" t="s">
        <v>15</v>
      </c>
      <c r="E2194">
        <v>178</v>
      </c>
      <c r="F2194">
        <v>70</v>
      </c>
      <c r="G2194">
        <v>1125</v>
      </c>
      <c r="H2194">
        <v>206.4</v>
      </c>
      <c r="I2194">
        <v>7.4</v>
      </c>
      <c r="J2194">
        <v>71</v>
      </c>
      <c r="K2194" t="s">
        <v>16</v>
      </c>
      <c r="L2194">
        <v>0</v>
      </c>
      <c r="M2194">
        <v>2.62</v>
      </c>
      <c r="N2194">
        <v>4</v>
      </c>
      <c r="O2194" t="s">
        <v>21</v>
      </c>
      <c r="P2194" cm="1">
        <f t="array" ref="P2194">_xlfn.SWITCH(Table2[[#This Row],[mood]], "Tired", 3, "Neutral", 2, "Happy", 1)</f>
        <v>1</v>
      </c>
    </row>
    <row r="2195" spans="1:16" x14ac:dyDescent="0.3">
      <c r="A2195">
        <v>1954</v>
      </c>
      <c r="B2195" s="1">
        <v>44198</v>
      </c>
      <c r="C2195">
        <v>33</v>
      </c>
      <c r="D2195" t="s">
        <v>20</v>
      </c>
      <c r="E2195">
        <v>186.3</v>
      </c>
      <c r="F2195">
        <v>45</v>
      </c>
      <c r="G2195">
        <v>17046</v>
      </c>
      <c r="H2195">
        <v>843.7</v>
      </c>
      <c r="I2195">
        <v>5.3</v>
      </c>
      <c r="J2195">
        <v>60</v>
      </c>
      <c r="K2195" t="s">
        <v>18</v>
      </c>
      <c r="L2195">
        <v>89</v>
      </c>
      <c r="M2195">
        <v>2.5</v>
      </c>
      <c r="N2195">
        <v>2</v>
      </c>
      <c r="O2195" t="s">
        <v>17</v>
      </c>
      <c r="P2195" cm="1">
        <f t="array" ref="P2195">_xlfn.SWITCH(Table2[[#This Row],[mood]], "Tired", 3, "Neutral", 2, "Happy", 1)</f>
        <v>3</v>
      </c>
    </row>
    <row r="2196" spans="1:16" x14ac:dyDescent="0.3">
      <c r="A2196">
        <v>1225</v>
      </c>
      <c r="B2196" s="1">
        <v>44199</v>
      </c>
      <c r="C2196">
        <v>36</v>
      </c>
      <c r="D2196" t="s">
        <v>15</v>
      </c>
      <c r="E2196">
        <v>150</v>
      </c>
      <c r="F2196">
        <v>76.099999999999994</v>
      </c>
      <c r="G2196">
        <v>6917</v>
      </c>
      <c r="H2196">
        <v>522.1</v>
      </c>
      <c r="I2196">
        <v>8.3000000000000007</v>
      </c>
      <c r="J2196">
        <v>73</v>
      </c>
      <c r="K2196" t="s">
        <v>22</v>
      </c>
      <c r="L2196">
        <v>76</v>
      </c>
      <c r="M2196">
        <v>2.59</v>
      </c>
      <c r="N2196">
        <v>5</v>
      </c>
      <c r="O2196" t="s">
        <v>17</v>
      </c>
      <c r="P2196" cm="1">
        <f t="array" ref="P2196">_xlfn.SWITCH(Table2[[#This Row],[mood]], "Tired", 3, "Neutral", 2, "Happy", 1)</f>
        <v>3</v>
      </c>
    </row>
    <row r="2197" spans="1:16" x14ac:dyDescent="0.3">
      <c r="A2197">
        <v>1983</v>
      </c>
      <c r="B2197" s="1">
        <v>44200</v>
      </c>
      <c r="C2197">
        <v>18</v>
      </c>
      <c r="D2197" t="s">
        <v>20</v>
      </c>
      <c r="E2197">
        <v>163.69999999999999</v>
      </c>
      <c r="F2197">
        <v>93.9</v>
      </c>
      <c r="G2197">
        <v>11394</v>
      </c>
      <c r="H2197">
        <v>672.9</v>
      </c>
      <c r="I2197">
        <v>3.9</v>
      </c>
      <c r="J2197">
        <v>64</v>
      </c>
      <c r="K2197" t="s">
        <v>25</v>
      </c>
      <c r="L2197">
        <v>67</v>
      </c>
      <c r="M2197">
        <v>1.64</v>
      </c>
      <c r="N2197">
        <v>4</v>
      </c>
      <c r="O2197" t="s">
        <v>21</v>
      </c>
      <c r="P2197" cm="1">
        <f t="array" ref="P2197">_xlfn.SWITCH(Table2[[#This Row],[mood]], "Tired", 3, "Neutral", 2, "Happy", 1)</f>
        <v>1</v>
      </c>
    </row>
    <row r="2198" spans="1:16" x14ac:dyDescent="0.3">
      <c r="A2198">
        <v>1123</v>
      </c>
      <c r="B2198" s="1">
        <v>44201</v>
      </c>
      <c r="C2198">
        <v>22</v>
      </c>
      <c r="D2198" t="s">
        <v>20</v>
      </c>
      <c r="E2198">
        <v>183</v>
      </c>
      <c r="F2198">
        <v>59.3</v>
      </c>
      <c r="G2198">
        <v>18988</v>
      </c>
      <c r="H2198">
        <v>900</v>
      </c>
      <c r="I2198">
        <v>10</v>
      </c>
      <c r="J2198">
        <v>86</v>
      </c>
      <c r="K2198" t="s">
        <v>25</v>
      </c>
      <c r="L2198">
        <v>59</v>
      </c>
      <c r="M2198">
        <v>2.33</v>
      </c>
      <c r="N2198">
        <v>4</v>
      </c>
      <c r="O2198" t="s">
        <v>17</v>
      </c>
      <c r="P2198" cm="1">
        <f t="array" ref="P2198">_xlfn.SWITCH(Table2[[#This Row],[mood]], "Tired", 3, "Neutral", 2, "Happy", 1)</f>
        <v>3</v>
      </c>
    </row>
    <row r="2199" spans="1:16" x14ac:dyDescent="0.3">
      <c r="A2199">
        <v>1974</v>
      </c>
      <c r="B2199" s="1">
        <v>44202</v>
      </c>
      <c r="C2199">
        <v>39</v>
      </c>
      <c r="D2199" t="s">
        <v>15</v>
      </c>
      <c r="E2199">
        <v>156</v>
      </c>
      <c r="F2199">
        <v>57.6</v>
      </c>
      <c r="G2199">
        <v>8590</v>
      </c>
      <c r="H2199">
        <v>614.4</v>
      </c>
      <c r="I2199">
        <v>6.9</v>
      </c>
      <c r="J2199">
        <v>86</v>
      </c>
      <c r="K2199" t="s">
        <v>23</v>
      </c>
      <c r="L2199">
        <v>58</v>
      </c>
      <c r="M2199">
        <v>1.48</v>
      </c>
      <c r="N2199">
        <v>4</v>
      </c>
      <c r="O2199" t="s">
        <v>19</v>
      </c>
      <c r="P2199" cm="1">
        <f t="array" ref="P2199">_xlfn.SWITCH(Table2[[#This Row],[mood]], "Tired", 3, "Neutral", 2, "Happy", 1)</f>
        <v>2</v>
      </c>
    </row>
    <row r="2200" spans="1:16" x14ac:dyDescent="0.3">
      <c r="A2200">
        <v>1037</v>
      </c>
      <c r="B2200" s="1">
        <v>44203</v>
      </c>
      <c r="C2200">
        <v>41</v>
      </c>
      <c r="D2200" t="s">
        <v>15</v>
      </c>
      <c r="E2200">
        <v>178.1</v>
      </c>
      <c r="F2200">
        <v>72.599999999999994</v>
      </c>
      <c r="G2200">
        <v>3082</v>
      </c>
      <c r="H2200">
        <v>417.9</v>
      </c>
      <c r="I2200">
        <v>5.7</v>
      </c>
      <c r="J2200">
        <v>65</v>
      </c>
      <c r="K2200" t="s">
        <v>16</v>
      </c>
      <c r="L2200">
        <v>0</v>
      </c>
      <c r="M2200">
        <v>2.15</v>
      </c>
      <c r="N2200">
        <v>4</v>
      </c>
      <c r="O2200" t="s">
        <v>19</v>
      </c>
      <c r="P2200" cm="1">
        <f t="array" ref="P2200">_xlfn.SWITCH(Table2[[#This Row],[mood]], "Tired", 3, "Neutral", 2, "Happy", 1)</f>
        <v>2</v>
      </c>
    </row>
    <row r="2201" spans="1:16" x14ac:dyDescent="0.3">
      <c r="A2201">
        <v>1327</v>
      </c>
      <c r="B2201" s="1">
        <v>44204</v>
      </c>
      <c r="C2201">
        <v>54</v>
      </c>
      <c r="D2201" t="s">
        <v>15</v>
      </c>
      <c r="E2201">
        <v>181.3</v>
      </c>
      <c r="F2201">
        <v>112.7</v>
      </c>
      <c r="G2201">
        <v>13134</v>
      </c>
      <c r="H2201">
        <v>640.1</v>
      </c>
      <c r="I2201">
        <v>7.9</v>
      </c>
      <c r="J2201">
        <v>86</v>
      </c>
      <c r="K2201" t="s">
        <v>16</v>
      </c>
      <c r="L2201">
        <v>0</v>
      </c>
      <c r="M2201">
        <v>2.09</v>
      </c>
      <c r="N2201">
        <v>5</v>
      </c>
      <c r="O2201" t="s">
        <v>19</v>
      </c>
      <c r="P2201" cm="1">
        <f t="array" ref="P2201">_xlfn.SWITCH(Table2[[#This Row],[mood]], "Tired", 3, "Neutral", 2, "Happy", 1)</f>
        <v>2</v>
      </c>
    </row>
    <row r="2202" spans="1:16" x14ac:dyDescent="0.3">
      <c r="A2202">
        <v>1250</v>
      </c>
      <c r="B2202" s="1">
        <v>44205</v>
      </c>
      <c r="C2202">
        <v>53</v>
      </c>
      <c r="D2202" t="s">
        <v>15</v>
      </c>
      <c r="E2202">
        <v>169.7</v>
      </c>
      <c r="F2202">
        <v>86.5</v>
      </c>
      <c r="G2202">
        <v>16058</v>
      </c>
      <c r="H2202">
        <v>900</v>
      </c>
      <c r="I2202">
        <v>7.9</v>
      </c>
      <c r="J2202">
        <v>63</v>
      </c>
      <c r="K2202" t="s">
        <v>16</v>
      </c>
      <c r="L2202">
        <v>0</v>
      </c>
      <c r="M2202">
        <v>2.04</v>
      </c>
      <c r="N2202">
        <v>2</v>
      </c>
      <c r="O2202" t="s">
        <v>19</v>
      </c>
      <c r="P2202" cm="1">
        <f t="array" ref="P2202">_xlfn.SWITCH(Table2[[#This Row],[mood]], "Tired", 3, "Neutral", 2, "Happy", 1)</f>
        <v>2</v>
      </c>
    </row>
    <row r="2203" spans="1:16" x14ac:dyDescent="0.3">
      <c r="A2203">
        <v>1900</v>
      </c>
      <c r="B2203" s="1">
        <v>44206</v>
      </c>
      <c r="C2203">
        <v>53</v>
      </c>
      <c r="D2203" t="s">
        <v>15</v>
      </c>
      <c r="E2203">
        <v>155.80000000000001</v>
      </c>
      <c r="F2203">
        <v>68.599999999999994</v>
      </c>
      <c r="G2203">
        <v>15301</v>
      </c>
      <c r="H2203">
        <v>803.5</v>
      </c>
      <c r="I2203">
        <v>10</v>
      </c>
      <c r="J2203">
        <v>89</v>
      </c>
      <c r="K2203" t="s">
        <v>23</v>
      </c>
      <c r="L2203">
        <v>42</v>
      </c>
      <c r="M2203">
        <v>1.76</v>
      </c>
      <c r="N2203">
        <v>6</v>
      </c>
      <c r="O2203" t="s">
        <v>17</v>
      </c>
      <c r="P2203" cm="1">
        <f t="array" ref="P2203">_xlfn.SWITCH(Table2[[#This Row],[mood]], "Tired", 3, "Neutral", 2, "Happy", 1)</f>
        <v>3</v>
      </c>
    </row>
    <row r="2204" spans="1:16" x14ac:dyDescent="0.3">
      <c r="A2204">
        <v>1175</v>
      </c>
      <c r="B2204" s="1">
        <v>44207</v>
      </c>
      <c r="C2204">
        <v>21</v>
      </c>
      <c r="D2204" t="s">
        <v>15</v>
      </c>
      <c r="E2204">
        <v>168.8</v>
      </c>
      <c r="F2204">
        <v>70.599999999999994</v>
      </c>
      <c r="G2204">
        <v>6093</v>
      </c>
      <c r="H2204">
        <v>396.6</v>
      </c>
      <c r="I2204">
        <v>9.6999999999999993</v>
      </c>
      <c r="J2204">
        <v>73</v>
      </c>
      <c r="K2204" t="s">
        <v>16</v>
      </c>
      <c r="L2204">
        <v>0</v>
      </c>
      <c r="M2204">
        <v>2.69</v>
      </c>
      <c r="N2204">
        <v>1</v>
      </c>
      <c r="O2204" t="s">
        <v>21</v>
      </c>
      <c r="P2204" cm="1">
        <f t="array" ref="P2204">_xlfn.SWITCH(Table2[[#This Row],[mood]], "Tired", 3, "Neutral", 2, "Happy", 1)</f>
        <v>1</v>
      </c>
    </row>
    <row r="2205" spans="1:16" x14ac:dyDescent="0.3">
      <c r="A2205">
        <v>1601</v>
      </c>
      <c r="B2205" s="1">
        <v>44208</v>
      </c>
      <c r="C2205">
        <v>53</v>
      </c>
      <c r="D2205" t="s">
        <v>15</v>
      </c>
      <c r="E2205">
        <v>184.6</v>
      </c>
      <c r="F2205">
        <v>88</v>
      </c>
      <c r="G2205">
        <v>1284</v>
      </c>
      <c r="H2205">
        <v>178.6</v>
      </c>
      <c r="I2205">
        <v>5</v>
      </c>
      <c r="J2205">
        <v>80</v>
      </c>
      <c r="K2205" t="s">
        <v>24</v>
      </c>
      <c r="L2205">
        <v>81</v>
      </c>
      <c r="M2205">
        <v>2.2799999999999998</v>
      </c>
      <c r="N2205">
        <v>10</v>
      </c>
      <c r="O2205" t="s">
        <v>17</v>
      </c>
      <c r="P2205" cm="1">
        <f t="array" ref="P2205">_xlfn.SWITCH(Table2[[#This Row],[mood]], "Tired", 3, "Neutral", 2, "Happy", 1)</f>
        <v>3</v>
      </c>
    </row>
    <row r="2206" spans="1:16" x14ac:dyDescent="0.3">
      <c r="A2206">
        <v>1913</v>
      </c>
      <c r="B2206" s="1">
        <v>44209</v>
      </c>
      <c r="C2206">
        <v>35</v>
      </c>
      <c r="D2206" t="s">
        <v>20</v>
      </c>
      <c r="E2206">
        <v>185.4</v>
      </c>
      <c r="F2206">
        <v>56.4</v>
      </c>
      <c r="G2206">
        <v>6566</v>
      </c>
      <c r="H2206">
        <v>440</v>
      </c>
      <c r="I2206">
        <v>6.6</v>
      </c>
      <c r="J2206">
        <v>89</v>
      </c>
      <c r="K2206" t="s">
        <v>18</v>
      </c>
      <c r="L2206">
        <v>53</v>
      </c>
      <c r="M2206">
        <v>2.21</v>
      </c>
      <c r="N2206">
        <v>2</v>
      </c>
      <c r="O2206" t="s">
        <v>21</v>
      </c>
      <c r="P2206" cm="1">
        <f t="array" ref="P2206">_xlfn.SWITCH(Table2[[#This Row],[mood]], "Tired", 3, "Neutral", 2, "Happy", 1)</f>
        <v>1</v>
      </c>
    </row>
    <row r="2207" spans="1:16" x14ac:dyDescent="0.3">
      <c r="A2207">
        <v>1453</v>
      </c>
      <c r="B2207" s="1">
        <v>44210</v>
      </c>
      <c r="C2207">
        <v>33</v>
      </c>
      <c r="D2207" t="s">
        <v>20</v>
      </c>
      <c r="E2207">
        <v>172.1</v>
      </c>
      <c r="F2207">
        <v>79.2</v>
      </c>
      <c r="G2207">
        <v>11757</v>
      </c>
      <c r="H2207">
        <v>644.20000000000005</v>
      </c>
      <c r="I2207">
        <v>5.6</v>
      </c>
      <c r="J2207">
        <v>81</v>
      </c>
      <c r="K2207" t="s">
        <v>24</v>
      </c>
      <c r="L2207">
        <v>36</v>
      </c>
      <c r="M2207">
        <v>1.51</v>
      </c>
      <c r="N2207">
        <v>3</v>
      </c>
      <c r="O2207" t="s">
        <v>21</v>
      </c>
      <c r="P2207" cm="1">
        <f t="array" ref="P2207">_xlfn.SWITCH(Table2[[#This Row],[mood]], "Tired", 3, "Neutral", 2, "Happy", 1)</f>
        <v>1</v>
      </c>
    </row>
    <row r="2208" spans="1:16" x14ac:dyDescent="0.3">
      <c r="A2208">
        <v>1036</v>
      </c>
      <c r="B2208" s="1">
        <v>44211</v>
      </c>
      <c r="C2208">
        <v>58</v>
      </c>
      <c r="D2208" t="s">
        <v>20</v>
      </c>
      <c r="E2208">
        <v>160.19999999999999</v>
      </c>
      <c r="F2208">
        <v>53.2</v>
      </c>
      <c r="G2208">
        <v>9218</v>
      </c>
      <c r="H2208">
        <v>576.1</v>
      </c>
      <c r="I2208">
        <v>8.1</v>
      </c>
      <c r="J2208">
        <v>74</v>
      </c>
      <c r="K2208" t="s">
        <v>18</v>
      </c>
      <c r="L2208">
        <v>67</v>
      </c>
      <c r="M2208">
        <v>2.29</v>
      </c>
      <c r="N2208">
        <v>2</v>
      </c>
      <c r="O2208" t="s">
        <v>17</v>
      </c>
      <c r="P2208" cm="1">
        <f t="array" ref="P2208">_xlfn.SWITCH(Table2[[#This Row],[mood]], "Tired", 3, "Neutral", 2, "Happy", 1)</f>
        <v>3</v>
      </c>
    </row>
    <row r="2209" spans="1:16" x14ac:dyDescent="0.3">
      <c r="A2209">
        <v>1315</v>
      </c>
      <c r="B2209" s="1">
        <v>44212</v>
      </c>
      <c r="C2209">
        <v>35</v>
      </c>
      <c r="D2209" t="s">
        <v>15</v>
      </c>
      <c r="E2209">
        <v>187.4</v>
      </c>
      <c r="F2209">
        <v>83.9</v>
      </c>
      <c r="G2209">
        <v>19658</v>
      </c>
      <c r="H2209">
        <v>900</v>
      </c>
      <c r="I2209">
        <v>9.1</v>
      </c>
      <c r="J2209">
        <v>84</v>
      </c>
      <c r="K2209" t="s">
        <v>25</v>
      </c>
      <c r="L2209">
        <v>72</v>
      </c>
      <c r="M2209">
        <v>3.3</v>
      </c>
      <c r="N2209">
        <v>3</v>
      </c>
      <c r="O2209" t="s">
        <v>17</v>
      </c>
      <c r="P2209" cm="1">
        <f t="array" ref="P2209">_xlfn.SWITCH(Table2[[#This Row],[mood]], "Tired", 3, "Neutral", 2, "Happy", 1)</f>
        <v>3</v>
      </c>
    </row>
    <row r="2210" spans="1:16" x14ac:dyDescent="0.3">
      <c r="A2210">
        <v>1687</v>
      </c>
      <c r="B2210" s="1">
        <v>44213</v>
      </c>
      <c r="C2210">
        <v>39</v>
      </c>
      <c r="D2210" t="s">
        <v>15</v>
      </c>
      <c r="E2210">
        <v>178.2</v>
      </c>
      <c r="F2210">
        <v>65.599999999999994</v>
      </c>
      <c r="G2210">
        <v>4972</v>
      </c>
      <c r="H2210">
        <v>373.5</v>
      </c>
      <c r="I2210">
        <v>5</v>
      </c>
      <c r="J2210">
        <v>65</v>
      </c>
      <c r="K2210" t="s">
        <v>16</v>
      </c>
      <c r="L2210">
        <v>0</v>
      </c>
      <c r="M2210">
        <v>3.31</v>
      </c>
      <c r="N2210">
        <v>8</v>
      </c>
      <c r="O2210" t="s">
        <v>19</v>
      </c>
      <c r="P2210" cm="1">
        <f t="array" ref="P2210">_xlfn.SWITCH(Table2[[#This Row],[mood]], "Tired", 3, "Neutral", 2, "Happy", 1)</f>
        <v>2</v>
      </c>
    </row>
    <row r="2211" spans="1:16" x14ac:dyDescent="0.3">
      <c r="A2211">
        <v>1972</v>
      </c>
      <c r="B2211" s="1">
        <v>44214</v>
      </c>
      <c r="C2211">
        <v>19</v>
      </c>
      <c r="D2211" t="s">
        <v>15</v>
      </c>
      <c r="E2211">
        <v>160.9</v>
      </c>
      <c r="F2211">
        <v>73</v>
      </c>
      <c r="G2211">
        <v>14679</v>
      </c>
      <c r="H2211">
        <v>716.8</v>
      </c>
      <c r="I2211">
        <v>6.9</v>
      </c>
      <c r="J2211">
        <v>56</v>
      </c>
      <c r="K2211" t="s">
        <v>24</v>
      </c>
      <c r="L2211">
        <v>30</v>
      </c>
      <c r="M2211">
        <v>2.76</v>
      </c>
      <c r="N2211">
        <v>3</v>
      </c>
      <c r="O2211" t="s">
        <v>21</v>
      </c>
      <c r="P2211" cm="1">
        <f t="array" ref="P2211">_xlfn.SWITCH(Table2[[#This Row],[mood]], "Tired", 3, "Neutral", 2, "Happy", 1)</f>
        <v>1</v>
      </c>
    </row>
    <row r="2212" spans="1:16" x14ac:dyDescent="0.3">
      <c r="A2212">
        <v>1795</v>
      </c>
      <c r="B2212" s="1">
        <v>44215</v>
      </c>
      <c r="C2212">
        <v>38</v>
      </c>
      <c r="D2212" t="s">
        <v>20</v>
      </c>
      <c r="E2212">
        <v>173.4</v>
      </c>
      <c r="F2212">
        <v>64.599999999999994</v>
      </c>
      <c r="G2212">
        <v>12573</v>
      </c>
      <c r="H2212">
        <v>686.4</v>
      </c>
      <c r="I2212">
        <v>6.1</v>
      </c>
      <c r="J2212">
        <v>86</v>
      </c>
      <c r="K2212" t="s">
        <v>25</v>
      </c>
      <c r="L2212">
        <v>34</v>
      </c>
      <c r="M2212">
        <v>2.29</v>
      </c>
      <c r="N2212">
        <v>10</v>
      </c>
      <c r="O2212" t="s">
        <v>21</v>
      </c>
      <c r="P2212" cm="1">
        <f t="array" ref="P2212">_xlfn.SWITCH(Table2[[#This Row],[mood]], "Tired", 3, "Neutral", 2, "Happy", 1)</f>
        <v>1</v>
      </c>
    </row>
    <row r="2213" spans="1:16" x14ac:dyDescent="0.3">
      <c r="A2213">
        <v>1964</v>
      </c>
      <c r="B2213" s="1">
        <v>44216</v>
      </c>
      <c r="C2213">
        <v>53</v>
      </c>
      <c r="D2213" t="s">
        <v>15</v>
      </c>
      <c r="E2213">
        <v>173</v>
      </c>
      <c r="F2213">
        <v>80.5</v>
      </c>
      <c r="G2213">
        <v>5113</v>
      </c>
      <c r="H2213">
        <v>456.6</v>
      </c>
      <c r="I2213">
        <v>8.3000000000000007</v>
      </c>
      <c r="J2213">
        <v>62</v>
      </c>
      <c r="K2213" t="s">
        <v>23</v>
      </c>
      <c r="L2213">
        <v>30</v>
      </c>
      <c r="M2213">
        <v>2.89</v>
      </c>
      <c r="N2213">
        <v>1</v>
      </c>
      <c r="O2213" t="s">
        <v>21</v>
      </c>
      <c r="P2213" cm="1">
        <f t="array" ref="P2213">_xlfn.SWITCH(Table2[[#This Row],[mood]], "Tired", 3, "Neutral", 2, "Happy", 1)</f>
        <v>1</v>
      </c>
    </row>
    <row r="2214" spans="1:16" x14ac:dyDescent="0.3">
      <c r="A2214">
        <v>1972</v>
      </c>
      <c r="B2214" s="1">
        <v>44217</v>
      </c>
      <c r="C2214">
        <v>56</v>
      </c>
      <c r="D2214" t="s">
        <v>15</v>
      </c>
      <c r="E2214">
        <v>163.6</v>
      </c>
      <c r="F2214">
        <v>67.400000000000006</v>
      </c>
      <c r="G2214">
        <v>15378</v>
      </c>
      <c r="H2214">
        <v>802.7</v>
      </c>
      <c r="I2214">
        <v>7.6</v>
      </c>
      <c r="J2214">
        <v>84</v>
      </c>
      <c r="K2214" t="s">
        <v>16</v>
      </c>
      <c r="L2214">
        <v>0</v>
      </c>
      <c r="M2214">
        <v>2.0299999999999998</v>
      </c>
      <c r="N2214">
        <v>8</v>
      </c>
      <c r="O2214" t="s">
        <v>19</v>
      </c>
      <c r="P2214" cm="1">
        <f t="array" ref="P2214">_xlfn.SWITCH(Table2[[#This Row],[mood]], "Tired", 3, "Neutral", 2, "Happy", 1)</f>
        <v>2</v>
      </c>
    </row>
    <row r="2215" spans="1:16" x14ac:dyDescent="0.3">
      <c r="A2215">
        <v>1592</v>
      </c>
      <c r="B2215" s="1">
        <v>44218</v>
      </c>
      <c r="C2215">
        <v>56</v>
      </c>
      <c r="D2215" t="s">
        <v>20</v>
      </c>
      <c r="E2215">
        <v>173.5</v>
      </c>
      <c r="F2215">
        <v>102.4</v>
      </c>
      <c r="G2215">
        <v>11328</v>
      </c>
      <c r="H2215">
        <v>685.7</v>
      </c>
      <c r="I2215">
        <v>8.8000000000000007</v>
      </c>
      <c r="J2215">
        <v>76</v>
      </c>
      <c r="K2215" t="s">
        <v>25</v>
      </c>
      <c r="L2215">
        <v>66</v>
      </c>
      <c r="M2215">
        <v>2.29</v>
      </c>
      <c r="N2215">
        <v>8</v>
      </c>
      <c r="O2215" t="s">
        <v>21</v>
      </c>
      <c r="P2215" cm="1">
        <f t="array" ref="P2215">_xlfn.SWITCH(Table2[[#This Row],[mood]], "Tired", 3, "Neutral", 2, "Happy", 1)</f>
        <v>1</v>
      </c>
    </row>
    <row r="2216" spans="1:16" x14ac:dyDescent="0.3">
      <c r="A2216">
        <v>1113</v>
      </c>
      <c r="B2216" s="1">
        <v>44219</v>
      </c>
      <c r="C2216">
        <v>46</v>
      </c>
      <c r="D2216" t="s">
        <v>15</v>
      </c>
      <c r="E2216">
        <v>181.1</v>
      </c>
      <c r="F2216">
        <v>91.3</v>
      </c>
      <c r="G2216">
        <v>18673</v>
      </c>
      <c r="H2216">
        <v>900</v>
      </c>
      <c r="I2216">
        <v>6.4</v>
      </c>
      <c r="J2216">
        <v>75</v>
      </c>
      <c r="K2216" t="s">
        <v>22</v>
      </c>
      <c r="L2216">
        <v>27</v>
      </c>
      <c r="M2216">
        <v>1.98</v>
      </c>
      <c r="N2216">
        <v>7</v>
      </c>
      <c r="O2216" t="s">
        <v>21</v>
      </c>
      <c r="P2216" cm="1">
        <f t="array" ref="P2216">_xlfn.SWITCH(Table2[[#This Row],[mood]], "Tired", 3, "Neutral", 2, "Happy", 1)</f>
        <v>1</v>
      </c>
    </row>
    <row r="2217" spans="1:16" x14ac:dyDescent="0.3">
      <c r="A2217">
        <v>1039</v>
      </c>
      <c r="B2217" s="1">
        <v>44220</v>
      </c>
      <c r="C2217">
        <v>43</v>
      </c>
      <c r="D2217" t="s">
        <v>20</v>
      </c>
      <c r="E2217">
        <v>167</v>
      </c>
      <c r="F2217">
        <v>50.4</v>
      </c>
      <c r="G2217">
        <v>11373</v>
      </c>
      <c r="H2217">
        <v>658</v>
      </c>
      <c r="I2217">
        <v>6.8</v>
      </c>
      <c r="J2217">
        <v>66</v>
      </c>
      <c r="K2217" t="s">
        <v>24</v>
      </c>
      <c r="L2217">
        <v>24</v>
      </c>
      <c r="M2217">
        <v>3.14</v>
      </c>
      <c r="N2217">
        <v>4</v>
      </c>
      <c r="O2217" t="s">
        <v>19</v>
      </c>
      <c r="P2217" cm="1">
        <f t="array" ref="P2217">_xlfn.SWITCH(Table2[[#This Row],[mood]], "Tired", 3, "Neutral", 2, "Happy", 1)</f>
        <v>2</v>
      </c>
    </row>
    <row r="2218" spans="1:16" x14ac:dyDescent="0.3">
      <c r="A2218">
        <v>1300</v>
      </c>
      <c r="B2218" s="1">
        <v>44221</v>
      </c>
      <c r="C2218">
        <v>38</v>
      </c>
      <c r="D2218" t="s">
        <v>20</v>
      </c>
      <c r="E2218">
        <v>182.1</v>
      </c>
      <c r="F2218">
        <v>72.900000000000006</v>
      </c>
      <c r="G2218">
        <v>19895</v>
      </c>
      <c r="H2218">
        <v>900</v>
      </c>
      <c r="I2218">
        <v>7.6</v>
      </c>
      <c r="J2218">
        <v>70</v>
      </c>
      <c r="K2218" t="s">
        <v>16</v>
      </c>
      <c r="L2218">
        <v>0</v>
      </c>
      <c r="M2218">
        <v>3.05</v>
      </c>
      <c r="N2218">
        <v>5</v>
      </c>
      <c r="O2218" t="s">
        <v>17</v>
      </c>
      <c r="P2218" cm="1">
        <f t="array" ref="P2218">_xlfn.SWITCH(Table2[[#This Row],[mood]], "Tired", 3, "Neutral", 2, "Happy", 1)</f>
        <v>3</v>
      </c>
    </row>
    <row r="2219" spans="1:16" x14ac:dyDescent="0.3">
      <c r="A2219">
        <v>1223</v>
      </c>
      <c r="B2219" s="1">
        <v>44222</v>
      </c>
      <c r="C2219">
        <v>34</v>
      </c>
      <c r="D2219" t="s">
        <v>15</v>
      </c>
      <c r="E2219">
        <v>152.4</v>
      </c>
      <c r="F2219">
        <v>81</v>
      </c>
      <c r="G2219">
        <v>6720</v>
      </c>
      <c r="H2219">
        <v>420.4</v>
      </c>
      <c r="I2219">
        <v>6.6</v>
      </c>
      <c r="J2219">
        <v>75</v>
      </c>
      <c r="K2219" t="s">
        <v>16</v>
      </c>
      <c r="L2219">
        <v>0</v>
      </c>
      <c r="M2219">
        <v>2.48</v>
      </c>
      <c r="N2219">
        <v>10</v>
      </c>
      <c r="O2219" t="s">
        <v>19</v>
      </c>
      <c r="P2219" cm="1">
        <f t="array" ref="P2219">_xlfn.SWITCH(Table2[[#This Row],[mood]], "Tired", 3, "Neutral", 2, "Happy", 1)</f>
        <v>2</v>
      </c>
    </row>
    <row r="2220" spans="1:16" x14ac:dyDescent="0.3">
      <c r="A2220">
        <v>1317</v>
      </c>
      <c r="B2220" s="1">
        <v>44223</v>
      </c>
      <c r="C2220">
        <v>33</v>
      </c>
      <c r="D2220" t="s">
        <v>15</v>
      </c>
      <c r="E2220">
        <v>192.2</v>
      </c>
      <c r="F2220">
        <v>63.1</v>
      </c>
      <c r="G2220">
        <v>18539</v>
      </c>
      <c r="H2220">
        <v>889.5</v>
      </c>
      <c r="I2220">
        <v>7.4</v>
      </c>
      <c r="J2220">
        <v>77</v>
      </c>
      <c r="K2220" t="s">
        <v>18</v>
      </c>
      <c r="L2220">
        <v>40</v>
      </c>
      <c r="M2220">
        <v>3.71</v>
      </c>
      <c r="N2220">
        <v>6</v>
      </c>
      <c r="O2220" t="s">
        <v>19</v>
      </c>
      <c r="P2220" cm="1">
        <f t="array" ref="P2220">_xlfn.SWITCH(Table2[[#This Row],[mood]], "Tired", 3, "Neutral", 2, "Happy", 1)</f>
        <v>2</v>
      </c>
    </row>
    <row r="2221" spans="1:16" x14ac:dyDescent="0.3">
      <c r="A2221">
        <v>1348</v>
      </c>
      <c r="B2221" s="1">
        <v>44224</v>
      </c>
      <c r="C2221">
        <v>48</v>
      </c>
      <c r="D2221" t="s">
        <v>15</v>
      </c>
      <c r="E2221">
        <v>170.6</v>
      </c>
      <c r="F2221">
        <v>88.2</v>
      </c>
      <c r="G2221">
        <v>6153</v>
      </c>
      <c r="H2221">
        <v>400.7</v>
      </c>
      <c r="I2221">
        <v>8.9</v>
      </c>
      <c r="J2221">
        <v>66</v>
      </c>
      <c r="K2221" t="s">
        <v>25</v>
      </c>
      <c r="L2221">
        <v>31</v>
      </c>
      <c r="M2221">
        <v>2.79</v>
      </c>
      <c r="N2221">
        <v>6</v>
      </c>
      <c r="O2221" t="s">
        <v>17</v>
      </c>
      <c r="P2221" cm="1">
        <f t="array" ref="P2221">_xlfn.SWITCH(Table2[[#This Row],[mood]], "Tired", 3, "Neutral", 2, "Happy", 1)</f>
        <v>3</v>
      </c>
    </row>
    <row r="2222" spans="1:16" x14ac:dyDescent="0.3">
      <c r="A2222">
        <v>1114</v>
      </c>
      <c r="B2222" s="1">
        <v>44225</v>
      </c>
      <c r="C2222">
        <v>26</v>
      </c>
      <c r="D2222" t="s">
        <v>20</v>
      </c>
      <c r="E2222">
        <v>180.7</v>
      </c>
      <c r="F2222">
        <v>86.4</v>
      </c>
      <c r="G2222">
        <v>7226</v>
      </c>
      <c r="H2222">
        <v>506.3</v>
      </c>
      <c r="I2222">
        <v>10</v>
      </c>
      <c r="J2222">
        <v>82</v>
      </c>
      <c r="K2222" t="s">
        <v>16</v>
      </c>
      <c r="L2222">
        <v>0</v>
      </c>
      <c r="M2222">
        <v>2.75</v>
      </c>
      <c r="N2222">
        <v>7</v>
      </c>
      <c r="O2222" t="s">
        <v>21</v>
      </c>
      <c r="P2222" cm="1">
        <f t="array" ref="P2222">_xlfn.SWITCH(Table2[[#This Row],[mood]], "Tired", 3, "Neutral", 2, "Happy", 1)</f>
        <v>1</v>
      </c>
    </row>
    <row r="2223" spans="1:16" x14ac:dyDescent="0.3">
      <c r="A2223">
        <v>1697</v>
      </c>
      <c r="B2223" s="1">
        <v>44226</v>
      </c>
      <c r="C2223">
        <v>48</v>
      </c>
      <c r="D2223" t="s">
        <v>20</v>
      </c>
      <c r="E2223">
        <v>172.2</v>
      </c>
      <c r="F2223">
        <v>68.7</v>
      </c>
      <c r="G2223">
        <v>3976</v>
      </c>
      <c r="H2223">
        <v>361.7</v>
      </c>
      <c r="I2223">
        <v>6.3</v>
      </c>
      <c r="J2223">
        <v>83</v>
      </c>
      <c r="K2223" t="s">
        <v>16</v>
      </c>
      <c r="L2223">
        <v>0</v>
      </c>
      <c r="M2223">
        <v>2.67</v>
      </c>
      <c r="N2223">
        <v>4</v>
      </c>
      <c r="O2223" t="s">
        <v>17</v>
      </c>
      <c r="P2223" cm="1">
        <f t="array" ref="P2223">_xlfn.SWITCH(Table2[[#This Row],[mood]], "Tired", 3, "Neutral", 2, "Happy", 1)</f>
        <v>3</v>
      </c>
    </row>
    <row r="2224" spans="1:16" x14ac:dyDescent="0.3">
      <c r="A2224">
        <v>1322</v>
      </c>
      <c r="B2224" s="1">
        <v>44227</v>
      </c>
      <c r="C2224">
        <v>31</v>
      </c>
      <c r="D2224" t="s">
        <v>20</v>
      </c>
      <c r="E2224">
        <v>161.80000000000001</v>
      </c>
      <c r="F2224">
        <v>84.7</v>
      </c>
      <c r="G2224">
        <v>6251</v>
      </c>
      <c r="H2224">
        <v>485.5</v>
      </c>
      <c r="I2224">
        <v>10</v>
      </c>
      <c r="J2224">
        <v>80</v>
      </c>
      <c r="K2224" t="s">
        <v>24</v>
      </c>
      <c r="L2224">
        <v>29</v>
      </c>
      <c r="M2224">
        <v>1.62</v>
      </c>
      <c r="N2224">
        <v>8</v>
      </c>
      <c r="O2224" t="s">
        <v>21</v>
      </c>
      <c r="P2224" cm="1">
        <f t="array" ref="P2224">_xlfn.SWITCH(Table2[[#This Row],[mood]], "Tired", 3, "Neutral", 2, "Happy", 1)</f>
        <v>1</v>
      </c>
    </row>
    <row r="2225" spans="1:16" x14ac:dyDescent="0.3">
      <c r="A2225">
        <v>1567</v>
      </c>
      <c r="B2225" s="1">
        <v>44228</v>
      </c>
      <c r="C2225">
        <v>54</v>
      </c>
      <c r="D2225" t="s">
        <v>15</v>
      </c>
      <c r="E2225">
        <v>169.6</v>
      </c>
      <c r="F2225">
        <v>45</v>
      </c>
      <c r="G2225">
        <v>4499</v>
      </c>
      <c r="H2225">
        <v>376.2</v>
      </c>
      <c r="I2225">
        <v>6.2</v>
      </c>
      <c r="J2225">
        <v>71</v>
      </c>
      <c r="K2225" t="s">
        <v>18</v>
      </c>
      <c r="L2225">
        <v>35</v>
      </c>
      <c r="M2225">
        <v>1.87</v>
      </c>
      <c r="N2225">
        <v>2</v>
      </c>
      <c r="O2225" t="s">
        <v>19</v>
      </c>
      <c r="P2225" cm="1">
        <f t="array" ref="P2225">_xlfn.SWITCH(Table2[[#This Row],[mood]], "Tired", 3, "Neutral", 2, "Happy", 1)</f>
        <v>2</v>
      </c>
    </row>
    <row r="2226" spans="1:16" x14ac:dyDescent="0.3">
      <c r="A2226">
        <v>1039</v>
      </c>
      <c r="B2226" s="1">
        <v>44229</v>
      </c>
      <c r="C2226">
        <v>19</v>
      </c>
      <c r="D2226" t="s">
        <v>15</v>
      </c>
      <c r="E2226">
        <v>150.9</v>
      </c>
      <c r="F2226">
        <v>90.4</v>
      </c>
      <c r="G2226">
        <v>17587</v>
      </c>
      <c r="H2226">
        <v>893.7</v>
      </c>
      <c r="I2226">
        <v>8.3000000000000007</v>
      </c>
      <c r="J2226">
        <v>84</v>
      </c>
      <c r="K2226" t="s">
        <v>16</v>
      </c>
      <c r="L2226">
        <v>0</v>
      </c>
      <c r="M2226">
        <v>2.46</v>
      </c>
      <c r="N2226">
        <v>9</v>
      </c>
      <c r="O2226" t="s">
        <v>21</v>
      </c>
      <c r="P2226" cm="1">
        <f t="array" ref="P2226">_xlfn.SWITCH(Table2[[#This Row],[mood]], "Tired", 3, "Neutral", 2, "Happy", 1)</f>
        <v>1</v>
      </c>
    </row>
    <row r="2227" spans="1:16" x14ac:dyDescent="0.3">
      <c r="A2227">
        <v>1865</v>
      </c>
      <c r="B2227" s="1">
        <v>44230</v>
      </c>
      <c r="C2227">
        <v>31</v>
      </c>
      <c r="D2227" t="s">
        <v>15</v>
      </c>
      <c r="E2227">
        <v>176.9</v>
      </c>
      <c r="F2227">
        <v>83.3</v>
      </c>
      <c r="G2227">
        <v>19206</v>
      </c>
      <c r="H2227">
        <v>900</v>
      </c>
      <c r="I2227">
        <v>6.3</v>
      </c>
      <c r="J2227">
        <v>81</v>
      </c>
      <c r="K2227" t="s">
        <v>16</v>
      </c>
      <c r="L2227">
        <v>0</v>
      </c>
      <c r="M2227">
        <v>2.4700000000000002</v>
      </c>
      <c r="N2227">
        <v>6</v>
      </c>
      <c r="O2227" t="s">
        <v>19</v>
      </c>
      <c r="P2227" cm="1">
        <f t="array" ref="P2227">_xlfn.SWITCH(Table2[[#This Row],[mood]], "Tired", 3, "Neutral", 2, "Happy", 1)</f>
        <v>2</v>
      </c>
    </row>
    <row r="2228" spans="1:16" x14ac:dyDescent="0.3">
      <c r="A2228">
        <v>1039</v>
      </c>
      <c r="B2228" s="1">
        <v>44231</v>
      </c>
      <c r="C2228">
        <v>50</v>
      </c>
      <c r="D2228" t="s">
        <v>15</v>
      </c>
      <c r="E2228">
        <v>171.9</v>
      </c>
      <c r="F2228">
        <v>53.7</v>
      </c>
      <c r="G2228">
        <v>11736</v>
      </c>
      <c r="H2228">
        <v>754.3</v>
      </c>
      <c r="I2228">
        <v>5.5</v>
      </c>
      <c r="J2228">
        <v>55</v>
      </c>
      <c r="K2228" t="s">
        <v>24</v>
      </c>
      <c r="L2228">
        <v>23</v>
      </c>
      <c r="M2228">
        <v>2.91</v>
      </c>
      <c r="N2228">
        <v>1</v>
      </c>
      <c r="O2228" t="s">
        <v>21</v>
      </c>
      <c r="P2228" cm="1">
        <f t="array" ref="P2228">_xlfn.SWITCH(Table2[[#This Row],[mood]], "Tired", 3, "Neutral", 2, "Happy", 1)</f>
        <v>1</v>
      </c>
    </row>
    <row r="2229" spans="1:16" x14ac:dyDescent="0.3">
      <c r="A2229">
        <v>1858</v>
      </c>
      <c r="B2229" s="1">
        <v>44232</v>
      </c>
      <c r="C2229">
        <v>52</v>
      </c>
      <c r="D2229" t="s">
        <v>20</v>
      </c>
      <c r="E2229">
        <v>168.1</v>
      </c>
      <c r="F2229">
        <v>73.8</v>
      </c>
      <c r="G2229">
        <v>9633</v>
      </c>
      <c r="H2229">
        <v>527.20000000000005</v>
      </c>
      <c r="I2229">
        <v>8.8000000000000007</v>
      </c>
      <c r="J2229">
        <v>77</v>
      </c>
      <c r="K2229" t="s">
        <v>24</v>
      </c>
      <c r="L2229">
        <v>41</v>
      </c>
      <c r="M2229">
        <v>2.0299999999999998</v>
      </c>
      <c r="N2229">
        <v>1</v>
      </c>
      <c r="O2229" t="s">
        <v>19</v>
      </c>
      <c r="P2229" cm="1">
        <f t="array" ref="P2229">_xlfn.SWITCH(Table2[[#This Row],[mood]], "Tired", 3, "Neutral", 2, "Happy", 1)</f>
        <v>2</v>
      </c>
    </row>
    <row r="2230" spans="1:16" x14ac:dyDescent="0.3">
      <c r="A2230">
        <v>1972</v>
      </c>
      <c r="B2230" s="1">
        <v>44233</v>
      </c>
      <c r="C2230">
        <v>56</v>
      </c>
      <c r="D2230" t="s">
        <v>20</v>
      </c>
      <c r="E2230">
        <v>177.5</v>
      </c>
      <c r="F2230">
        <v>45</v>
      </c>
      <c r="G2230">
        <v>7971</v>
      </c>
      <c r="H2230">
        <v>472.8</v>
      </c>
      <c r="I2230">
        <v>6.9</v>
      </c>
      <c r="J2230">
        <v>94</v>
      </c>
      <c r="K2230" t="s">
        <v>22</v>
      </c>
      <c r="L2230">
        <v>54</v>
      </c>
      <c r="M2230">
        <v>2.5499999999999998</v>
      </c>
      <c r="N2230">
        <v>8</v>
      </c>
      <c r="O2230" t="s">
        <v>21</v>
      </c>
      <c r="P2230" cm="1">
        <f t="array" ref="P2230">_xlfn.SWITCH(Table2[[#This Row],[mood]], "Tired", 3, "Neutral", 2, "Happy", 1)</f>
        <v>1</v>
      </c>
    </row>
    <row r="2231" spans="1:16" x14ac:dyDescent="0.3">
      <c r="A2231">
        <v>1748</v>
      </c>
      <c r="B2231" s="1">
        <v>44234</v>
      </c>
      <c r="C2231">
        <v>37</v>
      </c>
      <c r="D2231" t="s">
        <v>20</v>
      </c>
      <c r="E2231">
        <v>170.4</v>
      </c>
      <c r="F2231">
        <v>58.5</v>
      </c>
      <c r="G2231">
        <v>10507</v>
      </c>
      <c r="H2231">
        <v>622.29999999999995</v>
      </c>
      <c r="I2231">
        <v>8.9</v>
      </c>
      <c r="J2231">
        <v>85</v>
      </c>
      <c r="K2231" t="s">
        <v>25</v>
      </c>
      <c r="L2231">
        <v>33</v>
      </c>
      <c r="M2231">
        <v>2.56</v>
      </c>
      <c r="N2231">
        <v>10</v>
      </c>
      <c r="O2231" t="s">
        <v>21</v>
      </c>
      <c r="P2231" cm="1">
        <f t="array" ref="P2231">_xlfn.SWITCH(Table2[[#This Row],[mood]], "Tired", 3, "Neutral", 2, "Happy", 1)</f>
        <v>1</v>
      </c>
    </row>
    <row r="2232" spans="1:16" x14ac:dyDescent="0.3">
      <c r="A2232">
        <v>1288</v>
      </c>
      <c r="B2232" s="1">
        <v>44235</v>
      </c>
      <c r="C2232">
        <v>19</v>
      </c>
      <c r="D2232" t="s">
        <v>20</v>
      </c>
      <c r="E2232">
        <v>176.1</v>
      </c>
      <c r="F2232">
        <v>86.4</v>
      </c>
      <c r="G2232">
        <v>14158</v>
      </c>
      <c r="H2232">
        <v>867.9</v>
      </c>
      <c r="I2232">
        <v>8.1</v>
      </c>
      <c r="J2232">
        <v>87</v>
      </c>
      <c r="K2232" t="s">
        <v>22</v>
      </c>
      <c r="L2232">
        <v>50</v>
      </c>
      <c r="M2232">
        <v>2.59</v>
      </c>
      <c r="N2232">
        <v>10</v>
      </c>
      <c r="O2232" t="s">
        <v>21</v>
      </c>
      <c r="P2232" cm="1">
        <f t="array" ref="P2232">_xlfn.SWITCH(Table2[[#This Row],[mood]], "Tired", 3, "Neutral", 2, "Happy", 1)</f>
        <v>1</v>
      </c>
    </row>
    <row r="2233" spans="1:16" x14ac:dyDescent="0.3">
      <c r="A2233">
        <v>1261</v>
      </c>
      <c r="B2233" s="1">
        <v>44236</v>
      </c>
      <c r="C2233">
        <v>58</v>
      </c>
      <c r="D2233" t="s">
        <v>15</v>
      </c>
      <c r="E2233">
        <v>179.6</v>
      </c>
      <c r="F2233">
        <v>69.8</v>
      </c>
      <c r="G2233">
        <v>12108</v>
      </c>
      <c r="H2233">
        <v>630.70000000000005</v>
      </c>
      <c r="I2233">
        <v>7.6</v>
      </c>
      <c r="J2233">
        <v>68</v>
      </c>
      <c r="K2233" t="s">
        <v>23</v>
      </c>
      <c r="L2233">
        <v>89</v>
      </c>
      <c r="M2233">
        <v>2.5099999999999998</v>
      </c>
      <c r="N2233">
        <v>7</v>
      </c>
      <c r="O2233" t="s">
        <v>17</v>
      </c>
      <c r="P2233" cm="1">
        <f t="array" ref="P2233">_xlfn.SWITCH(Table2[[#This Row],[mood]], "Tired", 3, "Neutral", 2, "Happy", 1)</f>
        <v>3</v>
      </c>
    </row>
    <row r="2234" spans="1:16" x14ac:dyDescent="0.3">
      <c r="A2234">
        <v>1215</v>
      </c>
      <c r="B2234" s="1">
        <v>44237</v>
      </c>
      <c r="C2234">
        <v>36</v>
      </c>
      <c r="D2234" t="s">
        <v>15</v>
      </c>
      <c r="E2234">
        <v>164.5</v>
      </c>
      <c r="F2234">
        <v>69</v>
      </c>
      <c r="G2234">
        <v>13077</v>
      </c>
      <c r="H2234">
        <v>722.6</v>
      </c>
      <c r="I2234">
        <v>7.8</v>
      </c>
      <c r="J2234">
        <v>76</v>
      </c>
      <c r="K2234" t="s">
        <v>16</v>
      </c>
      <c r="L2234">
        <v>0</v>
      </c>
      <c r="M2234">
        <v>1.52</v>
      </c>
      <c r="N2234">
        <v>3</v>
      </c>
      <c r="O2234" t="s">
        <v>19</v>
      </c>
      <c r="P2234" cm="1">
        <f t="array" ref="P2234">_xlfn.SWITCH(Table2[[#This Row],[mood]], "Tired", 3, "Neutral", 2, "Happy", 1)</f>
        <v>2</v>
      </c>
    </row>
    <row r="2235" spans="1:16" x14ac:dyDescent="0.3">
      <c r="A2235">
        <v>1146</v>
      </c>
      <c r="B2235" s="1">
        <v>44238</v>
      </c>
      <c r="C2235">
        <v>54</v>
      </c>
      <c r="D2235" t="s">
        <v>15</v>
      </c>
      <c r="E2235">
        <v>161.6</v>
      </c>
      <c r="F2235">
        <v>70.7</v>
      </c>
      <c r="G2235">
        <v>5175</v>
      </c>
      <c r="H2235">
        <v>363.1</v>
      </c>
      <c r="I2235">
        <v>8.6</v>
      </c>
      <c r="J2235">
        <v>73</v>
      </c>
      <c r="K2235" t="s">
        <v>24</v>
      </c>
      <c r="L2235">
        <v>55</v>
      </c>
      <c r="M2235">
        <v>0.92</v>
      </c>
      <c r="N2235">
        <v>8</v>
      </c>
      <c r="O2235" t="s">
        <v>19</v>
      </c>
      <c r="P2235" cm="1">
        <f t="array" ref="P2235">_xlfn.SWITCH(Table2[[#This Row],[mood]], "Tired", 3, "Neutral", 2, "Happy", 1)</f>
        <v>2</v>
      </c>
    </row>
    <row r="2236" spans="1:16" x14ac:dyDescent="0.3">
      <c r="A2236">
        <v>1335</v>
      </c>
      <c r="B2236" s="1">
        <v>44239</v>
      </c>
      <c r="C2236">
        <v>35</v>
      </c>
      <c r="D2236" t="s">
        <v>20</v>
      </c>
      <c r="E2236">
        <v>152.80000000000001</v>
      </c>
      <c r="F2236">
        <v>68.900000000000006</v>
      </c>
      <c r="G2236">
        <v>3859</v>
      </c>
      <c r="H2236">
        <v>374.3</v>
      </c>
      <c r="I2236">
        <v>8.4</v>
      </c>
      <c r="J2236">
        <v>75</v>
      </c>
      <c r="K2236" t="s">
        <v>25</v>
      </c>
      <c r="L2236">
        <v>43</v>
      </c>
      <c r="M2236">
        <v>1.84</v>
      </c>
      <c r="N2236">
        <v>8</v>
      </c>
      <c r="O2236" t="s">
        <v>19</v>
      </c>
      <c r="P2236" cm="1">
        <f t="array" ref="P2236">_xlfn.SWITCH(Table2[[#This Row],[mood]], "Tired", 3, "Neutral", 2, "Happy", 1)</f>
        <v>2</v>
      </c>
    </row>
    <row r="2237" spans="1:16" x14ac:dyDescent="0.3">
      <c r="A2237">
        <v>1167</v>
      </c>
      <c r="B2237" s="1">
        <v>44240</v>
      </c>
      <c r="C2237">
        <v>33</v>
      </c>
      <c r="D2237" t="s">
        <v>20</v>
      </c>
      <c r="E2237">
        <v>171.2</v>
      </c>
      <c r="F2237">
        <v>84.8</v>
      </c>
      <c r="G2237">
        <v>3962</v>
      </c>
      <c r="H2237">
        <v>255.3</v>
      </c>
      <c r="I2237">
        <v>6.4</v>
      </c>
      <c r="J2237">
        <v>70</v>
      </c>
      <c r="K2237" t="s">
        <v>23</v>
      </c>
      <c r="L2237">
        <v>59</v>
      </c>
      <c r="M2237">
        <v>2.13</v>
      </c>
      <c r="N2237">
        <v>7</v>
      </c>
      <c r="O2237" t="s">
        <v>17</v>
      </c>
      <c r="P2237" cm="1">
        <f t="array" ref="P2237">_xlfn.SWITCH(Table2[[#This Row],[mood]], "Tired", 3, "Neutral", 2, "Happy", 1)</f>
        <v>3</v>
      </c>
    </row>
    <row r="2238" spans="1:16" x14ac:dyDescent="0.3">
      <c r="A2238">
        <v>1091</v>
      </c>
      <c r="B2238" s="1">
        <v>44241</v>
      </c>
      <c r="C2238">
        <v>21</v>
      </c>
      <c r="D2238" t="s">
        <v>15</v>
      </c>
      <c r="E2238">
        <v>174.5</v>
      </c>
      <c r="F2238">
        <v>60.7</v>
      </c>
      <c r="G2238">
        <v>14616</v>
      </c>
      <c r="H2238">
        <v>732.8</v>
      </c>
      <c r="I2238">
        <v>7.6</v>
      </c>
      <c r="J2238">
        <v>63</v>
      </c>
      <c r="K2238" t="s">
        <v>16</v>
      </c>
      <c r="L2238">
        <v>0</v>
      </c>
      <c r="M2238">
        <v>1.68</v>
      </c>
      <c r="N2238">
        <v>5</v>
      </c>
      <c r="O2238" t="s">
        <v>17</v>
      </c>
      <c r="P2238" cm="1">
        <f t="array" ref="P2238">_xlfn.SWITCH(Table2[[#This Row],[mood]], "Tired", 3, "Neutral", 2, "Happy", 1)</f>
        <v>3</v>
      </c>
    </row>
    <row r="2239" spans="1:16" x14ac:dyDescent="0.3">
      <c r="A2239">
        <v>1352</v>
      </c>
      <c r="B2239" s="1">
        <v>44242</v>
      </c>
      <c r="C2239">
        <v>29</v>
      </c>
      <c r="D2239" t="s">
        <v>15</v>
      </c>
      <c r="E2239">
        <v>156.80000000000001</v>
      </c>
      <c r="F2239">
        <v>76.3</v>
      </c>
      <c r="G2239">
        <v>18751</v>
      </c>
      <c r="H2239">
        <v>900</v>
      </c>
      <c r="I2239">
        <v>9.3000000000000007</v>
      </c>
      <c r="J2239">
        <v>76</v>
      </c>
      <c r="K2239" t="s">
        <v>23</v>
      </c>
      <c r="L2239">
        <v>40</v>
      </c>
      <c r="M2239">
        <v>2.46</v>
      </c>
      <c r="N2239">
        <v>8</v>
      </c>
      <c r="O2239" t="s">
        <v>17</v>
      </c>
      <c r="P2239" cm="1">
        <f t="array" ref="P2239">_xlfn.SWITCH(Table2[[#This Row],[mood]], "Tired", 3, "Neutral", 2, "Happy", 1)</f>
        <v>3</v>
      </c>
    </row>
    <row r="2240" spans="1:16" x14ac:dyDescent="0.3">
      <c r="A2240">
        <v>1570</v>
      </c>
      <c r="B2240" s="1">
        <v>44243</v>
      </c>
      <c r="C2240">
        <v>46</v>
      </c>
      <c r="D2240" t="s">
        <v>20</v>
      </c>
      <c r="E2240">
        <v>184.2</v>
      </c>
      <c r="F2240">
        <v>52.8</v>
      </c>
      <c r="G2240">
        <v>13857</v>
      </c>
      <c r="H2240">
        <v>754.7</v>
      </c>
      <c r="I2240">
        <v>7.1</v>
      </c>
      <c r="J2240">
        <v>67</v>
      </c>
      <c r="K2240" t="s">
        <v>22</v>
      </c>
      <c r="L2240">
        <v>70</v>
      </c>
      <c r="M2240">
        <v>3.26</v>
      </c>
      <c r="N2240">
        <v>5</v>
      </c>
      <c r="O2240" t="s">
        <v>17</v>
      </c>
      <c r="P2240" cm="1">
        <f t="array" ref="P2240">_xlfn.SWITCH(Table2[[#This Row],[mood]], "Tired", 3, "Neutral", 2, "Happy", 1)</f>
        <v>3</v>
      </c>
    </row>
    <row r="2241" spans="1:16" x14ac:dyDescent="0.3">
      <c r="A2241">
        <v>1570</v>
      </c>
      <c r="B2241" s="1">
        <v>44244</v>
      </c>
      <c r="C2241">
        <v>24</v>
      </c>
      <c r="D2241" t="s">
        <v>15</v>
      </c>
      <c r="E2241">
        <v>161.80000000000001</v>
      </c>
      <c r="F2241">
        <v>81.099999999999994</v>
      </c>
      <c r="G2241">
        <v>6210</v>
      </c>
      <c r="H2241">
        <v>411.1</v>
      </c>
      <c r="I2241">
        <v>6.3</v>
      </c>
      <c r="J2241">
        <v>81</v>
      </c>
      <c r="K2241" t="s">
        <v>23</v>
      </c>
      <c r="L2241">
        <v>74</v>
      </c>
      <c r="M2241">
        <v>3.01</v>
      </c>
      <c r="N2241">
        <v>1</v>
      </c>
      <c r="O2241" t="s">
        <v>21</v>
      </c>
      <c r="P2241" cm="1">
        <f t="array" ref="P2241">_xlfn.SWITCH(Table2[[#This Row],[mood]], "Tired", 3, "Neutral", 2, "Happy", 1)</f>
        <v>1</v>
      </c>
    </row>
    <row r="2242" spans="1:16" x14ac:dyDescent="0.3">
      <c r="A2242">
        <v>1815</v>
      </c>
      <c r="B2242" s="1">
        <v>44245</v>
      </c>
      <c r="C2242">
        <v>31</v>
      </c>
      <c r="D2242" t="s">
        <v>20</v>
      </c>
      <c r="E2242">
        <v>150</v>
      </c>
      <c r="F2242">
        <v>65.2</v>
      </c>
      <c r="G2242">
        <v>3909</v>
      </c>
      <c r="H2242">
        <v>354.1</v>
      </c>
      <c r="I2242">
        <v>6.1</v>
      </c>
      <c r="J2242">
        <v>75</v>
      </c>
      <c r="K2242" t="s">
        <v>18</v>
      </c>
      <c r="L2242">
        <v>23</v>
      </c>
      <c r="M2242">
        <v>2.83</v>
      </c>
      <c r="N2242">
        <v>8</v>
      </c>
      <c r="O2242" t="s">
        <v>19</v>
      </c>
      <c r="P2242" cm="1">
        <f t="array" ref="P2242">_xlfn.SWITCH(Table2[[#This Row],[mood]], "Tired", 3, "Neutral", 2, "Happy", 1)</f>
        <v>2</v>
      </c>
    </row>
    <row r="2243" spans="1:16" x14ac:dyDescent="0.3">
      <c r="A2243">
        <v>1680</v>
      </c>
      <c r="B2243" s="1">
        <v>44246</v>
      </c>
      <c r="C2243">
        <v>29</v>
      </c>
      <c r="D2243" t="s">
        <v>20</v>
      </c>
      <c r="E2243">
        <v>184.9</v>
      </c>
      <c r="F2243">
        <v>69.400000000000006</v>
      </c>
      <c r="G2243">
        <v>11408</v>
      </c>
      <c r="H2243">
        <v>653.20000000000005</v>
      </c>
      <c r="I2243">
        <v>8.3000000000000007</v>
      </c>
      <c r="J2243">
        <v>56</v>
      </c>
      <c r="K2243" t="s">
        <v>18</v>
      </c>
      <c r="L2243">
        <v>81</v>
      </c>
      <c r="M2243">
        <v>3.19</v>
      </c>
      <c r="N2243">
        <v>7</v>
      </c>
      <c r="O2243" t="s">
        <v>21</v>
      </c>
      <c r="P2243" cm="1">
        <f t="array" ref="P2243">_xlfn.SWITCH(Table2[[#This Row],[mood]], "Tired", 3, "Neutral", 2, "Happy", 1)</f>
        <v>1</v>
      </c>
    </row>
    <row r="2244" spans="1:16" x14ac:dyDescent="0.3">
      <c r="A2244">
        <v>1780</v>
      </c>
      <c r="B2244" s="1">
        <v>44247</v>
      </c>
      <c r="C2244">
        <v>52</v>
      </c>
      <c r="D2244" t="s">
        <v>20</v>
      </c>
      <c r="E2244">
        <v>150.30000000000001</v>
      </c>
      <c r="F2244">
        <v>64.599999999999994</v>
      </c>
      <c r="G2244">
        <v>4405</v>
      </c>
      <c r="H2244">
        <v>404.2</v>
      </c>
      <c r="I2244">
        <v>6.6</v>
      </c>
      <c r="J2244">
        <v>89</v>
      </c>
      <c r="K2244" t="s">
        <v>18</v>
      </c>
      <c r="L2244">
        <v>44</v>
      </c>
      <c r="M2244">
        <v>1.85</v>
      </c>
      <c r="N2244">
        <v>7</v>
      </c>
      <c r="O2244" t="s">
        <v>17</v>
      </c>
      <c r="P2244" cm="1">
        <f t="array" ref="P2244">_xlfn.SWITCH(Table2[[#This Row],[mood]], "Tired", 3, "Neutral", 2, "Happy", 1)</f>
        <v>3</v>
      </c>
    </row>
    <row r="2245" spans="1:16" x14ac:dyDescent="0.3">
      <c r="A2245">
        <v>1362</v>
      </c>
      <c r="B2245" s="1">
        <v>44248</v>
      </c>
      <c r="C2245">
        <v>22</v>
      </c>
      <c r="D2245" t="s">
        <v>15</v>
      </c>
      <c r="E2245">
        <v>179.6</v>
      </c>
      <c r="F2245">
        <v>66.5</v>
      </c>
      <c r="G2245">
        <v>16993</v>
      </c>
      <c r="H2245">
        <v>775.9</v>
      </c>
      <c r="I2245">
        <v>7.5</v>
      </c>
      <c r="J2245">
        <v>79</v>
      </c>
      <c r="K2245" t="s">
        <v>16</v>
      </c>
      <c r="L2245">
        <v>0</v>
      </c>
      <c r="M2245">
        <v>2.1800000000000002</v>
      </c>
      <c r="N2245">
        <v>2</v>
      </c>
      <c r="O2245" t="s">
        <v>17</v>
      </c>
      <c r="P2245" cm="1">
        <f t="array" ref="P2245">_xlfn.SWITCH(Table2[[#This Row],[mood]], "Tired", 3, "Neutral", 2, "Happy", 1)</f>
        <v>3</v>
      </c>
    </row>
    <row r="2246" spans="1:16" x14ac:dyDescent="0.3">
      <c r="A2246">
        <v>1556</v>
      </c>
      <c r="B2246" s="1">
        <v>44249</v>
      </c>
      <c r="C2246">
        <v>34</v>
      </c>
      <c r="D2246" t="s">
        <v>15</v>
      </c>
      <c r="E2246">
        <v>177.2</v>
      </c>
      <c r="F2246">
        <v>54.9</v>
      </c>
      <c r="G2246">
        <v>15923</v>
      </c>
      <c r="H2246">
        <v>785.1</v>
      </c>
      <c r="I2246">
        <v>6.6</v>
      </c>
      <c r="J2246">
        <v>70</v>
      </c>
      <c r="K2246" t="s">
        <v>23</v>
      </c>
      <c r="L2246">
        <v>33</v>
      </c>
      <c r="M2246">
        <v>2.93</v>
      </c>
      <c r="N2246">
        <v>3</v>
      </c>
      <c r="O2246" t="s">
        <v>21</v>
      </c>
      <c r="P2246" cm="1">
        <f t="array" ref="P2246">_xlfn.SWITCH(Table2[[#This Row],[mood]], "Tired", 3, "Neutral", 2, "Happy", 1)</f>
        <v>1</v>
      </c>
    </row>
    <row r="2247" spans="1:16" x14ac:dyDescent="0.3">
      <c r="A2247">
        <v>1344</v>
      </c>
      <c r="B2247" s="1">
        <v>44250</v>
      </c>
      <c r="C2247">
        <v>59</v>
      </c>
      <c r="D2247" t="s">
        <v>20</v>
      </c>
      <c r="E2247">
        <v>173.2</v>
      </c>
      <c r="F2247">
        <v>74.900000000000006</v>
      </c>
      <c r="G2247">
        <v>1820</v>
      </c>
      <c r="H2247">
        <v>225.1</v>
      </c>
      <c r="I2247">
        <v>8.8000000000000007</v>
      </c>
      <c r="J2247">
        <v>72</v>
      </c>
      <c r="K2247" t="s">
        <v>16</v>
      </c>
      <c r="L2247">
        <v>0</v>
      </c>
      <c r="M2247">
        <v>2.17</v>
      </c>
      <c r="N2247">
        <v>3</v>
      </c>
      <c r="O2247" t="s">
        <v>19</v>
      </c>
      <c r="P2247" cm="1">
        <f t="array" ref="P2247">_xlfn.SWITCH(Table2[[#This Row],[mood]], "Tired", 3, "Neutral", 2, "Happy", 1)</f>
        <v>2</v>
      </c>
    </row>
    <row r="2248" spans="1:16" x14ac:dyDescent="0.3">
      <c r="A2248">
        <v>1692</v>
      </c>
      <c r="B2248" s="1">
        <v>44251</v>
      </c>
      <c r="C2248">
        <v>49</v>
      </c>
      <c r="D2248" t="s">
        <v>15</v>
      </c>
      <c r="E2248">
        <v>164.8</v>
      </c>
      <c r="F2248">
        <v>78.3</v>
      </c>
      <c r="G2248">
        <v>8255</v>
      </c>
      <c r="H2248">
        <v>561.70000000000005</v>
      </c>
      <c r="I2248">
        <v>7.2</v>
      </c>
      <c r="J2248">
        <v>63</v>
      </c>
      <c r="K2248" t="s">
        <v>16</v>
      </c>
      <c r="L2248">
        <v>0</v>
      </c>
      <c r="M2248">
        <v>2.21</v>
      </c>
      <c r="N2248">
        <v>10</v>
      </c>
      <c r="O2248" t="s">
        <v>17</v>
      </c>
      <c r="P2248" cm="1">
        <f t="array" ref="P2248">_xlfn.SWITCH(Table2[[#This Row],[mood]], "Tired", 3, "Neutral", 2, "Happy", 1)</f>
        <v>3</v>
      </c>
    </row>
    <row r="2249" spans="1:16" x14ac:dyDescent="0.3">
      <c r="A2249">
        <v>1169</v>
      </c>
      <c r="B2249" s="1">
        <v>44252</v>
      </c>
      <c r="C2249">
        <v>27</v>
      </c>
      <c r="D2249" t="s">
        <v>20</v>
      </c>
      <c r="E2249">
        <v>175</v>
      </c>
      <c r="F2249">
        <v>50</v>
      </c>
      <c r="G2249">
        <v>15941</v>
      </c>
      <c r="H2249">
        <v>837.3</v>
      </c>
      <c r="I2249">
        <v>9.1</v>
      </c>
      <c r="J2249">
        <v>74</v>
      </c>
      <c r="K2249" t="s">
        <v>24</v>
      </c>
      <c r="L2249">
        <v>57</v>
      </c>
      <c r="M2249">
        <v>3.8</v>
      </c>
      <c r="N2249">
        <v>6</v>
      </c>
      <c r="O2249" t="s">
        <v>21</v>
      </c>
      <c r="P2249" cm="1">
        <f t="array" ref="P2249">_xlfn.SWITCH(Table2[[#This Row],[mood]], "Tired", 3, "Neutral", 2, "Happy", 1)</f>
        <v>1</v>
      </c>
    </row>
    <row r="2250" spans="1:16" x14ac:dyDescent="0.3">
      <c r="A2250">
        <v>1355</v>
      </c>
      <c r="B2250" s="1">
        <v>44253</v>
      </c>
      <c r="C2250">
        <v>34</v>
      </c>
      <c r="D2250" t="s">
        <v>20</v>
      </c>
      <c r="E2250">
        <v>180.5</v>
      </c>
      <c r="F2250">
        <v>61.1</v>
      </c>
      <c r="G2250">
        <v>12017</v>
      </c>
      <c r="H2250">
        <v>752.7</v>
      </c>
      <c r="I2250">
        <v>9.1</v>
      </c>
      <c r="J2250">
        <v>82</v>
      </c>
      <c r="K2250" t="s">
        <v>25</v>
      </c>
      <c r="L2250">
        <v>81</v>
      </c>
      <c r="M2250">
        <v>2.57</v>
      </c>
      <c r="N2250">
        <v>6</v>
      </c>
      <c r="O2250" t="s">
        <v>21</v>
      </c>
      <c r="P2250" cm="1">
        <f t="array" ref="P2250">_xlfn.SWITCH(Table2[[#This Row],[mood]], "Tired", 3, "Neutral", 2, "Happy", 1)</f>
        <v>1</v>
      </c>
    </row>
    <row r="2251" spans="1:16" x14ac:dyDescent="0.3">
      <c r="A2251">
        <v>1190</v>
      </c>
      <c r="B2251" s="1">
        <v>44254</v>
      </c>
      <c r="C2251">
        <v>22</v>
      </c>
      <c r="D2251" t="s">
        <v>20</v>
      </c>
      <c r="E2251">
        <v>160.1</v>
      </c>
      <c r="F2251">
        <v>70.5</v>
      </c>
      <c r="G2251">
        <v>5453</v>
      </c>
      <c r="H2251">
        <v>459.6</v>
      </c>
      <c r="I2251">
        <v>6.9</v>
      </c>
      <c r="J2251">
        <v>92</v>
      </c>
      <c r="K2251" t="s">
        <v>18</v>
      </c>
      <c r="L2251">
        <v>60</v>
      </c>
      <c r="M2251">
        <v>3.73</v>
      </c>
      <c r="N2251">
        <v>3</v>
      </c>
      <c r="O2251" t="s">
        <v>21</v>
      </c>
      <c r="P2251" cm="1">
        <f t="array" ref="P2251">_xlfn.SWITCH(Table2[[#This Row],[mood]], "Tired", 3, "Neutral", 2, "Happy", 1)</f>
        <v>1</v>
      </c>
    </row>
    <row r="2252" spans="1:16" x14ac:dyDescent="0.3">
      <c r="A2252">
        <v>1666</v>
      </c>
      <c r="B2252" s="1">
        <v>44255</v>
      </c>
      <c r="C2252">
        <v>59</v>
      </c>
      <c r="D2252" t="s">
        <v>20</v>
      </c>
      <c r="E2252">
        <v>179.8</v>
      </c>
      <c r="F2252">
        <v>61</v>
      </c>
      <c r="G2252">
        <v>13206</v>
      </c>
      <c r="H2252">
        <v>710.9</v>
      </c>
      <c r="I2252">
        <v>9</v>
      </c>
      <c r="J2252">
        <v>74</v>
      </c>
      <c r="K2252" t="s">
        <v>18</v>
      </c>
      <c r="L2252">
        <v>64</v>
      </c>
      <c r="M2252">
        <v>1.22</v>
      </c>
      <c r="N2252">
        <v>5</v>
      </c>
      <c r="O2252" t="s">
        <v>21</v>
      </c>
      <c r="P2252" cm="1">
        <f t="array" ref="P2252">_xlfn.SWITCH(Table2[[#This Row],[mood]], "Tired", 3, "Neutral", 2, "Happy", 1)</f>
        <v>1</v>
      </c>
    </row>
    <row r="2253" spans="1:16" x14ac:dyDescent="0.3">
      <c r="A2253">
        <v>1421</v>
      </c>
      <c r="B2253" s="1">
        <v>44256</v>
      </c>
      <c r="C2253">
        <v>26</v>
      </c>
      <c r="D2253" t="s">
        <v>15</v>
      </c>
      <c r="E2253">
        <v>179.3</v>
      </c>
      <c r="F2253">
        <v>66.7</v>
      </c>
      <c r="G2253">
        <v>14710</v>
      </c>
      <c r="H2253">
        <v>785.9</v>
      </c>
      <c r="I2253">
        <v>6.5</v>
      </c>
      <c r="J2253">
        <v>75</v>
      </c>
      <c r="K2253" t="s">
        <v>18</v>
      </c>
      <c r="L2253">
        <v>35</v>
      </c>
      <c r="M2253">
        <v>2.06</v>
      </c>
      <c r="N2253">
        <v>9</v>
      </c>
      <c r="O2253" t="s">
        <v>19</v>
      </c>
      <c r="P2253" cm="1">
        <f t="array" ref="P2253">_xlfn.SWITCH(Table2[[#This Row],[mood]], "Tired", 3, "Neutral", 2, "Happy", 1)</f>
        <v>2</v>
      </c>
    </row>
    <row r="2254" spans="1:16" x14ac:dyDescent="0.3">
      <c r="A2254">
        <v>1699</v>
      </c>
      <c r="B2254" s="1">
        <v>44257</v>
      </c>
      <c r="C2254">
        <v>50</v>
      </c>
      <c r="D2254" t="s">
        <v>20</v>
      </c>
      <c r="E2254">
        <v>172.9</v>
      </c>
      <c r="F2254">
        <v>94.2</v>
      </c>
      <c r="G2254">
        <v>15860</v>
      </c>
      <c r="H2254">
        <v>899.1</v>
      </c>
      <c r="I2254">
        <v>7.4</v>
      </c>
      <c r="J2254">
        <v>87</v>
      </c>
      <c r="K2254" t="s">
        <v>22</v>
      </c>
      <c r="L2254">
        <v>38</v>
      </c>
      <c r="M2254">
        <v>2.79</v>
      </c>
      <c r="N2254">
        <v>7</v>
      </c>
      <c r="O2254" t="s">
        <v>19</v>
      </c>
      <c r="P2254" cm="1">
        <f t="array" ref="P2254">_xlfn.SWITCH(Table2[[#This Row],[mood]], "Tired", 3, "Neutral", 2, "Happy", 1)</f>
        <v>2</v>
      </c>
    </row>
    <row r="2255" spans="1:16" x14ac:dyDescent="0.3">
      <c r="A2255">
        <v>1006</v>
      </c>
      <c r="B2255" s="1">
        <v>44258</v>
      </c>
      <c r="C2255">
        <v>53</v>
      </c>
      <c r="D2255" t="s">
        <v>20</v>
      </c>
      <c r="E2255">
        <v>164.6</v>
      </c>
      <c r="F2255">
        <v>54.7</v>
      </c>
      <c r="G2255">
        <v>9086</v>
      </c>
      <c r="H2255">
        <v>635.1</v>
      </c>
      <c r="I2255">
        <v>5.8</v>
      </c>
      <c r="J2255">
        <v>63</v>
      </c>
      <c r="K2255" t="s">
        <v>22</v>
      </c>
      <c r="L2255">
        <v>56</v>
      </c>
      <c r="M2255">
        <v>2.57</v>
      </c>
      <c r="N2255">
        <v>9</v>
      </c>
      <c r="O2255" t="s">
        <v>17</v>
      </c>
      <c r="P2255" cm="1">
        <f t="array" ref="P2255">_xlfn.SWITCH(Table2[[#This Row],[mood]], "Tired", 3, "Neutral", 2, "Happy", 1)</f>
        <v>3</v>
      </c>
    </row>
    <row r="2256" spans="1:16" x14ac:dyDescent="0.3">
      <c r="A2256">
        <v>1132</v>
      </c>
      <c r="B2256" s="1">
        <v>44259</v>
      </c>
      <c r="C2256">
        <v>53</v>
      </c>
      <c r="D2256" t="s">
        <v>15</v>
      </c>
      <c r="E2256">
        <v>179.4</v>
      </c>
      <c r="F2256">
        <v>45</v>
      </c>
      <c r="G2256">
        <v>16776</v>
      </c>
      <c r="H2256">
        <v>866.3</v>
      </c>
      <c r="I2256">
        <v>7.9</v>
      </c>
      <c r="J2256">
        <v>76</v>
      </c>
      <c r="K2256" t="s">
        <v>18</v>
      </c>
      <c r="L2256">
        <v>80</v>
      </c>
      <c r="M2256">
        <v>1.06</v>
      </c>
      <c r="N2256">
        <v>2</v>
      </c>
      <c r="O2256" t="s">
        <v>17</v>
      </c>
      <c r="P2256" cm="1">
        <f t="array" ref="P2256">_xlfn.SWITCH(Table2[[#This Row],[mood]], "Tired", 3, "Neutral", 2, "Happy", 1)</f>
        <v>3</v>
      </c>
    </row>
    <row r="2257" spans="1:16" x14ac:dyDescent="0.3">
      <c r="A2257">
        <v>1746</v>
      </c>
      <c r="B2257" s="1">
        <v>44260</v>
      </c>
      <c r="C2257">
        <v>35</v>
      </c>
      <c r="D2257" t="s">
        <v>20</v>
      </c>
      <c r="E2257">
        <v>175.1</v>
      </c>
      <c r="F2257">
        <v>61</v>
      </c>
      <c r="G2257">
        <v>19050</v>
      </c>
      <c r="H2257">
        <v>900</v>
      </c>
      <c r="I2257">
        <v>7.5</v>
      </c>
      <c r="J2257">
        <v>67</v>
      </c>
      <c r="K2257" t="s">
        <v>18</v>
      </c>
      <c r="L2257">
        <v>45</v>
      </c>
      <c r="M2257">
        <v>2.34</v>
      </c>
      <c r="N2257">
        <v>10</v>
      </c>
      <c r="O2257" t="s">
        <v>19</v>
      </c>
      <c r="P2257" cm="1">
        <f t="array" ref="P2257">_xlfn.SWITCH(Table2[[#This Row],[mood]], "Tired", 3, "Neutral", 2, "Happy", 1)</f>
        <v>2</v>
      </c>
    </row>
    <row r="2258" spans="1:16" x14ac:dyDescent="0.3">
      <c r="A2258">
        <v>1556</v>
      </c>
      <c r="B2258" s="1">
        <v>44261</v>
      </c>
      <c r="C2258">
        <v>26</v>
      </c>
      <c r="D2258" t="s">
        <v>20</v>
      </c>
      <c r="E2258">
        <v>159.80000000000001</v>
      </c>
      <c r="F2258">
        <v>65.099999999999994</v>
      </c>
      <c r="G2258">
        <v>8389</v>
      </c>
      <c r="H2258">
        <v>430.5</v>
      </c>
      <c r="I2258">
        <v>7.8</v>
      </c>
      <c r="J2258">
        <v>76</v>
      </c>
      <c r="K2258" t="s">
        <v>16</v>
      </c>
      <c r="L2258">
        <v>0</v>
      </c>
      <c r="M2258">
        <v>4.2300000000000004</v>
      </c>
      <c r="N2258">
        <v>10</v>
      </c>
      <c r="O2258" t="s">
        <v>19</v>
      </c>
      <c r="P2258" cm="1">
        <f t="array" ref="P2258">_xlfn.SWITCH(Table2[[#This Row],[mood]], "Tired", 3, "Neutral", 2, "Happy", 1)</f>
        <v>2</v>
      </c>
    </row>
    <row r="2259" spans="1:16" x14ac:dyDescent="0.3">
      <c r="A2259">
        <v>1825</v>
      </c>
      <c r="B2259" s="1">
        <v>44262</v>
      </c>
      <c r="C2259">
        <v>46</v>
      </c>
      <c r="D2259" t="s">
        <v>15</v>
      </c>
      <c r="E2259">
        <v>166.3</v>
      </c>
      <c r="F2259">
        <v>62.7</v>
      </c>
      <c r="G2259">
        <v>12774</v>
      </c>
      <c r="H2259">
        <v>605.9</v>
      </c>
      <c r="I2259">
        <v>5</v>
      </c>
      <c r="J2259">
        <v>84</v>
      </c>
      <c r="K2259" t="s">
        <v>22</v>
      </c>
      <c r="L2259">
        <v>32</v>
      </c>
      <c r="M2259">
        <v>2.67</v>
      </c>
      <c r="N2259">
        <v>1</v>
      </c>
      <c r="O2259" t="s">
        <v>21</v>
      </c>
      <c r="P2259" cm="1">
        <f t="array" ref="P2259">_xlfn.SWITCH(Table2[[#This Row],[mood]], "Tired", 3, "Neutral", 2, "Happy", 1)</f>
        <v>1</v>
      </c>
    </row>
    <row r="2260" spans="1:16" x14ac:dyDescent="0.3">
      <c r="A2260">
        <v>1760</v>
      </c>
      <c r="B2260" s="1">
        <v>44263</v>
      </c>
      <c r="C2260">
        <v>31</v>
      </c>
      <c r="D2260" t="s">
        <v>15</v>
      </c>
      <c r="E2260">
        <v>178.2</v>
      </c>
      <c r="F2260">
        <v>74</v>
      </c>
      <c r="G2260">
        <v>3200</v>
      </c>
      <c r="H2260">
        <v>351.6</v>
      </c>
      <c r="I2260">
        <v>4</v>
      </c>
      <c r="J2260">
        <v>58</v>
      </c>
      <c r="K2260" t="s">
        <v>25</v>
      </c>
      <c r="L2260">
        <v>53</v>
      </c>
      <c r="M2260">
        <v>2.92</v>
      </c>
      <c r="N2260">
        <v>2</v>
      </c>
      <c r="O2260" t="s">
        <v>21</v>
      </c>
      <c r="P2260" cm="1">
        <f t="array" ref="P2260">_xlfn.SWITCH(Table2[[#This Row],[mood]], "Tired", 3, "Neutral", 2, "Happy", 1)</f>
        <v>1</v>
      </c>
    </row>
    <row r="2261" spans="1:16" x14ac:dyDescent="0.3">
      <c r="A2261">
        <v>1030</v>
      </c>
      <c r="B2261" s="1">
        <v>44264</v>
      </c>
      <c r="C2261">
        <v>42</v>
      </c>
      <c r="D2261" t="s">
        <v>15</v>
      </c>
      <c r="E2261">
        <v>171.1</v>
      </c>
      <c r="F2261">
        <v>54.6</v>
      </c>
      <c r="G2261">
        <v>13142</v>
      </c>
      <c r="H2261">
        <v>748.3</v>
      </c>
      <c r="I2261">
        <v>5.3</v>
      </c>
      <c r="J2261">
        <v>86</v>
      </c>
      <c r="K2261" t="s">
        <v>24</v>
      </c>
      <c r="L2261">
        <v>42</v>
      </c>
      <c r="M2261">
        <v>2.0499999999999998</v>
      </c>
      <c r="N2261">
        <v>6</v>
      </c>
      <c r="O2261" t="s">
        <v>21</v>
      </c>
      <c r="P2261" cm="1">
        <f t="array" ref="P2261">_xlfn.SWITCH(Table2[[#This Row],[mood]], "Tired", 3, "Neutral", 2, "Happy", 1)</f>
        <v>1</v>
      </c>
    </row>
    <row r="2262" spans="1:16" x14ac:dyDescent="0.3">
      <c r="A2262">
        <v>1534</v>
      </c>
      <c r="B2262" s="1">
        <v>44265</v>
      </c>
      <c r="C2262">
        <v>32</v>
      </c>
      <c r="D2262" t="s">
        <v>20</v>
      </c>
      <c r="E2262">
        <v>180.9</v>
      </c>
      <c r="F2262">
        <v>52.4</v>
      </c>
      <c r="G2262">
        <v>18367</v>
      </c>
      <c r="H2262">
        <v>900</v>
      </c>
      <c r="I2262">
        <v>7.7</v>
      </c>
      <c r="J2262">
        <v>79</v>
      </c>
      <c r="K2262" t="s">
        <v>25</v>
      </c>
      <c r="L2262">
        <v>39</v>
      </c>
      <c r="M2262">
        <v>2.67</v>
      </c>
      <c r="N2262">
        <v>10</v>
      </c>
      <c r="O2262" t="s">
        <v>17</v>
      </c>
      <c r="P2262" cm="1">
        <f t="array" ref="P2262">_xlfn.SWITCH(Table2[[#This Row],[mood]], "Tired", 3, "Neutral", 2, "Happy", 1)</f>
        <v>3</v>
      </c>
    </row>
    <row r="2263" spans="1:16" x14ac:dyDescent="0.3">
      <c r="A2263">
        <v>1425</v>
      </c>
      <c r="B2263" s="1">
        <v>44266</v>
      </c>
      <c r="C2263">
        <v>23</v>
      </c>
      <c r="D2263" t="s">
        <v>15</v>
      </c>
      <c r="E2263">
        <v>166.6</v>
      </c>
      <c r="F2263">
        <v>59.9</v>
      </c>
      <c r="G2263">
        <v>7051</v>
      </c>
      <c r="H2263">
        <v>547.1</v>
      </c>
      <c r="I2263">
        <v>8</v>
      </c>
      <c r="J2263">
        <v>76</v>
      </c>
      <c r="K2263" t="s">
        <v>16</v>
      </c>
      <c r="L2263">
        <v>0</v>
      </c>
      <c r="M2263">
        <v>2.4900000000000002</v>
      </c>
      <c r="N2263">
        <v>7</v>
      </c>
      <c r="O2263" t="s">
        <v>17</v>
      </c>
      <c r="P2263" cm="1">
        <f t="array" ref="P2263">_xlfn.SWITCH(Table2[[#This Row],[mood]], "Tired", 3, "Neutral", 2, "Happy", 1)</f>
        <v>3</v>
      </c>
    </row>
    <row r="2264" spans="1:16" x14ac:dyDescent="0.3">
      <c r="A2264">
        <v>1393</v>
      </c>
      <c r="B2264" s="1">
        <v>44267</v>
      </c>
      <c r="C2264">
        <v>59</v>
      </c>
      <c r="D2264" t="s">
        <v>15</v>
      </c>
      <c r="E2264">
        <v>160</v>
      </c>
      <c r="F2264">
        <v>60.2</v>
      </c>
      <c r="G2264">
        <v>5115</v>
      </c>
      <c r="H2264">
        <v>394.3</v>
      </c>
      <c r="I2264">
        <v>8.6999999999999993</v>
      </c>
      <c r="J2264">
        <v>88</v>
      </c>
      <c r="K2264" t="s">
        <v>24</v>
      </c>
      <c r="L2264">
        <v>77</v>
      </c>
      <c r="M2264">
        <v>3.28</v>
      </c>
      <c r="N2264">
        <v>8</v>
      </c>
      <c r="O2264" t="s">
        <v>17</v>
      </c>
      <c r="P2264" cm="1">
        <f t="array" ref="P2264">_xlfn.SWITCH(Table2[[#This Row],[mood]], "Tired", 3, "Neutral", 2, "Happy", 1)</f>
        <v>3</v>
      </c>
    </row>
    <row r="2265" spans="1:16" x14ac:dyDescent="0.3">
      <c r="A2265">
        <v>1671</v>
      </c>
      <c r="B2265" s="1">
        <v>44268</v>
      </c>
      <c r="C2265">
        <v>46</v>
      </c>
      <c r="D2265" t="s">
        <v>20</v>
      </c>
      <c r="E2265">
        <v>191.9</v>
      </c>
      <c r="F2265">
        <v>101.8</v>
      </c>
      <c r="G2265">
        <v>7371</v>
      </c>
      <c r="H2265">
        <v>465.4</v>
      </c>
      <c r="I2265">
        <v>6.4</v>
      </c>
      <c r="J2265">
        <v>67</v>
      </c>
      <c r="K2265" t="s">
        <v>23</v>
      </c>
      <c r="L2265">
        <v>78</v>
      </c>
      <c r="M2265">
        <v>3.26</v>
      </c>
      <c r="N2265">
        <v>6</v>
      </c>
      <c r="O2265" t="s">
        <v>17</v>
      </c>
      <c r="P2265" cm="1">
        <f t="array" ref="P2265">_xlfn.SWITCH(Table2[[#This Row],[mood]], "Tired", 3, "Neutral", 2, "Happy", 1)</f>
        <v>3</v>
      </c>
    </row>
    <row r="2266" spans="1:16" x14ac:dyDescent="0.3">
      <c r="A2266">
        <v>1362</v>
      </c>
      <c r="B2266" s="1">
        <v>44269</v>
      </c>
      <c r="C2266">
        <v>32</v>
      </c>
      <c r="D2266" t="s">
        <v>20</v>
      </c>
      <c r="E2266">
        <v>153.19999999999999</v>
      </c>
      <c r="F2266">
        <v>93.3</v>
      </c>
      <c r="G2266">
        <v>7587</v>
      </c>
      <c r="H2266">
        <v>562</v>
      </c>
      <c r="I2266">
        <v>7.3</v>
      </c>
      <c r="J2266">
        <v>62</v>
      </c>
      <c r="K2266" t="s">
        <v>23</v>
      </c>
      <c r="L2266">
        <v>39</v>
      </c>
      <c r="M2266">
        <v>2.79</v>
      </c>
      <c r="N2266">
        <v>6</v>
      </c>
      <c r="O2266" t="s">
        <v>21</v>
      </c>
      <c r="P2266" cm="1">
        <f t="array" ref="P2266">_xlfn.SWITCH(Table2[[#This Row],[mood]], "Tired", 3, "Neutral", 2, "Happy", 1)</f>
        <v>1</v>
      </c>
    </row>
    <row r="2267" spans="1:16" x14ac:dyDescent="0.3">
      <c r="A2267">
        <v>1436</v>
      </c>
      <c r="B2267" s="1">
        <v>44270</v>
      </c>
      <c r="C2267">
        <v>46</v>
      </c>
      <c r="D2267" t="s">
        <v>20</v>
      </c>
      <c r="E2267">
        <v>165</v>
      </c>
      <c r="F2267">
        <v>45</v>
      </c>
      <c r="G2267">
        <v>11607</v>
      </c>
      <c r="H2267">
        <v>716.2</v>
      </c>
      <c r="I2267">
        <v>5.9</v>
      </c>
      <c r="J2267">
        <v>65</v>
      </c>
      <c r="K2267" t="s">
        <v>25</v>
      </c>
      <c r="L2267">
        <v>58</v>
      </c>
      <c r="M2267">
        <v>2.5499999999999998</v>
      </c>
      <c r="N2267">
        <v>3</v>
      </c>
      <c r="O2267" t="s">
        <v>17</v>
      </c>
      <c r="P2267" cm="1">
        <f t="array" ref="P2267">_xlfn.SWITCH(Table2[[#This Row],[mood]], "Tired", 3, "Neutral", 2, "Happy", 1)</f>
        <v>3</v>
      </c>
    </row>
    <row r="2268" spans="1:16" x14ac:dyDescent="0.3">
      <c r="A2268">
        <v>1669</v>
      </c>
      <c r="B2268" s="1">
        <v>44271</v>
      </c>
      <c r="C2268">
        <v>21</v>
      </c>
      <c r="D2268" t="s">
        <v>20</v>
      </c>
      <c r="E2268">
        <v>172.8</v>
      </c>
      <c r="F2268">
        <v>45</v>
      </c>
      <c r="G2268">
        <v>16234</v>
      </c>
      <c r="H2268">
        <v>846.8</v>
      </c>
      <c r="I2268">
        <v>9.1</v>
      </c>
      <c r="J2268">
        <v>80</v>
      </c>
      <c r="K2268" t="s">
        <v>22</v>
      </c>
      <c r="L2268">
        <v>51</v>
      </c>
      <c r="M2268">
        <v>1.32</v>
      </c>
      <c r="N2268">
        <v>9</v>
      </c>
      <c r="O2268" t="s">
        <v>17</v>
      </c>
      <c r="P2268" cm="1">
        <f t="array" ref="P2268">_xlfn.SWITCH(Table2[[#This Row],[mood]], "Tired", 3, "Neutral", 2, "Happy", 1)</f>
        <v>3</v>
      </c>
    </row>
    <row r="2269" spans="1:16" x14ac:dyDescent="0.3">
      <c r="A2269">
        <v>1550</v>
      </c>
      <c r="B2269" s="1">
        <v>44272</v>
      </c>
      <c r="C2269">
        <v>35</v>
      </c>
      <c r="D2269" t="s">
        <v>20</v>
      </c>
      <c r="E2269">
        <v>179.9</v>
      </c>
      <c r="F2269">
        <v>68.7</v>
      </c>
      <c r="G2269">
        <v>14930</v>
      </c>
      <c r="H2269">
        <v>823.1</v>
      </c>
      <c r="I2269">
        <v>5.9</v>
      </c>
      <c r="J2269">
        <v>70</v>
      </c>
      <c r="K2269" t="s">
        <v>18</v>
      </c>
      <c r="L2269">
        <v>60</v>
      </c>
      <c r="M2269">
        <v>1.3</v>
      </c>
      <c r="N2269">
        <v>2</v>
      </c>
      <c r="O2269" t="s">
        <v>21</v>
      </c>
      <c r="P2269" cm="1">
        <f t="array" ref="P2269">_xlfn.SWITCH(Table2[[#This Row],[mood]], "Tired", 3, "Neutral", 2, "Happy", 1)</f>
        <v>1</v>
      </c>
    </row>
    <row r="2270" spans="1:16" x14ac:dyDescent="0.3">
      <c r="A2270">
        <v>1926</v>
      </c>
      <c r="B2270" s="1">
        <v>44273</v>
      </c>
      <c r="C2270">
        <v>56</v>
      </c>
      <c r="D2270" t="s">
        <v>15</v>
      </c>
      <c r="E2270">
        <v>176.5</v>
      </c>
      <c r="F2270">
        <v>98.7</v>
      </c>
      <c r="G2270">
        <v>10080</v>
      </c>
      <c r="H2270">
        <v>635.4</v>
      </c>
      <c r="I2270">
        <v>8.8000000000000007</v>
      </c>
      <c r="J2270">
        <v>66</v>
      </c>
      <c r="K2270" t="s">
        <v>23</v>
      </c>
      <c r="L2270">
        <v>88</v>
      </c>
      <c r="M2270">
        <v>2.56</v>
      </c>
      <c r="N2270">
        <v>5</v>
      </c>
      <c r="O2270" t="s">
        <v>21</v>
      </c>
      <c r="P2270" cm="1">
        <f t="array" ref="P2270">_xlfn.SWITCH(Table2[[#This Row],[mood]], "Tired", 3, "Neutral", 2, "Happy", 1)</f>
        <v>1</v>
      </c>
    </row>
    <row r="2271" spans="1:16" x14ac:dyDescent="0.3">
      <c r="A2271">
        <v>1081</v>
      </c>
      <c r="B2271" s="1">
        <v>44274</v>
      </c>
      <c r="C2271">
        <v>33</v>
      </c>
      <c r="D2271" t="s">
        <v>15</v>
      </c>
      <c r="E2271">
        <v>193.1</v>
      </c>
      <c r="F2271">
        <v>80</v>
      </c>
      <c r="G2271">
        <v>2883</v>
      </c>
      <c r="H2271">
        <v>424.1</v>
      </c>
      <c r="I2271">
        <v>6.6</v>
      </c>
      <c r="J2271">
        <v>65</v>
      </c>
      <c r="K2271" t="s">
        <v>16</v>
      </c>
      <c r="L2271">
        <v>0</v>
      </c>
      <c r="M2271">
        <v>3.11</v>
      </c>
      <c r="N2271">
        <v>3</v>
      </c>
      <c r="O2271" t="s">
        <v>19</v>
      </c>
      <c r="P2271" cm="1">
        <f t="array" ref="P2271">_xlfn.SWITCH(Table2[[#This Row],[mood]], "Tired", 3, "Neutral", 2, "Happy", 1)</f>
        <v>2</v>
      </c>
    </row>
    <row r="2272" spans="1:16" x14ac:dyDescent="0.3">
      <c r="A2272">
        <v>1355</v>
      </c>
      <c r="B2272" s="1">
        <v>44275</v>
      </c>
      <c r="C2272">
        <v>28</v>
      </c>
      <c r="D2272" t="s">
        <v>15</v>
      </c>
      <c r="E2272">
        <v>168.8</v>
      </c>
      <c r="F2272">
        <v>69.5</v>
      </c>
      <c r="G2272">
        <v>5821</v>
      </c>
      <c r="H2272">
        <v>426.3</v>
      </c>
      <c r="I2272">
        <v>9.4</v>
      </c>
      <c r="J2272">
        <v>77</v>
      </c>
      <c r="K2272" t="s">
        <v>22</v>
      </c>
      <c r="L2272">
        <v>40</v>
      </c>
      <c r="M2272">
        <v>3.43</v>
      </c>
      <c r="N2272">
        <v>1</v>
      </c>
      <c r="O2272" t="s">
        <v>21</v>
      </c>
      <c r="P2272" cm="1">
        <f t="array" ref="P2272">_xlfn.SWITCH(Table2[[#This Row],[mood]], "Tired", 3, "Neutral", 2, "Happy", 1)</f>
        <v>1</v>
      </c>
    </row>
    <row r="2273" spans="1:16" x14ac:dyDescent="0.3">
      <c r="A2273">
        <v>1257</v>
      </c>
      <c r="B2273" s="1">
        <v>44276</v>
      </c>
      <c r="C2273">
        <v>31</v>
      </c>
      <c r="D2273" t="s">
        <v>20</v>
      </c>
      <c r="E2273">
        <v>161.30000000000001</v>
      </c>
      <c r="F2273">
        <v>63.2</v>
      </c>
      <c r="G2273">
        <v>4822</v>
      </c>
      <c r="H2273">
        <v>333.9</v>
      </c>
      <c r="I2273">
        <v>7.3</v>
      </c>
      <c r="J2273">
        <v>75</v>
      </c>
      <c r="K2273" t="s">
        <v>22</v>
      </c>
      <c r="L2273">
        <v>43</v>
      </c>
      <c r="M2273">
        <v>1.88</v>
      </c>
      <c r="N2273">
        <v>2</v>
      </c>
      <c r="O2273" t="s">
        <v>17</v>
      </c>
      <c r="P2273" cm="1">
        <f t="array" ref="P2273">_xlfn.SWITCH(Table2[[#This Row],[mood]], "Tired", 3, "Neutral", 2, "Happy", 1)</f>
        <v>3</v>
      </c>
    </row>
    <row r="2274" spans="1:16" x14ac:dyDescent="0.3">
      <c r="A2274">
        <v>1717</v>
      </c>
      <c r="B2274" s="1">
        <v>44277</v>
      </c>
      <c r="C2274">
        <v>20</v>
      </c>
      <c r="D2274" t="s">
        <v>20</v>
      </c>
      <c r="E2274">
        <v>167.8</v>
      </c>
      <c r="F2274">
        <v>86.2</v>
      </c>
      <c r="G2274">
        <v>9338</v>
      </c>
      <c r="H2274">
        <v>604.79999999999995</v>
      </c>
      <c r="I2274">
        <v>7.2</v>
      </c>
      <c r="J2274">
        <v>61</v>
      </c>
      <c r="K2274" t="s">
        <v>24</v>
      </c>
      <c r="L2274">
        <v>35</v>
      </c>
      <c r="M2274">
        <v>1.44</v>
      </c>
      <c r="N2274">
        <v>6</v>
      </c>
      <c r="O2274" t="s">
        <v>21</v>
      </c>
      <c r="P2274" cm="1">
        <f t="array" ref="P2274">_xlfn.SWITCH(Table2[[#This Row],[mood]], "Tired", 3, "Neutral", 2, "Happy", 1)</f>
        <v>1</v>
      </c>
    </row>
    <row r="2275" spans="1:16" x14ac:dyDescent="0.3">
      <c r="A2275">
        <v>1588</v>
      </c>
      <c r="B2275" s="1">
        <v>44278</v>
      </c>
      <c r="C2275">
        <v>59</v>
      </c>
      <c r="D2275" t="s">
        <v>20</v>
      </c>
      <c r="E2275">
        <v>166.8</v>
      </c>
      <c r="F2275">
        <v>72.7</v>
      </c>
      <c r="G2275">
        <v>19100</v>
      </c>
      <c r="H2275">
        <v>900</v>
      </c>
      <c r="I2275">
        <v>5.9</v>
      </c>
      <c r="J2275">
        <v>61</v>
      </c>
      <c r="K2275" t="s">
        <v>23</v>
      </c>
      <c r="L2275">
        <v>51</v>
      </c>
      <c r="M2275">
        <v>3.15</v>
      </c>
      <c r="N2275">
        <v>10</v>
      </c>
      <c r="O2275" t="s">
        <v>17</v>
      </c>
      <c r="P2275" cm="1">
        <f t="array" ref="P2275">_xlfn.SWITCH(Table2[[#This Row],[mood]], "Tired", 3, "Neutral", 2, "Happy", 1)</f>
        <v>3</v>
      </c>
    </row>
    <row r="2276" spans="1:16" x14ac:dyDescent="0.3">
      <c r="A2276">
        <v>1988</v>
      </c>
      <c r="B2276" s="1">
        <v>44279</v>
      </c>
      <c r="C2276">
        <v>55</v>
      </c>
      <c r="D2276" t="s">
        <v>15</v>
      </c>
      <c r="E2276">
        <v>169.3</v>
      </c>
      <c r="F2276">
        <v>96</v>
      </c>
      <c r="G2276">
        <v>3477</v>
      </c>
      <c r="H2276">
        <v>344.7</v>
      </c>
      <c r="I2276">
        <v>10</v>
      </c>
      <c r="J2276">
        <v>70</v>
      </c>
      <c r="K2276" t="s">
        <v>25</v>
      </c>
      <c r="L2276">
        <v>45</v>
      </c>
      <c r="M2276">
        <v>1.93</v>
      </c>
      <c r="N2276">
        <v>1</v>
      </c>
      <c r="O2276" t="s">
        <v>19</v>
      </c>
      <c r="P2276" cm="1">
        <f t="array" ref="P2276">_xlfn.SWITCH(Table2[[#This Row],[mood]], "Tired", 3, "Neutral", 2, "Happy", 1)</f>
        <v>2</v>
      </c>
    </row>
    <row r="2277" spans="1:16" x14ac:dyDescent="0.3">
      <c r="A2277">
        <v>1523</v>
      </c>
      <c r="B2277" s="1">
        <v>44280</v>
      </c>
      <c r="C2277">
        <v>59</v>
      </c>
      <c r="D2277" t="s">
        <v>15</v>
      </c>
      <c r="E2277">
        <v>160.19999999999999</v>
      </c>
      <c r="F2277">
        <v>45</v>
      </c>
      <c r="G2277">
        <v>14135</v>
      </c>
      <c r="H2277">
        <v>763.8</v>
      </c>
      <c r="I2277">
        <v>8.5</v>
      </c>
      <c r="J2277">
        <v>84</v>
      </c>
      <c r="K2277" t="s">
        <v>16</v>
      </c>
      <c r="L2277">
        <v>0</v>
      </c>
      <c r="M2277">
        <v>1.4</v>
      </c>
      <c r="N2277">
        <v>2</v>
      </c>
      <c r="O2277" t="s">
        <v>19</v>
      </c>
      <c r="P2277" cm="1">
        <f t="array" ref="P2277">_xlfn.SWITCH(Table2[[#This Row],[mood]], "Tired", 3, "Neutral", 2, "Happy", 1)</f>
        <v>2</v>
      </c>
    </row>
    <row r="2278" spans="1:16" x14ac:dyDescent="0.3">
      <c r="A2278">
        <v>1294</v>
      </c>
      <c r="B2278" s="1">
        <v>44281</v>
      </c>
      <c r="C2278">
        <v>35</v>
      </c>
      <c r="D2278" t="s">
        <v>20</v>
      </c>
      <c r="E2278">
        <v>177.8</v>
      </c>
      <c r="F2278">
        <v>76.400000000000006</v>
      </c>
      <c r="G2278">
        <v>10655</v>
      </c>
      <c r="H2278">
        <v>546.6</v>
      </c>
      <c r="I2278">
        <v>7.8</v>
      </c>
      <c r="J2278">
        <v>71</v>
      </c>
      <c r="K2278" t="s">
        <v>22</v>
      </c>
      <c r="L2278">
        <v>26</v>
      </c>
      <c r="M2278">
        <v>2.15</v>
      </c>
      <c r="N2278">
        <v>10</v>
      </c>
      <c r="O2278" t="s">
        <v>19</v>
      </c>
      <c r="P2278" cm="1">
        <f t="array" ref="P2278">_xlfn.SWITCH(Table2[[#This Row],[mood]], "Tired", 3, "Neutral", 2, "Happy", 1)</f>
        <v>2</v>
      </c>
    </row>
    <row r="2279" spans="1:16" x14ac:dyDescent="0.3">
      <c r="A2279">
        <v>1961</v>
      </c>
      <c r="B2279" s="1">
        <v>44282</v>
      </c>
      <c r="C2279">
        <v>37</v>
      </c>
      <c r="D2279" t="s">
        <v>15</v>
      </c>
      <c r="E2279">
        <v>173.7</v>
      </c>
      <c r="F2279">
        <v>61.6</v>
      </c>
      <c r="G2279">
        <v>11437</v>
      </c>
      <c r="H2279">
        <v>670.5</v>
      </c>
      <c r="I2279">
        <v>7.4</v>
      </c>
      <c r="J2279">
        <v>60</v>
      </c>
      <c r="K2279" t="s">
        <v>25</v>
      </c>
      <c r="L2279">
        <v>35</v>
      </c>
      <c r="M2279">
        <v>2.14</v>
      </c>
      <c r="N2279">
        <v>5</v>
      </c>
      <c r="O2279" t="s">
        <v>17</v>
      </c>
      <c r="P2279" cm="1">
        <f t="array" ref="P2279">_xlfn.SWITCH(Table2[[#This Row],[mood]], "Tired", 3, "Neutral", 2, "Happy", 1)</f>
        <v>3</v>
      </c>
    </row>
    <row r="2280" spans="1:16" x14ac:dyDescent="0.3">
      <c r="A2280">
        <v>1223</v>
      </c>
      <c r="B2280" s="1">
        <v>44283</v>
      </c>
      <c r="C2280">
        <v>42</v>
      </c>
      <c r="D2280" t="s">
        <v>20</v>
      </c>
      <c r="E2280">
        <v>157.4</v>
      </c>
      <c r="F2280">
        <v>76.2</v>
      </c>
      <c r="G2280">
        <v>16332</v>
      </c>
      <c r="H2280">
        <v>835.3</v>
      </c>
      <c r="I2280">
        <v>6</v>
      </c>
      <c r="J2280">
        <v>74</v>
      </c>
      <c r="K2280" t="s">
        <v>25</v>
      </c>
      <c r="L2280">
        <v>72</v>
      </c>
      <c r="M2280">
        <v>3.42</v>
      </c>
      <c r="N2280">
        <v>1</v>
      </c>
      <c r="O2280" t="s">
        <v>17</v>
      </c>
      <c r="P2280" cm="1">
        <f t="array" ref="P2280">_xlfn.SWITCH(Table2[[#This Row],[mood]], "Tired", 3, "Neutral", 2, "Happy", 1)</f>
        <v>3</v>
      </c>
    </row>
    <row r="2281" spans="1:16" x14ac:dyDescent="0.3">
      <c r="A2281">
        <v>1524</v>
      </c>
      <c r="B2281" s="1">
        <v>44284</v>
      </c>
      <c r="C2281">
        <v>55</v>
      </c>
      <c r="D2281" t="s">
        <v>15</v>
      </c>
      <c r="E2281">
        <v>179.7</v>
      </c>
      <c r="F2281">
        <v>73.8</v>
      </c>
      <c r="G2281">
        <v>10502</v>
      </c>
      <c r="H2281">
        <v>604.6</v>
      </c>
      <c r="I2281">
        <v>8</v>
      </c>
      <c r="J2281">
        <v>75</v>
      </c>
      <c r="K2281" t="s">
        <v>16</v>
      </c>
      <c r="L2281">
        <v>0</v>
      </c>
      <c r="M2281">
        <v>3.11</v>
      </c>
      <c r="N2281">
        <v>10</v>
      </c>
      <c r="O2281" t="s">
        <v>19</v>
      </c>
      <c r="P2281" cm="1">
        <f t="array" ref="P2281">_xlfn.SWITCH(Table2[[#This Row],[mood]], "Tired", 3, "Neutral", 2, "Happy", 1)</f>
        <v>2</v>
      </c>
    </row>
    <row r="2282" spans="1:16" x14ac:dyDescent="0.3">
      <c r="A2282">
        <v>1045</v>
      </c>
      <c r="B2282" s="1">
        <v>44285</v>
      </c>
      <c r="C2282">
        <v>30</v>
      </c>
      <c r="D2282" t="s">
        <v>15</v>
      </c>
      <c r="E2282">
        <v>161.9</v>
      </c>
      <c r="F2282">
        <v>77.599999999999994</v>
      </c>
      <c r="G2282">
        <v>1368</v>
      </c>
      <c r="H2282">
        <v>234.8</v>
      </c>
      <c r="I2282">
        <v>6.9</v>
      </c>
      <c r="J2282">
        <v>60</v>
      </c>
      <c r="K2282" t="s">
        <v>23</v>
      </c>
      <c r="L2282">
        <v>64</v>
      </c>
      <c r="M2282">
        <v>1.98</v>
      </c>
      <c r="N2282">
        <v>4</v>
      </c>
      <c r="O2282" t="s">
        <v>19</v>
      </c>
      <c r="P2282" cm="1">
        <f t="array" ref="P2282">_xlfn.SWITCH(Table2[[#This Row],[mood]], "Tired", 3, "Neutral", 2, "Happy", 1)</f>
        <v>2</v>
      </c>
    </row>
    <row r="2283" spans="1:16" x14ac:dyDescent="0.3">
      <c r="A2283">
        <v>1666</v>
      </c>
      <c r="B2283" s="1">
        <v>44286</v>
      </c>
      <c r="C2283">
        <v>21</v>
      </c>
      <c r="D2283" t="s">
        <v>15</v>
      </c>
      <c r="E2283">
        <v>158.19999999999999</v>
      </c>
      <c r="F2283">
        <v>84.7</v>
      </c>
      <c r="G2283">
        <v>14598</v>
      </c>
      <c r="H2283">
        <v>782</v>
      </c>
      <c r="I2283">
        <v>7.1</v>
      </c>
      <c r="J2283">
        <v>63</v>
      </c>
      <c r="K2283" t="s">
        <v>16</v>
      </c>
      <c r="L2283">
        <v>0</v>
      </c>
      <c r="M2283">
        <v>3.48</v>
      </c>
      <c r="N2283">
        <v>5</v>
      </c>
      <c r="O2283" t="s">
        <v>17</v>
      </c>
      <c r="P2283" cm="1">
        <f t="array" ref="P2283">_xlfn.SWITCH(Table2[[#This Row],[mood]], "Tired", 3, "Neutral", 2, "Happy", 1)</f>
        <v>3</v>
      </c>
    </row>
    <row r="2284" spans="1:16" x14ac:dyDescent="0.3">
      <c r="A2284">
        <v>1112</v>
      </c>
      <c r="B2284" s="1">
        <v>44287</v>
      </c>
      <c r="C2284">
        <v>31</v>
      </c>
      <c r="D2284" t="s">
        <v>20</v>
      </c>
      <c r="E2284">
        <v>170.9</v>
      </c>
      <c r="F2284">
        <v>90.8</v>
      </c>
      <c r="G2284">
        <v>3747</v>
      </c>
      <c r="H2284">
        <v>362.9</v>
      </c>
      <c r="I2284">
        <v>8.3000000000000007</v>
      </c>
      <c r="J2284">
        <v>82</v>
      </c>
      <c r="K2284" t="s">
        <v>25</v>
      </c>
      <c r="L2284">
        <v>77</v>
      </c>
      <c r="M2284">
        <v>2.59</v>
      </c>
      <c r="N2284">
        <v>5</v>
      </c>
      <c r="O2284" t="s">
        <v>17</v>
      </c>
      <c r="P2284" cm="1">
        <f t="array" ref="P2284">_xlfn.SWITCH(Table2[[#This Row],[mood]], "Tired", 3, "Neutral", 2, "Happy", 1)</f>
        <v>3</v>
      </c>
    </row>
    <row r="2285" spans="1:16" x14ac:dyDescent="0.3">
      <c r="A2285">
        <v>1232</v>
      </c>
      <c r="B2285" s="1">
        <v>44288</v>
      </c>
      <c r="C2285">
        <v>50</v>
      </c>
      <c r="D2285" t="s">
        <v>15</v>
      </c>
      <c r="E2285">
        <v>152.4</v>
      </c>
      <c r="F2285">
        <v>99.3</v>
      </c>
      <c r="G2285">
        <v>8562</v>
      </c>
      <c r="H2285">
        <v>541</v>
      </c>
      <c r="I2285">
        <v>7.4</v>
      </c>
      <c r="J2285">
        <v>63</v>
      </c>
      <c r="K2285" t="s">
        <v>25</v>
      </c>
      <c r="L2285">
        <v>32</v>
      </c>
      <c r="M2285">
        <v>3.24</v>
      </c>
      <c r="N2285">
        <v>5</v>
      </c>
      <c r="O2285" t="s">
        <v>17</v>
      </c>
      <c r="P2285" cm="1">
        <f t="array" ref="P2285">_xlfn.SWITCH(Table2[[#This Row],[mood]], "Tired", 3, "Neutral", 2, "Happy", 1)</f>
        <v>3</v>
      </c>
    </row>
    <row r="2286" spans="1:16" x14ac:dyDescent="0.3">
      <c r="A2286">
        <v>1016</v>
      </c>
      <c r="B2286" s="1">
        <v>44289</v>
      </c>
      <c r="C2286">
        <v>45</v>
      </c>
      <c r="D2286" t="s">
        <v>15</v>
      </c>
      <c r="E2286">
        <v>175.9</v>
      </c>
      <c r="F2286">
        <v>70.2</v>
      </c>
      <c r="G2286">
        <v>8139</v>
      </c>
      <c r="H2286">
        <v>583.29999999999995</v>
      </c>
      <c r="I2286">
        <v>7</v>
      </c>
      <c r="J2286">
        <v>83</v>
      </c>
      <c r="K2286" t="s">
        <v>18</v>
      </c>
      <c r="L2286">
        <v>41</v>
      </c>
      <c r="M2286">
        <v>3.43</v>
      </c>
      <c r="N2286">
        <v>10</v>
      </c>
      <c r="O2286" t="s">
        <v>17</v>
      </c>
      <c r="P2286" cm="1">
        <f t="array" ref="P2286">_xlfn.SWITCH(Table2[[#This Row],[mood]], "Tired", 3, "Neutral", 2, "Happy", 1)</f>
        <v>3</v>
      </c>
    </row>
    <row r="2287" spans="1:16" x14ac:dyDescent="0.3">
      <c r="A2287">
        <v>1359</v>
      </c>
      <c r="B2287" s="1">
        <v>44290</v>
      </c>
      <c r="C2287">
        <v>54</v>
      </c>
      <c r="D2287" t="s">
        <v>20</v>
      </c>
      <c r="E2287">
        <v>150</v>
      </c>
      <c r="F2287">
        <v>61.9</v>
      </c>
      <c r="G2287">
        <v>11010</v>
      </c>
      <c r="H2287">
        <v>678.2</v>
      </c>
      <c r="I2287">
        <v>9.1999999999999993</v>
      </c>
      <c r="J2287">
        <v>60</v>
      </c>
      <c r="K2287" t="s">
        <v>16</v>
      </c>
      <c r="L2287">
        <v>0</v>
      </c>
      <c r="M2287">
        <v>2.3199999999999998</v>
      </c>
      <c r="N2287">
        <v>9</v>
      </c>
      <c r="O2287" t="s">
        <v>19</v>
      </c>
      <c r="P2287" cm="1">
        <f t="array" ref="P2287">_xlfn.SWITCH(Table2[[#This Row],[mood]], "Tired", 3, "Neutral", 2, "Happy", 1)</f>
        <v>2</v>
      </c>
    </row>
    <row r="2288" spans="1:16" x14ac:dyDescent="0.3">
      <c r="A2288">
        <v>1222</v>
      </c>
      <c r="B2288" s="1">
        <v>44291</v>
      </c>
      <c r="C2288">
        <v>25</v>
      </c>
      <c r="D2288" t="s">
        <v>15</v>
      </c>
      <c r="E2288">
        <v>159.69999999999999</v>
      </c>
      <c r="F2288">
        <v>51.6</v>
      </c>
      <c r="G2288">
        <v>7704</v>
      </c>
      <c r="H2288">
        <v>504.5</v>
      </c>
      <c r="I2288">
        <v>5.8</v>
      </c>
      <c r="J2288">
        <v>60</v>
      </c>
      <c r="K2288" t="s">
        <v>25</v>
      </c>
      <c r="L2288">
        <v>63</v>
      </c>
      <c r="M2288">
        <v>2.9</v>
      </c>
      <c r="N2288">
        <v>9</v>
      </c>
      <c r="O2288" t="s">
        <v>19</v>
      </c>
      <c r="P2288" cm="1">
        <f t="array" ref="P2288">_xlfn.SWITCH(Table2[[#This Row],[mood]], "Tired", 3, "Neutral", 2, "Happy", 1)</f>
        <v>2</v>
      </c>
    </row>
    <row r="2289" spans="1:16" x14ac:dyDescent="0.3">
      <c r="A2289">
        <v>1865</v>
      </c>
      <c r="B2289" s="1">
        <v>44292</v>
      </c>
      <c r="C2289">
        <v>51</v>
      </c>
      <c r="D2289" t="s">
        <v>20</v>
      </c>
      <c r="E2289">
        <v>185.8</v>
      </c>
      <c r="F2289">
        <v>76.5</v>
      </c>
      <c r="G2289">
        <v>2887</v>
      </c>
      <c r="H2289">
        <v>263.7</v>
      </c>
      <c r="I2289">
        <v>4.5</v>
      </c>
      <c r="J2289">
        <v>75</v>
      </c>
      <c r="K2289" t="s">
        <v>18</v>
      </c>
      <c r="L2289">
        <v>49</v>
      </c>
      <c r="M2289">
        <v>2.2200000000000002</v>
      </c>
      <c r="N2289">
        <v>5</v>
      </c>
      <c r="O2289" t="s">
        <v>21</v>
      </c>
      <c r="P2289" cm="1">
        <f t="array" ref="P2289">_xlfn.SWITCH(Table2[[#This Row],[mood]], "Tired", 3, "Neutral", 2, "Happy", 1)</f>
        <v>1</v>
      </c>
    </row>
    <row r="2290" spans="1:16" x14ac:dyDescent="0.3">
      <c r="A2290">
        <v>1699</v>
      </c>
      <c r="B2290" s="1">
        <v>44293</v>
      </c>
      <c r="C2290">
        <v>22</v>
      </c>
      <c r="D2290" t="s">
        <v>20</v>
      </c>
      <c r="E2290">
        <v>163.1</v>
      </c>
      <c r="F2290">
        <v>82.5</v>
      </c>
      <c r="G2290">
        <v>12975</v>
      </c>
      <c r="H2290">
        <v>748</v>
      </c>
      <c r="I2290">
        <v>5.8</v>
      </c>
      <c r="J2290">
        <v>67</v>
      </c>
      <c r="K2290" t="s">
        <v>23</v>
      </c>
      <c r="L2290">
        <v>42</v>
      </c>
      <c r="M2290">
        <v>3.15</v>
      </c>
      <c r="N2290">
        <v>6</v>
      </c>
      <c r="O2290" t="s">
        <v>21</v>
      </c>
      <c r="P2290" cm="1">
        <f t="array" ref="P2290">_xlfn.SWITCH(Table2[[#This Row],[mood]], "Tired", 3, "Neutral", 2, "Happy", 1)</f>
        <v>1</v>
      </c>
    </row>
    <row r="2291" spans="1:16" x14ac:dyDescent="0.3">
      <c r="A2291">
        <v>1447</v>
      </c>
      <c r="B2291" s="1">
        <v>44294</v>
      </c>
      <c r="C2291">
        <v>22</v>
      </c>
      <c r="D2291" t="s">
        <v>20</v>
      </c>
      <c r="E2291">
        <v>164.9</v>
      </c>
      <c r="F2291">
        <v>49.8</v>
      </c>
      <c r="G2291">
        <v>17443</v>
      </c>
      <c r="H2291">
        <v>882</v>
      </c>
      <c r="I2291">
        <v>7.2</v>
      </c>
      <c r="J2291">
        <v>70</v>
      </c>
      <c r="K2291" t="s">
        <v>25</v>
      </c>
      <c r="L2291">
        <v>31</v>
      </c>
      <c r="M2291">
        <v>2.56</v>
      </c>
      <c r="N2291">
        <v>8</v>
      </c>
      <c r="O2291" t="s">
        <v>17</v>
      </c>
      <c r="P2291" cm="1">
        <f t="array" ref="P2291">_xlfn.SWITCH(Table2[[#This Row],[mood]], "Tired", 3, "Neutral", 2, "Happy", 1)</f>
        <v>3</v>
      </c>
    </row>
    <row r="2292" spans="1:16" x14ac:dyDescent="0.3">
      <c r="A2292">
        <v>1855</v>
      </c>
      <c r="B2292" s="1">
        <v>44295</v>
      </c>
      <c r="C2292">
        <v>48</v>
      </c>
      <c r="D2292" t="s">
        <v>20</v>
      </c>
      <c r="E2292">
        <v>182.7</v>
      </c>
      <c r="F2292">
        <v>87.2</v>
      </c>
      <c r="G2292">
        <v>1544</v>
      </c>
      <c r="H2292">
        <v>253.2</v>
      </c>
      <c r="I2292">
        <v>8</v>
      </c>
      <c r="J2292">
        <v>77</v>
      </c>
      <c r="K2292" t="s">
        <v>22</v>
      </c>
      <c r="L2292">
        <v>33</v>
      </c>
      <c r="M2292">
        <v>3.17</v>
      </c>
      <c r="N2292">
        <v>7</v>
      </c>
      <c r="O2292" t="s">
        <v>19</v>
      </c>
      <c r="P2292" cm="1">
        <f t="array" ref="P2292">_xlfn.SWITCH(Table2[[#This Row],[mood]], "Tired", 3, "Neutral", 2, "Happy", 1)</f>
        <v>2</v>
      </c>
    </row>
    <row r="2293" spans="1:16" x14ac:dyDescent="0.3">
      <c r="A2293">
        <v>1364</v>
      </c>
      <c r="B2293" s="1">
        <v>44296</v>
      </c>
      <c r="C2293">
        <v>26</v>
      </c>
      <c r="D2293" t="s">
        <v>20</v>
      </c>
      <c r="E2293">
        <v>162.1</v>
      </c>
      <c r="F2293">
        <v>68.5</v>
      </c>
      <c r="G2293">
        <v>14555</v>
      </c>
      <c r="H2293">
        <v>716.3</v>
      </c>
      <c r="I2293">
        <v>5.9</v>
      </c>
      <c r="J2293">
        <v>69</v>
      </c>
      <c r="K2293" t="s">
        <v>16</v>
      </c>
      <c r="L2293">
        <v>0</v>
      </c>
      <c r="M2293">
        <v>3.57</v>
      </c>
      <c r="N2293">
        <v>6</v>
      </c>
      <c r="O2293" t="s">
        <v>17</v>
      </c>
      <c r="P2293" cm="1">
        <f t="array" ref="P2293">_xlfn.SWITCH(Table2[[#This Row],[mood]], "Tired", 3, "Neutral", 2, "Happy", 1)</f>
        <v>3</v>
      </c>
    </row>
    <row r="2294" spans="1:16" x14ac:dyDescent="0.3">
      <c r="A2294">
        <v>1674</v>
      </c>
      <c r="B2294" s="1">
        <v>44297</v>
      </c>
      <c r="C2294">
        <v>59</v>
      </c>
      <c r="D2294" t="s">
        <v>15</v>
      </c>
      <c r="E2294">
        <v>177.6</v>
      </c>
      <c r="F2294">
        <v>51.2</v>
      </c>
      <c r="G2294">
        <v>18614</v>
      </c>
      <c r="H2294">
        <v>900</v>
      </c>
      <c r="I2294">
        <v>10</v>
      </c>
      <c r="J2294">
        <v>66</v>
      </c>
      <c r="K2294" t="s">
        <v>25</v>
      </c>
      <c r="L2294">
        <v>64</v>
      </c>
      <c r="M2294">
        <v>2.88</v>
      </c>
      <c r="N2294">
        <v>4</v>
      </c>
      <c r="O2294" t="s">
        <v>21</v>
      </c>
      <c r="P2294" cm="1">
        <f t="array" ref="P2294">_xlfn.SWITCH(Table2[[#This Row],[mood]], "Tired", 3, "Neutral", 2, "Happy", 1)</f>
        <v>1</v>
      </c>
    </row>
    <row r="2295" spans="1:16" x14ac:dyDescent="0.3">
      <c r="A2295">
        <v>1325</v>
      </c>
      <c r="B2295" s="1">
        <v>44298</v>
      </c>
      <c r="C2295">
        <v>49</v>
      </c>
      <c r="D2295" t="s">
        <v>20</v>
      </c>
      <c r="E2295">
        <v>181.7</v>
      </c>
      <c r="F2295">
        <v>57.3</v>
      </c>
      <c r="G2295">
        <v>15813</v>
      </c>
      <c r="H2295">
        <v>900</v>
      </c>
      <c r="I2295">
        <v>7.3</v>
      </c>
      <c r="J2295">
        <v>80</v>
      </c>
      <c r="K2295" t="s">
        <v>18</v>
      </c>
      <c r="L2295">
        <v>43</v>
      </c>
      <c r="M2295">
        <v>2.4300000000000002</v>
      </c>
      <c r="N2295">
        <v>3</v>
      </c>
      <c r="O2295" t="s">
        <v>17</v>
      </c>
      <c r="P2295" cm="1">
        <f t="array" ref="P2295">_xlfn.SWITCH(Table2[[#This Row],[mood]], "Tired", 3, "Neutral", 2, "Happy", 1)</f>
        <v>3</v>
      </c>
    </row>
    <row r="2296" spans="1:16" x14ac:dyDescent="0.3">
      <c r="A2296">
        <v>1466</v>
      </c>
      <c r="B2296" s="1">
        <v>44299</v>
      </c>
      <c r="C2296">
        <v>50</v>
      </c>
      <c r="D2296" t="s">
        <v>20</v>
      </c>
      <c r="E2296">
        <v>174.8</v>
      </c>
      <c r="F2296">
        <v>55.9</v>
      </c>
      <c r="G2296">
        <v>14333</v>
      </c>
      <c r="H2296">
        <v>748</v>
      </c>
      <c r="I2296">
        <v>7.2</v>
      </c>
      <c r="J2296">
        <v>77</v>
      </c>
      <c r="K2296" t="s">
        <v>22</v>
      </c>
      <c r="L2296">
        <v>22</v>
      </c>
      <c r="M2296">
        <v>2.4500000000000002</v>
      </c>
      <c r="N2296">
        <v>4</v>
      </c>
      <c r="O2296" t="s">
        <v>21</v>
      </c>
      <c r="P2296" cm="1">
        <f t="array" ref="P2296">_xlfn.SWITCH(Table2[[#This Row],[mood]], "Tired", 3, "Neutral", 2, "Happy", 1)</f>
        <v>1</v>
      </c>
    </row>
    <row r="2297" spans="1:16" x14ac:dyDescent="0.3">
      <c r="A2297">
        <v>1413</v>
      </c>
      <c r="B2297" s="1">
        <v>44300</v>
      </c>
      <c r="C2297">
        <v>20</v>
      </c>
      <c r="D2297" t="s">
        <v>20</v>
      </c>
      <c r="E2297">
        <v>155.6</v>
      </c>
      <c r="F2297">
        <v>56.1</v>
      </c>
      <c r="G2297">
        <v>17942</v>
      </c>
      <c r="H2297">
        <v>900</v>
      </c>
      <c r="I2297">
        <v>5.0999999999999996</v>
      </c>
      <c r="J2297">
        <v>75</v>
      </c>
      <c r="K2297" t="s">
        <v>23</v>
      </c>
      <c r="L2297">
        <v>70</v>
      </c>
      <c r="M2297">
        <v>0.5</v>
      </c>
      <c r="N2297">
        <v>3</v>
      </c>
      <c r="O2297" t="s">
        <v>21</v>
      </c>
      <c r="P2297" cm="1">
        <f t="array" ref="P2297">_xlfn.SWITCH(Table2[[#This Row],[mood]], "Tired", 3, "Neutral", 2, "Happy", 1)</f>
        <v>1</v>
      </c>
    </row>
    <row r="2298" spans="1:16" x14ac:dyDescent="0.3">
      <c r="A2298">
        <v>1454</v>
      </c>
      <c r="B2298" s="1">
        <v>44301</v>
      </c>
      <c r="C2298">
        <v>47</v>
      </c>
      <c r="D2298" t="s">
        <v>20</v>
      </c>
      <c r="E2298">
        <v>164</v>
      </c>
      <c r="F2298">
        <v>78.5</v>
      </c>
      <c r="G2298">
        <v>15684</v>
      </c>
      <c r="H2298">
        <v>889.7</v>
      </c>
      <c r="I2298">
        <v>4.8</v>
      </c>
      <c r="J2298">
        <v>75</v>
      </c>
      <c r="K2298" t="s">
        <v>16</v>
      </c>
      <c r="L2298">
        <v>0</v>
      </c>
      <c r="M2298">
        <v>2</v>
      </c>
      <c r="N2298">
        <v>8</v>
      </c>
      <c r="O2298" t="s">
        <v>19</v>
      </c>
      <c r="P2298" cm="1">
        <f t="array" ref="P2298">_xlfn.SWITCH(Table2[[#This Row],[mood]], "Tired", 3, "Neutral", 2, "Happy", 1)</f>
        <v>2</v>
      </c>
    </row>
    <row r="2299" spans="1:16" x14ac:dyDescent="0.3">
      <c r="A2299">
        <v>1585</v>
      </c>
      <c r="B2299" s="1">
        <v>44302</v>
      </c>
      <c r="C2299">
        <v>29</v>
      </c>
      <c r="D2299" t="s">
        <v>15</v>
      </c>
      <c r="E2299">
        <v>197.1</v>
      </c>
      <c r="F2299">
        <v>83</v>
      </c>
      <c r="G2299">
        <v>9861</v>
      </c>
      <c r="H2299">
        <v>568.29999999999995</v>
      </c>
      <c r="I2299">
        <v>4.3</v>
      </c>
      <c r="J2299">
        <v>67</v>
      </c>
      <c r="K2299" t="s">
        <v>24</v>
      </c>
      <c r="L2299">
        <v>57</v>
      </c>
      <c r="M2299">
        <v>3.15</v>
      </c>
      <c r="N2299">
        <v>6</v>
      </c>
      <c r="O2299" t="s">
        <v>17</v>
      </c>
      <c r="P2299" cm="1">
        <f t="array" ref="P2299">_xlfn.SWITCH(Table2[[#This Row],[mood]], "Tired", 3, "Neutral", 2, "Happy", 1)</f>
        <v>3</v>
      </c>
    </row>
    <row r="2300" spans="1:16" x14ac:dyDescent="0.3">
      <c r="A2300">
        <v>1232</v>
      </c>
      <c r="B2300" s="1">
        <v>44303</v>
      </c>
      <c r="C2300">
        <v>46</v>
      </c>
      <c r="D2300" t="s">
        <v>20</v>
      </c>
      <c r="E2300">
        <v>165.1</v>
      </c>
      <c r="F2300">
        <v>95.5</v>
      </c>
      <c r="G2300">
        <v>18454</v>
      </c>
      <c r="H2300">
        <v>816.9</v>
      </c>
      <c r="I2300">
        <v>9.1</v>
      </c>
      <c r="J2300">
        <v>65</v>
      </c>
      <c r="K2300" t="s">
        <v>24</v>
      </c>
      <c r="L2300">
        <v>39</v>
      </c>
      <c r="M2300">
        <v>3.18</v>
      </c>
      <c r="N2300">
        <v>6</v>
      </c>
      <c r="O2300" t="s">
        <v>19</v>
      </c>
      <c r="P2300" cm="1">
        <f t="array" ref="P2300">_xlfn.SWITCH(Table2[[#This Row],[mood]], "Tired", 3, "Neutral", 2, "Happy", 1)</f>
        <v>2</v>
      </c>
    </row>
    <row r="2301" spans="1:16" x14ac:dyDescent="0.3">
      <c r="A2301">
        <v>1223</v>
      </c>
      <c r="B2301" s="1">
        <v>44304</v>
      </c>
      <c r="C2301">
        <v>20</v>
      </c>
      <c r="D2301" t="s">
        <v>15</v>
      </c>
      <c r="E2301">
        <v>199.9</v>
      </c>
      <c r="F2301">
        <v>59.5</v>
      </c>
      <c r="G2301">
        <v>2050</v>
      </c>
      <c r="H2301">
        <v>316.8</v>
      </c>
      <c r="I2301">
        <v>8.8000000000000007</v>
      </c>
      <c r="J2301">
        <v>72</v>
      </c>
      <c r="K2301" t="s">
        <v>18</v>
      </c>
      <c r="L2301">
        <v>21</v>
      </c>
      <c r="M2301">
        <v>1.99</v>
      </c>
      <c r="N2301">
        <v>1</v>
      </c>
      <c r="O2301" t="s">
        <v>21</v>
      </c>
      <c r="P2301" cm="1">
        <f t="array" ref="P2301">_xlfn.SWITCH(Table2[[#This Row],[mood]], "Tired", 3, "Neutral", 2, "Happy", 1)</f>
        <v>1</v>
      </c>
    </row>
    <row r="2302" spans="1:16" x14ac:dyDescent="0.3">
      <c r="A2302">
        <v>1993</v>
      </c>
      <c r="B2302" s="1">
        <v>44305</v>
      </c>
      <c r="C2302">
        <v>43</v>
      </c>
      <c r="D2302" t="s">
        <v>20</v>
      </c>
      <c r="E2302">
        <v>187.1</v>
      </c>
      <c r="F2302">
        <v>75.099999999999994</v>
      </c>
      <c r="G2302">
        <v>15292</v>
      </c>
      <c r="H2302">
        <v>815.6</v>
      </c>
      <c r="I2302">
        <v>7</v>
      </c>
      <c r="J2302">
        <v>67</v>
      </c>
      <c r="K2302" t="s">
        <v>23</v>
      </c>
      <c r="L2302">
        <v>45</v>
      </c>
      <c r="M2302">
        <v>2.62</v>
      </c>
      <c r="N2302">
        <v>5</v>
      </c>
      <c r="O2302" t="s">
        <v>21</v>
      </c>
      <c r="P2302" cm="1">
        <f t="array" ref="P2302">_xlfn.SWITCH(Table2[[#This Row],[mood]], "Tired", 3, "Neutral", 2, "Happy", 1)</f>
        <v>1</v>
      </c>
    </row>
    <row r="2303" spans="1:16" x14ac:dyDescent="0.3">
      <c r="A2303">
        <v>1830</v>
      </c>
      <c r="B2303" s="1">
        <v>44306</v>
      </c>
      <c r="C2303">
        <v>47</v>
      </c>
      <c r="D2303" t="s">
        <v>15</v>
      </c>
      <c r="E2303">
        <v>175.2</v>
      </c>
      <c r="F2303">
        <v>60.3</v>
      </c>
      <c r="G2303">
        <v>16756</v>
      </c>
      <c r="H2303">
        <v>885.8</v>
      </c>
      <c r="I2303">
        <v>5.2</v>
      </c>
      <c r="J2303">
        <v>75</v>
      </c>
      <c r="K2303" t="s">
        <v>23</v>
      </c>
      <c r="L2303">
        <v>21</v>
      </c>
      <c r="M2303">
        <v>2.37</v>
      </c>
      <c r="N2303">
        <v>8</v>
      </c>
      <c r="O2303" t="s">
        <v>17</v>
      </c>
      <c r="P2303" cm="1">
        <f t="array" ref="P2303">_xlfn.SWITCH(Table2[[#This Row],[mood]], "Tired", 3, "Neutral", 2, "Happy", 1)</f>
        <v>3</v>
      </c>
    </row>
    <row r="2304" spans="1:16" x14ac:dyDescent="0.3">
      <c r="A2304">
        <v>1411</v>
      </c>
      <c r="B2304" s="1">
        <v>44307</v>
      </c>
      <c r="C2304">
        <v>26</v>
      </c>
      <c r="D2304" t="s">
        <v>20</v>
      </c>
      <c r="E2304">
        <v>173</v>
      </c>
      <c r="F2304">
        <v>70.3</v>
      </c>
      <c r="G2304">
        <v>5022</v>
      </c>
      <c r="H2304">
        <v>403.6</v>
      </c>
      <c r="I2304">
        <v>6.6</v>
      </c>
      <c r="J2304">
        <v>71</v>
      </c>
      <c r="K2304" t="s">
        <v>25</v>
      </c>
      <c r="L2304">
        <v>86</v>
      </c>
      <c r="M2304">
        <v>2.98</v>
      </c>
      <c r="N2304">
        <v>2</v>
      </c>
      <c r="O2304" t="s">
        <v>17</v>
      </c>
      <c r="P2304" cm="1">
        <f t="array" ref="P2304">_xlfn.SWITCH(Table2[[#This Row],[mood]], "Tired", 3, "Neutral", 2, "Happy", 1)</f>
        <v>3</v>
      </c>
    </row>
    <row r="2305" spans="1:16" x14ac:dyDescent="0.3">
      <c r="A2305">
        <v>1571</v>
      </c>
      <c r="B2305" s="1">
        <v>44308</v>
      </c>
      <c r="C2305">
        <v>43</v>
      </c>
      <c r="D2305" t="s">
        <v>20</v>
      </c>
      <c r="E2305">
        <v>165.4</v>
      </c>
      <c r="F2305">
        <v>47.8</v>
      </c>
      <c r="G2305">
        <v>9336</v>
      </c>
      <c r="H2305">
        <v>631.4</v>
      </c>
      <c r="I2305">
        <v>9.1</v>
      </c>
      <c r="J2305">
        <v>75</v>
      </c>
      <c r="K2305" t="s">
        <v>24</v>
      </c>
      <c r="L2305">
        <v>61</v>
      </c>
      <c r="M2305">
        <v>4.05</v>
      </c>
      <c r="N2305">
        <v>3</v>
      </c>
      <c r="O2305" t="s">
        <v>17</v>
      </c>
      <c r="P2305" cm="1">
        <f t="array" ref="P2305">_xlfn.SWITCH(Table2[[#This Row],[mood]], "Tired", 3, "Neutral", 2, "Happy", 1)</f>
        <v>3</v>
      </c>
    </row>
    <row r="2306" spans="1:16" x14ac:dyDescent="0.3">
      <c r="A2306">
        <v>1334</v>
      </c>
      <c r="B2306" s="1">
        <v>44309</v>
      </c>
      <c r="C2306">
        <v>19</v>
      </c>
      <c r="D2306" t="s">
        <v>15</v>
      </c>
      <c r="E2306">
        <v>169.1</v>
      </c>
      <c r="F2306">
        <v>53.2</v>
      </c>
      <c r="G2306">
        <v>3634</v>
      </c>
      <c r="H2306">
        <v>340.5</v>
      </c>
      <c r="I2306">
        <v>6.2</v>
      </c>
      <c r="J2306">
        <v>74</v>
      </c>
      <c r="K2306" t="s">
        <v>25</v>
      </c>
      <c r="L2306">
        <v>59</v>
      </c>
      <c r="M2306">
        <v>3</v>
      </c>
      <c r="N2306">
        <v>9</v>
      </c>
      <c r="O2306" t="s">
        <v>17</v>
      </c>
      <c r="P2306" cm="1">
        <f t="array" ref="P2306">_xlfn.SWITCH(Table2[[#This Row],[mood]], "Tired", 3, "Neutral", 2, "Happy", 1)</f>
        <v>3</v>
      </c>
    </row>
    <row r="2307" spans="1:16" x14ac:dyDescent="0.3">
      <c r="A2307">
        <v>1221</v>
      </c>
      <c r="B2307" s="1">
        <v>44310</v>
      </c>
      <c r="C2307">
        <v>20</v>
      </c>
      <c r="D2307" t="s">
        <v>20</v>
      </c>
      <c r="E2307">
        <v>163.1</v>
      </c>
      <c r="F2307">
        <v>82</v>
      </c>
      <c r="G2307">
        <v>8288</v>
      </c>
      <c r="H2307">
        <v>640.1</v>
      </c>
      <c r="I2307">
        <v>5.6</v>
      </c>
      <c r="J2307">
        <v>93</v>
      </c>
      <c r="K2307" t="s">
        <v>23</v>
      </c>
      <c r="L2307">
        <v>28</v>
      </c>
      <c r="M2307">
        <v>2.0299999999999998</v>
      </c>
      <c r="N2307">
        <v>4</v>
      </c>
      <c r="O2307" t="s">
        <v>21</v>
      </c>
      <c r="P2307" cm="1">
        <f t="array" ref="P2307">_xlfn.SWITCH(Table2[[#This Row],[mood]], "Tired", 3, "Neutral", 2, "Happy", 1)</f>
        <v>1</v>
      </c>
    </row>
    <row r="2308" spans="1:16" x14ac:dyDescent="0.3">
      <c r="A2308">
        <v>1036</v>
      </c>
      <c r="B2308" s="1">
        <v>44311</v>
      </c>
      <c r="C2308">
        <v>21</v>
      </c>
      <c r="D2308" t="s">
        <v>15</v>
      </c>
      <c r="E2308">
        <v>169.4</v>
      </c>
      <c r="F2308">
        <v>47.7</v>
      </c>
      <c r="G2308">
        <v>9992</v>
      </c>
      <c r="H2308">
        <v>634.6</v>
      </c>
      <c r="I2308">
        <v>6.4</v>
      </c>
      <c r="J2308">
        <v>61</v>
      </c>
      <c r="K2308" t="s">
        <v>18</v>
      </c>
      <c r="L2308">
        <v>21</v>
      </c>
      <c r="M2308">
        <v>2.4500000000000002</v>
      </c>
      <c r="N2308">
        <v>10</v>
      </c>
      <c r="O2308" t="s">
        <v>21</v>
      </c>
      <c r="P2308" cm="1">
        <f t="array" ref="P2308">_xlfn.SWITCH(Table2[[#This Row],[mood]], "Tired", 3, "Neutral", 2, "Happy", 1)</f>
        <v>1</v>
      </c>
    </row>
    <row r="2309" spans="1:16" x14ac:dyDescent="0.3">
      <c r="A2309">
        <v>1988</v>
      </c>
      <c r="B2309" s="1">
        <v>44312</v>
      </c>
      <c r="C2309">
        <v>42</v>
      </c>
      <c r="D2309" t="s">
        <v>20</v>
      </c>
      <c r="E2309">
        <v>156.4</v>
      </c>
      <c r="F2309">
        <v>79.2</v>
      </c>
      <c r="G2309">
        <v>2485</v>
      </c>
      <c r="H2309">
        <v>350</v>
      </c>
      <c r="I2309">
        <v>6.6</v>
      </c>
      <c r="J2309">
        <v>73</v>
      </c>
      <c r="K2309" t="s">
        <v>18</v>
      </c>
      <c r="L2309">
        <v>47</v>
      </c>
      <c r="M2309">
        <v>3.48</v>
      </c>
      <c r="N2309">
        <v>5</v>
      </c>
      <c r="O2309" t="s">
        <v>21</v>
      </c>
      <c r="P2309" cm="1">
        <f t="array" ref="P2309">_xlfn.SWITCH(Table2[[#This Row],[mood]], "Tired", 3, "Neutral", 2, "Happy", 1)</f>
        <v>1</v>
      </c>
    </row>
    <row r="2310" spans="1:16" x14ac:dyDescent="0.3">
      <c r="A2310">
        <v>1277</v>
      </c>
      <c r="B2310" s="1">
        <v>44313</v>
      </c>
      <c r="C2310">
        <v>30</v>
      </c>
      <c r="D2310" t="s">
        <v>15</v>
      </c>
      <c r="E2310">
        <v>155.80000000000001</v>
      </c>
      <c r="F2310">
        <v>59.9</v>
      </c>
      <c r="G2310">
        <v>18056</v>
      </c>
      <c r="H2310">
        <v>900</v>
      </c>
      <c r="I2310">
        <v>8.1</v>
      </c>
      <c r="J2310">
        <v>64</v>
      </c>
      <c r="K2310" t="s">
        <v>22</v>
      </c>
      <c r="L2310">
        <v>22</v>
      </c>
      <c r="M2310">
        <v>1.51</v>
      </c>
      <c r="N2310">
        <v>7</v>
      </c>
      <c r="O2310" t="s">
        <v>19</v>
      </c>
      <c r="P2310" cm="1">
        <f t="array" ref="P2310">_xlfn.SWITCH(Table2[[#This Row],[mood]], "Tired", 3, "Neutral", 2, "Happy", 1)</f>
        <v>2</v>
      </c>
    </row>
    <row r="2311" spans="1:16" x14ac:dyDescent="0.3">
      <c r="A2311">
        <v>1195</v>
      </c>
      <c r="B2311" s="1">
        <v>44314</v>
      </c>
      <c r="C2311">
        <v>56</v>
      </c>
      <c r="D2311" t="s">
        <v>20</v>
      </c>
      <c r="E2311">
        <v>183</v>
      </c>
      <c r="F2311">
        <v>45</v>
      </c>
      <c r="G2311">
        <v>13166</v>
      </c>
      <c r="H2311">
        <v>742.2</v>
      </c>
      <c r="I2311">
        <v>3.7</v>
      </c>
      <c r="J2311">
        <v>70</v>
      </c>
      <c r="K2311" t="s">
        <v>18</v>
      </c>
      <c r="L2311">
        <v>35</v>
      </c>
      <c r="M2311">
        <v>2.0699999999999998</v>
      </c>
      <c r="N2311">
        <v>5</v>
      </c>
      <c r="O2311" t="s">
        <v>19</v>
      </c>
      <c r="P2311" cm="1">
        <f t="array" ref="P2311">_xlfn.SWITCH(Table2[[#This Row],[mood]], "Tired", 3, "Neutral", 2, "Happy", 1)</f>
        <v>2</v>
      </c>
    </row>
    <row r="2312" spans="1:16" x14ac:dyDescent="0.3">
      <c r="A2312">
        <v>1915</v>
      </c>
      <c r="B2312" s="1">
        <v>44315</v>
      </c>
      <c r="C2312">
        <v>52</v>
      </c>
      <c r="D2312" t="s">
        <v>20</v>
      </c>
      <c r="E2312">
        <v>153.9</v>
      </c>
      <c r="F2312">
        <v>45</v>
      </c>
      <c r="G2312">
        <v>18798</v>
      </c>
      <c r="H2312">
        <v>867.4</v>
      </c>
      <c r="I2312">
        <v>7.3</v>
      </c>
      <c r="J2312">
        <v>67</v>
      </c>
      <c r="K2312" t="s">
        <v>24</v>
      </c>
      <c r="L2312">
        <v>23</v>
      </c>
      <c r="M2312">
        <v>3</v>
      </c>
      <c r="N2312">
        <v>2</v>
      </c>
      <c r="O2312" t="s">
        <v>19</v>
      </c>
      <c r="P2312" cm="1">
        <f t="array" ref="P2312">_xlfn.SWITCH(Table2[[#This Row],[mood]], "Tired", 3, "Neutral", 2, "Happy", 1)</f>
        <v>2</v>
      </c>
    </row>
    <row r="2313" spans="1:16" x14ac:dyDescent="0.3">
      <c r="A2313">
        <v>1863</v>
      </c>
      <c r="B2313" s="1">
        <v>44316</v>
      </c>
      <c r="C2313">
        <v>40</v>
      </c>
      <c r="D2313" t="s">
        <v>15</v>
      </c>
      <c r="E2313">
        <v>178.9</v>
      </c>
      <c r="F2313">
        <v>92</v>
      </c>
      <c r="G2313">
        <v>4894</v>
      </c>
      <c r="H2313">
        <v>366.9</v>
      </c>
      <c r="I2313">
        <v>6</v>
      </c>
      <c r="J2313">
        <v>81</v>
      </c>
      <c r="K2313" t="s">
        <v>22</v>
      </c>
      <c r="L2313">
        <v>42</v>
      </c>
      <c r="M2313">
        <v>3.41</v>
      </c>
      <c r="N2313">
        <v>7</v>
      </c>
      <c r="O2313" t="s">
        <v>17</v>
      </c>
      <c r="P2313" cm="1">
        <f t="array" ref="P2313">_xlfn.SWITCH(Table2[[#This Row],[mood]], "Tired", 3, "Neutral", 2, "Happy", 1)</f>
        <v>3</v>
      </c>
    </row>
    <row r="2314" spans="1:16" x14ac:dyDescent="0.3">
      <c r="A2314">
        <v>1483</v>
      </c>
      <c r="B2314" s="1">
        <v>44317</v>
      </c>
      <c r="C2314">
        <v>26</v>
      </c>
      <c r="D2314" t="s">
        <v>20</v>
      </c>
      <c r="E2314">
        <v>151.1</v>
      </c>
      <c r="F2314">
        <v>45</v>
      </c>
      <c r="G2314">
        <v>4846</v>
      </c>
      <c r="H2314">
        <v>447.7</v>
      </c>
      <c r="I2314">
        <v>6.2</v>
      </c>
      <c r="J2314">
        <v>60</v>
      </c>
      <c r="K2314" t="s">
        <v>24</v>
      </c>
      <c r="L2314">
        <v>25</v>
      </c>
      <c r="M2314">
        <v>2.93</v>
      </c>
      <c r="N2314">
        <v>6</v>
      </c>
      <c r="O2314" t="s">
        <v>21</v>
      </c>
      <c r="P2314" cm="1">
        <f t="array" ref="P2314">_xlfn.SWITCH(Table2[[#This Row],[mood]], "Tired", 3, "Neutral", 2, "Happy", 1)</f>
        <v>1</v>
      </c>
    </row>
    <row r="2315" spans="1:16" x14ac:dyDescent="0.3">
      <c r="A2315">
        <v>1241</v>
      </c>
      <c r="B2315" s="1">
        <v>44318</v>
      </c>
      <c r="C2315">
        <v>19</v>
      </c>
      <c r="D2315" t="s">
        <v>20</v>
      </c>
      <c r="E2315">
        <v>176.3</v>
      </c>
      <c r="F2315">
        <v>69</v>
      </c>
      <c r="G2315">
        <v>15481</v>
      </c>
      <c r="H2315">
        <v>815.9</v>
      </c>
      <c r="I2315">
        <v>8.1</v>
      </c>
      <c r="J2315">
        <v>83</v>
      </c>
      <c r="K2315" t="s">
        <v>25</v>
      </c>
      <c r="L2315">
        <v>74</v>
      </c>
      <c r="M2315">
        <v>2.08</v>
      </c>
      <c r="N2315">
        <v>9</v>
      </c>
      <c r="O2315" t="s">
        <v>19</v>
      </c>
      <c r="P2315" cm="1">
        <f t="array" ref="P2315">_xlfn.SWITCH(Table2[[#This Row],[mood]], "Tired", 3, "Neutral", 2, "Happy", 1)</f>
        <v>2</v>
      </c>
    </row>
    <row r="2316" spans="1:16" x14ac:dyDescent="0.3">
      <c r="A2316">
        <v>1323</v>
      </c>
      <c r="B2316" s="1">
        <v>44319</v>
      </c>
      <c r="C2316">
        <v>58</v>
      </c>
      <c r="D2316" t="s">
        <v>20</v>
      </c>
      <c r="E2316">
        <v>167.9</v>
      </c>
      <c r="F2316">
        <v>75.3</v>
      </c>
      <c r="G2316">
        <v>10386</v>
      </c>
      <c r="H2316">
        <v>559.20000000000005</v>
      </c>
      <c r="I2316">
        <v>5</v>
      </c>
      <c r="J2316">
        <v>80</v>
      </c>
      <c r="K2316" t="s">
        <v>25</v>
      </c>
      <c r="L2316">
        <v>27</v>
      </c>
      <c r="M2316">
        <v>2.88</v>
      </c>
      <c r="N2316">
        <v>2</v>
      </c>
      <c r="O2316" t="s">
        <v>17</v>
      </c>
      <c r="P2316" cm="1">
        <f t="array" ref="P2316">_xlfn.SWITCH(Table2[[#This Row],[mood]], "Tired", 3, "Neutral", 2, "Happy", 1)</f>
        <v>3</v>
      </c>
    </row>
    <row r="2317" spans="1:16" x14ac:dyDescent="0.3">
      <c r="A2317">
        <v>1730</v>
      </c>
      <c r="B2317" s="1">
        <v>44320</v>
      </c>
      <c r="C2317">
        <v>48</v>
      </c>
      <c r="D2317" t="s">
        <v>20</v>
      </c>
      <c r="E2317">
        <v>183.2</v>
      </c>
      <c r="F2317">
        <v>50.3</v>
      </c>
      <c r="G2317">
        <v>19408</v>
      </c>
      <c r="H2317">
        <v>900</v>
      </c>
      <c r="I2317">
        <v>7.3</v>
      </c>
      <c r="J2317">
        <v>96</v>
      </c>
      <c r="K2317" t="s">
        <v>18</v>
      </c>
      <c r="L2317">
        <v>83</v>
      </c>
      <c r="M2317">
        <v>2.79</v>
      </c>
      <c r="N2317">
        <v>2</v>
      </c>
      <c r="O2317" t="s">
        <v>17</v>
      </c>
      <c r="P2317" cm="1">
        <f t="array" ref="P2317">_xlfn.SWITCH(Table2[[#This Row],[mood]], "Tired", 3, "Neutral", 2, "Happy", 1)</f>
        <v>3</v>
      </c>
    </row>
    <row r="2318" spans="1:16" x14ac:dyDescent="0.3">
      <c r="A2318">
        <v>1191</v>
      </c>
      <c r="B2318" s="1">
        <v>44321</v>
      </c>
      <c r="C2318">
        <v>19</v>
      </c>
      <c r="D2318" t="s">
        <v>20</v>
      </c>
      <c r="E2318">
        <v>166.7</v>
      </c>
      <c r="F2318">
        <v>61.7</v>
      </c>
      <c r="G2318">
        <v>18741</v>
      </c>
      <c r="H2318">
        <v>900</v>
      </c>
      <c r="I2318">
        <v>7.7</v>
      </c>
      <c r="J2318">
        <v>93</v>
      </c>
      <c r="K2318" t="s">
        <v>22</v>
      </c>
      <c r="L2318">
        <v>86</v>
      </c>
      <c r="M2318">
        <v>2.75</v>
      </c>
      <c r="N2318">
        <v>8</v>
      </c>
      <c r="O2318" t="s">
        <v>17</v>
      </c>
      <c r="P2318" cm="1">
        <f t="array" ref="P2318">_xlfn.SWITCH(Table2[[#This Row],[mood]], "Tired", 3, "Neutral", 2, "Happy", 1)</f>
        <v>3</v>
      </c>
    </row>
    <row r="2319" spans="1:16" x14ac:dyDescent="0.3">
      <c r="A2319">
        <v>1016</v>
      </c>
      <c r="B2319" s="1">
        <v>44322</v>
      </c>
      <c r="C2319">
        <v>49</v>
      </c>
      <c r="D2319" t="s">
        <v>20</v>
      </c>
      <c r="E2319">
        <v>150</v>
      </c>
      <c r="F2319">
        <v>77.2</v>
      </c>
      <c r="G2319">
        <v>15996</v>
      </c>
      <c r="H2319">
        <v>837.9</v>
      </c>
      <c r="I2319">
        <v>7.9</v>
      </c>
      <c r="J2319">
        <v>67</v>
      </c>
      <c r="K2319" t="s">
        <v>24</v>
      </c>
      <c r="L2319">
        <v>60</v>
      </c>
      <c r="M2319">
        <v>2.4300000000000002</v>
      </c>
      <c r="N2319">
        <v>10</v>
      </c>
      <c r="O2319" t="s">
        <v>21</v>
      </c>
      <c r="P2319" cm="1">
        <f t="array" ref="P2319">_xlfn.SWITCH(Table2[[#This Row],[mood]], "Tired", 3, "Neutral", 2, "Happy", 1)</f>
        <v>1</v>
      </c>
    </row>
    <row r="2320" spans="1:16" x14ac:dyDescent="0.3">
      <c r="A2320">
        <v>1523</v>
      </c>
      <c r="B2320" s="1">
        <v>44323</v>
      </c>
      <c r="C2320">
        <v>35</v>
      </c>
      <c r="D2320" t="s">
        <v>15</v>
      </c>
      <c r="E2320">
        <v>168.1</v>
      </c>
      <c r="F2320">
        <v>74.400000000000006</v>
      </c>
      <c r="G2320">
        <v>9048</v>
      </c>
      <c r="H2320">
        <v>520.20000000000005</v>
      </c>
      <c r="I2320">
        <v>8.1</v>
      </c>
      <c r="J2320">
        <v>87</v>
      </c>
      <c r="K2320" t="s">
        <v>24</v>
      </c>
      <c r="L2320">
        <v>59</v>
      </c>
      <c r="M2320">
        <v>2.54</v>
      </c>
      <c r="N2320">
        <v>1</v>
      </c>
      <c r="O2320" t="s">
        <v>17</v>
      </c>
      <c r="P2320" cm="1">
        <f t="array" ref="P2320">_xlfn.SWITCH(Table2[[#This Row],[mood]], "Tired", 3, "Neutral", 2, "Happy", 1)</f>
        <v>3</v>
      </c>
    </row>
    <row r="2321" spans="1:16" x14ac:dyDescent="0.3">
      <c r="A2321">
        <v>1917</v>
      </c>
      <c r="B2321" s="1">
        <v>44324</v>
      </c>
      <c r="C2321">
        <v>30</v>
      </c>
      <c r="D2321" t="s">
        <v>15</v>
      </c>
      <c r="E2321">
        <v>171.6</v>
      </c>
      <c r="F2321">
        <v>63.1</v>
      </c>
      <c r="G2321">
        <v>1568</v>
      </c>
      <c r="H2321">
        <v>333.9</v>
      </c>
      <c r="I2321">
        <v>7.9</v>
      </c>
      <c r="J2321">
        <v>72</v>
      </c>
      <c r="K2321" t="s">
        <v>23</v>
      </c>
      <c r="L2321">
        <v>46</v>
      </c>
      <c r="M2321">
        <v>1.86</v>
      </c>
      <c r="N2321">
        <v>8</v>
      </c>
      <c r="O2321" t="s">
        <v>19</v>
      </c>
      <c r="P2321" cm="1">
        <f t="array" ref="P2321">_xlfn.SWITCH(Table2[[#This Row],[mood]], "Tired", 3, "Neutral", 2, "Happy", 1)</f>
        <v>2</v>
      </c>
    </row>
    <row r="2322" spans="1:16" x14ac:dyDescent="0.3">
      <c r="A2322">
        <v>1400</v>
      </c>
      <c r="B2322" s="1">
        <v>44325</v>
      </c>
      <c r="C2322">
        <v>22</v>
      </c>
      <c r="D2322" t="s">
        <v>15</v>
      </c>
      <c r="E2322">
        <v>168.7</v>
      </c>
      <c r="F2322">
        <v>73.599999999999994</v>
      </c>
      <c r="G2322">
        <v>7490</v>
      </c>
      <c r="H2322">
        <v>510</v>
      </c>
      <c r="I2322">
        <v>8.1</v>
      </c>
      <c r="J2322">
        <v>78</v>
      </c>
      <c r="K2322" t="s">
        <v>18</v>
      </c>
      <c r="L2322">
        <v>58</v>
      </c>
      <c r="M2322">
        <v>4.24</v>
      </c>
      <c r="N2322">
        <v>5</v>
      </c>
      <c r="O2322" t="s">
        <v>17</v>
      </c>
      <c r="P2322" cm="1">
        <f t="array" ref="P2322">_xlfn.SWITCH(Table2[[#This Row],[mood]], "Tired", 3, "Neutral", 2, "Happy", 1)</f>
        <v>3</v>
      </c>
    </row>
    <row r="2323" spans="1:16" x14ac:dyDescent="0.3">
      <c r="A2323">
        <v>1905</v>
      </c>
      <c r="B2323" s="1">
        <v>44326</v>
      </c>
      <c r="C2323">
        <v>59</v>
      </c>
      <c r="D2323" t="s">
        <v>20</v>
      </c>
      <c r="E2323">
        <v>175.8</v>
      </c>
      <c r="F2323">
        <v>68.5</v>
      </c>
      <c r="G2323">
        <v>2945</v>
      </c>
      <c r="H2323">
        <v>248</v>
      </c>
      <c r="I2323">
        <v>5.7</v>
      </c>
      <c r="J2323">
        <v>92</v>
      </c>
      <c r="K2323" t="s">
        <v>16</v>
      </c>
      <c r="L2323">
        <v>0</v>
      </c>
      <c r="M2323">
        <v>2.61</v>
      </c>
      <c r="N2323">
        <v>1</v>
      </c>
      <c r="O2323" t="s">
        <v>21</v>
      </c>
      <c r="P2323" cm="1">
        <f t="array" ref="P2323">_xlfn.SWITCH(Table2[[#This Row],[mood]], "Tired", 3, "Neutral", 2, "Happy", 1)</f>
        <v>1</v>
      </c>
    </row>
    <row r="2324" spans="1:16" x14ac:dyDescent="0.3">
      <c r="A2324">
        <v>1885</v>
      </c>
      <c r="B2324" s="1">
        <v>44327</v>
      </c>
      <c r="C2324">
        <v>27</v>
      </c>
      <c r="D2324" t="s">
        <v>15</v>
      </c>
      <c r="E2324">
        <v>164.4</v>
      </c>
      <c r="F2324">
        <v>55.4</v>
      </c>
      <c r="G2324">
        <v>17791</v>
      </c>
      <c r="H2324">
        <v>900</v>
      </c>
      <c r="I2324">
        <v>9</v>
      </c>
      <c r="J2324">
        <v>67</v>
      </c>
      <c r="K2324" t="s">
        <v>25</v>
      </c>
      <c r="L2324">
        <v>59</v>
      </c>
      <c r="M2324">
        <v>2.88</v>
      </c>
      <c r="N2324">
        <v>10</v>
      </c>
      <c r="O2324" t="s">
        <v>21</v>
      </c>
      <c r="P2324" cm="1">
        <f t="array" ref="P2324">_xlfn.SWITCH(Table2[[#This Row],[mood]], "Tired", 3, "Neutral", 2, "Happy", 1)</f>
        <v>1</v>
      </c>
    </row>
    <row r="2325" spans="1:16" x14ac:dyDescent="0.3">
      <c r="A2325">
        <v>1704</v>
      </c>
      <c r="B2325" s="1">
        <v>44328</v>
      </c>
      <c r="C2325">
        <v>42</v>
      </c>
      <c r="D2325" t="s">
        <v>20</v>
      </c>
      <c r="E2325">
        <v>157.4</v>
      </c>
      <c r="F2325">
        <v>88</v>
      </c>
      <c r="G2325">
        <v>5228</v>
      </c>
      <c r="H2325">
        <v>406.8</v>
      </c>
      <c r="I2325">
        <v>5.2</v>
      </c>
      <c r="J2325">
        <v>76</v>
      </c>
      <c r="K2325" t="s">
        <v>16</v>
      </c>
      <c r="L2325">
        <v>0</v>
      </c>
      <c r="M2325">
        <v>2.35</v>
      </c>
      <c r="N2325">
        <v>1</v>
      </c>
      <c r="O2325" t="s">
        <v>17</v>
      </c>
      <c r="P2325" cm="1">
        <f t="array" ref="P2325">_xlfn.SWITCH(Table2[[#This Row],[mood]], "Tired", 3, "Neutral", 2, "Happy", 1)</f>
        <v>3</v>
      </c>
    </row>
    <row r="2326" spans="1:16" x14ac:dyDescent="0.3">
      <c r="A2326">
        <v>1021</v>
      </c>
      <c r="B2326" s="1">
        <v>44329</v>
      </c>
      <c r="C2326">
        <v>51</v>
      </c>
      <c r="D2326" t="s">
        <v>20</v>
      </c>
      <c r="E2326">
        <v>160</v>
      </c>
      <c r="F2326">
        <v>73.099999999999994</v>
      </c>
      <c r="G2326">
        <v>12945</v>
      </c>
      <c r="H2326">
        <v>743.1</v>
      </c>
      <c r="I2326">
        <v>7.6</v>
      </c>
      <c r="J2326">
        <v>56</v>
      </c>
      <c r="K2326" t="s">
        <v>23</v>
      </c>
      <c r="L2326">
        <v>56</v>
      </c>
      <c r="M2326">
        <v>3.09</v>
      </c>
      <c r="N2326">
        <v>6</v>
      </c>
      <c r="O2326" t="s">
        <v>21</v>
      </c>
      <c r="P2326" cm="1">
        <f t="array" ref="P2326">_xlfn.SWITCH(Table2[[#This Row],[mood]], "Tired", 3, "Neutral", 2, "Happy", 1)</f>
        <v>1</v>
      </c>
    </row>
    <row r="2327" spans="1:16" x14ac:dyDescent="0.3">
      <c r="A2327">
        <v>1473</v>
      </c>
      <c r="B2327" s="1">
        <v>44330</v>
      </c>
      <c r="C2327">
        <v>54</v>
      </c>
      <c r="D2327" t="s">
        <v>20</v>
      </c>
      <c r="E2327">
        <v>164.8</v>
      </c>
      <c r="F2327">
        <v>45</v>
      </c>
      <c r="G2327">
        <v>9805</v>
      </c>
      <c r="H2327">
        <v>607.5</v>
      </c>
      <c r="I2327">
        <v>6</v>
      </c>
      <c r="J2327">
        <v>84</v>
      </c>
      <c r="K2327" t="s">
        <v>25</v>
      </c>
      <c r="L2327">
        <v>86</v>
      </c>
      <c r="M2327">
        <v>1.59</v>
      </c>
      <c r="N2327">
        <v>10</v>
      </c>
      <c r="O2327" t="s">
        <v>21</v>
      </c>
      <c r="P2327" cm="1">
        <f t="array" ref="P2327">_xlfn.SWITCH(Table2[[#This Row],[mood]], "Tired", 3, "Neutral", 2, "Happy", 1)</f>
        <v>1</v>
      </c>
    </row>
    <row r="2328" spans="1:16" x14ac:dyDescent="0.3">
      <c r="A2328">
        <v>1119</v>
      </c>
      <c r="B2328" s="1">
        <v>44331</v>
      </c>
      <c r="C2328">
        <v>47</v>
      </c>
      <c r="D2328" t="s">
        <v>20</v>
      </c>
      <c r="E2328">
        <v>164.8</v>
      </c>
      <c r="F2328">
        <v>77.8</v>
      </c>
      <c r="G2328">
        <v>8131</v>
      </c>
      <c r="H2328">
        <v>546.1</v>
      </c>
      <c r="I2328">
        <v>4.4000000000000004</v>
      </c>
      <c r="J2328">
        <v>96</v>
      </c>
      <c r="K2328" t="s">
        <v>25</v>
      </c>
      <c r="L2328">
        <v>38</v>
      </c>
      <c r="M2328">
        <v>1.28</v>
      </c>
      <c r="N2328">
        <v>2</v>
      </c>
      <c r="O2328" t="s">
        <v>19</v>
      </c>
      <c r="P2328" cm="1">
        <f t="array" ref="P2328">_xlfn.SWITCH(Table2[[#This Row],[mood]], "Tired", 3, "Neutral", 2, "Happy", 1)</f>
        <v>2</v>
      </c>
    </row>
    <row r="2329" spans="1:16" x14ac:dyDescent="0.3">
      <c r="A2329">
        <v>1209</v>
      </c>
      <c r="B2329" s="1">
        <v>44332</v>
      </c>
      <c r="C2329">
        <v>24</v>
      </c>
      <c r="D2329" t="s">
        <v>15</v>
      </c>
      <c r="E2329">
        <v>194.1</v>
      </c>
      <c r="F2329">
        <v>60.8</v>
      </c>
      <c r="G2329">
        <v>3218</v>
      </c>
      <c r="H2329">
        <v>311.5</v>
      </c>
      <c r="I2329">
        <v>6.1</v>
      </c>
      <c r="J2329">
        <v>81</v>
      </c>
      <c r="K2329" t="s">
        <v>24</v>
      </c>
      <c r="L2329">
        <v>53</v>
      </c>
      <c r="M2329">
        <v>2.48</v>
      </c>
      <c r="N2329">
        <v>2</v>
      </c>
      <c r="O2329" t="s">
        <v>19</v>
      </c>
      <c r="P2329" cm="1">
        <f t="array" ref="P2329">_xlfn.SWITCH(Table2[[#This Row],[mood]], "Tired", 3, "Neutral", 2, "Happy", 1)</f>
        <v>2</v>
      </c>
    </row>
    <row r="2330" spans="1:16" x14ac:dyDescent="0.3">
      <c r="A2330">
        <v>1305</v>
      </c>
      <c r="B2330" s="1">
        <v>44333</v>
      </c>
      <c r="C2330">
        <v>23</v>
      </c>
      <c r="D2330" t="s">
        <v>20</v>
      </c>
      <c r="E2330">
        <v>182.6</v>
      </c>
      <c r="F2330">
        <v>65.7</v>
      </c>
      <c r="G2330">
        <v>15975</v>
      </c>
      <c r="H2330">
        <v>855.5</v>
      </c>
      <c r="I2330">
        <v>6.8</v>
      </c>
      <c r="J2330">
        <v>89</v>
      </c>
      <c r="K2330" t="s">
        <v>25</v>
      </c>
      <c r="L2330">
        <v>85</v>
      </c>
      <c r="M2330">
        <v>3.94</v>
      </c>
      <c r="N2330">
        <v>1</v>
      </c>
      <c r="O2330" t="s">
        <v>17</v>
      </c>
      <c r="P2330" cm="1">
        <f t="array" ref="P2330">_xlfn.SWITCH(Table2[[#This Row],[mood]], "Tired", 3, "Neutral", 2, "Happy", 1)</f>
        <v>3</v>
      </c>
    </row>
    <row r="2331" spans="1:16" x14ac:dyDescent="0.3">
      <c r="A2331">
        <v>1269</v>
      </c>
      <c r="B2331" s="1">
        <v>44334</v>
      </c>
      <c r="C2331">
        <v>20</v>
      </c>
      <c r="D2331" t="s">
        <v>15</v>
      </c>
      <c r="E2331">
        <v>176.9</v>
      </c>
      <c r="F2331">
        <v>70.099999999999994</v>
      </c>
      <c r="G2331">
        <v>16609</v>
      </c>
      <c r="H2331">
        <v>856.9</v>
      </c>
      <c r="I2331">
        <v>9.1</v>
      </c>
      <c r="J2331">
        <v>86</v>
      </c>
      <c r="K2331" t="s">
        <v>22</v>
      </c>
      <c r="L2331">
        <v>29</v>
      </c>
      <c r="M2331">
        <v>3.35</v>
      </c>
      <c r="N2331">
        <v>1</v>
      </c>
      <c r="O2331" t="s">
        <v>21</v>
      </c>
      <c r="P2331" cm="1">
        <f t="array" ref="P2331">_xlfn.SWITCH(Table2[[#This Row],[mood]], "Tired", 3, "Neutral", 2, "Happy", 1)</f>
        <v>1</v>
      </c>
    </row>
    <row r="2332" spans="1:16" x14ac:dyDescent="0.3">
      <c r="A2332">
        <v>1703</v>
      </c>
      <c r="B2332" s="1">
        <v>44335</v>
      </c>
      <c r="C2332">
        <v>30</v>
      </c>
      <c r="D2332" t="s">
        <v>20</v>
      </c>
      <c r="E2332">
        <v>174.5</v>
      </c>
      <c r="F2332">
        <v>58.1</v>
      </c>
      <c r="G2332">
        <v>8711</v>
      </c>
      <c r="H2332">
        <v>566.5</v>
      </c>
      <c r="I2332">
        <v>9.6999999999999993</v>
      </c>
      <c r="J2332">
        <v>68</v>
      </c>
      <c r="K2332" t="s">
        <v>25</v>
      </c>
      <c r="L2332">
        <v>71</v>
      </c>
      <c r="M2332">
        <v>1.93</v>
      </c>
      <c r="N2332">
        <v>4</v>
      </c>
      <c r="O2332" t="s">
        <v>21</v>
      </c>
      <c r="P2332" cm="1">
        <f t="array" ref="P2332">_xlfn.SWITCH(Table2[[#This Row],[mood]], "Tired", 3, "Neutral", 2, "Happy", 1)</f>
        <v>1</v>
      </c>
    </row>
    <row r="2333" spans="1:16" x14ac:dyDescent="0.3">
      <c r="A2333">
        <v>1686</v>
      </c>
      <c r="B2333" s="1">
        <v>44336</v>
      </c>
      <c r="C2333">
        <v>20</v>
      </c>
      <c r="D2333" t="s">
        <v>15</v>
      </c>
      <c r="E2333">
        <v>173</v>
      </c>
      <c r="F2333">
        <v>97</v>
      </c>
      <c r="G2333">
        <v>12991</v>
      </c>
      <c r="H2333">
        <v>710.4</v>
      </c>
      <c r="I2333">
        <v>6.8</v>
      </c>
      <c r="J2333">
        <v>78</v>
      </c>
      <c r="K2333" t="s">
        <v>22</v>
      </c>
      <c r="L2333">
        <v>61</v>
      </c>
      <c r="M2333">
        <v>2.86</v>
      </c>
      <c r="N2333">
        <v>5</v>
      </c>
      <c r="O2333" t="s">
        <v>21</v>
      </c>
      <c r="P2333" cm="1">
        <f t="array" ref="P2333">_xlfn.SWITCH(Table2[[#This Row],[mood]], "Tired", 3, "Neutral", 2, "Happy", 1)</f>
        <v>1</v>
      </c>
    </row>
    <row r="2334" spans="1:16" x14ac:dyDescent="0.3">
      <c r="A2334">
        <v>1284</v>
      </c>
      <c r="B2334" s="1">
        <v>44337</v>
      </c>
      <c r="C2334">
        <v>43</v>
      </c>
      <c r="D2334" t="s">
        <v>15</v>
      </c>
      <c r="E2334">
        <v>173.1</v>
      </c>
      <c r="F2334">
        <v>47.6</v>
      </c>
      <c r="G2334">
        <v>13105</v>
      </c>
      <c r="H2334">
        <v>709.7</v>
      </c>
      <c r="I2334">
        <v>4.9000000000000004</v>
      </c>
      <c r="J2334">
        <v>80</v>
      </c>
      <c r="K2334" t="s">
        <v>25</v>
      </c>
      <c r="L2334">
        <v>79</v>
      </c>
      <c r="M2334">
        <v>2.0499999999999998</v>
      </c>
      <c r="N2334">
        <v>4</v>
      </c>
      <c r="O2334" t="s">
        <v>19</v>
      </c>
      <c r="P2334" cm="1">
        <f t="array" ref="P2334">_xlfn.SWITCH(Table2[[#This Row],[mood]], "Tired", 3, "Neutral", 2, "Happy", 1)</f>
        <v>2</v>
      </c>
    </row>
    <row r="2335" spans="1:16" x14ac:dyDescent="0.3">
      <c r="A2335">
        <v>1715</v>
      </c>
      <c r="B2335" s="1">
        <v>44338</v>
      </c>
      <c r="C2335">
        <v>41</v>
      </c>
      <c r="D2335" t="s">
        <v>15</v>
      </c>
      <c r="E2335">
        <v>171.6</v>
      </c>
      <c r="F2335">
        <v>70.900000000000006</v>
      </c>
      <c r="G2335">
        <v>17877</v>
      </c>
      <c r="H2335">
        <v>842</v>
      </c>
      <c r="I2335">
        <v>5</v>
      </c>
      <c r="J2335">
        <v>63</v>
      </c>
      <c r="K2335" t="s">
        <v>23</v>
      </c>
      <c r="L2335">
        <v>21</v>
      </c>
      <c r="M2335">
        <v>2.8</v>
      </c>
      <c r="N2335">
        <v>6</v>
      </c>
      <c r="O2335" t="s">
        <v>21</v>
      </c>
      <c r="P2335" cm="1">
        <f t="array" ref="P2335">_xlfn.SWITCH(Table2[[#This Row],[mood]], "Tired", 3, "Neutral", 2, "Happy", 1)</f>
        <v>1</v>
      </c>
    </row>
    <row r="2336" spans="1:16" x14ac:dyDescent="0.3">
      <c r="A2336">
        <v>1675</v>
      </c>
      <c r="B2336" s="1">
        <v>44339</v>
      </c>
      <c r="C2336">
        <v>23</v>
      </c>
      <c r="D2336" t="s">
        <v>15</v>
      </c>
      <c r="E2336">
        <v>170.4</v>
      </c>
      <c r="F2336">
        <v>75.7</v>
      </c>
      <c r="G2336">
        <v>16238</v>
      </c>
      <c r="H2336">
        <v>849.3</v>
      </c>
      <c r="I2336">
        <v>8.1999999999999993</v>
      </c>
      <c r="J2336">
        <v>89</v>
      </c>
      <c r="K2336" t="s">
        <v>24</v>
      </c>
      <c r="L2336">
        <v>20</v>
      </c>
      <c r="M2336">
        <v>2.85</v>
      </c>
      <c r="N2336">
        <v>8</v>
      </c>
      <c r="O2336" t="s">
        <v>19</v>
      </c>
      <c r="P2336" cm="1">
        <f t="array" ref="P2336">_xlfn.SWITCH(Table2[[#This Row],[mood]], "Tired", 3, "Neutral", 2, "Happy", 1)</f>
        <v>2</v>
      </c>
    </row>
    <row r="2337" spans="1:16" x14ac:dyDescent="0.3">
      <c r="A2337">
        <v>1762</v>
      </c>
      <c r="B2337" s="1">
        <v>44340</v>
      </c>
      <c r="C2337">
        <v>59</v>
      </c>
      <c r="D2337" t="s">
        <v>15</v>
      </c>
      <c r="E2337">
        <v>150</v>
      </c>
      <c r="F2337">
        <v>70.599999999999994</v>
      </c>
      <c r="G2337">
        <v>4868</v>
      </c>
      <c r="H2337">
        <v>406</v>
      </c>
      <c r="I2337">
        <v>8.1</v>
      </c>
      <c r="J2337">
        <v>70</v>
      </c>
      <c r="K2337" t="s">
        <v>23</v>
      </c>
      <c r="L2337">
        <v>69</v>
      </c>
      <c r="M2337">
        <v>3.15</v>
      </c>
      <c r="N2337">
        <v>2</v>
      </c>
      <c r="O2337" t="s">
        <v>21</v>
      </c>
      <c r="P2337" cm="1">
        <f t="array" ref="P2337">_xlfn.SWITCH(Table2[[#This Row],[mood]], "Tired", 3, "Neutral", 2, "Happy", 1)</f>
        <v>1</v>
      </c>
    </row>
    <row r="2338" spans="1:16" x14ac:dyDescent="0.3">
      <c r="A2338">
        <v>1226</v>
      </c>
      <c r="B2338" s="1">
        <v>44341</v>
      </c>
      <c r="C2338">
        <v>29</v>
      </c>
      <c r="D2338" t="s">
        <v>15</v>
      </c>
      <c r="E2338">
        <v>166.3</v>
      </c>
      <c r="F2338">
        <v>67.099999999999994</v>
      </c>
      <c r="G2338">
        <v>12526</v>
      </c>
      <c r="H2338">
        <v>793.5</v>
      </c>
      <c r="I2338">
        <v>6.1</v>
      </c>
      <c r="J2338">
        <v>73</v>
      </c>
      <c r="K2338" t="s">
        <v>24</v>
      </c>
      <c r="L2338">
        <v>55</v>
      </c>
      <c r="M2338">
        <v>1.4</v>
      </c>
      <c r="N2338">
        <v>1</v>
      </c>
      <c r="O2338" t="s">
        <v>19</v>
      </c>
      <c r="P2338" cm="1">
        <f t="array" ref="P2338">_xlfn.SWITCH(Table2[[#This Row],[mood]], "Tired", 3, "Neutral", 2, "Happy", 1)</f>
        <v>2</v>
      </c>
    </row>
    <row r="2339" spans="1:16" x14ac:dyDescent="0.3">
      <c r="A2339">
        <v>1947</v>
      </c>
      <c r="B2339" s="1">
        <v>44342</v>
      </c>
      <c r="C2339">
        <v>53</v>
      </c>
      <c r="D2339" t="s">
        <v>20</v>
      </c>
      <c r="E2339">
        <v>167.6</v>
      </c>
      <c r="F2339">
        <v>64.3</v>
      </c>
      <c r="G2339">
        <v>11060</v>
      </c>
      <c r="H2339">
        <v>666.4</v>
      </c>
      <c r="I2339">
        <v>5.2</v>
      </c>
      <c r="J2339">
        <v>72</v>
      </c>
      <c r="K2339" t="s">
        <v>23</v>
      </c>
      <c r="L2339">
        <v>41</v>
      </c>
      <c r="M2339">
        <v>1.61</v>
      </c>
      <c r="N2339">
        <v>2</v>
      </c>
      <c r="O2339" t="s">
        <v>17</v>
      </c>
      <c r="P2339" cm="1">
        <f t="array" ref="P2339">_xlfn.SWITCH(Table2[[#This Row],[mood]], "Tired", 3, "Neutral", 2, "Happy", 1)</f>
        <v>3</v>
      </c>
    </row>
    <row r="2340" spans="1:16" x14ac:dyDescent="0.3">
      <c r="A2340">
        <v>1380</v>
      </c>
      <c r="B2340" s="1">
        <v>44343</v>
      </c>
      <c r="C2340">
        <v>19</v>
      </c>
      <c r="D2340" t="s">
        <v>15</v>
      </c>
      <c r="E2340">
        <v>162.5</v>
      </c>
      <c r="F2340">
        <v>58</v>
      </c>
      <c r="G2340">
        <v>6433</v>
      </c>
      <c r="H2340">
        <v>421.1</v>
      </c>
      <c r="I2340">
        <v>8.5</v>
      </c>
      <c r="J2340">
        <v>75</v>
      </c>
      <c r="K2340" t="s">
        <v>18</v>
      </c>
      <c r="L2340">
        <v>55</v>
      </c>
      <c r="M2340">
        <v>2.4500000000000002</v>
      </c>
      <c r="N2340">
        <v>10</v>
      </c>
      <c r="O2340" t="s">
        <v>17</v>
      </c>
      <c r="P2340" cm="1">
        <f t="array" ref="P2340">_xlfn.SWITCH(Table2[[#This Row],[mood]], "Tired", 3, "Neutral", 2, "Happy", 1)</f>
        <v>3</v>
      </c>
    </row>
    <row r="2341" spans="1:16" x14ac:dyDescent="0.3">
      <c r="A2341">
        <v>1459</v>
      </c>
      <c r="B2341" s="1">
        <v>44344</v>
      </c>
      <c r="C2341">
        <v>28</v>
      </c>
      <c r="D2341" t="s">
        <v>20</v>
      </c>
      <c r="E2341">
        <v>164.4</v>
      </c>
      <c r="F2341">
        <v>57.7</v>
      </c>
      <c r="G2341">
        <v>18822</v>
      </c>
      <c r="H2341">
        <v>900</v>
      </c>
      <c r="I2341">
        <v>5.2</v>
      </c>
      <c r="J2341">
        <v>104</v>
      </c>
      <c r="K2341" t="s">
        <v>25</v>
      </c>
      <c r="L2341">
        <v>22</v>
      </c>
      <c r="M2341">
        <v>1.78</v>
      </c>
      <c r="N2341">
        <v>6</v>
      </c>
      <c r="O2341" t="s">
        <v>21</v>
      </c>
      <c r="P2341" cm="1">
        <f t="array" ref="P2341">_xlfn.SWITCH(Table2[[#This Row],[mood]], "Tired", 3, "Neutral", 2, "Happy", 1)</f>
        <v>1</v>
      </c>
    </row>
    <row r="2342" spans="1:16" x14ac:dyDescent="0.3">
      <c r="A2342">
        <v>1006</v>
      </c>
      <c r="B2342" s="1">
        <v>44345</v>
      </c>
      <c r="C2342">
        <v>56</v>
      </c>
      <c r="D2342" t="s">
        <v>15</v>
      </c>
      <c r="E2342">
        <v>173</v>
      </c>
      <c r="F2342">
        <v>87.4</v>
      </c>
      <c r="G2342">
        <v>2352</v>
      </c>
      <c r="H2342">
        <v>307.5</v>
      </c>
      <c r="I2342">
        <v>6.3</v>
      </c>
      <c r="J2342">
        <v>69</v>
      </c>
      <c r="K2342" t="s">
        <v>25</v>
      </c>
      <c r="L2342">
        <v>63</v>
      </c>
      <c r="M2342">
        <v>1.72</v>
      </c>
      <c r="N2342">
        <v>4</v>
      </c>
      <c r="O2342" t="s">
        <v>21</v>
      </c>
      <c r="P2342" cm="1">
        <f t="array" ref="P2342">_xlfn.SWITCH(Table2[[#This Row],[mood]], "Tired", 3, "Neutral", 2, "Happy", 1)</f>
        <v>1</v>
      </c>
    </row>
    <row r="2343" spans="1:16" x14ac:dyDescent="0.3">
      <c r="A2343">
        <v>1028</v>
      </c>
      <c r="B2343" s="1">
        <v>44346</v>
      </c>
      <c r="C2343">
        <v>51</v>
      </c>
      <c r="D2343" t="s">
        <v>20</v>
      </c>
      <c r="E2343">
        <v>177.7</v>
      </c>
      <c r="F2343">
        <v>63.4</v>
      </c>
      <c r="G2343">
        <v>9236</v>
      </c>
      <c r="H2343">
        <v>532.20000000000005</v>
      </c>
      <c r="I2343">
        <v>7.7</v>
      </c>
      <c r="J2343">
        <v>60</v>
      </c>
      <c r="K2343" t="s">
        <v>18</v>
      </c>
      <c r="L2343">
        <v>35</v>
      </c>
      <c r="M2343">
        <v>2.69</v>
      </c>
      <c r="N2343">
        <v>7</v>
      </c>
      <c r="O2343" t="s">
        <v>19</v>
      </c>
      <c r="P2343" cm="1">
        <f t="array" ref="P2343">_xlfn.SWITCH(Table2[[#This Row],[mood]], "Tired", 3, "Neutral", 2, "Happy", 1)</f>
        <v>2</v>
      </c>
    </row>
    <row r="2344" spans="1:16" x14ac:dyDescent="0.3">
      <c r="A2344">
        <v>1906</v>
      </c>
      <c r="B2344" s="1">
        <v>44347</v>
      </c>
      <c r="C2344">
        <v>43</v>
      </c>
      <c r="D2344" t="s">
        <v>15</v>
      </c>
      <c r="E2344">
        <v>173</v>
      </c>
      <c r="F2344">
        <v>102</v>
      </c>
      <c r="G2344">
        <v>19764</v>
      </c>
      <c r="H2344">
        <v>900</v>
      </c>
      <c r="I2344">
        <v>4</v>
      </c>
      <c r="J2344">
        <v>77</v>
      </c>
      <c r="K2344" t="s">
        <v>18</v>
      </c>
      <c r="L2344">
        <v>30</v>
      </c>
      <c r="M2344">
        <v>1.86</v>
      </c>
      <c r="N2344">
        <v>2</v>
      </c>
      <c r="O2344" t="s">
        <v>19</v>
      </c>
      <c r="P2344" cm="1">
        <f t="array" ref="P2344">_xlfn.SWITCH(Table2[[#This Row],[mood]], "Tired", 3, "Neutral", 2, "Happy", 1)</f>
        <v>2</v>
      </c>
    </row>
    <row r="2345" spans="1:16" x14ac:dyDescent="0.3">
      <c r="A2345">
        <v>1032</v>
      </c>
      <c r="B2345" s="1">
        <v>44348</v>
      </c>
      <c r="C2345">
        <v>35</v>
      </c>
      <c r="D2345" t="s">
        <v>15</v>
      </c>
      <c r="E2345">
        <v>177.4</v>
      </c>
      <c r="F2345">
        <v>80</v>
      </c>
      <c r="G2345">
        <v>5560</v>
      </c>
      <c r="H2345">
        <v>385</v>
      </c>
      <c r="I2345">
        <v>8.4</v>
      </c>
      <c r="J2345">
        <v>66</v>
      </c>
      <c r="K2345" t="s">
        <v>22</v>
      </c>
      <c r="L2345">
        <v>29</v>
      </c>
      <c r="M2345">
        <v>4.08</v>
      </c>
      <c r="N2345">
        <v>1</v>
      </c>
      <c r="O2345" t="s">
        <v>19</v>
      </c>
      <c r="P2345" cm="1">
        <f t="array" ref="P2345">_xlfn.SWITCH(Table2[[#This Row],[mood]], "Tired", 3, "Neutral", 2, "Happy", 1)</f>
        <v>2</v>
      </c>
    </row>
    <row r="2346" spans="1:16" x14ac:dyDescent="0.3">
      <c r="A2346">
        <v>1645</v>
      </c>
      <c r="B2346" s="1">
        <v>44349</v>
      </c>
      <c r="C2346">
        <v>38</v>
      </c>
      <c r="D2346" t="s">
        <v>20</v>
      </c>
      <c r="E2346">
        <v>177.6</v>
      </c>
      <c r="F2346">
        <v>45</v>
      </c>
      <c r="G2346">
        <v>17583</v>
      </c>
      <c r="H2346">
        <v>886.9</v>
      </c>
      <c r="I2346">
        <v>10</v>
      </c>
      <c r="J2346">
        <v>71</v>
      </c>
      <c r="K2346" t="s">
        <v>23</v>
      </c>
      <c r="L2346">
        <v>70</v>
      </c>
      <c r="M2346">
        <v>2.13</v>
      </c>
      <c r="N2346">
        <v>5</v>
      </c>
      <c r="O2346" t="s">
        <v>21</v>
      </c>
      <c r="P2346" cm="1">
        <f t="array" ref="P2346">_xlfn.SWITCH(Table2[[#This Row],[mood]], "Tired", 3, "Neutral", 2, "Happy", 1)</f>
        <v>1</v>
      </c>
    </row>
    <row r="2347" spans="1:16" x14ac:dyDescent="0.3">
      <c r="A2347">
        <v>1878</v>
      </c>
      <c r="B2347" s="1">
        <v>44350</v>
      </c>
      <c r="C2347">
        <v>53</v>
      </c>
      <c r="D2347" t="s">
        <v>15</v>
      </c>
      <c r="E2347">
        <v>167</v>
      </c>
      <c r="F2347">
        <v>83.2</v>
      </c>
      <c r="G2347">
        <v>16560</v>
      </c>
      <c r="H2347">
        <v>899.2</v>
      </c>
      <c r="I2347">
        <v>7.2</v>
      </c>
      <c r="J2347">
        <v>81</v>
      </c>
      <c r="K2347" t="s">
        <v>25</v>
      </c>
      <c r="L2347">
        <v>61</v>
      </c>
      <c r="M2347">
        <v>2.31</v>
      </c>
      <c r="N2347">
        <v>9</v>
      </c>
      <c r="O2347" t="s">
        <v>19</v>
      </c>
      <c r="P2347" cm="1">
        <f t="array" ref="P2347">_xlfn.SWITCH(Table2[[#This Row],[mood]], "Tired", 3, "Neutral", 2, "Happy", 1)</f>
        <v>2</v>
      </c>
    </row>
    <row r="2348" spans="1:16" x14ac:dyDescent="0.3">
      <c r="A2348">
        <v>1078</v>
      </c>
      <c r="B2348" s="1">
        <v>44351</v>
      </c>
      <c r="C2348">
        <v>57</v>
      </c>
      <c r="D2348" t="s">
        <v>15</v>
      </c>
      <c r="E2348">
        <v>175.3</v>
      </c>
      <c r="F2348">
        <v>69.2</v>
      </c>
      <c r="G2348">
        <v>5424</v>
      </c>
      <c r="H2348">
        <v>317.5</v>
      </c>
      <c r="I2348">
        <v>6.9</v>
      </c>
      <c r="J2348">
        <v>64</v>
      </c>
      <c r="K2348" t="s">
        <v>22</v>
      </c>
      <c r="L2348">
        <v>44</v>
      </c>
      <c r="M2348">
        <v>2.71</v>
      </c>
      <c r="N2348">
        <v>6</v>
      </c>
      <c r="O2348" t="s">
        <v>21</v>
      </c>
      <c r="P2348" cm="1">
        <f t="array" ref="P2348">_xlfn.SWITCH(Table2[[#This Row],[mood]], "Tired", 3, "Neutral", 2, "Happy", 1)</f>
        <v>1</v>
      </c>
    </row>
    <row r="2349" spans="1:16" x14ac:dyDescent="0.3">
      <c r="A2349">
        <v>1927</v>
      </c>
      <c r="B2349" s="1">
        <v>44352</v>
      </c>
      <c r="C2349">
        <v>39</v>
      </c>
      <c r="D2349" t="s">
        <v>15</v>
      </c>
      <c r="E2349">
        <v>152.5</v>
      </c>
      <c r="F2349">
        <v>49.2</v>
      </c>
      <c r="G2349">
        <v>8847</v>
      </c>
      <c r="H2349">
        <v>618.6</v>
      </c>
      <c r="I2349">
        <v>7.1</v>
      </c>
      <c r="J2349">
        <v>71</v>
      </c>
      <c r="K2349" t="s">
        <v>16</v>
      </c>
      <c r="L2349">
        <v>0</v>
      </c>
      <c r="M2349">
        <v>1.44</v>
      </c>
      <c r="N2349">
        <v>6</v>
      </c>
      <c r="O2349" t="s">
        <v>19</v>
      </c>
      <c r="P2349" cm="1">
        <f t="array" ref="P2349">_xlfn.SWITCH(Table2[[#This Row],[mood]], "Tired", 3, "Neutral", 2, "Happy", 1)</f>
        <v>2</v>
      </c>
    </row>
    <row r="2350" spans="1:16" x14ac:dyDescent="0.3">
      <c r="A2350">
        <v>1946</v>
      </c>
      <c r="B2350" s="1">
        <v>44353</v>
      </c>
      <c r="C2350">
        <v>47</v>
      </c>
      <c r="D2350" t="s">
        <v>20</v>
      </c>
      <c r="E2350">
        <v>166.2</v>
      </c>
      <c r="F2350">
        <v>89.6</v>
      </c>
      <c r="G2350">
        <v>15195</v>
      </c>
      <c r="H2350">
        <v>797.6</v>
      </c>
      <c r="I2350">
        <v>7.3</v>
      </c>
      <c r="J2350">
        <v>78</v>
      </c>
      <c r="K2350" t="s">
        <v>25</v>
      </c>
      <c r="L2350">
        <v>63</v>
      </c>
      <c r="M2350">
        <v>2.86</v>
      </c>
      <c r="N2350">
        <v>1</v>
      </c>
      <c r="O2350" t="s">
        <v>21</v>
      </c>
      <c r="P2350" cm="1">
        <f t="array" ref="P2350">_xlfn.SWITCH(Table2[[#This Row],[mood]], "Tired", 3, "Neutral", 2, "Happy", 1)</f>
        <v>1</v>
      </c>
    </row>
    <row r="2351" spans="1:16" x14ac:dyDescent="0.3">
      <c r="A2351">
        <v>1458</v>
      </c>
      <c r="B2351" s="1">
        <v>44354</v>
      </c>
      <c r="C2351">
        <v>47</v>
      </c>
      <c r="D2351" t="s">
        <v>15</v>
      </c>
      <c r="E2351">
        <v>165</v>
      </c>
      <c r="F2351">
        <v>63.5</v>
      </c>
      <c r="G2351">
        <v>5797</v>
      </c>
      <c r="H2351">
        <v>400.2</v>
      </c>
      <c r="I2351">
        <v>5.9</v>
      </c>
      <c r="J2351">
        <v>67</v>
      </c>
      <c r="K2351" t="s">
        <v>18</v>
      </c>
      <c r="L2351">
        <v>27</v>
      </c>
      <c r="M2351">
        <v>2.74</v>
      </c>
      <c r="N2351">
        <v>1</v>
      </c>
      <c r="O2351" t="s">
        <v>19</v>
      </c>
      <c r="P2351" cm="1">
        <f t="array" ref="P2351">_xlfn.SWITCH(Table2[[#This Row],[mood]], "Tired", 3, "Neutral", 2, "Happy", 1)</f>
        <v>2</v>
      </c>
    </row>
    <row r="2352" spans="1:16" x14ac:dyDescent="0.3">
      <c r="A2352">
        <v>1569</v>
      </c>
      <c r="B2352" s="1">
        <v>44355</v>
      </c>
      <c r="C2352">
        <v>25</v>
      </c>
      <c r="D2352" t="s">
        <v>20</v>
      </c>
      <c r="E2352">
        <v>185.3</v>
      </c>
      <c r="F2352">
        <v>62.2</v>
      </c>
      <c r="G2352">
        <v>15309</v>
      </c>
      <c r="H2352">
        <v>856.7</v>
      </c>
      <c r="I2352">
        <v>5.3</v>
      </c>
      <c r="J2352">
        <v>75</v>
      </c>
      <c r="K2352" t="s">
        <v>22</v>
      </c>
      <c r="L2352">
        <v>53</v>
      </c>
      <c r="M2352">
        <v>2.2599999999999998</v>
      </c>
      <c r="N2352">
        <v>4</v>
      </c>
      <c r="O2352" t="s">
        <v>19</v>
      </c>
      <c r="P2352" cm="1">
        <f t="array" ref="P2352">_xlfn.SWITCH(Table2[[#This Row],[mood]], "Tired", 3, "Neutral", 2, "Happy", 1)</f>
        <v>2</v>
      </c>
    </row>
    <row r="2353" spans="1:16" x14ac:dyDescent="0.3">
      <c r="A2353">
        <v>1982</v>
      </c>
      <c r="B2353" s="1">
        <v>44356</v>
      </c>
      <c r="C2353">
        <v>51</v>
      </c>
      <c r="D2353" t="s">
        <v>15</v>
      </c>
      <c r="E2353">
        <v>173.4</v>
      </c>
      <c r="F2353">
        <v>75.599999999999994</v>
      </c>
      <c r="G2353">
        <v>3407</v>
      </c>
      <c r="H2353">
        <v>326</v>
      </c>
      <c r="I2353">
        <v>6.5</v>
      </c>
      <c r="J2353">
        <v>78</v>
      </c>
      <c r="K2353" t="s">
        <v>16</v>
      </c>
      <c r="L2353">
        <v>0</v>
      </c>
      <c r="M2353">
        <v>2.69</v>
      </c>
      <c r="N2353">
        <v>2</v>
      </c>
      <c r="O2353" t="s">
        <v>19</v>
      </c>
      <c r="P2353" cm="1">
        <f t="array" ref="P2353">_xlfn.SWITCH(Table2[[#This Row],[mood]], "Tired", 3, "Neutral", 2, "Happy", 1)</f>
        <v>2</v>
      </c>
    </row>
    <row r="2354" spans="1:16" x14ac:dyDescent="0.3">
      <c r="A2354">
        <v>1537</v>
      </c>
      <c r="B2354" s="1">
        <v>44357</v>
      </c>
      <c r="C2354">
        <v>26</v>
      </c>
      <c r="D2354" t="s">
        <v>15</v>
      </c>
      <c r="E2354">
        <v>156.69999999999999</v>
      </c>
      <c r="F2354">
        <v>87.1</v>
      </c>
      <c r="G2354">
        <v>4791</v>
      </c>
      <c r="H2354">
        <v>339.3</v>
      </c>
      <c r="I2354">
        <v>7.2</v>
      </c>
      <c r="J2354">
        <v>74</v>
      </c>
      <c r="K2354" t="s">
        <v>22</v>
      </c>
      <c r="L2354">
        <v>20</v>
      </c>
      <c r="M2354">
        <v>2.8</v>
      </c>
      <c r="N2354">
        <v>3</v>
      </c>
      <c r="O2354" t="s">
        <v>21</v>
      </c>
      <c r="P2354" cm="1">
        <f t="array" ref="P2354">_xlfn.SWITCH(Table2[[#This Row],[mood]], "Tired", 3, "Neutral", 2, "Happy", 1)</f>
        <v>1</v>
      </c>
    </row>
    <row r="2355" spans="1:16" x14ac:dyDescent="0.3">
      <c r="A2355">
        <v>1481</v>
      </c>
      <c r="B2355" s="1">
        <v>44358</v>
      </c>
      <c r="C2355">
        <v>37</v>
      </c>
      <c r="D2355" t="s">
        <v>20</v>
      </c>
      <c r="E2355">
        <v>175.9</v>
      </c>
      <c r="F2355">
        <v>71.7</v>
      </c>
      <c r="G2355">
        <v>7508</v>
      </c>
      <c r="H2355">
        <v>424.2</v>
      </c>
      <c r="I2355">
        <v>5.5</v>
      </c>
      <c r="J2355">
        <v>77</v>
      </c>
      <c r="K2355" t="s">
        <v>22</v>
      </c>
      <c r="L2355">
        <v>22</v>
      </c>
      <c r="M2355">
        <v>3.5</v>
      </c>
      <c r="N2355">
        <v>6</v>
      </c>
      <c r="O2355" t="s">
        <v>17</v>
      </c>
      <c r="P2355" cm="1">
        <f t="array" ref="P2355">_xlfn.SWITCH(Table2[[#This Row],[mood]], "Tired", 3, "Neutral", 2, "Happy", 1)</f>
        <v>3</v>
      </c>
    </row>
    <row r="2356" spans="1:16" x14ac:dyDescent="0.3">
      <c r="A2356">
        <v>1429</v>
      </c>
      <c r="B2356" s="1">
        <v>44359</v>
      </c>
      <c r="C2356">
        <v>57</v>
      </c>
      <c r="D2356" t="s">
        <v>15</v>
      </c>
      <c r="E2356">
        <v>179.1</v>
      </c>
      <c r="F2356">
        <v>70.599999999999994</v>
      </c>
      <c r="G2356">
        <v>15407</v>
      </c>
      <c r="H2356">
        <v>851.1</v>
      </c>
      <c r="I2356">
        <v>5</v>
      </c>
      <c r="J2356">
        <v>79</v>
      </c>
      <c r="K2356" t="s">
        <v>23</v>
      </c>
      <c r="L2356">
        <v>71</v>
      </c>
      <c r="M2356">
        <v>4.25</v>
      </c>
      <c r="N2356">
        <v>10</v>
      </c>
      <c r="O2356" t="s">
        <v>17</v>
      </c>
      <c r="P2356" cm="1">
        <f t="array" ref="P2356">_xlfn.SWITCH(Table2[[#This Row],[mood]], "Tired", 3, "Neutral", 2, "Happy", 1)</f>
        <v>3</v>
      </c>
    </row>
    <row r="2357" spans="1:16" x14ac:dyDescent="0.3">
      <c r="A2357">
        <v>1737</v>
      </c>
      <c r="B2357" s="1">
        <v>44360</v>
      </c>
      <c r="C2357">
        <v>42</v>
      </c>
      <c r="D2357" t="s">
        <v>15</v>
      </c>
      <c r="E2357">
        <v>169.1</v>
      </c>
      <c r="F2357">
        <v>59.5</v>
      </c>
      <c r="G2357">
        <v>10629</v>
      </c>
      <c r="H2357">
        <v>663.1</v>
      </c>
      <c r="I2357">
        <v>6.3</v>
      </c>
      <c r="J2357">
        <v>68</v>
      </c>
      <c r="K2357" t="s">
        <v>16</v>
      </c>
      <c r="L2357">
        <v>0</v>
      </c>
      <c r="M2357">
        <v>1.76</v>
      </c>
      <c r="N2357">
        <v>1</v>
      </c>
      <c r="O2357" t="s">
        <v>21</v>
      </c>
      <c r="P2357" cm="1">
        <f t="array" ref="P2357">_xlfn.SWITCH(Table2[[#This Row],[mood]], "Tired", 3, "Neutral", 2, "Happy", 1)</f>
        <v>1</v>
      </c>
    </row>
    <row r="2358" spans="1:16" x14ac:dyDescent="0.3">
      <c r="A2358">
        <v>1284</v>
      </c>
      <c r="B2358" s="1">
        <v>44361</v>
      </c>
      <c r="C2358">
        <v>36</v>
      </c>
      <c r="D2358" t="s">
        <v>20</v>
      </c>
      <c r="E2358">
        <v>176.9</v>
      </c>
      <c r="F2358">
        <v>86.9</v>
      </c>
      <c r="G2358">
        <v>1126</v>
      </c>
      <c r="H2358">
        <v>224.4</v>
      </c>
      <c r="I2358">
        <v>5</v>
      </c>
      <c r="J2358">
        <v>60</v>
      </c>
      <c r="K2358" t="s">
        <v>22</v>
      </c>
      <c r="L2358">
        <v>66</v>
      </c>
      <c r="M2358">
        <v>1.59</v>
      </c>
      <c r="N2358">
        <v>10</v>
      </c>
      <c r="O2358" t="s">
        <v>21</v>
      </c>
      <c r="P2358" cm="1">
        <f t="array" ref="P2358">_xlfn.SWITCH(Table2[[#This Row],[mood]], "Tired", 3, "Neutral", 2, "Happy", 1)</f>
        <v>1</v>
      </c>
    </row>
    <row r="2359" spans="1:16" x14ac:dyDescent="0.3">
      <c r="A2359">
        <v>1515</v>
      </c>
      <c r="B2359" s="1">
        <v>44362</v>
      </c>
      <c r="C2359">
        <v>22</v>
      </c>
      <c r="D2359" t="s">
        <v>15</v>
      </c>
      <c r="E2359">
        <v>150</v>
      </c>
      <c r="F2359">
        <v>71.8</v>
      </c>
      <c r="G2359">
        <v>10812</v>
      </c>
      <c r="H2359">
        <v>698.5</v>
      </c>
      <c r="I2359">
        <v>8</v>
      </c>
      <c r="J2359">
        <v>65</v>
      </c>
      <c r="K2359" t="s">
        <v>25</v>
      </c>
      <c r="L2359">
        <v>38</v>
      </c>
      <c r="M2359">
        <v>2.57</v>
      </c>
      <c r="N2359">
        <v>2</v>
      </c>
      <c r="O2359" t="s">
        <v>17</v>
      </c>
      <c r="P2359" cm="1">
        <f t="array" ref="P2359">_xlfn.SWITCH(Table2[[#This Row],[mood]], "Tired", 3, "Neutral", 2, "Happy", 1)</f>
        <v>3</v>
      </c>
    </row>
    <row r="2360" spans="1:16" x14ac:dyDescent="0.3">
      <c r="A2360">
        <v>1976</v>
      </c>
      <c r="B2360" s="1">
        <v>44363</v>
      </c>
      <c r="C2360">
        <v>28</v>
      </c>
      <c r="D2360" t="s">
        <v>20</v>
      </c>
      <c r="E2360">
        <v>150</v>
      </c>
      <c r="F2360">
        <v>66.599999999999994</v>
      </c>
      <c r="G2360">
        <v>8694</v>
      </c>
      <c r="H2360">
        <v>549.6</v>
      </c>
      <c r="I2360">
        <v>3</v>
      </c>
      <c r="J2360">
        <v>63</v>
      </c>
      <c r="K2360" t="s">
        <v>23</v>
      </c>
      <c r="L2360">
        <v>89</v>
      </c>
      <c r="M2360">
        <v>1.04</v>
      </c>
      <c r="N2360">
        <v>4</v>
      </c>
      <c r="O2360" t="s">
        <v>17</v>
      </c>
      <c r="P2360" cm="1">
        <f t="array" ref="P2360">_xlfn.SWITCH(Table2[[#This Row],[mood]], "Tired", 3, "Neutral", 2, "Happy", 1)</f>
        <v>3</v>
      </c>
    </row>
    <row r="2361" spans="1:16" x14ac:dyDescent="0.3">
      <c r="A2361">
        <v>1098</v>
      </c>
      <c r="B2361" s="1">
        <v>44364</v>
      </c>
      <c r="C2361">
        <v>32</v>
      </c>
      <c r="D2361" t="s">
        <v>20</v>
      </c>
      <c r="E2361">
        <v>158.19999999999999</v>
      </c>
      <c r="F2361">
        <v>64.8</v>
      </c>
      <c r="G2361">
        <v>4319</v>
      </c>
      <c r="H2361">
        <v>439.2</v>
      </c>
      <c r="I2361">
        <v>5.2</v>
      </c>
      <c r="J2361">
        <v>87</v>
      </c>
      <c r="K2361" t="s">
        <v>25</v>
      </c>
      <c r="L2361">
        <v>66</v>
      </c>
      <c r="M2361">
        <v>2.95</v>
      </c>
      <c r="N2361">
        <v>6</v>
      </c>
      <c r="O2361" t="s">
        <v>19</v>
      </c>
      <c r="P2361" cm="1">
        <f t="array" ref="P2361">_xlfn.SWITCH(Table2[[#This Row],[mood]], "Tired", 3, "Neutral", 2, "Happy", 1)</f>
        <v>2</v>
      </c>
    </row>
    <row r="2362" spans="1:16" x14ac:dyDescent="0.3">
      <c r="A2362">
        <v>1396</v>
      </c>
      <c r="B2362" s="1">
        <v>44365</v>
      </c>
      <c r="C2362">
        <v>25</v>
      </c>
      <c r="D2362" t="s">
        <v>20</v>
      </c>
      <c r="E2362">
        <v>171.5</v>
      </c>
      <c r="F2362">
        <v>85.4</v>
      </c>
      <c r="G2362">
        <v>9673</v>
      </c>
      <c r="H2362">
        <v>539.1</v>
      </c>
      <c r="I2362">
        <v>9.1</v>
      </c>
      <c r="J2362">
        <v>58</v>
      </c>
      <c r="K2362" t="s">
        <v>16</v>
      </c>
      <c r="L2362">
        <v>0</v>
      </c>
      <c r="M2362">
        <v>2.58</v>
      </c>
      <c r="N2362">
        <v>3</v>
      </c>
      <c r="O2362" t="s">
        <v>19</v>
      </c>
      <c r="P2362" cm="1">
        <f t="array" ref="P2362">_xlfn.SWITCH(Table2[[#This Row],[mood]], "Tired", 3, "Neutral", 2, "Happy", 1)</f>
        <v>2</v>
      </c>
    </row>
    <row r="2363" spans="1:16" x14ac:dyDescent="0.3">
      <c r="A2363">
        <v>1488</v>
      </c>
      <c r="B2363" s="1">
        <v>44366</v>
      </c>
      <c r="C2363">
        <v>36</v>
      </c>
      <c r="D2363" t="s">
        <v>15</v>
      </c>
      <c r="E2363">
        <v>185.3</v>
      </c>
      <c r="F2363">
        <v>66.099999999999994</v>
      </c>
      <c r="G2363">
        <v>6431</v>
      </c>
      <c r="H2363">
        <v>403.3</v>
      </c>
      <c r="I2363">
        <v>6.7</v>
      </c>
      <c r="J2363">
        <v>81</v>
      </c>
      <c r="K2363" t="s">
        <v>22</v>
      </c>
      <c r="L2363">
        <v>83</v>
      </c>
      <c r="M2363">
        <v>2.76</v>
      </c>
      <c r="N2363">
        <v>9</v>
      </c>
      <c r="O2363" t="s">
        <v>21</v>
      </c>
      <c r="P2363" cm="1">
        <f t="array" ref="P2363">_xlfn.SWITCH(Table2[[#This Row],[mood]], "Tired", 3, "Neutral", 2, "Happy", 1)</f>
        <v>1</v>
      </c>
    </row>
    <row r="2364" spans="1:16" x14ac:dyDescent="0.3">
      <c r="A2364">
        <v>1038</v>
      </c>
      <c r="B2364" s="1">
        <v>44367</v>
      </c>
      <c r="C2364">
        <v>40</v>
      </c>
      <c r="D2364" t="s">
        <v>20</v>
      </c>
      <c r="E2364">
        <v>158.69999999999999</v>
      </c>
      <c r="F2364">
        <v>85.4</v>
      </c>
      <c r="G2364">
        <v>5378</v>
      </c>
      <c r="H2364">
        <v>389.4</v>
      </c>
      <c r="I2364">
        <v>7.3</v>
      </c>
      <c r="J2364">
        <v>68</v>
      </c>
      <c r="K2364" t="s">
        <v>22</v>
      </c>
      <c r="L2364">
        <v>64</v>
      </c>
      <c r="M2364">
        <v>2.29</v>
      </c>
      <c r="N2364">
        <v>10</v>
      </c>
      <c r="O2364" t="s">
        <v>17</v>
      </c>
      <c r="P2364" cm="1">
        <f t="array" ref="P2364">_xlfn.SWITCH(Table2[[#This Row],[mood]], "Tired", 3, "Neutral", 2, "Happy", 1)</f>
        <v>3</v>
      </c>
    </row>
    <row r="2365" spans="1:16" x14ac:dyDescent="0.3">
      <c r="A2365">
        <v>1270</v>
      </c>
      <c r="B2365" s="1">
        <v>44368</v>
      </c>
      <c r="C2365">
        <v>44</v>
      </c>
      <c r="D2365" t="s">
        <v>20</v>
      </c>
      <c r="E2365">
        <v>161.5</v>
      </c>
      <c r="F2365">
        <v>62.9</v>
      </c>
      <c r="G2365">
        <v>19505</v>
      </c>
      <c r="H2365">
        <v>900</v>
      </c>
      <c r="I2365">
        <v>6.8</v>
      </c>
      <c r="J2365">
        <v>85</v>
      </c>
      <c r="K2365" t="s">
        <v>16</v>
      </c>
      <c r="L2365">
        <v>0</v>
      </c>
      <c r="M2365">
        <v>2.68</v>
      </c>
      <c r="N2365">
        <v>4</v>
      </c>
      <c r="O2365" t="s">
        <v>17</v>
      </c>
      <c r="P2365" cm="1">
        <f t="array" ref="P2365">_xlfn.SWITCH(Table2[[#This Row],[mood]], "Tired", 3, "Neutral", 2, "Happy", 1)</f>
        <v>3</v>
      </c>
    </row>
    <row r="2366" spans="1:16" x14ac:dyDescent="0.3">
      <c r="A2366">
        <v>1886</v>
      </c>
      <c r="B2366" s="1">
        <v>44369</v>
      </c>
      <c r="C2366">
        <v>57</v>
      </c>
      <c r="D2366" t="s">
        <v>15</v>
      </c>
      <c r="E2366">
        <v>170.9</v>
      </c>
      <c r="F2366">
        <v>80.8</v>
      </c>
      <c r="G2366">
        <v>12012</v>
      </c>
      <c r="H2366">
        <v>738</v>
      </c>
      <c r="I2366">
        <v>6.1</v>
      </c>
      <c r="J2366">
        <v>71</v>
      </c>
      <c r="K2366" t="s">
        <v>25</v>
      </c>
      <c r="L2366">
        <v>64</v>
      </c>
      <c r="M2366">
        <v>2.83</v>
      </c>
      <c r="N2366">
        <v>7</v>
      </c>
      <c r="O2366" t="s">
        <v>21</v>
      </c>
      <c r="P2366" cm="1">
        <f t="array" ref="P2366">_xlfn.SWITCH(Table2[[#This Row],[mood]], "Tired", 3, "Neutral", 2, "Happy", 1)</f>
        <v>1</v>
      </c>
    </row>
    <row r="2367" spans="1:16" x14ac:dyDescent="0.3">
      <c r="A2367">
        <v>1796</v>
      </c>
      <c r="B2367" s="1">
        <v>44370</v>
      </c>
      <c r="C2367">
        <v>49</v>
      </c>
      <c r="D2367" t="s">
        <v>20</v>
      </c>
      <c r="E2367">
        <v>165.1</v>
      </c>
      <c r="F2367">
        <v>73.099999999999994</v>
      </c>
      <c r="G2367">
        <v>7490</v>
      </c>
      <c r="H2367">
        <v>514.29999999999995</v>
      </c>
      <c r="I2367">
        <v>8.6</v>
      </c>
      <c r="J2367">
        <v>75</v>
      </c>
      <c r="K2367" t="s">
        <v>24</v>
      </c>
      <c r="L2367">
        <v>55</v>
      </c>
      <c r="M2367">
        <v>2.64</v>
      </c>
      <c r="N2367">
        <v>5</v>
      </c>
      <c r="O2367" t="s">
        <v>17</v>
      </c>
      <c r="P2367" cm="1">
        <f t="array" ref="P2367">_xlfn.SWITCH(Table2[[#This Row],[mood]], "Tired", 3, "Neutral", 2, "Happy", 1)</f>
        <v>3</v>
      </c>
    </row>
    <row r="2368" spans="1:16" x14ac:dyDescent="0.3">
      <c r="A2368">
        <v>1156</v>
      </c>
      <c r="B2368" s="1">
        <v>44371</v>
      </c>
      <c r="C2368">
        <v>43</v>
      </c>
      <c r="D2368" t="s">
        <v>15</v>
      </c>
      <c r="E2368">
        <v>164.5</v>
      </c>
      <c r="F2368">
        <v>55.7</v>
      </c>
      <c r="G2368">
        <v>11563</v>
      </c>
      <c r="H2368">
        <v>624.6</v>
      </c>
      <c r="I2368">
        <v>6.1</v>
      </c>
      <c r="J2368">
        <v>80</v>
      </c>
      <c r="K2368" t="s">
        <v>22</v>
      </c>
      <c r="L2368">
        <v>28</v>
      </c>
      <c r="M2368">
        <v>1.56</v>
      </c>
      <c r="N2368">
        <v>6</v>
      </c>
      <c r="O2368" t="s">
        <v>19</v>
      </c>
      <c r="P2368" cm="1">
        <f t="array" ref="P2368">_xlfn.SWITCH(Table2[[#This Row],[mood]], "Tired", 3, "Neutral", 2, "Happy", 1)</f>
        <v>2</v>
      </c>
    </row>
    <row r="2369" spans="1:16" x14ac:dyDescent="0.3">
      <c r="A2369">
        <v>1074</v>
      </c>
      <c r="B2369" s="1">
        <v>44372</v>
      </c>
      <c r="C2369">
        <v>44</v>
      </c>
      <c r="D2369" t="s">
        <v>15</v>
      </c>
      <c r="E2369">
        <v>165.8</v>
      </c>
      <c r="F2369">
        <v>68.7</v>
      </c>
      <c r="G2369">
        <v>17622</v>
      </c>
      <c r="H2369">
        <v>900</v>
      </c>
      <c r="I2369">
        <v>5.8</v>
      </c>
      <c r="J2369">
        <v>88</v>
      </c>
      <c r="K2369" t="s">
        <v>22</v>
      </c>
      <c r="L2369">
        <v>42</v>
      </c>
      <c r="M2369">
        <v>2.62</v>
      </c>
      <c r="N2369">
        <v>9</v>
      </c>
      <c r="O2369" t="s">
        <v>17</v>
      </c>
      <c r="P2369" cm="1">
        <f t="array" ref="P2369">_xlfn.SWITCH(Table2[[#This Row],[mood]], "Tired", 3, "Neutral", 2, "Happy", 1)</f>
        <v>3</v>
      </c>
    </row>
    <row r="2370" spans="1:16" x14ac:dyDescent="0.3">
      <c r="A2370">
        <v>1883</v>
      </c>
      <c r="B2370" s="1">
        <v>44373</v>
      </c>
      <c r="C2370">
        <v>36</v>
      </c>
      <c r="D2370" t="s">
        <v>15</v>
      </c>
      <c r="E2370">
        <v>183.1</v>
      </c>
      <c r="F2370">
        <v>45</v>
      </c>
      <c r="G2370">
        <v>2420</v>
      </c>
      <c r="H2370">
        <v>275.39999999999998</v>
      </c>
      <c r="I2370">
        <v>8</v>
      </c>
      <c r="J2370">
        <v>69</v>
      </c>
      <c r="K2370" t="s">
        <v>23</v>
      </c>
      <c r="L2370">
        <v>51</v>
      </c>
      <c r="M2370">
        <v>3.8</v>
      </c>
      <c r="N2370">
        <v>9</v>
      </c>
      <c r="O2370" t="s">
        <v>17</v>
      </c>
      <c r="P2370" cm="1">
        <f t="array" ref="P2370">_xlfn.SWITCH(Table2[[#This Row],[mood]], "Tired", 3, "Neutral", 2, "Happy", 1)</f>
        <v>3</v>
      </c>
    </row>
    <row r="2371" spans="1:16" x14ac:dyDescent="0.3">
      <c r="A2371">
        <v>1799</v>
      </c>
      <c r="B2371" s="1">
        <v>44374</v>
      </c>
      <c r="C2371">
        <v>59</v>
      </c>
      <c r="D2371" t="s">
        <v>15</v>
      </c>
      <c r="E2371">
        <v>181.2</v>
      </c>
      <c r="F2371">
        <v>58.8</v>
      </c>
      <c r="G2371">
        <v>15672</v>
      </c>
      <c r="H2371">
        <v>786.7</v>
      </c>
      <c r="I2371">
        <v>4.0999999999999996</v>
      </c>
      <c r="J2371">
        <v>69</v>
      </c>
      <c r="K2371" t="s">
        <v>25</v>
      </c>
      <c r="L2371">
        <v>64</v>
      </c>
      <c r="M2371">
        <v>2.67</v>
      </c>
      <c r="N2371">
        <v>6</v>
      </c>
      <c r="O2371" t="s">
        <v>19</v>
      </c>
      <c r="P2371" cm="1">
        <f t="array" ref="P2371">_xlfn.SWITCH(Table2[[#This Row],[mood]], "Tired", 3, "Neutral", 2, "Happy", 1)</f>
        <v>2</v>
      </c>
    </row>
    <row r="2372" spans="1:16" x14ac:dyDescent="0.3">
      <c r="A2372">
        <v>1129</v>
      </c>
      <c r="B2372" s="1">
        <v>44375</v>
      </c>
      <c r="C2372">
        <v>46</v>
      </c>
      <c r="D2372" t="s">
        <v>20</v>
      </c>
      <c r="E2372">
        <v>170.2</v>
      </c>
      <c r="F2372">
        <v>46.3</v>
      </c>
      <c r="G2372">
        <v>1340</v>
      </c>
      <c r="H2372">
        <v>249.6</v>
      </c>
      <c r="I2372">
        <v>6.6</v>
      </c>
      <c r="J2372">
        <v>80</v>
      </c>
      <c r="K2372" t="s">
        <v>22</v>
      </c>
      <c r="L2372">
        <v>47</v>
      </c>
      <c r="M2372">
        <v>2.6</v>
      </c>
      <c r="N2372">
        <v>2</v>
      </c>
      <c r="O2372" t="s">
        <v>17</v>
      </c>
      <c r="P2372" cm="1">
        <f t="array" ref="P2372">_xlfn.SWITCH(Table2[[#This Row],[mood]], "Tired", 3, "Neutral", 2, "Happy", 1)</f>
        <v>3</v>
      </c>
    </row>
    <row r="2373" spans="1:16" x14ac:dyDescent="0.3">
      <c r="A2373">
        <v>1686</v>
      </c>
      <c r="B2373" s="1">
        <v>44376</v>
      </c>
      <c r="C2373">
        <v>56</v>
      </c>
      <c r="D2373" t="s">
        <v>20</v>
      </c>
      <c r="E2373">
        <v>186.5</v>
      </c>
      <c r="F2373">
        <v>100</v>
      </c>
      <c r="G2373">
        <v>12542</v>
      </c>
      <c r="H2373">
        <v>692.1</v>
      </c>
      <c r="I2373">
        <v>6.2</v>
      </c>
      <c r="J2373">
        <v>59</v>
      </c>
      <c r="K2373" t="s">
        <v>25</v>
      </c>
      <c r="L2373">
        <v>71</v>
      </c>
      <c r="M2373">
        <v>3.59</v>
      </c>
      <c r="N2373">
        <v>9</v>
      </c>
      <c r="O2373" t="s">
        <v>19</v>
      </c>
      <c r="P2373" cm="1">
        <f t="array" ref="P2373">_xlfn.SWITCH(Table2[[#This Row],[mood]], "Tired", 3, "Neutral", 2, "Happy", 1)</f>
        <v>2</v>
      </c>
    </row>
    <row r="2374" spans="1:16" x14ac:dyDescent="0.3">
      <c r="A2374">
        <v>1973</v>
      </c>
      <c r="B2374" s="1">
        <v>44377</v>
      </c>
      <c r="C2374">
        <v>58</v>
      </c>
      <c r="D2374" t="s">
        <v>20</v>
      </c>
      <c r="E2374">
        <v>175.1</v>
      </c>
      <c r="F2374">
        <v>46.5</v>
      </c>
      <c r="G2374">
        <v>8520</v>
      </c>
      <c r="H2374">
        <v>502.5</v>
      </c>
      <c r="I2374">
        <v>6.5</v>
      </c>
      <c r="J2374">
        <v>58</v>
      </c>
      <c r="K2374" t="s">
        <v>23</v>
      </c>
      <c r="L2374">
        <v>30</v>
      </c>
      <c r="M2374">
        <v>1.98</v>
      </c>
      <c r="N2374">
        <v>2</v>
      </c>
      <c r="O2374" t="s">
        <v>19</v>
      </c>
      <c r="P2374" cm="1">
        <f t="array" ref="P2374">_xlfn.SWITCH(Table2[[#This Row],[mood]], "Tired", 3, "Neutral", 2, "Happy", 1)</f>
        <v>2</v>
      </c>
    </row>
    <row r="2375" spans="1:16" x14ac:dyDescent="0.3">
      <c r="A2375">
        <v>1083</v>
      </c>
      <c r="B2375" s="1">
        <v>44378</v>
      </c>
      <c r="C2375">
        <v>50</v>
      </c>
      <c r="D2375" t="s">
        <v>20</v>
      </c>
      <c r="E2375">
        <v>181.5</v>
      </c>
      <c r="F2375">
        <v>108.8</v>
      </c>
      <c r="G2375">
        <v>12185</v>
      </c>
      <c r="H2375">
        <v>648.6</v>
      </c>
      <c r="I2375">
        <v>6.3</v>
      </c>
      <c r="J2375">
        <v>79</v>
      </c>
      <c r="K2375" t="s">
        <v>25</v>
      </c>
      <c r="L2375">
        <v>38</v>
      </c>
      <c r="M2375">
        <v>3.12</v>
      </c>
      <c r="N2375">
        <v>2</v>
      </c>
      <c r="O2375" t="s">
        <v>19</v>
      </c>
      <c r="P2375" cm="1">
        <f t="array" ref="P2375">_xlfn.SWITCH(Table2[[#This Row],[mood]], "Tired", 3, "Neutral", 2, "Happy", 1)</f>
        <v>2</v>
      </c>
    </row>
    <row r="2376" spans="1:16" x14ac:dyDescent="0.3">
      <c r="A2376">
        <v>1021</v>
      </c>
      <c r="B2376" s="1">
        <v>44379</v>
      </c>
      <c r="C2376">
        <v>36</v>
      </c>
      <c r="D2376" t="s">
        <v>20</v>
      </c>
      <c r="E2376">
        <v>161.4</v>
      </c>
      <c r="F2376">
        <v>77.7</v>
      </c>
      <c r="G2376">
        <v>5987</v>
      </c>
      <c r="H2376">
        <v>480.2</v>
      </c>
      <c r="I2376">
        <v>7.6</v>
      </c>
      <c r="J2376">
        <v>82</v>
      </c>
      <c r="K2376" t="s">
        <v>25</v>
      </c>
      <c r="L2376">
        <v>83</v>
      </c>
      <c r="M2376">
        <v>2.13</v>
      </c>
      <c r="N2376">
        <v>2</v>
      </c>
      <c r="O2376" t="s">
        <v>17</v>
      </c>
      <c r="P2376" cm="1">
        <f t="array" ref="P2376">_xlfn.SWITCH(Table2[[#This Row],[mood]], "Tired", 3, "Neutral", 2, "Happy", 1)</f>
        <v>3</v>
      </c>
    </row>
    <row r="2377" spans="1:16" x14ac:dyDescent="0.3">
      <c r="A2377">
        <v>1458</v>
      </c>
      <c r="B2377" s="1">
        <v>44380</v>
      </c>
      <c r="C2377">
        <v>54</v>
      </c>
      <c r="D2377" t="s">
        <v>15</v>
      </c>
      <c r="E2377">
        <v>163.5</v>
      </c>
      <c r="F2377">
        <v>62.2</v>
      </c>
      <c r="G2377">
        <v>13749</v>
      </c>
      <c r="H2377">
        <v>771.1</v>
      </c>
      <c r="I2377">
        <v>8.6</v>
      </c>
      <c r="J2377">
        <v>78</v>
      </c>
      <c r="K2377" t="s">
        <v>23</v>
      </c>
      <c r="L2377">
        <v>84</v>
      </c>
      <c r="M2377">
        <v>3.26</v>
      </c>
      <c r="N2377">
        <v>7</v>
      </c>
      <c r="O2377" t="s">
        <v>19</v>
      </c>
      <c r="P2377" cm="1">
        <f t="array" ref="P2377">_xlfn.SWITCH(Table2[[#This Row],[mood]], "Tired", 3, "Neutral", 2, "Happy", 1)</f>
        <v>2</v>
      </c>
    </row>
    <row r="2378" spans="1:16" x14ac:dyDescent="0.3">
      <c r="A2378">
        <v>1538</v>
      </c>
      <c r="B2378" s="1">
        <v>44381</v>
      </c>
      <c r="C2378">
        <v>36</v>
      </c>
      <c r="D2378" t="s">
        <v>20</v>
      </c>
      <c r="E2378">
        <v>163.4</v>
      </c>
      <c r="F2378">
        <v>82.1</v>
      </c>
      <c r="G2378">
        <v>6412</v>
      </c>
      <c r="H2378">
        <v>503.7</v>
      </c>
      <c r="I2378">
        <v>7.7</v>
      </c>
      <c r="J2378">
        <v>74</v>
      </c>
      <c r="K2378" t="s">
        <v>22</v>
      </c>
      <c r="L2378">
        <v>76</v>
      </c>
      <c r="M2378">
        <v>3.06</v>
      </c>
      <c r="N2378">
        <v>4</v>
      </c>
      <c r="O2378" t="s">
        <v>21</v>
      </c>
      <c r="P2378" cm="1">
        <f t="array" ref="P2378">_xlfn.SWITCH(Table2[[#This Row],[mood]], "Tired", 3, "Neutral", 2, "Happy", 1)</f>
        <v>1</v>
      </c>
    </row>
    <row r="2379" spans="1:16" x14ac:dyDescent="0.3">
      <c r="A2379">
        <v>1706</v>
      </c>
      <c r="B2379" s="1">
        <v>44382</v>
      </c>
      <c r="C2379">
        <v>50</v>
      </c>
      <c r="D2379" t="s">
        <v>20</v>
      </c>
      <c r="E2379">
        <v>169.1</v>
      </c>
      <c r="F2379">
        <v>60.3</v>
      </c>
      <c r="G2379">
        <v>8670</v>
      </c>
      <c r="H2379">
        <v>532.6</v>
      </c>
      <c r="I2379">
        <v>6.5</v>
      </c>
      <c r="J2379">
        <v>70</v>
      </c>
      <c r="K2379" t="s">
        <v>25</v>
      </c>
      <c r="L2379">
        <v>85</v>
      </c>
      <c r="M2379">
        <v>2.21</v>
      </c>
      <c r="N2379">
        <v>8</v>
      </c>
      <c r="O2379" t="s">
        <v>17</v>
      </c>
      <c r="P2379" cm="1">
        <f t="array" ref="P2379">_xlfn.SWITCH(Table2[[#This Row],[mood]], "Tired", 3, "Neutral", 2, "Happy", 1)</f>
        <v>3</v>
      </c>
    </row>
    <row r="2380" spans="1:16" x14ac:dyDescent="0.3">
      <c r="A2380">
        <v>1848</v>
      </c>
      <c r="B2380" s="1">
        <v>44383</v>
      </c>
      <c r="C2380">
        <v>33</v>
      </c>
      <c r="D2380" t="s">
        <v>20</v>
      </c>
      <c r="E2380">
        <v>170.6</v>
      </c>
      <c r="F2380">
        <v>48.9</v>
      </c>
      <c r="G2380">
        <v>19879</v>
      </c>
      <c r="H2380">
        <v>900</v>
      </c>
      <c r="I2380">
        <v>7.9</v>
      </c>
      <c r="J2380">
        <v>91</v>
      </c>
      <c r="K2380" t="s">
        <v>24</v>
      </c>
      <c r="L2380">
        <v>23</v>
      </c>
      <c r="M2380">
        <v>2.31</v>
      </c>
      <c r="N2380">
        <v>8</v>
      </c>
      <c r="O2380" t="s">
        <v>19</v>
      </c>
      <c r="P2380" cm="1">
        <f t="array" ref="P2380">_xlfn.SWITCH(Table2[[#This Row],[mood]], "Tired", 3, "Neutral", 2, "Happy", 1)</f>
        <v>2</v>
      </c>
    </row>
    <row r="2381" spans="1:16" x14ac:dyDescent="0.3">
      <c r="A2381">
        <v>1381</v>
      </c>
      <c r="B2381" s="1">
        <v>44384</v>
      </c>
      <c r="C2381">
        <v>40</v>
      </c>
      <c r="D2381" t="s">
        <v>15</v>
      </c>
      <c r="E2381">
        <v>173.2</v>
      </c>
      <c r="F2381">
        <v>71.2</v>
      </c>
      <c r="G2381">
        <v>14766</v>
      </c>
      <c r="H2381">
        <v>761.9</v>
      </c>
      <c r="I2381">
        <v>8.1</v>
      </c>
      <c r="J2381">
        <v>92</v>
      </c>
      <c r="K2381" t="s">
        <v>22</v>
      </c>
      <c r="L2381">
        <v>48</v>
      </c>
      <c r="M2381">
        <v>3.18</v>
      </c>
      <c r="N2381">
        <v>1</v>
      </c>
      <c r="O2381" t="s">
        <v>21</v>
      </c>
      <c r="P2381" cm="1">
        <f t="array" ref="P2381">_xlfn.SWITCH(Table2[[#This Row],[mood]], "Tired", 3, "Neutral", 2, "Happy", 1)</f>
        <v>1</v>
      </c>
    </row>
    <row r="2382" spans="1:16" x14ac:dyDescent="0.3">
      <c r="A2382">
        <v>1747</v>
      </c>
      <c r="B2382" s="1">
        <v>44385</v>
      </c>
      <c r="C2382">
        <v>24</v>
      </c>
      <c r="D2382" t="s">
        <v>15</v>
      </c>
      <c r="E2382">
        <v>189.7</v>
      </c>
      <c r="F2382">
        <v>80.5</v>
      </c>
      <c r="G2382">
        <v>9323</v>
      </c>
      <c r="H2382">
        <v>624.29999999999995</v>
      </c>
      <c r="I2382">
        <v>7.5</v>
      </c>
      <c r="J2382">
        <v>76</v>
      </c>
      <c r="K2382" t="s">
        <v>23</v>
      </c>
      <c r="L2382">
        <v>23</v>
      </c>
      <c r="M2382">
        <v>1.2</v>
      </c>
      <c r="N2382">
        <v>1</v>
      </c>
      <c r="O2382" t="s">
        <v>21</v>
      </c>
      <c r="P2382" cm="1">
        <f t="array" ref="P2382">_xlfn.SWITCH(Table2[[#This Row],[mood]], "Tired", 3, "Neutral", 2, "Happy", 1)</f>
        <v>1</v>
      </c>
    </row>
    <row r="2383" spans="1:16" x14ac:dyDescent="0.3">
      <c r="A2383">
        <v>1439</v>
      </c>
      <c r="B2383" s="1">
        <v>44386</v>
      </c>
      <c r="C2383">
        <v>43</v>
      </c>
      <c r="D2383" t="s">
        <v>20</v>
      </c>
      <c r="E2383">
        <v>177.2</v>
      </c>
      <c r="F2383">
        <v>89.2</v>
      </c>
      <c r="G2383">
        <v>2857</v>
      </c>
      <c r="H2383">
        <v>234.3</v>
      </c>
      <c r="I2383">
        <v>8.6</v>
      </c>
      <c r="J2383">
        <v>68</v>
      </c>
      <c r="K2383" t="s">
        <v>18</v>
      </c>
      <c r="L2383">
        <v>20</v>
      </c>
      <c r="M2383">
        <v>2.19</v>
      </c>
      <c r="N2383">
        <v>4</v>
      </c>
      <c r="O2383" t="s">
        <v>19</v>
      </c>
      <c r="P2383" cm="1">
        <f t="array" ref="P2383">_xlfn.SWITCH(Table2[[#This Row],[mood]], "Tired", 3, "Neutral", 2, "Happy", 1)</f>
        <v>2</v>
      </c>
    </row>
    <row r="2384" spans="1:16" x14ac:dyDescent="0.3">
      <c r="A2384">
        <v>1603</v>
      </c>
      <c r="B2384" s="1">
        <v>44387</v>
      </c>
      <c r="C2384">
        <v>49</v>
      </c>
      <c r="D2384" t="s">
        <v>15</v>
      </c>
      <c r="E2384">
        <v>164.9</v>
      </c>
      <c r="F2384">
        <v>77.5</v>
      </c>
      <c r="G2384">
        <v>15455</v>
      </c>
      <c r="H2384">
        <v>890.4</v>
      </c>
      <c r="I2384">
        <v>3.5</v>
      </c>
      <c r="J2384">
        <v>65</v>
      </c>
      <c r="K2384" t="s">
        <v>16</v>
      </c>
      <c r="L2384">
        <v>0</v>
      </c>
      <c r="M2384">
        <v>2.93</v>
      </c>
      <c r="N2384">
        <v>2</v>
      </c>
      <c r="O2384" t="s">
        <v>21</v>
      </c>
      <c r="P2384" cm="1">
        <f t="array" ref="P2384">_xlfn.SWITCH(Table2[[#This Row],[mood]], "Tired", 3, "Neutral", 2, "Happy", 1)</f>
        <v>1</v>
      </c>
    </row>
    <row r="2385" spans="1:16" x14ac:dyDescent="0.3">
      <c r="A2385">
        <v>1988</v>
      </c>
      <c r="B2385" s="1">
        <v>44388</v>
      </c>
      <c r="C2385">
        <v>29</v>
      </c>
      <c r="D2385" t="s">
        <v>20</v>
      </c>
      <c r="E2385">
        <v>170</v>
      </c>
      <c r="F2385">
        <v>62.1</v>
      </c>
      <c r="G2385">
        <v>1504</v>
      </c>
      <c r="H2385">
        <v>204.7</v>
      </c>
      <c r="I2385">
        <v>7</v>
      </c>
      <c r="J2385">
        <v>79</v>
      </c>
      <c r="K2385" t="s">
        <v>24</v>
      </c>
      <c r="L2385">
        <v>32</v>
      </c>
      <c r="M2385">
        <v>2.2799999999999998</v>
      </c>
      <c r="N2385">
        <v>3</v>
      </c>
      <c r="O2385" t="s">
        <v>19</v>
      </c>
      <c r="P2385" cm="1">
        <f t="array" ref="P2385">_xlfn.SWITCH(Table2[[#This Row],[mood]], "Tired", 3, "Neutral", 2, "Happy", 1)</f>
        <v>2</v>
      </c>
    </row>
    <row r="2386" spans="1:16" x14ac:dyDescent="0.3">
      <c r="A2386">
        <v>1020</v>
      </c>
      <c r="B2386" s="1">
        <v>44389</v>
      </c>
      <c r="C2386">
        <v>25</v>
      </c>
      <c r="D2386" t="s">
        <v>20</v>
      </c>
      <c r="E2386">
        <v>185</v>
      </c>
      <c r="F2386">
        <v>90.8</v>
      </c>
      <c r="G2386">
        <v>8467</v>
      </c>
      <c r="H2386">
        <v>577.70000000000005</v>
      </c>
      <c r="I2386">
        <v>7.5</v>
      </c>
      <c r="J2386">
        <v>63</v>
      </c>
      <c r="K2386" t="s">
        <v>22</v>
      </c>
      <c r="L2386">
        <v>89</v>
      </c>
      <c r="M2386">
        <v>2.59</v>
      </c>
      <c r="N2386">
        <v>10</v>
      </c>
      <c r="O2386" t="s">
        <v>21</v>
      </c>
      <c r="P2386" cm="1">
        <f t="array" ref="P2386">_xlfn.SWITCH(Table2[[#This Row],[mood]], "Tired", 3, "Neutral", 2, "Happy", 1)</f>
        <v>1</v>
      </c>
    </row>
    <row r="2387" spans="1:16" x14ac:dyDescent="0.3">
      <c r="A2387">
        <v>1302</v>
      </c>
      <c r="B2387" s="1">
        <v>44390</v>
      </c>
      <c r="C2387">
        <v>22</v>
      </c>
      <c r="D2387" t="s">
        <v>15</v>
      </c>
      <c r="E2387">
        <v>177.8</v>
      </c>
      <c r="F2387">
        <v>87.4</v>
      </c>
      <c r="G2387">
        <v>19540</v>
      </c>
      <c r="H2387">
        <v>900</v>
      </c>
      <c r="I2387">
        <v>4.8</v>
      </c>
      <c r="J2387">
        <v>63</v>
      </c>
      <c r="K2387" t="s">
        <v>16</v>
      </c>
      <c r="L2387">
        <v>0</v>
      </c>
      <c r="M2387">
        <v>1.07</v>
      </c>
      <c r="N2387">
        <v>2</v>
      </c>
      <c r="O2387" t="s">
        <v>17</v>
      </c>
      <c r="P2387" cm="1">
        <f t="array" ref="P2387">_xlfn.SWITCH(Table2[[#This Row],[mood]], "Tired", 3, "Neutral", 2, "Happy", 1)</f>
        <v>3</v>
      </c>
    </row>
    <row r="2388" spans="1:16" x14ac:dyDescent="0.3">
      <c r="A2388">
        <v>1975</v>
      </c>
      <c r="B2388" s="1">
        <v>44391</v>
      </c>
      <c r="C2388">
        <v>59</v>
      </c>
      <c r="D2388" t="s">
        <v>15</v>
      </c>
      <c r="E2388">
        <v>184.9</v>
      </c>
      <c r="F2388">
        <v>74</v>
      </c>
      <c r="G2388">
        <v>9484</v>
      </c>
      <c r="H2388">
        <v>549.6</v>
      </c>
      <c r="I2388">
        <v>7.3</v>
      </c>
      <c r="J2388">
        <v>70</v>
      </c>
      <c r="K2388" t="s">
        <v>23</v>
      </c>
      <c r="L2388">
        <v>66</v>
      </c>
      <c r="M2388">
        <v>1.9</v>
      </c>
      <c r="N2388">
        <v>10</v>
      </c>
      <c r="O2388" t="s">
        <v>19</v>
      </c>
      <c r="P2388" cm="1">
        <f t="array" ref="P2388">_xlfn.SWITCH(Table2[[#This Row],[mood]], "Tired", 3, "Neutral", 2, "Happy", 1)</f>
        <v>2</v>
      </c>
    </row>
    <row r="2389" spans="1:16" x14ac:dyDescent="0.3">
      <c r="A2389">
        <v>1868</v>
      </c>
      <c r="B2389" s="1">
        <v>44392</v>
      </c>
      <c r="C2389">
        <v>45</v>
      </c>
      <c r="D2389" t="s">
        <v>20</v>
      </c>
      <c r="E2389">
        <v>165.2</v>
      </c>
      <c r="F2389">
        <v>88.2</v>
      </c>
      <c r="G2389">
        <v>12842</v>
      </c>
      <c r="H2389">
        <v>610.79999999999995</v>
      </c>
      <c r="I2389">
        <v>8.4</v>
      </c>
      <c r="J2389">
        <v>80</v>
      </c>
      <c r="K2389" t="s">
        <v>24</v>
      </c>
      <c r="L2389">
        <v>49</v>
      </c>
      <c r="M2389">
        <v>2.98</v>
      </c>
      <c r="N2389">
        <v>9</v>
      </c>
      <c r="O2389" t="s">
        <v>21</v>
      </c>
      <c r="P2389" cm="1">
        <f t="array" ref="P2389">_xlfn.SWITCH(Table2[[#This Row],[mood]], "Tired", 3, "Neutral", 2, "Happy", 1)</f>
        <v>1</v>
      </c>
    </row>
    <row r="2390" spans="1:16" x14ac:dyDescent="0.3">
      <c r="A2390">
        <v>1954</v>
      </c>
      <c r="B2390" s="1">
        <v>44393</v>
      </c>
      <c r="C2390">
        <v>22</v>
      </c>
      <c r="D2390" t="s">
        <v>20</v>
      </c>
      <c r="E2390">
        <v>162.9</v>
      </c>
      <c r="F2390">
        <v>102.8</v>
      </c>
      <c r="G2390">
        <v>5923</v>
      </c>
      <c r="H2390">
        <v>529.6</v>
      </c>
      <c r="I2390">
        <v>6.7</v>
      </c>
      <c r="J2390">
        <v>90</v>
      </c>
      <c r="K2390" t="s">
        <v>22</v>
      </c>
      <c r="L2390">
        <v>46</v>
      </c>
      <c r="M2390">
        <v>1.97</v>
      </c>
      <c r="N2390">
        <v>6</v>
      </c>
      <c r="O2390" t="s">
        <v>21</v>
      </c>
      <c r="P2390" cm="1">
        <f t="array" ref="P2390">_xlfn.SWITCH(Table2[[#This Row],[mood]], "Tired", 3, "Neutral", 2, "Happy", 1)</f>
        <v>1</v>
      </c>
    </row>
    <row r="2391" spans="1:16" x14ac:dyDescent="0.3">
      <c r="A2391">
        <v>1083</v>
      </c>
      <c r="B2391" s="1">
        <v>44394</v>
      </c>
      <c r="C2391">
        <v>43</v>
      </c>
      <c r="D2391" t="s">
        <v>15</v>
      </c>
      <c r="E2391">
        <v>163</v>
      </c>
      <c r="F2391">
        <v>61.8</v>
      </c>
      <c r="G2391">
        <v>10251</v>
      </c>
      <c r="H2391">
        <v>638.79999999999995</v>
      </c>
      <c r="I2391">
        <v>8</v>
      </c>
      <c r="J2391">
        <v>78</v>
      </c>
      <c r="K2391" t="s">
        <v>16</v>
      </c>
      <c r="L2391">
        <v>0</v>
      </c>
      <c r="M2391">
        <v>1.59</v>
      </c>
      <c r="N2391">
        <v>7</v>
      </c>
      <c r="O2391" t="s">
        <v>19</v>
      </c>
      <c r="P2391" cm="1">
        <f t="array" ref="P2391">_xlfn.SWITCH(Table2[[#This Row],[mood]], "Tired", 3, "Neutral", 2, "Happy", 1)</f>
        <v>2</v>
      </c>
    </row>
    <row r="2392" spans="1:16" x14ac:dyDescent="0.3">
      <c r="A2392">
        <v>1773</v>
      </c>
      <c r="B2392" s="1">
        <v>44395</v>
      </c>
      <c r="C2392">
        <v>22</v>
      </c>
      <c r="D2392" t="s">
        <v>20</v>
      </c>
      <c r="E2392">
        <v>166</v>
      </c>
      <c r="F2392">
        <v>56.5</v>
      </c>
      <c r="G2392">
        <v>16920</v>
      </c>
      <c r="H2392">
        <v>900</v>
      </c>
      <c r="I2392">
        <v>8.5</v>
      </c>
      <c r="J2392">
        <v>80</v>
      </c>
      <c r="K2392" t="s">
        <v>18</v>
      </c>
      <c r="L2392">
        <v>21</v>
      </c>
      <c r="M2392">
        <v>3.24</v>
      </c>
      <c r="N2392">
        <v>6</v>
      </c>
      <c r="O2392" t="s">
        <v>17</v>
      </c>
      <c r="P2392" cm="1">
        <f t="array" ref="P2392">_xlfn.SWITCH(Table2[[#This Row],[mood]], "Tired", 3, "Neutral", 2, "Happy", 1)</f>
        <v>3</v>
      </c>
    </row>
    <row r="2393" spans="1:16" x14ac:dyDescent="0.3">
      <c r="A2393">
        <v>1658</v>
      </c>
      <c r="B2393" s="1">
        <v>44396</v>
      </c>
      <c r="C2393">
        <v>39</v>
      </c>
      <c r="D2393" t="s">
        <v>15</v>
      </c>
      <c r="E2393">
        <v>159.4</v>
      </c>
      <c r="F2393">
        <v>61.4</v>
      </c>
      <c r="G2393">
        <v>11495</v>
      </c>
      <c r="H2393">
        <v>635.20000000000005</v>
      </c>
      <c r="I2393">
        <v>9</v>
      </c>
      <c r="J2393">
        <v>85</v>
      </c>
      <c r="K2393" t="s">
        <v>22</v>
      </c>
      <c r="L2393">
        <v>39</v>
      </c>
      <c r="M2393">
        <v>2.86</v>
      </c>
      <c r="N2393">
        <v>1</v>
      </c>
      <c r="O2393" t="s">
        <v>19</v>
      </c>
      <c r="P2393" cm="1">
        <f t="array" ref="P2393">_xlfn.SWITCH(Table2[[#This Row],[mood]], "Tired", 3, "Neutral", 2, "Happy", 1)</f>
        <v>2</v>
      </c>
    </row>
    <row r="2394" spans="1:16" x14ac:dyDescent="0.3">
      <c r="A2394">
        <v>1952</v>
      </c>
      <c r="B2394" s="1">
        <v>44397</v>
      </c>
      <c r="C2394">
        <v>32</v>
      </c>
      <c r="D2394" t="s">
        <v>20</v>
      </c>
      <c r="E2394">
        <v>173</v>
      </c>
      <c r="F2394">
        <v>49.8</v>
      </c>
      <c r="G2394">
        <v>14319</v>
      </c>
      <c r="H2394">
        <v>726.2</v>
      </c>
      <c r="I2394">
        <v>8.6999999999999993</v>
      </c>
      <c r="J2394">
        <v>84</v>
      </c>
      <c r="K2394" t="s">
        <v>18</v>
      </c>
      <c r="L2394">
        <v>43</v>
      </c>
      <c r="M2394">
        <v>1.74</v>
      </c>
      <c r="N2394">
        <v>5</v>
      </c>
      <c r="O2394" t="s">
        <v>21</v>
      </c>
      <c r="P2394" cm="1">
        <f t="array" ref="P2394">_xlfn.SWITCH(Table2[[#This Row],[mood]], "Tired", 3, "Neutral", 2, "Happy", 1)</f>
        <v>1</v>
      </c>
    </row>
    <row r="2395" spans="1:16" x14ac:dyDescent="0.3">
      <c r="A2395">
        <v>1452</v>
      </c>
      <c r="B2395" s="1">
        <v>44398</v>
      </c>
      <c r="C2395">
        <v>30</v>
      </c>
      <c r="D2395" t="s">
        <v>15</v>
      </c>
      <c r="E2395">
        <v>173.1</v>
      </c>
      <c r="F2395">
        <v>78.900000000000006</v>
      </c>
      <c r="G2395">
        <v>10393</v>
      </c>
      <c r="H2395">
        <v>654.5</v>
      </c>
      <c r="I2395">
        <v>9</v>
      </c>
      <c r="J2395">
        <v>69</v>
      </c>
      <c r="K2395" t="s">
        <v>18</v>
      </c>
      <c r="L2395">
        <v>63</v>
      </c>
      <c r="M2395">
        <v>2.6</v>
      </c>
      <c r="N2395">
        <v>3</v>
      </c>
      <c r="O2395" t="s">
        <v>19</v>
      </c>
      <c r="P2395" cm="1">
        <f t="array" ref="P2395">_xlfn.SWITCH(Table2[[#This Row],[mood]], "Tired", 3, "Neutral", 2, "Happy", 1)</f>
        <v>2</v>
      </c>
    </row>
    <row r="2396" spans="1:16" x14ac:dyDescent="0.3">
      <c r="A2396">
        <v>1386</v>
      </c>
      <c r="B2396" s="1">
        <v>44399</v>
      </c>
      <c r="C2396">
        <v>45</v>
      </c>
      <c r="D2396" t="s">
        <v>20</v>
      </c>
      <c r="E2396">
        <v>183.4</v>
      </c>
      <c r="F2396">
        <v>45.9</v>
      </c>
      <c r="G2396">
        <v>7900</v>
      </c>
      <c r="H2396">
        <v>455.8</v>
      </c>
      <c r="I2396">
        <v>6.3</v>
      </c>
      <c r="J2396">
        <v>84</v>
      </c>
      <c r="K2396" t="s">
        <v>25</v>
      </c>
      <c r="L2396">
        <v>40</v>
      </c>
      <c r="M2396">
        <v>1.76</v>
      </c>
      <c r="N2396">
        <v>10</v>
      </c>
      <c r="O2396" t="s">
        <v>17</v>
      </c>
      <c r="P2396" cm="1">
        <f t="array" ref="P2396">_xlfn.SWITCH(Table2[[#This Row],[mood]], "Tired", 3, "Neutral", 2, "Happy", 1)</f>
        <v>3</v>
      </c>
    </row>
    <row r="2397" spans="1:16" x14ac:dyDescent="0.3">
      <c r="A2397">
        <v>1506</v>
      </c>
      <c r="B2397" s="1">
        <v>44400</v>
      </c>
      <c r="C2397">
        <v>50</v>
      </c>
      <c r="D2397" t="s">
        <v>20</v>
      </c>
      <c r="E2397">
        <v>152.4</v>
      </c>
      <c r="F2397">
        <v>89</v>
      </c>
      <c r="G2397">
        <v>3160</v>
      </c>
      <c r="H2397">
        <v>318</v>
      </c>
      <c r="I2397">
        <v>6.4</v>
      </c>
      <c r="J2397">
        <v>85</v>
      </c>
      <c r="K2397" t="s">
        <v>23</v>
      </c>
      <c r="L2397">
        <v>41</v>
      </c>
      <c r="M2397">
        <v>2.39</v>
      </c>
      <c r="N2397">
        <v>8</v>
      </c>
      <c r="O2397" t="s">
        <v>21</v>
      </c>
      <c r="P2397" cm="1">
        <f t="array" ref="P2397">_xlfn.SWITCH(Table2[[#This Row],[mood]], "Tired", 3, "Neutral", 2, "Happy", 1)</f>
        <v>1</v>
      </c>
    </row>
    <row r="2398" spans="1:16" x14ac:dyDescent="0.3">
      <c r="A2398">
        <v>1256</v>
      </c>
      <c r="B2398" s="1">
        <v>44401</v>
      </c>
      <c r="C2398">
        <v>40</v>
      </c>
      <c r="D2398" t="s">
        <v>15</v>
      </c>
      <c r="E2398">
        <v>160.6</v>
      </c>
      <c r="F2398">
        <v>59.9</v>
      </c>
      <c r="G2398">
        <v>17236</v>
      </c>
      <c r="H2398">
        <v>826.9</v>
      </c>
      <c r="I2398">
        <v>3.3</v>
      </c>
      <c r="J2398">
        <v>78</v>
      </c>
      <c r="K2398" t="s">
        <v>25</v>
      </c>
      <c r="L2398">
        <v>77</v>
      </c>
      <c r="M2398">
        <v>2.62</v>
      </c>
      <c r="N2398">
        <v>7</v>
      </c>
      <c r="O2398" t="s">
        <v>17</v>
      </c>
      <c r="P2398" cm="1">
        <f t="array" ref="P2398">_xlfn.SWITCH(Table2[[#This Row],[mood]], "Tired", 3, "Neutral", 2, "Happy", 1)</f>
        <v>3</v>
      </c>
    </row>
    <row r="2399" spans="1:16" x14ac:dyDescent="0.3">
      <c r="A2399">
        <v>1569</v>
      </c>
      <c r="B2399" s="1">
        <v>44402</v>
      </c>
      <c r="C2399">
        <v>50</v>
      </c>
      <c r="D2399" t="s">
        <v>20</v>
      </c>
      <c r="E2399">
        <v>178.1</v>
      </c>
      <c r="F2399">
        <v>90.4</v>
      </c>
      <c r="G2399">
        <v>7221</v>
      </c>
      <c r="H2399">
        <v>495</v>
      </c>
      <c r="I2399">
        <v>5.4</v>
      </c>
      <c r="J2399">
        <v>76</v>
      </c>
      <c r="K2399" t="s">
        <v>18</v>
      </c>
      <c r="L2399">
        <v>30</v>
      </c>
      <c r="M2399">
        <v>1.93</v>
      </c>
      <c r="N2399">
        <v>9</v>
      </c>
      <c r="O2399" t="s">
        <v>17</v>
      </c>
      <c r="P2399" cm="1">
        <f t="array" ref="P2399">_xlfn.SWITCH(Table2[[#This Row],[mood]], "Tired", 3, "Neutral", 2, "Happy", 1)</f>
        <v>3</v>
      </c>
    </row>
    <row r="2400" spans="1:16" x14ac:dyDescent="0.3">
      <c r="A2400">
        <v>1891</v>
      </c>
      <c r="B2400" s="1">
        <v>44403</v>
      </c>
      <c r="C2400">
        <v>35</v>
      </c>
      <c r="D2400" t="s">
        <v>20</v>
      </c>
      <c r="E2400">
        <v>171.8</v>
      </c>
      <c r="F2400">
        <v>45</v>
      </c>
      <c r="G2400">
        <v>11038</v>
      </c>
      <c r="H2400">
        <v>545.70000000000005</v>
      </c>
      <c r="I2400">
        <v>8.8000000000000007</v>
      </c>
      <c r="J2400">
        <v>81</v>
      </c>
      <c r="K2400" t="s">
        <v>23</v>
      </c>
      <c r="L2400">
        <v>72</v>
      </c>
      <c r="M2400">
        <v>3.02</v>
      </c>
      <c r="N2400">
        <v>1</v>
      </c>
      <c r="O2400" t="s">
        <v>21</v>
      </c>
      <c r="P2400" cm="1">
        <f t="array" ref="P2400">_xlfn.SWITCH(Table2[[#This Row],[mood]], "Tired", 3, "Neutral", 2, "Happy", 1)</f>
        <v>1</v>
      </c>
    </row>
    <row r="2401" spans="1:16" x14ac:dyDescent="0.3">
      <c r="A2401">
        <v>1933</v>
      </c>
      <c r="B2401" s="1">
        <v>44404</v>
      </c>
      <c r="C2401">
        <v>47</v>
      </c>
      <c r="D2401" t="s">
        <v>15</v>
      </c>
      <c r="E2401">
        <v>170.4</v>
      </c>
      <c r="F2401">
        <v>64.2</v>
      </c>
      <c r="G2401">
        <v>9255</v>
      </c>
      <c r="H2401">
        <v>496.2</v>
      </c>
      <c r="I2401">
        <v>6.1</v>
      </c>
      <c r="J2401">
        <v>80</v>
      </c>
      <c r="K2401" t="s">
        <v>23</v>
      </c>
      <c r="L2401">
        <v>28</v>
      </c>
      <c r="M2401">
        <v>3.13</v>
      </c>
      <c r="N2401">
        <v>2</v>
      </c>
      <c r="O2401" t="s">
        <v>17</v>
      </c>
      <c r="P2401" cm="1">
        <f t="array" ref="P2401">_xlfn.SWITCH(Table2[[#This Row],[mood]], "Tired", 3, "Neutral", 2, "Happy", 1)</f>
        <v>3</v>
      </c>
    </row>
    <row r="2402" spans="1:16" x14ac:dyDescent="0.3">
      <c r="A2402">
        <v>1526</v>
      </c>
      <c r="B2402" s="1">
        <v>44405</v>
      </c>
      <c r="C2402">
        <v>43</v>
      </c>
      <c r="D2402" t="s">
        <v>20</v>
      </c>
      <c r="E2402">
        <v>182.6</v>
      </c>
      <c r="F2402">
        <v>50.6</v>
      </c>
      <c r="G2402">
        <v>3699</v>
      </c>
      <c r="H2402">
        <v>305</v>
      </c>
      <c r="I2402">
        <v>7.6</v>
      </c>
      <c r="J2402">
        <v>56</v>
      </c>
      <c r="K2402" t="s">
        <v>23</v>
      </c>
      <c r="L2402">
        <v>86</v>
      </c>
      <c r="M2402">
        <v>2.68</v>
      </c>
      <c r="N2402">
        <v>2</v>
      </c>
      <c r="O2402" t="s">
        <v>21</v>
      </c>
      <c r="P2402" cm="1">
        <f t="array" ref="P2402">_xlfn.SWITCH(Table2[[#This Row],[mood]], "Tired", 3, "Neutral", 2, "Happy", 1)</f>
        <v>1</v>
      </c>
    </row>
    <row r="2403" spans="1:16" x14ac:dyDescent="0.3">
      <c r="A2403">
        <v>1161</v>
      </c>
      <c r="B2403" s="1">
        <v>44406</v>
      </c>
      <c r="C2403">
        <v>33</v>
      </c>
      <c r="D2403" t="s">
        <v>20</v>
      </c>
      <c r="E2403">
        <v>159.9</v>
      </c>
      <c r="F2403">
        <v>90.3</v>
      </c>
      <c r="G2403">
        <v>12125</v>
      </c>
      <c r="H2403">
        <v>715.7</v>
      </c>
      <c r="I2403">
        <v>7.4</v>
      </c>
      <c r="J2403">
        <v>79</v>
      </c>
      <c r="K2403" t="s">
        <v>24</v>
      </c>
      <c r="L2403">
        <v>71</v>
      </c>
      <c r="M2403">
        <v>2.79</v>
      </c>
      <c r="N2403">
        <v>1</v>
      </c>
      <c r="O2403" t="s">
        <v>17</v>
      </c>
      <c r="P2403" cm="1">
        <f t="array" ref="P2403">_xlfn.SWITCH(Table2[[#This Row],[mood]], "Tired", 3, "Neutral", 2, "Happy", 1)</f>
        <v>3</v>
      </c>
    </row>
    <row r="2404" spans="1:16" x14ac:dyDescent="0.3">
      <c r="A2404">
        <v>1956</v>
      </c>
      <c r="B2404" s="1">
        <v>44407</v>
      </c>
      <c r="C2404">
        <v>30</v>
      </c>
      <c r="D2404" t="s">
        <v>20</v>
      </c>
      <c r="E2404">
        <v>162.69999999999999</v>
      </c>
      <c r="F2404">
        <v>95.2</v>
      </c>
      <c r="G2404">
        <v>16401</v>
      </c>
      <c r="H2404">
        <v>829.5</v>
      </c>
      <c r="I2404">
        <v>8.9</v>
      </c>
      <c r="J2404">
        <v>87</v>
      </c>
      <c r="K2404" t="s">
        <v>22</v>
      </c>
      <c r="L2404">
        <v>32</v>
      </c>
      <c r="M2404">
        <v>1.48</v>
      </c>
      <c r="N2404">
        <v>8</v>
      </c>
      <c r="O2404" t="s">
        <v>17</v>
      </c>
      <c r="P2404" cm="1">
        <f t="array" ref="P2404">_xlfn.SWITCH(Table2[[#This Row],[mood]], "Tired", 3, "Neutral", 2, "Happy", 1)</f>
        <v>3</v>
      </c>
    </row>
    <row r="2405" spans="1:16" x14ac:dyDescent="0.3">
      <c r="A2405">
        <v>1162</v>
      </c>
      <c r="B2405" s="1">
        <v>44408</v>
      </c>
      <c r="C2405">
        <v>56</v>
      </c>
      <c r="D2405" t="s">
        <v>15</v>
      </c>
      <c r="E2405">
        <v>161.5</v>
      </c>
      <c r="F2405">
        <v>45</v>
      </c>
      <c r="G2405">
        <v>1372</v>
      </c>
      <c r="H2405">
        <v>304.10000000000002</v>
      </c>
      <c r="I2405">
        <v>4</v>
      </c>
      <c r="J2405">
        <v>85</v>
      </c>
      <c r="K2405" t="s">
        <v>18</v>
      </c>
      <c r="L2405">
        <v>20</v>
      </c>
      <c r="M2405">
        <v>3.45</v>
      </c>
      <c r="N2405">
        <v>4</v>
      </c>
      <c r="O2405" t="s">
        <v>21</v>
      </c>
      <c r="P2405" cm="1">
        <f t="array" ref="P2405">_xlfn.SWITCH(Table2[[#This Row],[mood]], "Tired", 3, "Neutral", 2, "Happy", 1)</f>
        <v>1</v>
      </c>
    </row>
    <row r="2406" spans="1:16" x14ac:dyDescent="0.3">
      <c r="A2406">
        <v>1831</v>
      </c>
      <c r="B2406" s="1">
        <v>44409</v>
      </c>
      <c r="C2406">
        <v>50</v>
      </c>
      <c r="D2406" t="s">
        <v>15</v>
      </c>
      <c r="E2406">
        <v>150</v>
      </c>
      <c r="F2406">
        <v>83</v>
      </c>
      <c r="G2406">
        <v>15544</v>
      </c>
      <c r="H2406">
        <v>896.8</v>
      </c>
      <c r="I2406">
        <v>7.5</v>
      </c>
      <c r="J2406">
        <v>79</v>
      </c>
      <c r="K2406" t="s">
        <v>23</v>
      </c>
      <c r="L2406">
        <v>63</v>
      </c>
      <c r="M2406">
        <v>2.44</v>
      </c>
      <c r="N2406">
        <v>7</v>
      </c>
      <c r="O2406" t="s">
        <v>17</v>
      </c>
      <c r="P2406" cm="1">
        <f t="array" ref="P2406">_xlfn.SWITCH(Table2[[#This Row],[mood]], "Tired", 3, "Neutral", 2, "Happy", 1)</f>
        <v>3</v>
      </c>
    </row>
    <row r="2407" spans="1:16" x14ac:dyDescent="0.3">
      <c r="A2407">
        <v>1792</v>
      </c>
      <c r="B2407" s="1">
        <v>44410</v>
      </c>
      <c r="C2407">
        <v>43</v>
      </c>
      <c r="D2407" t="s">
        <v>15</v>
      </c>
      <c r="E2407">
        <v>171.3</v>
      </c>
      <c r="F2407">
        <v>86</v>
      </c>
      <c r="G2407">
        <v>19898</v>
      </c>
      <c r="H2407">
        <v>900</v>
      </c>
      <c r="I2407">
        <v>7.5</v>
      </c>
      <c r="J2407">
        <v>76</v>
      </c>
      <c r="K2407" t="s">
        <v>16</v>
      </c>
      <c r="L2407">
        <v>0</v>
      </c>
      <c r="M2407">
        <v>1.85</v>
      </c>
      <c r="N2407">
        <v>10</v>
      </c>
      <c r="O2407" t="s">
        <v>17</v>
      </c>
      <c r="P2407" cm="1">
        <f t="array" ref="P2407">_xlfn.SWITCH(Table2[[#This Row],[mood]], "Tired", 3, "Neutral", 2, "Happy", 1)</f>
        <v>3</v>
      </c>
    </row>
    <row r="2408" spans="1:16" x14ac:dyDescent="0.3">
      <c r="A2408">
        <v>1791</v>
      </c>
      <c r="B2408" s="1">
        <v>44411</v>
      </c>
      <c r="C2408">
        <v>18</v>
      </c>
      <c r="D2408" t="s">
        <v>20</v>
      </c>
      <c r="E2408">
        <v>164.8</v>
      </c>
      <c r="F2408">
        <v>74.900000000000006</v>
      </c>
      <c r="G2408">
        <v>18315</v>
      </c>
      <c r="H2408">
        <v>858.7</v>
      </c>
      <c r="I2408">
        <v>5.7</v>
      </c>
      <c r="J2408">
        <v>71</v>
      </c>
      <c r="K2408" t="s">
        <v>24</v>
      </c>
      <c r="L2408">
        <v>24</v>
      </c>
      <c r="M2408">
        <v>2.6</v>
      </c>
      <c r="N2408">
        <v>1</v>
      </c>
      <c r="O2408" t="s">
        <v>17</v>
      </c>
      <c r="P2408" cm="1">
        <f t="array" ref="P2408">_xlfn.SWITCH(Table2[[#This Row],[mood]], "Tired", 3, "Neutral", 2, "Happy", 1)</f>
        <v>3</v>
      </c>
    </row>
    <row r="2409" spans="1:16" x14ac:dyDescent="0.3">
      <c r="A2409">
        <v>1523</v>
      </c>
      <c r="B2409" s="1">
        <v>44412</v>
      </c>
      <c r="C2409">
        <v>55</v>
      </c>
      <c r="D2409" t="s">
        <v>20</v>
      </c>
      <c r="E2409">
        <v>162.69999999999999</v>
      </c>
      <c r="F2409">
        <v>78.8</v>
      </c>
      <c r="G2409">
        <v>2990</v>
      </c>
      <c r="H2409">
        <v>367.9</v>
      </c>
      <c r="I2409">
        <v>8.4</v>
      </c>
      <c r="J2409">
        <v>74</v>
      </c>
      <c r="K2409" t="s">
        <v>24</v>
      </c>
      <c r="L2409">
        <v>85</v>
      </c>
      <c r="M2409">
        <v>3.02</v>
      </c>
      <c r="N2409">
        <v>8</v>
      </c>
      <c r="O2409" t="s">
        <v>19</v>
      </c>
      <c r="P2409" cm="1">
        <f t="array" ref="P2409">_xlfn.SWITCH(Table2[[#This Row],[mood]], "Tired", 3, "Neutral", 2, "Happy", 1)</f>
        <v>2</v>
      </c>
    </row>
    <row r="2410" spans="1:16" x14ac:dyDescent="0.3">
      <c r="A2410">
        <v>1785</v>
      </c>
      <c r="B2410" s="1">
        <v>44413</v>
      </c>
      <c r="C2410">
        <v>19</v>
      </c>
      <c r="D2410" t="s">
        <v>20</v>
      </c>
      <c r="E2410">
        <v>160.9</v>
      </c>
      <c r="F2410">
        <v>77.7</v>
      </c>
      <c r="G2410">
        <v>10607</v>
      </c>
      <c r="H2410">
        <v>547.20000000000005</v>
      </c>
      <c r="I2410">
        <v>4.9000000000000004</v>
      </c>
      <c r="J2410">
        <v>82</v>
      </c>
      <c r="K2410" t="s">
        <v>16</v>
      </c>
      <c r="L2410">
        <v>0</v>
      </c>
      <c r="M2410">
        <v>2.86</v>
      </c>
      <c r="N2410">
        <v>8</v>
      </c>
      <c r="O2410" t="s">
        <v>17</v>
      </c>
      <c r="P2410" cm="1">
        <f t="array" ref="P2410">_xlfn.SWITCH(Table2[[#This Row],[mood]], "Tired", 3, "Neutral", 2, "Happy", 1)</f>
        <v>3</v>
      </c>
    </row>
    <row r="2411" spans="1:16" x14ac:dyDescent="0.3">
      <c r="A2411">
        <v>1270</v>
      </c>
      <c r="B2411" s="1">
        <v>44414</v>
      </c>
      <c r="C2411">
        <v>23</v>
      </c>
      <c r="D2411" t="s">
        <v>20</v>
      </c>
      <c r="E2411">
        <v>169.8</v>
      </c>
      <c r="F2411">
        <v>83</v>
      </c>
      <c r="G2411">
        <v>7790</v>
      </c>
      <c r="H2411">
        <v>466.4</v>
      </c>
      <c r="I2411">
        <v>8.6</v>
      </c>
      <c r="J2411">
        <v>79</v>
      </c>
      <c r="K2411" t="s">
        <v>18</v>
      </c>
      <c r="L2411">
        <v>83</v>
      </c>
      <c r="M2411">
        <v>1.74</v>
      </c>
      <c r="N2411">
        <v>10</v>
      </c>
      <c r="O2411" t="s">
        <v>19</v>
      </c>
      <c r="P2411" cm="1">
        <f t="array" ref="P2411">_xlfn.SWITCH(Table2[[#This Row],[mood]], "Tired", 3, "Neutral", 2, "Happy", 1)</f>
        <v>2</v>
      </c>
    </row>
    <row r="2412" spans="1:16" x14ac:dyDescent="0.3">
      <c r="A2412">
        <v>1491</v>
      </c>
      <c r="B2412" s="1">
        <v>44415</v>
      </c>
      <c r="C2412">
        <v>55</v>
      </c>
      <c r="D2412" t="s">
        <v>15</v>
      </c>
      <c r="E2412">
        <v>162</v>
      </c>
      <c r="F2412">
        <v>53.6</v>
      </c>
      <c r="G2412">
        <v>9553</v>
      </c>
      <c r="H2412">
        <v>497.1</v>
      </c>
      <c r="I2412">
        <v>3.8</v>
      </c>
      <c r="J2412">
        <v>84</v>
      </c>
      <c r="K2412" t="s">
        <v>25</v>
      </c>
      <c r="L2412">
        <v>34</v>
      </c>
      <c r="M2412">
        <v>3.03</v>
      </c>
      <c r="N2412">
        <v>3</v>
      </c>
      <c r="O2412" t="s">
        <v>21</v>
      </c>
      <c r="P2412" cm="1">
        <f t="array" ref="P2412">_xlfn.SWITCH(Table2[[#This Row],[mood]], "Tired", 3, "Neutral", 2, "Happy", 1)</f>
        <v>1</v>
      </c>
    </row>
    <row r="2413" spans="1:16" x14ac:dyDescent="0.3">
      <c r="A2413">
        <v>1207</v>
      </c>
      <c r="B2413" s="1">
        <v>44416</v>
      </c>
      <c r="C2413">
        <v>59</v>
      </c>
      <c r="D2413" t="s">
        <v>20</v>
      </c>
      <c r="E2413">
        <v>172.2</v>
      </c>
      <c r="F2413">
        <v>88</v>
      </c>
      <c r="G2413">
        <v>6383</v>
      </c>
      <c r="H2413">
        <v>503.5</v>
      </c>
      <c r="I2413">
        <v>5.6</v>
      </c>
      <c r="J2413">
        <v>70</v>
      </c>
      <c r="K2413" t="s">
        <v>24</v>
      </c>
      <c r="L2413">
        <v>87</v>
      </c>
      <c r="M2413">
        <v>2.46</v>
      </c>
      <c r="N2413">
        <v>9</v>
      </c>
      <c r="O2413" t="s">
        <v>21</v>
      </c>
      <c r="P2413" cm="1">
        <f t="array" ref="P2413">_xlfn.SWITCH(Table2[[#This Row],[mood]], "Tired", 3, "Neutral", 2, "Happy", 1)</f>
        <v>1</v>
      </c>
    </row>
    <row r="2414" spans="1:16" x14ac:dyDescent="0.3">
      <c r="A2414">
        <v>1538</v>
      </c>
      <c r="B2414" s="1">
        <v>44417</v>
      </c>
      <c r="C2414">
        <v>41</v>
      </c>
      <c r="D2414" t="s">
        <v>20</v>
      </c>
      <c r="E2414">
        <v>174.6</v>
      </c>
      <c r="F2414">
        <v>73.099999999999994</v>
      </c>
      <c r="G2414">
        <v>16575</v>
      </c>
      <c r="H2414">
        <v>891.6</v>
      </c>
      <c r="I2414">
        <v>6.8</v>
      </c>
      <c r="J2414">
        <v>86</v>
      </c>
      <c r="K2414" t="s">
        <v>18</v>
      </c>
      <c r="L2414">
        <v>73</v>
      </c>
      <c r="M2414">
        <v>2.85</v>
      </c>
      <c r="N2414">
        <v>5</v>
      </c>
      <c r="O2414" t="s">
        <v>21</v>
      </c>
      <c r="P2414" cm="1">
        <f t="array" ref="P2414">_xlfn.SWITCH(Table2[[#This Row],[mood]], "Tired", 3, "Neutral", 2, "Happy", 1)</f>
        <v>1</v>
      </c>
    </row>
    <row r="2415" spans="1:16" x14ac:dyDescent="0.3">
      <c r="A2415">
        <v>1583</v>
      </c>
      <c r="B2415" s="1">
        <v>44418</v>
      </c>
      <c r="C2415">
        <v>35</v>
      </c>
      <c r="D2415" t="s">
        <v>20</v>
      </c>
      <c r="E2415">
        <v>167.1</v>
      </c>
      <c r="F2415">
        <v>72.2</v>
      </c>
      <c r="G2415">
        <v>1715</v>
      </c>
      <c r="H2415">
        <v>349.5</v>
      </c>
      <c r="I2415">
        <v>7.3</v>
      </c>
      <c r="J2415">
        <v>69</v>
      </c>
      <c r="K2415" t="s">
        <v>24</v>
      </c>
      <c r="L2415">
        <v>30</v>
      </c>
      <c r="M2415">
        <v>1.94</v>
      </c>
      <c r="N2415">
        <v>5</v>
      </c>
      <c r="O2415" t="s">
        <v>19</v>
      </c>
      <c r="P2415" cm="1">
        <f t="array" ref="P2415">_xlfn.SWITCH(Table2[[#This Row],[mood]], "Tired", 3, "Neutral", 2, "Happy", 1)</f>
        <v>2</v>
      </c>
    </row>
    <row r="2416" spans="1:16" x14ac:dyDescent="0.3">
      <c r="A2416">
        <v>1059</v>
      </c>
      <c r="B2416" s="1">
        <v>44419</v>
      </c>
      <c r="C2416">
        <v>44</v>
      </c>
      <c r="D2416" t="s">
        <v>15</v>
      </c>
      <c r="E2416">
        <v>166.4</v>
      </c>
      <c r="F2416">
        <v>78.5</v>
      </c>
      <c r="G2416">
        <v>10837</v>
      </c>
      <c r="H2416">
        <v>611.4</v>
      </c>
      <c r="I2416">
        <v>4.2</v>
      </c>
      <c r="J2416">
        <v>77</v>
      </c>
      <c r="K2416" t="s">
        <v>18</v>
      </c>
      <c r="L2416">
        <v>42</v>
      </c>
      <c r="M2416">
        <v>3.23</v>
      </c>
      <c r="N2416">
        <v>5</v>
      </c>
      <c r="O2416" t="s">
        <v>21</v>
      </c>
      <c r="P2416" cm="1">
        <f t="array" ref="P2416">_xlfn.SWITCH(Table2[[#This Row],[mood]], "Tired", 3, "Neutral", 2, "Happy", 1)</f>
        <v>1</v>
      </c>
    </row>
    <row r="2417" spans="1:16" x14ac:dyDescent="0.3">
      <c r="A2417">
        <v>1429</v>
      </c>
      <c r="B2417" s="1">
        <v>44420</v>
      </c>
      <c r="C2417">
        <v>58</v>
      </c>
      <c r="D2417" t="s">
        <v>20</v>
      </c>
      <c r="E2417">
        <v>171.9</v>
      </c>
      <c r="F2417">
        <v>50.9</v>
      </c>
      <c r="G2417">
        <v>18931</v>
      </c>
      <c r="H2417">
        <v>900</v>
      </c>
      <c r="I2417">
        <v>8.6</v>
      </c>
      <c r="J2417">
        <v>69</v>
      </c>
      <c r="K2417" t="s">
        <v>23</v>
      </c>
      <c r="L2417">
        <v>20</v>
      </c>
      <c r="M2417">
        <v>2.63</v>
      </c>
      <c r="N2417">
        <v>1</v>
      </c>
      <c r="O2417" t="s">
        <v>21</v>
      </c>
      <c r="P2417" cm="1">
        <f t="array" ref="P2417">_xlfn.SWITCH(Table2[[#This Row],[mood]], "Tired", 3, "Neutral", 2, "Happy", 1)</f>
        <v>1</v>
      </c>
    </row>
    <row r="2418" spans="1:16" x14ac:dyDescent="0.3">
      <c r="A2418">
        <v>1984</v>
      </c>
      <c r="B2418" s="1">
        <v>44421</v>
      </c>
      <c r="C2418">
        <v>25</v>
      </c>
      <c r="D2418" t="s">
        <v>20</v>
      </c>
      <c r="E2418">
        <v>169.7</v>
      </c>
      <c r="F2418">
        <v>46.7</v>
      </c>
      <c r="G2418">
        <v>14950</v>
      </c>
      <c r="H2418">
        <v>771.8</v>
      </c>
      <c r="I2418">
        <v>8.1</v>
      </c>
      <c r="J2418">
        <v>74</v>
      </c>
      <c r="K2418" t="s">
        <v>25</v>
      </c>
      <c r="L2418">
        <v>61</v>
      </c>
      <c r="M2418">
        <v>3.33</v>
      </c>
      <c r="N2418">
        <v>10</v>
      </c>
      <c r="O2418" t="s">
        <v>17</v>
      </c>
      <c r="P2418" cm="1">
        <f t="array" ref="P2418">_xlfn.SWITCH(Table2[[#This Row],[mood]], "Tired", 3, "Neutral", 2, "Happy", 1)</f>
        <v>3</v>
      </c>
    </row>
    <row r="2419" spans="1:16" x14ac:dyDescent="0.3">
      <c r="A2419">
        <v>1656</v>
      </c>
      <c r="B2419" s="1">
        <v>44422</v>
      </c>
      <c r="C2419">
        <v>45</v>
      </c>
      <c r="D2419" t="s">
        <v>20</v>
      </c>
      <c r="E2419">
        <v>183.3</v>
      </c>
      <c r="F2419">
        <v>68.2</v>
      </c>
      <c r="G2419">
        <v>8992</v>
      </c>
      <c r="H2419">
        <v>493</v>
      </c>
      <c r="I2419">
        <v>9.9</v>
      </c>
      <c r="J2419">
        <v>95</v>
      </c>
      <c r="K2419" t="s">
        <v>16</v>
      </c>
      <c r="L2419">
        <v>0</v>
      </c>
      <c r="M2419">
        <v>1.43</v>
      </c>
      <c r="N2419">
        <v>2</v>
      </c>
      <c r="O2419" t="s">
        <v>19</v>
      </c>
      <c r="P2419" cm="1">
        <f t="array" ref="P2419">_xlfn.SWITCH(Table2[[#This Row],[mood]], "Tired", 3, "Neutral", 2, "Happy", 1)</f>
        <v>2</v>
      </c>
    </row>
    <row r="2420" spans="1:16" x14ac:dyDescent="0.3">
      <c r="A2420">
        <v>1604</v>
      </c>
      <c r="B2420" s="1">
        <v>44423</v>
      </c>
      <c r="C2420">
        <v>27</v>
      </c>
      <c r="D2420" t="s">
        <v>20</v>
      </c>
      <c r="E2420">
        <v>173.2</v>
      </c>
      <c r="F2420">
        <v>93.2</v>
      </c>
      <c r="G2420">
        <v>18035</v>
      </c>
      <c r="H2420">
        <v>900</v>
      </c>
      <c r="I2420">
        <v>8.1</v>
      </c>
      <c r="J2420">
        <v>80</v>
      </c>
      <c r="K2420" t="s">
        <v>24</v>
      </c>
      <c r="L2420">
        <v>87</v>
      </c>
      <c r="M2420">
        <v>1.52</v>
      </c>
      <c r="N2420">
        <v>1</v>
      </c>
      <c r="O2420" t="s">
        <v>19</v>
      </c>
      <c r="P2420" cm="1">
        <f t="array" ref="P2420">_xlfn.SWITCH(Table2[[#This Row],[mood]], "Tired", 3, "Neutral", 2, "Happy", 1)</f>
        <v>2</v>
      </c>
    </row>
    <row r="2421" spans="1:16" x14ac:dyDescent="0.3">
      <c r="A2421">
        <v>1308</v>
      </c>
      <c r="B2421" s="1">
        <v>44424</v>
      </c>
      <c r="C2421">
        <v>34</v>
      </c>
      <c r="D2421" t="s">
        <v>20</v>
      </c>
      <c r="E2421">
        <v>181</v>
      </c>
      <c r="F2421">
        <v>52.2</v>
      </c>
      <c r="G2421">
        <v>2050</v>
      </c>
      <c r="H2421">
        <v>450.8</v>
      </c>
      <c r="I2421">
        <v>5.9</v>
      </c>
      <c r="J2421">
        <v>77</v>
      </c>
      <c r="K2421" t="s">
        <v>16</v>
      </c>
      <c r="L2421">
        <v>0</v>
      </c>
      <c r="M2421">
        <v>2.33</v>
      </c>
      <c r="N2421">
        <v>2</v>
      </c>
      <c r="O2421" t="s">
        <v>19</v>
      </c>
      <c r="P2421" cm="1">
        <f t="array" ref="P2421">_xlfn.SWITCH(Table2[[#This Row],[mood]], "Tired", 3, "Neutral", 2, "Happy", 1)</f>
        <v>2</v>
      </c>
    </row>
    <row r="2422" spans="1:16" x14ac:dyDescent="0.3">
      <c r="A2422">
        <v>1519</v>
      </c>
      <c r="B2422" s="1">
        <v>44425</v>
      </c>
      <c r="C2422">
        <v>46</v>
      </c>
      <c r="D2422" t="s">
        <v>15</v>
      </c>
      <c r="E2422">
        <v>176.1</v>
      </c>
      <c r="F2422">
        <v>72.599999999999994</v>
      </c>
      <c r="G2422">
        <v>14357</v>
      </c>
      <c r="H2422">
        <v>738.1</v>
      </c>
      <c r="I2422">
        <v>5.4</v>
      </c>
      <c r="J2422">
        <v>89</v>
      </c>
      <c r="K2422" t="s">
        <v>24</v>
      </c>
      <c r="L2422">
        <v>21</v>
      </c>
      <c r="M2422">
        <v>3.53</v>
      </c>
      <c r="N2422">
        <v>9</v>
      </c>
      <c r="O2422" t="s">
        <v>21</v>
      </c>
      <c r="P2422" cm="1">
        <f t="array" ref="P2422">_xlfn.SWITCH(Table2[[#This Row],[mood]], "Tired", 3, "Neutral", 2, "Happy", 1)</f>
        <v>1</v>
      </c>
    </row>
    <row r="2423" spans="1:16" x14ac:dyDescent="0.3">
      <c r="A2423">
        <v>1590</v>
      </c>
      <c r="B2423" s="1">
        <v>44426</v>
      </c>
      <c r="C2423">
        <v>23</v>
      </c>
      <c r="D2423" t="s">
        <v>20</v>
      </c>
      <c r="E2423">
        <v>156.80000000000001</v>
      </c>
      <c r="F2423">
        <v>59.2</v>
      </c>
      <c r="G2423">
        <v>5742</v>
      </c>
      <c r="H2423">
        <v>459.3</v>
      </c>
      <c r="I2423">
        <v>6.4</v>
      </c>
      <c r="J2423">
        <v>50</v>
      </c>
      <c r="K2423" t="s">
        <v>24</v>
      </c>
      <c r="L2423">
        <v>64</v>
      </c>
      <c r="M2423">
        <v>3.87</v>
      </c>
      <c r="N2423">
        <v>9</v>
      </c>
      <c r="O2423" t="s">
        <v>19</v>
      </c>
      <c r="P2423" cm="1">
        <f t="array" ref="P2423">_xlfn.SWITCH(Table2[[#This Row],[mood]], "Tired", 3, "Neutral", 2, "Happy", 1)</f>
        <v>2</v>
      </c>
    </row>
    <row r="2424" spans="1:16" x14ac:dyDescent="0.3">
      <c r="A2424">
        <v>1026</v>
      </c>
      <c r="B2424" s="1">
        <v>44427</v>
      </c>
      <c r="C2424">
        <v>31</v>
      </c>
      <c r="D2424" t="s">
        <v>20</v>
      </c>
      <c r="E2424">
        <v>164.4</v>
      </c>
      <c r="F2424">
        <v>57.2</v>
      </c>
      <c r="G2424">
        <v>14369</v>
      </c>
      <c r="H2424">
        <v>767</v>
      </c>
      <c r="I2424">
        <v>10</v>
      </c>
      <c r="J2424">
        <v>73</v>
      </c>
      <c r="K2424" t="s">
        <v>22</v>
      </c>
      <c r="L2424">
        <v>46</v>
      </c>
      <c r="M2424">
        <v>1.88</v>
      </c>
      <c r="N2424">
        <v>5</v>
      </c>
      <c r="O2424" t="s">
        <v>21</v>
      </c>
      <c r="P2424" cm="1">
        <f t="array" ref="P2424">_xlfn.SWITCH(Table2[[#This Row],[mood]], "Tired", 3, "Neutral", 2, "Happy", 1)</f>
        <v>1</v>
      </c>
    </row>
    <row r="2425" spans="1:16" x14ac:dyDescent="0.3">
      <c r="A2425">
        <v>1685</v>
      </c>
      <c r="B2425" s="1">
        <v>44428</v>
      </c>
      <c r="C2425">
        <v>39</v>
      </c>
      <c r="D2425" t="s">
        <v>20</v>
      </c>
      <c r="E2425">
        <v>169.5</v>
      </c>
      <c r="F2425">
        <v>77.5</v>
      </c>
      <c r="G2425">
        <v>6044</v>
      </c>
      <c r="H2425">
        <v>463.8</v>
      </c>
      <c r="I2425">
        <v>7.1</v>
      </c>
      <c r="J2425">
        <v>70</v>
      </c>
      <c r="K2425" t="s">
        <v>22</v>
      </c>
      <c r="L2425">
        <v>80</v>
      </c>
      <c r="M2425">
        <v>2.54</v>
      </c>
      <c r="N2425">
        <v>4</v>
      </c>
      <c r="O2425" t="s">
        <v>21</v>
      </c>
      <c r="P2425" cm="1">
        <f t="array" ref="P2425">_xlfn.SWITCH(Table2[[#This Row],[mood]], "Tired", 3, "Neutral", 2, "Happy", 1)</f>
        <v>1</v>
      </c>
    </row>
    <row r="2426" spans="1:16" x14ac:dyDescent="0.3">
      <c r="A2426">
        <v>1561</v>
      </c>
      <c r="B2426" s="1">
        <v>44429</v>
      </c>
      <c r="C2426">
        <v>23</v>
      </c>
      <c r="D2426" t="s">
        <v>20</v>
      </c>
      <c r="E2426">
        <v>178.7</v>
      </c>
      <c r="F2426">
        <v>81.400000000000006</v>
      </c>
      <c r="G2426">
        <v>11288</v>
      </c>
      <c r="H2426">
        <v>704.5</v>
      </c>
      <c r="I2426">
        <v>7.1</v>
      </c>
      <c r="J2426">
        <v>66</v>
      </c>
      <c r="K2426" t="s">
        <v>16</v>
      </c>
      <c r="L2426">
        <v>0</v>
      </c>
      <c r="M2426">
        <v>2.61</v>
      </c>
      <c r="N2426">
        <v>2</v>
      </c>
      <c r="O2426" t="s">
        <v>21</v>
      </c>
      <c r="P2426" cm="1">
        <f t="array" ref="P2426">_xlfn.SWITCH(Table2[[#This Row],[mood]], "Tired", 3, "Neutral", 2, "Happy", 1)</f>
        <v>1</v>
      </c>
    </row>
    <row r="2427" spans="1:16" x14ac:dyDescent="0.3">
      <c r="A2427">
        <v>1198</v>
      </c>
      <c r="B2427" s="1">
        <v>44430</v>
      </c>
      <c r="C2427">
        <v>43</v>
      </c>
      <c r="D2427" t="s">
        <v>20</v>
      </c>
      <c r="E2427">
        <v>189.3</v>
      </c>
      <c r="F2427">
        <v>58.2</v>
      </c>
      <c r="G2427">
        <v>8261</v>
      </c>
      <c r="H2427">
        <v>473.3</v>
      </c>
      <c r="I2427">
        <v>9.1</v>
      </c>
      <c r="J2427">
        <v>60</v>
      </c>
      <c r="K2427" t="s">
        <v>23</v>
      </c>
      <c r="L2427">
        <v>88</v>
      </c>
      <c r="M2427">
        <v>3</v>
      </c>
      <c r="N2427">
        <v>6</v>
      </c>
      <c r="O2427" t="s">
        <v>21</v>
      </c>
      <c r="P2427" cm="1">
        <f t="array" ref="P2427">_xlfn.SWITCH(Table2[[#This Row],[mood]], "Tired", 3, "Neutral", 2, "Happy", 1)</f>
        <v>1</v>
      </c>
    </row>
    <row r="2428" spans="1:16" x14ac:dyDescent="0.3">
      <c r="A2428">
        <v>1386</v>
      </c>
      <c r="B2428" s="1">
        <v>44431</v>
      </c>
      <c r="C2428">
        <v>56</v>
      </c>
      <c r="D2428" t="s">
        <v>20</v>
      </c>
      <c r="E2428">
        <v>165.2</v>
      </c>
      <c r="F2428">
        <v>90.8</v>
      </c>
      <c r="G2428">
        <v>11846</v>
      </c>
      <c r="H2428">
        <v>649.9</v>
      </c>
      <c r="I2428">
        <v>5.3</v>
      </c>
      <c r="J2428">
        <v>73</v>
      </c>
      <c r="K2428" t="s">
        <v>24</v>
      </c>
      <c r="L2428">
        <v>48</v>
      </c>
      <c r="M2428">
        <v>3.12</v>
      </c>
      <c r="N2428">
        <v>9</v>
      </c>
      <c r="O2428" t="s">
        <v>17</v>
      </c>
      <c r="P2428" cm="1">
        <f t="array" ref="P2428">_xlfn.SWITCH(Table2[[#This Row],[mood]], "Tired", 3, "Neutral", 2, "Happy", 1)</f>
        <v>3</v>
      </c>
    </row>
    <row r="2429" spans="1:16" x14ac:dyDescent="0.3">
      <c r="A2429">
        <v>1348</v>
      </c>
      <c r="B2429" s="1">
        <v>44432</v>
      </c>
      <c r="C2429">
        <v>29</v>
      </c>
      <c r="D2429" t="s">
        <v>20</v>
      </c>
      <c r="E2429">
        <v>170.6</v>
      </c>
      <c r="F2429">
        <v>76.3</v>
      </c>
      <c r="G2429">
        <v>19064</v>
      </c>
      <c r="H2429">
        <v>900</v>
      </c>
      <c r="I2429">
        <v>7.8</v>
      </c>
      <c r="J2429">
        <v>82</v>
      </c>
      <c r="K2429" t="s">
        <v>25</v>
      </c>
      <c r="L2429">
        <v>44</v>
      </c>
      <c r="M2429">
        <v>1.72</v>
      </c>
      <c r="N2429">
        <v>8</v>
      </c>
      <c r="O2429" t="s">
        <v>19</v>
      </c>
      <c r="P2429" cm="1">
        <f t="array" ref="P2429">_xlfn.SWITCH(Table2[[#This Row],[mood]], "Tired", 3, "Neutral", 2, "Happy", 1)</f>
        <v>2</v>
      </c>
    </row>
    <row r="2430" spans="1:16" x14ac:dyDescent="0.3">
      <c r="A2430">
        <v>1959</v>
      </c>
      <c r="B2430" s="1">
        <v>44433</v>
      </c>
      <c r="C2430">
        <v>52</v>
      </c>
      <c r="D2430" t="s">
        <v>20</v>
      </c>
      <c r="E2430">
        <v>178</v>
      </c>
      <c r="F2430">
        <v>66.400000000000006</v>
      </c>
      <c r="G2430">
        <v>10799</v>
      </c>
      <c r="H2430">
        <v>657.4</v>
      </c>
      <c r="I2430">
        <v>7.8</v>
      </c>
      <c r="J2430">
        <v>74</v>
      </c>
      <c r="K2430" t="s">
        <v>22</v>
      </c>
      <c r="L2430">
        <v>73</v>
      </c>
      <c r="M2430">
        <v>2.5499999999999998</v>
      </c>
      <c r="N2430">
        <v>10</v>
      </c>
      <c r="O2430" t="s">
        <v>19</v>
      </c>
      <c r="P2430" cm="1">
        <f t="array" ref="P2430">_xlfn.SWITCH(Table2[[#This Row],[mood]], "Tired", 3, "Neutral", 2, "Happy", 1)</f>
        <v>2</v>
      </c>
    </row>
    <row r="2431" spans="1:16" x14ac:dyDescent="0.3">
      <c r="A2431">
        <v>1939</v>
      </c>
      <c r="B2431" s="1">
        <v>44434</v>
      </c>
      <c r="C2431">
        <v>31</v>
      </c>
      <c r="D2431" t="s">
        <v>20</v>
      </c>
      <c r="E2431">
        <v>169.4</v>
      </c>
      <c r="F2431">
        <v>75.2</v>
      </c>
      <c r="G2431">
        <v>4522</v>
      </c>
      <c r="H2431">
        <v>397.2</v>
      </c>
      <c r="I2431">
        <v>8.4</v>
      </c>
      <c r="J2431">
        <v>83</v>
      </c>
      <c r="K2431" t="s">
        <v>18</v>
      </c>
      <c r="L2431">
        <v>67</v>
      </c>
      <c r="M2431">
        <v>1.0900000000000001</v>
      </c>
      <c r="N2431">
        <v>4</v>
      </c>
      <c r="O2431" t="s">
        <v>21</v>
      </c>
      <c r="P2431" cm="1">
        <f t="array" ref="P2431">_xlfn.SWITCH(Table2[[#This Row],[mood]], "Tired", 3, "Neutral", 2, "Happy", 1)</f>
        <v>1</v>
      </c>
    </row>
    <row r="2432" spans="1:16" x14ac:dyDescent="0.3">
      <c r="A2432">
        <v>1692</v>
      </c>
      <c r="B2432" s="1">
        <v>44435</v>
      </c>
      <c r="C2432">
        <v>39</v>
      </c>
      <c r="D2432" t="s">
        <v>20</v>
      </c>
      <c r="E2432">
        <v>186.4</v>
      </c>
      <c r="F2432">
        <v>100.5</v>
      </c>
      <c r="G2432">
        <v>14690</v>
      </c>
      <c r="H2432">
        <v>813.1</v>
      </c>
      <c r="I2432">
        <v>8.3000000000000007</v>
      </c>
      <c r="J2432">
        <v>76</v>
      </c>
      <c r="K2432" t="s">
        <v>18</v>
      </c>
      <c r="L2432">
        <v>65</v>
      </c>
      <c r="M2432">
        <v>3.07</v>
      </c>
      <c r="N2432">
        <v>6</v>
      </c>
      <c r="O2432" t="s">
        <v>21</v>
      </c>
      <c r="P2432" cm="1">
        <f t="array" ref="P2432">_xlfn.SWITCH(Table2[[#This Row],[mood]], "Tired", 3, "Neutral", 2, "Happy", 1)</f>
        <v>1</v>
      </c>
    </row>
    <row r="2433" spans="1:16" x14ac:dyDescent="0.3">
      <c r="A2433">
        <v>1535</v>
      </c>
      <c r="B2433" s="1">
        <v>44436</v>
      </c>
      <c r="C2433">
        <v>40</v>
      </c>
      <c r="D2433" t="s">
        <v>15</v>
      </c>
      <c r="E2433">
        <v>156.5</v>
      </c>
      <c r="F2433">
        <v>81.3</v>
      </c>
      <c r="G2433">
        <v>3057</v>
      </c>
      <c r="H2433">
        <v>352.7</v>
      </c>
      <c r="I2433">
        <v>6.9</v>
      </c>
      <c r="J2433">
        <v>87</v>
      </c>
      <c r="K2433" t="s">
        <v>18</v>
      </c>
      <c r="L2433">
        <v>60</v>
      </c>
      <c r="M2433">
        <v>2.2599999999999998</v>
      </c>
      <c r="N2433">
        <v>9</v>
      </c>
      <c r="O2433" t="s">
        <v>21</v>
      </c>
      <c r="P2433" cm="1">
        <f t="array" ref="P2433">_xlfn.SWITCH(Table2[[#This Row],[mood]], "Tired", 3, "Neutral", 2, "Happy", 1)</f>
        <v>1</v>
      </c>
    </row>
    <row r="2434" spans="1:16" x14ac:dyDescent="0.3">
      <c r="A2434">
        <v>1827</v>
      </c>
      <c r="B2434" s="1">
        <v>44437</v>
      </c>
      <c r="C2434">
        <v>24</v>
      </c>
      <c r="D2434" t="s">
        <v>15</v>
      </c>
      <c r="E2434">
        <v>176.8</v>
      </c>
      <c r="F2434">
        <v>59.5</v>
      </c>
      <c r="G2434">
        <v>3721</v>
      </c>
      <c r="H2434">
        <v>406.7</v>
      </c>
      <c r="I2434">
        <v>4.9000000000000004</v>
      </c>
      <c r="J2434">
        <v>70</v>
      </c>
      <c r="K2434" t="s">
        <v>23</v>
      </c>
      <c r="L2434">
        <v>60</v>
      </c>
      <c r="M2434">
        <v>1.66</v>
      </c>
      <c r="N2434">
        <v>10</v>
      </c>
      <c r="O2434" t="s">
        <v>17</v>
      </c>
      <c r="P2434" cm="1">
        <f t="array" ref="P2434">_xlfn.SWITCH(Table2[[#This Row],[mood]], "Tired", 3, "Neutral", 2, "Happy", 1)</f>
        <v>3</v>
      </c>
    </row>
    <row r="2435" spans="1:16" x14ac:dyDescent="0.3">
      <c r="A2435">
        <v>1377</v>
      </c>
      <c r="B2435" s="1">
        <v>44438</v>
      </c>
      <c r="C2435">
        <v>57</v>
      </c>
      <c r="D2435" t="s">
        <v>15</v>
      </c>
      <c r="E2435">
        <v>176.7</v>
      </c>
      <c r="F2435">
        <v>69.7</v>
      </c>
      <c r="G2435">
        <v>5821</v>
      </c>
      <c r="H2435">
        <v>470.5</v>
      </c>
      <c r="I2435">
        <v>6.2</v>
      </c>
      <c r="J2435">
        <v>56</v>
      </c>
      <c r="K2435" t="s">
        <v>24</v>
      </c>
      <c r="L2435">
        <v>80</v>
      </c>
      <c r="M2435">
        <v>2.73</v>
      </c>
      <c r="N2435">
        <v>10</v>
      </c>
      <c r="O2435" t="s">
        <v>21</v>
      </c>
      <c r="P2435" cm="1">
        <f t="array" ref="P2435">_xlfn.SWITCH(Table2[[#This Row],[mood]], "Tired", 3, "Neutral", 2, "Happy", 1)</f>
        <v>1</v>
      </c>
    </row>
    <row r="2436" spans="1:16" x14ac:dyDescent="0.3">
      <c r="A2436">
        <v>1898</v>
      </c>
      <c r="B2436" s="1">
        <v>44439</v>
      </c>
      <c r="C2436">
        <v>42</v>
      </c>
      <c r="D2436" t="s">
        <v>15</v>
      </c>
      <c r="E2436">
        <v>181.5</v>
      </c>
      <c r="F2436">
        <v>72</v>
      </c>
      <c r="G2436">
        <v>3563</v>
      </c>
      <c r="H2436">
        <v>340</v>
      </c>
      <c r="I2436">
        <v>8.3000000000000007</v>
      </c>
      <c r="J2436">
        <v>59</v>
      </c>
      <c r="K2436" t="s">
        <v>24</v>
      </c>
      <c r="L2436">
        <v>30</v>
      </c>
      <c r="M2436">
        <v>2.2400000000000002</v>
      </c>
      <c r="N2436">
        <v>4</v>
      </c>
      <c r="O2436" t="s">
        <v>19</v>
      </c>
      <c r="P2436" cm="1">
        <f t="array" ref="P2436">_xlfn.SWITCH(Table2[[#This Row],[mood]], "Tired", 3, "Neutral", 2, "Happy", 1)</f>
        <v>2</v>
      </c>
    </row>
    <row r="2437" spans="1:16" x14ac:dyDescent="0.3">
      <c r="A2437">
        <v>1915</v>
      </c>
      <c r="B2437" s="1">
        <v>44440</v>
      </c>
      <c r="C2437">
        <v>30</v>
      </c>
      <c r="D2437" t="s">
        <v>20</v>
      </c>
      <c r="E2437">
        <v>170.6</v>
      </c>
      <c r="F2437">
        <v>80</v>
      </c>
      <c r="G2437">
        <v>15559</v>
      </c>
      <c r="H2437">
        <v>840</v>
      </c>
      <c r="I2437">
        <v>9.8000000000000007</v>
      </c>
      <c r="J2437">
        <v>70</v>
      </c>
      <c r="K2437" t="s">
        <v>16</v>
      </c>
      <c r="L2437">
        <v>0</v>
      </c>
      <c r="M2437">
        <v>3.38</v>
      </c>
      <c r="N2437">
        <v>9</v>
      </c>
      <c r="O2437" t="s">
        <v>19</v>
      </c>
      <c r="P2437" cm="1">
        <f t="array" ref="P2437">_xlfn.SWITCH(Table2[[#This Row],[mood]], "Tired", 3, "Neutral", 2, "Happy", 1)</f>
        <v>2</v>
      </c>
    </row>
    <row r="2438" spans="1:16" x14ac:dyDescent="0.3">
      <c r="A2438">
        <v>1557</v>
      </c>
      <c r="B2438" s="1">
        <v>44441</v>
      </c>
      <c r="C2438">
        <v>38</v>
      </c>
      <c r="D2438" t="s">
        <v>15</v>
      </c>
      <c r="E2438">
        <v>178.9</v>
      </c>
      <c r="F2438">
        <v>73.599999999999994</v>
      </c>
      <c r="G2438">
        <v>14692</v>
      </c>
      <c r="H2438">
        <v>784.3</v>
      </c>
      <c r="I2438">
        <v>5.2</v>
      </c>
      <c r="J2438">
        <v>66</v>
      </c>
      <c r="K2438" t="s">
        <v>22</v>
      </c>
      <c r="L2438">
        <v>51</v>
      </c>
      <c r="M2438">
        <v>1.88</v>
      </c>
      <c r="N2438">
        <v>8</v>
      </c>
      <c r="O2438" t="s">
        <v>17</v>
      </c>
      <c r="P2438" cm="1">
        <f t="array" ref="P2438">_xlfn.SWITCH(Table2[[#This Row],[mood]], "Tired", 3, "Neutral", 2, "Happy", 1)</f>
        <v>3</v>
      </c>
    </row>
    <row r="2439" spans="1:16" x14ac:dyDescent="0.3">
      <c r="A2439">
        <v>1526</v>
      </c>
      <c r="B2439" s="1">
        <v>44442</v>
      </c>
      <c r="C2439">
        <v>58</v>
      </c>
      <c r="D2439" t="s">
        <v>15</v>
      </c>
      <c r="E2439">
        <v>167.5</v>
      </c>
      <c r="F2439">
        <v>98.4</v>
      </c>
      <c r="G2439">
        <v>16661</v>
      </c>
      <c r="H2439">
        <v>829.1</v>
      </c>
      <c r="I2439">
        <v>5.0999999999999996</v>
      </c>
      <c r="J2439">
        <v>69</v>
      </c>
      <c r="K2439" t="s">
        <v>18</v>
      </c>
      <c r="L2439">
        <v>68</v>
      </c>
      <c r="M2439">
        <v>4.0599999999999996</v>
      </c>
      <c r="N2439">
        <v>3</v>
      </c>
      <c r="O2439" t="s">
        <v>21</v>
      </c>
      <c r="P2439" cm="1">
        <f t="array" ref="P2439">_xlfn.SWITCH(Table2[[#This Row],[mood]], "Tired", 3, "Neutral", 2, "Happy", 1)</f>
        <v>1</v>
      </c>
    </row>
    <row r="2440" spans="1:16" x14ac:dyDescent="0.3">
      <c r="A2440">
        <v>1152</v>
      </c>
      <c r="B2440" s="1">
        <v>44443</v>
      </c>
      <c r="C2440">
        <v>27</v>
      </c>
      <c r="D2440" t="s">
        <v>20</v>
      </c>
      <c r="E2440">
        <v>162</v>
      </c>
      <c r="F2440">
        <v>66.599999999999994</v>
      </c>
      <c r="G2440">
        <v>1202</v>
      </c>
      <c r="H2440">
        <v>245.5</v>
      </c>
      <c r="I2440">
        <v>4.5999999999999996</v>
      </c>
      <c r="J2440">
        <v>86</v>
      </c>
      <c r="K2440" t="s">
        <v>23</v>
      </c>
      <c r="L2440">
        <v>25</v>
      </c>
      <c r="M2440">
        <v>3.1</v>
      </c>
      <c r="N2440">
        <v>9</v>
      </c>
      <c r="O2440" t="s">
        <v>19</v>
      </c>
      <c r="P2440" cm="1">
        <f t="array" ref="P2440">_xlfn.SWITCH(Table2[[#This Row],[mood]], "Tired", 3, "Neutral", 2, "Happy", 1)</f>
        <v>2</v>
      </c>
    </row>
    <row r="2441" spans="1:16" x14ac:dyDescent="0.3">
      <c r="A2441">
        <v>1733</v>
      </c>
      <c r="B2441" s="1">
        <v>44444</v>
      </c>
      <c r="C2441">
        <v>26</v>
      </c>
      <c r="D2441" t="s">
        <v>15</v>
      </c>
      <c r="E2441">
        <v>160.5</v>
      </c>
      <c r="F2441">
        <v>45</v>
      </c>
      <c r="G2441">
        <v>1941</v>
      </c>
      <c r="H2441">
        <v>271.89999999999998</v>
      </c>
      <c r="I2441">
        <v>5.8</v>
      </c>
      <c r="J2441">
        <v>60</v>
      </c>
      <c r="K2441" t="s">
        <v>16</v>
      </c>
      <c r="L2441">
        <v>0</v>
      </c>
      <c r="M2441">
        <v>3.4</v>
      </c>
      <c r="N2441">
        <v>5</v>
      </c>
      <c r="O2441" t="s">
        <v>17</v>
      </c>
      <c r="P2441" cm="1">
        <f t="array" ref="P2441">_xlfn.SWITCH(Table2[[#This Row],[mood]], "Tired", 3, "Neutral", 2, "Happy", 1)</f>
        <v>3</v>
      </c>
    </row>
    <row r="2442" spans="1:16" x14ac:dyDescent="0.3">
      <c r="A2442">
        <v>1205</v>
      </c>
      <c r="B2442" s="1">
        <v>44445</v>
      </c>
      <c r="C2442">
        <v>32</v>
      </c>
      <c r="D2442" t="s">
        <v>15</v>
      </c>
      <c r="E2442">
        <v>155.6</v>
      </c>
      <c r="F2442">
        <v>73.2</v>
      </c>
      <c r="G2442">
        <v>17972</v>
      </c>
      <c r="H2442">
        <v>834</v>
      </c>
      <c r="I2442">
        <v>8.4</v>
      </c>
      <c r="J2442">
        <v>90</v>
      </c>
      <c r="K2442" t="s">
        <v>25</v>
      </c>
      <c r="L2442">
        <v>25</v>
      </c>
      <c r="M2442">
        <v>1.78</v>
      </c>
      <c r="N2442">
        <v>1</v>
      </c>
      <c r="O2442" t="s">
        <v>19</v>
      </c>
      <c r="P2442" cm="1">
        <f t="array" ref="P2442">_xlfn.SWITCH(Table2[[#This Row],[mood]], "Tired", 3, "Neutral", 2, "Happy", 1)</f>
        <v>2</v>
      </c>
    </row>
    <row r="2443" spans="1:16" x14ac:dyDescent="0.3">
      <c r="A2443">
        <v>1454</v>
      </c>
      <c r="B2443" s="1">
        <v>44446</v>
      </c>
      <c r="C2443">
        <v>19</v>
      </c>
      <c r="D2443" t="s">
        <v>20</v>
      </c>
      <c r="E2443">
        <v>165.6</v>
      </c>
      <c r="F2443">
        <v>63.4</v>
      </c>
      <c r="G2443">
        <v>9762</v>
      </c>
      <c r="H2443">
        <v>629.20000000000005</v>
      </c>
      <c r="I2443">
        <v>9</v>
      </c>
      <c r="J2443">
        <v>67</v>
      </c>
      <c r="K2443" t="s">
        <v>24</v>
      </c>
      <c r="L2443">
        <v>66</v>
      </c>
      <c r="M2443">
        <v>3.75</v>
      </c>
      <c r="N2443">
        <v>8</v>
      </c>
      <c r="O2443" t="s">
        <v>17</v>
      </c>
      <c r="P2443" cm="1">
        <f t="array" ref="P2443">_xlfn.SWITCH(Table2[[#This Row],[mood]], "Tired", 3, "Neutral", 2, "Happy", 1)</f>
        <v>3</v>
      </c>
    </row>
    <row r="2444" spans="1:16" x14ac:dyDescent="0.3">
      <c r="A2444">
        <v>1272</v>
      </c>
      <c r="B2444" s="1">
        <v>44447</v>
      </c>
      <c r="C2444">
        <v>42</v>
      </c>
      <c r="D2444" t="s">
        <v>20</v>
      </c>
      <c r="E2444">
        <v>173.1</v>
      </c>
      <c r="F2444">
        <v>47.4</v>
      </c>
      <c r="G2444">
        <v>10537</v>
      </c>
      <c r="H2444">
        <v>668.7</v>
      </c>
      <c r="I2444">
        <v>3.9</v>
      </c>
      <c r="J2444">
        <v>63</v>
      </c>
      <c r="K2444" t="s">
        <v>24</v>
      </c>
      <c r="L2444">
        <v>82</v>
      </c>
      <c r="M2444">
        <v>1.65</v>
      </c>
      <c r="N2444">
        <v>5</v>
      </c>
      <c r="O2444" t="s">
        <v>21</v>
      </c>
      <c r="P2444" cm="1">
        <f t="array" ref="P2444">_xlfn.SWITCH(Table2[[#This Row],[mood]], "Tired", 3, "Neutral", 2, "Happy", 1)</f>
        <v>1</v>
      </c>
    </row>
    <row r="2445" spans="1:16" x14ac:dyDescent="0.3">
      <c r="A2445">
        <v>1893</v>
      </c>
      <c r="B2445" s="1">
        <v>44448</v>
      </c>
      <c r="C2445">
        <v>30</v>
      </c>
      <c r="D2445" t="s">
        <v>20</v>
      </c>
      <c r="E2445">
        <v>167.9</v>
      </c>
      <c r="F2445">
        <v>59.4</v>
      </c>
      <c r="G2445">
        <v>2642</v>
      </c>
      <c r="H2445">
        <v>332.9</v>
      </c>
      <c r="I2445">
        <v>5.2</v>
      </c>
      <c r="J2445">
        <v>74</v>
      </c>
      <c r="K2445" t="s">
        <v>23</v>
      </c>
      <c r="L2445">
        <v>68</v>
      </c>
      <c r="M2445">
        <v>2.35</v>
      </c>
      <c r="N2445">
        <v>5</v>
      </c>
      <c r="O2445" t="s">
        <v>19</v>
      </c>
      <c r="P2445" cm="1">
        <f t="array" ref="P2445">_xlfn.SWITCH(Table2[[#This Row],[mood]], "Tired", 3, "Neutral", 2, "Happy", 1)</f>
        <v>2</v>
      </c>
    </row>
    <row r="2446" spans="1:16" x14ac:dyDescent="0.3">
      <c r="A2446">
        <v>1235</v>
      </c>
      <c r="B2446" s="1">
        <v>44449</v>
      </c>
      <c r="C2446">
        <v>51</v>
      </c>
      <c r="D2446" t="s">
        <v>15</v>
      </c>
      <c r="E2446">
        <v>172</v>
      </c>
      <c r="F2446">
        <v>64.599999999999994</v>
      </c>
      <c r="G2446">
        <v>2365</v>
      </c>
      <c r="H2446">
        <v>338.8</v>
      </c>
      <c r="I2446">
        <v>4.9000000000000004</v>
      </c>
      <c r="J2446">
        <v>90</v>
      </c>
      <c r="K2446" t="s">
        <v>16</v>
      </c>
      <c r="L2446">
        <v>0</v>
      </c>
      <c r="M2446">
        <v>3.41</v>
      </c>
      <c r="N2446">
        <v>2</v>
      </c>
      <c r="O2446" t="s">
        <v>19</v>
      </c>
      <c r="P2446" cm="1">
        <f t="array" ref="P2446">_xlfn.SWITCH(Table2[[#This Row],[mood]], "Tired", 3, "Neutral", 2, "Happy", 1)</f>
        <v>2</v>
      </c>
    </row>
    <row r="2447" spans="1:16" x14ac:dyDescent="0.3">
      <c r="A2447">
        <v>1851</v>
      </c>
      <c r="B2447" s="1">
        <v>44450</v>
      </c>
      <c r="C2447">
        <v>51</v>
      </c>
      <c r="D2447" t="s">
        <v>15</v>
      </c>
      <c r="E2447">
        <v>182.3</v>
      </c>
      <c r="F2447">
        <v>87.1</v>
      </c>
      <c r="G2447">
        <v>8556</v>
      </c>
      <c r="H2447">
        <v>533.4</v>
      </c>
      <c r="I2447">
        <v>5.7</v>
      </c>
      <c r="J2447">
        <v>68</v>
      </c>
      <c r="K2447" t="s">
        <v>16</v>
      </c>
      <c r="L2447">
        <v>0</v>
      </c>
      <c r="M2447">
        <v>2.85</v>
      </c>
      <c r="N2447">
        <v>9</v>
      </c>
      <c r="O2447" t="s">
        <v>21</v>
      </c>
      <c r="P2447" cm="1">
        <f t="array" ref="P2447">_xlfn.SWITCH(Table2[[#This Row],[mood]], "Tired", 3, "Neutral", 2, "Happy", 1)</f>
        <v>1</v>
      </c>
    </row>
    <row r="2448" spans="1:16" x14ac:dyDescent="0.3">
      <c r="A2448">
        <v>1739</v>
      </c>
      <c r="B2448" s="1">
        <v>44451</v>
      </c>
      <c r="C2448">
        <v>52</v>
      </c>
      <c r="D2448" t="s">
        <v>20</v>
      </c>
      <c r="E2448">
        <v>164.8</v>
      </c>
      <c r="F2448">
        <v>47.8</v>
      </c>
      <c r="G2448">
        <v>1008</v>
      </c>
      <c r="H2448">
        <v>214.6</v>
      </c>
      <c r="I2448">
        <v>6.7</v>
      </c>
      <c r="J2448">
        <v>69</v>
      </c>
      <c r="K2448" t="s">
        <v>22</v>
      </c>
      <c r="L2448">
        <v>38</v>
      </c>
      <c r="M2448">
        <v>1.63</v>
      </c>
      <c r="N2448">
        <v>6</v>
      </c>
      <c r="O2448" t="s">
        <v>21</v>
      </c>
      <c r="P2448" cm="1">
        <f t="array" ref="P2448">_xlfn.SWITCH(Table2[[#This Row],[mood]], "Tired", 3, "Neutral", 2, "Happy", 1)</f>
        <v>1</v>
      </c>
    </row>
    <row r="2449" spans="1:16" x14ac:dyDescent="0.3">
      <c r="A2449">
        <v>1520</v>
      </c>
      <c r="B2449" s="1">
        <v>44452</v>
      </c>
      <c r="C2449">
        <v>55</v>
      </c>
      <c r="D2449" t="s">
        <v>20</v>
      </c>
      <c r="E2449">
        <v>193.4</v>
      </c>
      <c r="F2449">
        <v>75.2</v>
      </c>
      <c r="G2449">
        <v>17915</v>
      </c>
      <c r="H2449">
        <v>900</v>
      </c>
      <c r="I2449">
        <v>6.4</v>
      </c>
      <c r="J2449">
        <v>70</v>
      </c>
      <c r="K2449" t="s">
        <v>23</v>
      </c>
      <c r="L2449">
        <v>74</v>
      </c>
      <c r="M2449">
        <v>3.29</v>
      </c>
      <c r="N2449">
        <v>10</v>
      </c>
      <c r="O2449" t="s">
        <v>17</v>
      </c>
      <c r="P2449" cm="1">
        <f t="array" ref="P2449">_xlfn.SWITCH(Table2[[#This Row],[mood]], "Tired", 3, "Neutral", 2, "Happy", 1)</f>
        <v>3</v>
      </c>
    </row>
    <row r="2450" spans="1:16" x14ac:dyDescent="0.3">
      <c r="A2450">
        <v>1677</v>
      </c>
      <c r="B2450" s="1">
        <v>44453</v>
      </c>
      <c r="C2450">
        <v>20</v>
      </c>
      <c r="D2450" t="s">
        <v>15</v>
      </c>
      <c r="E2450">
        <v>177.6</v>
      </c>
      <c r="F2450">
        <v>103.3</v>
      </c>
      <c r="G2450">
        <v>2035</v>
      </c>
      <c r="H2450">
        <v>228.5</v>
      </c>
      <c r="I2450">
        <v>7.8</v>
      </c>
      <c r="J2450">
        <v>87</v>
      </c>
      <c r="K2450" t="s">
        <v>16</v>
      </c>
      <c r="L2450">
        <v>0</v>
      </c>
      <c r="M2450">
        <v>2.74</v>
      </c>
      <c r="N2450">
        <v>3</v>
      </c>
      <c r="O2450" t="s">
        <v>21</v>
      </c>
      <c r="P2450" cm="1">
        <f t="array" ref="P2450">_xlfn.SWITCH(Table2[[#This Row],[mood]], "Tired", 3, "Neutral", 2, "Happy", 1)</f>
        <v>1</v>
      </c>
    </row>
    <row r="2451" spans="1:16" x14ac:dyDescent="0.3">
      <c r="A2451">
        <v>1943</v>
      </c>
      <c r="B2451" s="1">
        <v>44454</v>
      </c>
      <c r="C2451">
        <v>59</v>
      </c>
      <c r="D2451" t="s">
        <v>20</v>
      </c>
      <c r="E2451">
        <v>168</v>
      </c>
      <c r="F2451">
        <v>67.400000000000006</v>
      </c>
      <c r="G2451">
        <v>13763</v>
      </c>
      <c r="H2451">
        <v>695.8</v>
      </c>
      <c r="I2451">
        <v>4.0999999999999996</v>
      </c>
      <c r="J2451">
        <v>71</v>
      </c>
      <c r="K2451" t="s">
        <v>22</v>
      </c>
      <c r="L2451">
        <v>60</v>
      </c>
      <c r="M2451">
        <v>2.21</v>
      </c>
      <c r="N2451">
        <v>7</v>
      </c>
      <c r="O2451" t="s">
        <v>19</v>
      </c>
      <c r="P2451" cm="1">
        <f t="array" ref="P2451">_xlfn.SWITCH(Table2[[#This Row],[mood]], "Tired", 3, "Neutral", 2, "Happy", 1)</f>
        <v>2</v>
      </c>
    </row>
    <row r="2452" spans="1:16" x14ac:dyDescent="0.3">
      <c r="A2452">
        <v>1955</v>
      </c>
      <c r="B2452" s="1">
        <v>44455</v>
      </c>
      <c r="C2452">
        <v>23</v>
      </c>
      <c r="D2452" t="s">
        <v>15</v>
      </c>
      <c r="E2452">
        <v>167.8</v>
      </c>
      <c r="F2452">
        <v>66.900000000000006</v>
      </c>
      <c r="G2452">
        <v>19001</v>
      </c>
      <c r="H2452">
        <v>900</v>
      </c>
      <c r="I2452">
        <v>6.2</v>
      </c>
      <c r="J2452">
        <v>79</v>
      </c>
      <c r="K2452" t="s">
        <v>16</v>
      </c>
      <c r="L2452">
        <v>0</v>
      </c>
      <c r="M2452">
        <v>1.42</v>
      </c>
      <c r="N2452">
        <v>2</v>
      </c>
      <c r="O2452" t="s">
        <v>19</v>
      </c>
      <c r="P2452" cm="1">
        <f t="array" ref="P2452">_xlfn.SWITCH(Table2[[#This Row],[mood]], "Tired", 3, "Neutral", 2, "Happy", 1)</f>
        <v>2</v>
      </c>
    </row>
    <row r="2453" spans="1:16" x14ac:dyDescent="0.3">
      <c r="A2453">
        <v>1830</v>
      </c>
      <c r="B2453" s="1">
        <v>44456</v>
      </c>
      <c r="C2453">
        <v>36</v>
      </c>
      <c r="D2453" t="s">
        <v>20</v>
      </c>
      <c r="E2453">
        <v>159.9</v>
      </c>
      <c r="F2453">
        <v>80.8</v>
      </c>
      <c r="G2453">
        <v>7722</v>
      </c>
      <c r="H2453">
        <v>529.9</v>
      </c>
      <c r="I2453">
        <v>9</v>
      </c>
      <c r="J2453">
        <v>76</v>
      </c>
      <c r="K2453" t="s">
        <v>24</v>
      </c>
      <c r="L2453">
        <v>76</v>
      </c>
      <c r="M2453">
        <v>2.8</v>
      </c>
      <c r="N2453">
        <v>7</v>
      </c>
      <c r="O2453" t="s">
        <v>21</v>
      </c>
      <c r="P2453" cm="1">
        <f t="array" ref="P2453">_xlfn.SWITCH(Table2[[#This Row],[mood]], "Tired", 3, "Neutral", 2, "Happy", 1)</f>
        <v>1</v>
      </c>
    </row>
    <row r="2454" spans="1:16" x14ac:dyDescent="0.3">
      <c r="A2454">
        <v>1725</v>
      </c>
      <c r="B2454" s="1">
        <v>44457</v>
      </c>
      <c r="C2454">
        <v>20</v>
      </c>
      <c r="D2454" t="s">
        <v>20</v>
      </c>
      <c r="E2454">
        <v>169.7</v>
      </c>
      <c r="F2454">
        <v>77.8</v>
      </c>
      <c r="G2454">
        <v>18460</v>
      </c>
      <c r="H2454">
        <v>900</v>
      </c>
      <c r="I2454">
        <v>9.1</v>
      </c>
      <c r="J2454">
        <v>74</v>
      </c>
      <c r="K2454" t="s">
        <v>22</v>
      </c>
      <c r="L2454">
        <v>35</v>
      </c>
      <c r="M2454">
        <v>2.39</v>
      </c>
      <c r="N2454">
        <v>2</v>
      </c>
      <c r="O2454" t="s">
        <v>21</v>
      </c>
      <c r="P2454" cm="1">
        <f t="array" ref="P2454">_xlfn.SWITCH(Table2[[#This Row],[mood]], "Tired", 3, "Neutral", 2, "Happy", 1)</f>
        <v>1</v>
      </c>
    </row>
    <row r="2455" spans="1:16" x14ac:dyDescent="0.3">
      <c r="A2455">
        <v>1500</v>
      </c>
      <c r="B2455" s="1">
        <v>44458</v>
      </c>
      <c r="C2455">
        <v>35</v>
      </c>
      <c r="D2455" t="s">
        <v>15</v>
      </c>
      <c r="E2455">
        <v>150</v>
      </c>
      <c r="F2455">
        <v>91.3</v>
      </c>
      <c r="G2455">
        <v>5015</v>
      </c>
      <c r="H2455">
        <v>315.10000000000002</v>
      </c>
      <c r="I2455">
        <v>9.5</v>
      </c>
      <c r="J2455">
        <v>70</v>
      </c>
      <c r="K2455" t="s">
        <v>16</v>
      </c>
      <c r="L2455">
        <v>0</v>
      </c>
      <c r="M2455">
        <v>2.61</v>
      </c>
      <c r="N2455">
        <v>5</v>
      </c>
      <c r="O2455" t="s">
        <v>21</v>
      </c>
      <c r="P2455" cm="1">
        <f t="array" ref="P2455">_xlfn.SWITCH(Table2[[#This Row],[mood]], "Tired", 3, "Neutral", 2, "Happy", 1)</f>
        <v>1</v>
      </c>
    </row>
    <row r="2456" spans="1:16" x14ac:dyDescent="0.3">
      <c r="A2456">
        <v>1116</v>
      </c>
      <c r="B2456" s="1">
        <v>44459</v>
      </c>
      <c r="C2456">
        <v>56</v>
      </c>
      <c r="D2456" t="s">
        <v>20</v>
      </c>
      <c r="E2456">
        <v>182.6</v>
      </c>
      <c r="F2456">
        <v>67.5</v>
      </c>
      <c r="G2456">
        <v>8129</v>
      </c>
      <c r="H2456">
        <v>520.29999999999995</v>
      </c>
      <c r="I2456">
        <v>7.6</v>
      </c>
      <c r="J2456">
        <v>95</v>
      </c>
      <c r="K2456" t="s">
        <v>22</v>
      </c>
      <c r="L2456">
        <v>57</v>
      </c>
      <c r="M2456">
        <v>1.39</v>
      </c>
      <c r="N2456">
        <v>10</v>
      </c>
      <c r="O2456" t="s">
        <v>21</v>
      </c>
      <c r="P2456" cm="1">
        <f t="array" ref="P2456">_xlfn.SWITCH(Table2[[#This Row],[mood]], "Tired", 3, "Neutral", 2, "Happy", 1)</f>
        <v>1</v>
      </c>
    </row>
    <row r="2457" spans="1:16" x14ac:dyDescent="0.3">
      <c r="A2457">
        <v>1385</v>
      </c>
      <c r="B2457" s="1">
        <v>44460</v>
      </c>
      <c r="C2457">
        <v>26</v>
      </c>
      <c r="D2457" t="s">
        <v>20</v>
      </c>
      <c r="E2457">
        <v>150</v>
      </c>
      <c r="F2457">
        <v>80.5</v>
      </c>
      <c r="G2457">
        <v>3962</v>
      </c>
      <c r="H2457">
        <v>302</v>
      </c>
      <c r="I2457">
        <v>6</v>
      </c>
      <c r="J2457">
        <v>103</v>
      </c>
      <c r="K2457" t="s">
        <v>22</v>
      </c>
      <c r="L2457">
        <v>28</v>
      </c>
      <c r="M2457">
        <v>2.21</v>
      </c>
      <c r="N2457">
        <v>10</v>
      </c>
      <c r="O2457" t="s">
        <v>19</v>
      </c>
      <c r="P2457" cm="1">
        <f t="array" ref="P2457">_xlfn.SWITCH(Table2[[#This Row],[mood]], "Tired", 3, "Neutral", 2, "Happy", 1)</f>
        <v>2</v>
      </c>
    </row>
    <row r="2458" spans="1:16" x14ac:dyDescent="0.3">
      <c r="A2458">
        <v>1343</v>
      </c>
      <c r="B2458" s="1">
        <v>44461</v>
      </c>
      <c r="C2458">
        <v>29</v>
      </c>
      <c r="D2458" t="s">
        <v>20</v>
      </c>
      <c r="E2458">
        <v>170.4</v>
      </c>
      <c r="F2458">
        <v>80.8</v>
      </c>
      <c r="G2458">
        <v>5840</v>
      </c>
      <c r="H2458">
        <v>476.4</v>
      </c>
      <c r="I2458">
        <v>7.3</v>
      </c>
      <c r="J2458">
        <v>66</v>
      </c>
      <c r="K2458" t="s">
        <v>16</v>
      </c>
      <c r="L2458">
        <v>0</v>
      </c>
      <c r="M2458">
        <v>2.84</v>
      </c>
      <c r="N2458">
        <v>9</v>
      </c>
      <c r="O2458" t="s">
        <v>17</v>
      </c>
      <c r="P2458" cm="1">
        <f t="array" ref="P2458">_xlfn.SWITCH(Table2[[#This Row],[mood]], "Tired", 3, "Neutral", 2, "Happy", 1)</f>
        <v>3</v>
      </c>
    </row>
    <row r="2459" spans="1:16" x14ac:dyDescent="0.3">
      <c r="A2459">
        <v>1583</v>
      </c>
      <c r="B2459" s="1">
        <v>44462</v>
      </c>
      <c r="C2459">
        <v>22</v>
      </c>
      <c r="D2459" t="s">
        <v>15</v>
      </c>
      <c r="E2459">
        <v>158.6</v>
      </c>
      <c r="F2459">
        <v>65</v>
      </c>
      <c r="G2459">
        <v>18296</v>
      </c>
      <c r="H2459">
        <v>900</v>
      </c>
      <c r="I2459">
        <v>10</v>
      </c>
      <c r="J2459">
        <v>64</v>
      </c>
      <c r="K2459" t="s">
        <v>22</v>
      </c>
      <c r="L2459">
        <v>65</v>
      </c>
      <c r="M2459">
        <v>3.81</v>
      </c>
      <c r="N2459">
        <v>9</v>
      </c>
      <c r="O2459" t="s">
        <v>19</v>
      </c>
      <c r="P2459" cm="1">
        <f t="array" ref="P2459">_xlfn.SWITCH(Table2[[#This Row],[mood]], "Tired", 3, "Neutral", 2, "Happy", 1)</f>
        <v>2</v>
      </c>
    </row>
    <row r="2460" spans="1:16" x14ac:dyDescent="0.3">
      <c r="A2460">
        <v>1394</v>
      </c>
      <c r="B2460" s="1">
        <v>44463</v>
      </c>
      <c r="C2460">
        <v>20</v>
      </c>
      <c r="D2460" t="s">
        <v>20</v>
      </c>
      <c r="E2460">
        <v>163</v>
      </c>
      <c r="F2460">
        <v>68.3</v>
      </c>
      <c r="G2460">
        <v>16337</v>
      </c>
      <c r="H2460">
        <v>878.7</v>
      </c>
      <c r="I2460">
        <v>6.2</v>
      </c>
      <c r="J2460">
        <v>75</v>
      </c>
      <c r="K2460" t="s">
        <v>18</v>
      </c>
      <c r="L2460">
        <v>56</v>
      </c>
      <c r="M2460">
        <v>2.36</v>
      </c>
      <c r="N2460">
        <v>6</v>
      </c>
      <c r="O2460" t="s">
        <v>19</v>
      </c>
      <c r="P2460" cm="1">
        <f t="array" ref="P2460">_xlfn.SWITCH(Table2[[#This Row],[mood]], "Tired", 3, "Neutral", 2, "Happy", 1)</f>
        <v>2</v>
      </c>
    </row>
    <row r="2461" spans="1:16" x14ac:dyDescent="0.3">
      <c r="A2461">
        <v>1063</v>
      </c>
      <c r="B2461" s="1">
        <v>44464</v>
      </c>
      <c r="C2461">
        <v>28</v>
      </c>
      <c r="D2461" t="s">
        <v>20</v>
      </c>
      <c r="E2461">
        <v>164.3</v>
      </c>
      <c r="F2461">
        <v>69.8</v>
      </c>
      <c r="G2461">
        <v>6699</v>
      </c>
      <c r="H2461">
        <v>440.1</v>
      </c>
      <c r="I2461">
        <v>9.6999999999999993</v>
      </c>
      <c r="J2461">
        <v>52</v>
      </c>
      <c r="K2461" t="s">
        <v>18</v>
      </c>
      <c r="L2461">
        <v>62</v>
      </c>
      <c r="M2461">
        <v>3.51</v>
      </c>
      <c r="N2461">
        <v>3</v>
      </c>
      <c r="O2461" t="s">
        <v>17</v>
      </c>
      <c r="P2461" cm="1">
        <f t="array" ref="P2461">_xlfn.SWITCH(Table2[[#This Row],[mood]], "Tired", 3, "Neutral", 2, "Happy", 1)</f>
        <v>3</v>
      </c>
    </row>
    <row r="2462" spans="1:16" x14ac:dyDescent="0.3">
      <c r="A2462">
        <v>1716</v>
      </c>
      <c r="B2462" s="1">
        <v>44465</v>
      </c>
      <c r="C2462">
        <v>47</v>
      </c>
      <c r="D2462" t="s">
        <v>20</v>
      </c>
      <c r="E2462">
        <v>189.3</v>
      </c>
      <c r="F2462">
        <v>51.4</v>
      </c>
      <c r="G2462">
        <v>6922</v>
      </c>
      <c r="H2462">
        <v>439.5</v>
      </c>
      <c r="I2462">
        <v>3.3</v>
      </c>
      <c r="J2462">
        <v>75</v>
      </c>
      <c r="K2462" t="s">
        <v>16</v>
      </c>
      <c r="L2462">
        <v>0</v>
      </c>
      <c r="M2462">
        <v>3.05</v>
      </c>
      <c r="N2462">
        <v>4</v>
      </c>
      <c r="O2462" t="s">
        <v>21</v>
      </c>
      <c r="P2462" cm="1">
        <f t="array" ref="P2462">_xlfn.SWITCH(Table2[[#This Row],[mood]], "Tired", 3, "Neutral", 2, "Happy", 1)</f>
        <v>1</v>
      </c>
    </row>
    <row r="2463" spans="1:16" x14ac:dyDescent="0.3">
      <c r="A2463">
        <v>1720</v>
      </c>
      <c r="B2463" s="1">
        <v>44466</v>
      </c>
      <c r="C2463">
        <v>21</v>
      </c>
      <c r="D2463" t="s">
        <v>20</v>
      </c>
      <c r="E2463">
        <v>159</v>
      </c>
      <c r="F2463">
        <v>64.2</v>
      </c>
      <c r="G2463">
        <v>15862</v>
      </c>
      <c r="H2463">
        <v>813.9</v>
      </c>
      <c r="I2463">
        <v>7.9</v>
      </c>
      <c r="J2463">
        <v>95</v>
      </c>
      <c r="K2463" t="s">
        <v>18</v>
      </c>
      <c r="L2463">
        <v>25</v>
      </c>
      <c r="M2463">
        <v>2.66</v>
      </c>
      <c r="N2463">
        <v>4</v>
      </c>
      <c r="O2463" t="s">
        <v>17</v>
      </c>
      <c r="P2463" cm="1">
        <f t="array" ref="P2463">_xlfn.SWITCH(Table2[[#This Row],[mood]], "Tired", 3, "Neutral", 2, "Happy", 1)</f>
        <v>3</v>
      </c>
    </row>
    <row r="2464" spans="1:16" x14ac:dyDescent="0.3">
      <c r="A2464">
        <v>1071</v>
      </c>
      <c r="B2464" s="1">
        <v>44467</v>
      </c>
      <c r="C2464">
        <v>22</v>
      </c>
      <c r="D2464" t="s">
        <v>20</v>
      </c>
      <c r="E2464">
        <v>179.1</v>
      </c>
      <c r="F2464">
        <v>92.4</v>
      </c>
      <c r="G2464">
        <v>14598</v>
      </c>
      <c r="H2464">
        <v>741.9</v>
      </c>
      <c r="I2464">
        <v>8</v>
      </c>
      <c r="J2464">
        <v>69</v>
      </c>
      <c r="K2464" t="s">
        <v>18</v>
      </c>
      <c r="L2464">
        <v>57</v>
      </c>
      <c r="M2464">
        <v>1.79</v>
      </c>
      <c r="N2464">
        <v>9</v>
      </c>
      <c r="O2464" t="s">
        <v>19</v>
      </c>
      <c r="P2464" cm="1">
        <f t="array" ref="P2464">_xlfn.SWITCH(Table2[[#This Row],[mood]], "Tired", 3, "Neutral", 2, "Happy", 1)</f>
        <v>2</v>
      </c>
    </row>
    <row r="2465" spans="1:16" x14ac:dyDescent="0.3">
      <c r="A2465">
        <v>1788</v>
      </c>
      <c r="B2465" s="1">
        <v>44468</v>
      </c>
      <c r="C2465">
        <v>18</v>
      </c>
      <c r="D2465" t="s">
        <v>20</v>
      </c>
      <c r="E2465">
        <v>181.6</v>
      </c>
      <c r="F2465">
        <v>85.6</v>
      </c>
      <c r="G2465">
        <v>2898</v>
      </c>
      <c r="H2465">
        <v>308</v>
      </c>
      <c r="I2465">
        <v>7.6</v>
      </c>
      <c r="J2465">
        <v>86</v>
      </c>
      <c r="K2465" t="s">
        <v>23</v>
      </c>
      <c r="L2465">
        <v>80</v>
      </c>
      <c r="M2465">
        <v>1.82</v>
      </c>
      <c r="N2465">
        <v>4</v>
      </c>
      <c r="O2465" t="s">
        <v>21</v>
      </c>
      <c r="P2465" cm="1">
        <f t="array" ref="P2465">_xlfn.SWITCH(Table2[[#This Row],[mood]], "Tired", 3, "Neutral", 2, "Happy", 1)</f>
        <v>1</v>
      </c>
    </row>
    <row r="2466" spans="1:16" x14ac:dyDescent="0.3">
      <c r="A2466">
        <v>1273</v>
      </c>
      <c r="B2466" s="1">
        <v>44469</v>
      </c>
      <c r="C2466">
        <v>44</v>
      </c>
      <c r="D2466" t="s">
        <v>15</v>
      </c>
      <c r="E2466">
        <v>150</v>
      </c>
      <c r="F2466">
        <v>61.3</v>
      </c>
      <c r="G2466">
        <v>3822</v>
      </c>
      <c r="H2466">
        <v>315.3</v>
      </c>
      <c r="I2466">
        <v>7.7</v>
      </c>
      <c r="J2466">
        <v>90</v>
      </c>
      <c r="K2466" t="s">
        <v>25</v>
      </c>
      <c r="L2466">
        <v>23</v>
      </c>
      <c r="M2466">
        <v>2.93</v>
      </c>
      <c r="N2466">
        <v>4</v>
      </c>
      <c r="O2466" t="s">
        <v>21</v>
      </c>
      <c r="P2466" cm="1">
        <f t="array" ref="P2466">_xlfn.SWITCH(Table2[[#This Row],[mood]], "Tired", 3, "Neutral", 2, "Happy", 1)</f>
        <v>1</v>
      </c>
    </row>
    <row r="2467" spans="1:16" x14ac:dyDescent="0.3">
      <c r="A2467">
        <v>1989</v>
      </c>
      <c r="B2467" s="1">
        <v>44470</v>
      </c>
      <c r="C2467">
        <v>45</v>
      </c>
      <c r="D2467" t="s">
        <v>15</v>
      </c>
      <c r="E2467">
        <v>163.80000000000001</v>
      </c>
      <c r="F2467">
        <v>69.8</v>
      </c>
      <c r="G2467">
        <v>5484</v>
      </c>
      <c r="H2467">
        <v>350.3</v>
      </c>
      <c r="I2467">
        <v>7.8</v>
      </c>
      <c r="J2467">
        <v>66</v>
      </c>
      <c r="K2467" t="s">
        <v>16</v>
      </c>
      <c r="L2467">
        <v>0</v>
      </c>
      <c r="M2467">
        <v>2.13</v>
      </c>
      <c r="N2467">
        <v>5</v>
      </c>
      <c r="O2467" t="s">
        <v>21</v>
      </c>
      <c r="P2467" cm="1">
        <f t="array" ref="P2467">_xlfn.SWITCH(Table2[[#This Row],[mood]], "Tired", 3, "Neutral", 2, "Happy", 1)</f>
        <v>1</v>
      </c>
    </row>
    <row r="2468" spans="1:16" x14ac:dyDescent="0.3">
      <c r="A2468">
        <v>1319</v>
      </c>
      <c r="B2468" s="1">
        <v>44471</v>
      </c>
      <c r="C2468">
        <v>46</v>
      </c>
      <c r="D2468" t="s">
        <v>20</v>
      </c>
      <c r="E2468">
        <v>184.8</v>
      </c>
      <c r="F2468">
        <v>84.6</v>
      </c>
      <c r="G2468">
        <v>14052</v>
      </c>
      <c r="H2468">
        <v>781.1</v>
      </c>
      <c r="I2468">
        <v>7.9</v>
      </c>
      <c r="J2468">
        <v>77</v>
      </c>
      <c r="K2468" t="s">
        <v>22</v>
      </c>
      <c r="L2468">
        <v>89</v>
      </c>
      <c r="M2468">
        <v>2.0699999999999998</v>
      </c>
      <c r="N2468">
        <v>6</v>
      </c>
      <c r="O2468" t="s">
        <v>21</v>
      </c>
      <c r="P2468" cm="1">
        <f t="array" ref="P2468">_xlfn.SWITCH(Table2[[#This Row],[mood]], "Tired", 3, "Neutral", 2, "Happy", 1)</f>
        <v>1</v>
      </c>
    </row>
    <row r="2469" spans="1:16" x14ac:dyDescent="0.3">
      <c r="A2469">
        <v>1337</v>
      </c>
      <c r="B2469" s="1">
        <v>44472</v>
      </c>
      <c r="C2469">
        <v>35</v>
      </c>
      <c r="D2469" t="s">
        <v>15</v>
      </c>
      <c r="E2469">
        <v>156.9</v>
      </c>
      <c r="F2469">
        <v>76.7</v>
      </c>
      <c r="G2469">
        <v>19038</v>
      </c>
      <c r="H2469">
        <v>900</v>
      </c>
      <c r="I2469">
        <v>6.5</v>
      </c>
      <c r="J2469">
        <v>79</v>
      </c>
      <c r="K2469" t="s">
        <v>23</v>
      </c>
      <c r="L2469">
        <v>79</v>
      </c>
      <c r="M2469">
        <v>2.37</v>
      </c>
      <c r="N2469">
        <v>8</v>
      </c>
      <c r="O2469" t="s">
        <v>21</v>
      </c>
      <c r="P2469" cm="1">
        <f t="array" ref="P2469">_xlfn.SWITCH(Table2[[#This Row],[mood]], "Tired", 3, "Neutral", 2, "Happy", 1)</f>
        <v>1</v>
      </c>
    </row>
    <row r="2470" spans="1:16" x14ac:dyDescent="0.3">
      <c r="A2470">
        <v>1365</v>
      </c>
      <c r="B2470" s="1">
        <v>44473</v>
      </c>
      <c r="C2470">
        <v>29</v>
      </c>
      <c r="D2470" t="s">
        <v>15</v>
      </c>
      <c r="E2470">
        <v>182</v>
      </c>
      <c r="F2470">
        <v>82</v>
      </c>
      <c r="G2470">
        <v>17975</v>
      </c>
      <c r="H2470">
        <v>900</v>
      </c>
      <c r="I2470">
        <v>6.6</v>
      </c>
      <c r="J2470">
        <v>82</v>
      </c>
      <c r="K2470" t="s">
        <v>16</v>
      </c>
      <c r="L2470">
        <v>0</v>
      </c>
      <c r="M2470">
        <v>2.39</v>
      </c>
      <c r="N2470">
        <v>1</v>
      </c>
      <c r="O2470" t="s">
        <v>21</v>
      </c>
      <c r="P2470" cm="1">
        <f t="array" ref="P2470">_xlfn.SWITCH(Table2[[#This Row],[mood]], "Tired", 3, "Neutral", 2, "Happy", 1)</f>
        <v>1</v>
      </c>
    </row>
    <row r="2471" spans="1:16" x14ac:dyDescent="0.3">
      <c r="A2471">
        <v>1494</v>
      </c>
      <c r="B2471" s="1">
        <v>44474</v>
      </c>
      <c r="C2471">
        <v>30</v>
      </c>
      <c r="D2471" t="s">
        <v>20</v>
      </c>
      <c r="E2471">
        <v>169.8</v>
      </c>
      <c r="F2471">
        <v>78</v>
      </c>
      <c r="G2471">
        <v>2848</v>
      </c>
      <c r="H2471">
        <v>292.3</v>
      </c>
      <c r="I2471">
        <v>5</v>
      </c>
      <c r="J2471">
        <v>83</v>
      </c>
      <c r="K2471" t="s">
        <v>18</v>
      </c>
      <c r="L2471">
        <v>78</v>
      </c>
      <c r="M2471">
        <v>3.13</v>
      </c>
      <c r="N2471">
        <v>5</v>
      </c>
      <c r="O2471" t="s">
        <v>17</v>
      </c>
      <c r="P2471" cm="1">
        <f t="array" ref="P2471">_xlfn.SWITCH(Table2[[#This Row],[mood]], "Tired", 3, "Neutral", 2, "Happy", 1)</f>
        <v>3</v>
      </c>
    </row>
    <row r="2472" spans="1:16" x14ac:dyDescent="0.3">
      <c r="A2472">
        <v>1606</v>
      </c>
      <c r="B2472" s="1">
        <v>44475</v>
      </c>
      <c r="C2472">
        <v>58</v>
      </c>
      <c r="D2472" t="s">
        <v>15</v>
      </c>
      <c r="E2472">
        <v>169.4</v>
      </c>
      <c r="F2472">
        <v>73.2</v>
      </c>
      <c r="G2472">
        <v>14269</v>
      </c>
      <c r="H2472">
        <v>676.2</v>
      </c>
      <c r="I2472">
        <v>8.1</v>
      </c>
      <c r="J2472">
        <v>86</v>
      </c>
      <c r="K2472" t="s">
        <v>22</v>
      </c>
      <c r="L2472">
        <v>26</v>
      </c>
      <c r="M2472">
        <v>2.15</v>
      </c>
      <c r="N2472">
        <v>9</v>
      </c>
      <c r="O2472" t="s">
        <v>21</v>
      </c>
      <c r="P2472" cm="1">
        <f t="array" ref="P2472">_xlfn.SWITCH(Table2[[#This Row],[mood]], "Tired", 3, "Neutral", 2, "Happy", 1)</f>
        <v>1</v>
      </c>
    </row>
    <row r="2473" spans="1:16" x14ac:dyDescent="0.3">
      <c r="A2473">
        <v>1165</v>
      </c>
      <c r="B2473" s="1">
        <v>44476</v>
      </c>
      <c r="C2473">
        <v>19</v>
      </c>
      <c r="D2473" t="s">
        <v>15</v>
      </c>
      <c r="E2473">
        <v>170.7</v>
      </c>
      <c r="F2473">
        <v>67.5</v>
      </c>
      <c r="G2473">
        <v>4041</v>
      </c>
      <c r="H2473">
        <v>402.4</v>
      </c>
      <c r="I2473">
        <v>9</v>
      </c>
      <c r="J2473">
        <v>67</v>
      </c>
      <c r="K2473" t="s">
        <v>25</v>
      </c>
      <c r="L2473">
        <v>87</v>
      </c>
      <c r="M2473">
        <v>3.06</v>
      </c>
      <c r="N2473">
        <v>10</v>
      </c>
      <c r="O2473" t="s">
        <v>17</v>
      </c>
      <c r="P2473" cm="1">
        <f t="array" ref="P2473">_xlfn.SWITCH(Table2[[#This Row],[mood]], "Tired", 3, "Neutral", 2, "Happy", 1)</f>
        <v>3</v>
      </c>
    </row>
    <row r="2474" spans="1:16" x14ac:dyDescent="0.3">
      <c r="A2474">
        <v>1543</v>
      </c>
      <c r="B2474" s="1">
        <v>44477</v>
      </c>
      <c r="C2474">
        <v>54</v>
      </c>
      <c r="D2474" t="s">
        <v>15</v>
      </c>
      <c r="E2474">
        <v>173.4</v>
      </c>
      <c r="F2474">
        <v>52.1</v>
      </c>
      <c r="G2474">
        <v>17551</v>
      </c>
      <c r="H2474">
        <v>900</v>
      </c>
      <c r="I2474">
        <v>9.6</v>
      </c>
      <c r="J2474">
        <v>77</v>
      </c>
      <c r="K2474" t="s">
        <v>16</v>
      </c>
      <c r="L2474">
        <v>0</v>
      </c>
      <c r="M2474">
        <v>2.81</v>
      </c>
      <c r="N2474">
        <v>4</v>
      </c>
      <c r="O2474" t="s">
        <v>17</v>
      </c>
      <c r="P2474" cm="1">
        <f t="array" ref="P2474">_xlfn.SWITCH(Table2[[#This Row],[mood]], "Tired", 3, "Neutral", 2, "Happy", 1)</f>
        <v>3</v>
      </c>
    </row>
    <row r="2475" spans="1:16" x14ac:dyDescent="0.3">
      <c r="A2475">
        <v>1010</v>
      </c>
      <c r="B2475" s="1">
        <v>44478</v>
      </c>
      <c r="C2475">
        <v>33</v>
      </c>
      <c r="D2475" t="s">
        <v>15</v>
      </c>
      <c r="E2475">
        <v>160.4</v>
      </c>
      <c r="F2475">
        <v>80.400000000000006</v>
      </c>
      <c r="G2475">
        <v>5379</v>
      </c>
      <c r="H2475">
        <v>472.3</v>
      </c>
      <c r="I2475">
        <v>5.8</v>
      </c>
      <c r="J2475">
        <v>90</v>
      </c>
      <c r="K2475" t="s">
        <v>22</v>
      </c>
      <c r="L2475">
        <v>67</v>
      </c>
      <c r="M2475">
        <v>1.33</v>
      </c>
      <c r="N2475">
        <v>8</v>
      </c>
      <c r="O2475" t="s">
        <v>17</v>
      </c>
      <c r="P2475" cm="1">
        <f t="array" ref="P2475">_xlfn.SWITCH(Table2[[#This Row],[mood]], "Tired", 3, "Neutral", 2, "Happy", 1)</f>
        <v>3</v>
      </c>
    </row>
    <row r="2476" spans="1:16" x14ac:dyDescent="0.3">
      <c r="A2476">
        <v>1300</v>
      </c>
      <c r="B2476" s="1">
        <v>44479</v>
      </c>
      <c r="C2476">
        <v>41</v>
      </c>
      <c r="D2476" t="s">
        <v>15</v>
      </c>
      <c r="E2476">
        <v>167.4</v>
      </c>
      <c r="F2476">
        <v>66.7</v>
      </c>
      <c r="G2476">
        <v>8661</v>
      </c>
      <c r="H2476">
        <v>620</v>
      </c>
      <c r="I2476">
        <v>4.4000000000000004</v>
      </c>
      <c r="J2476">
        <v>91</v>
      </c>
      <c r="K2476" t="s">
        <v>24</v>
      </c>
      <c r="L2476">
        <v>61</v>
      </c>
      <c r="M2476">
        <v>2.71</v>
      </c>
      <c r="N2476">
        <v>9</v>
      </c>
      <c r="O2476" t="s">
        <v>21</v>
      </c>
      <c r="P2476" cm="1">
        <f t="array" ref="P2476">_xlfn.SWITCH(Table2[[#This Row],[mood]], "Tired", 3, "Neutral", 2, "Happy", 1)</f>
        <v>1</v>
      </c>
    </row>
    <row r="2477" spans="1:16" x14ac:dyDescent="0.3">
      <c r="A2477">
        <v>1728</v>
      </c>
      <c r="B2477" s="1">
        <v>44480</v>
      </c>
      <c r="C2477">
        <v>52</v>
      </c>
      <c r="D2477" t="s">
        <v>15</v>
      </c>
      <c r="E2477">
        <v>173.7</v>
      </c>
      <c r="F2477">
        <v>45.3</v>
      </c>
      <c r="G2477">
        <v>7967</v>
      </c>
      <c r="H2477">
        <v>593</v>
      </c>
      <c r="I2477">
        <v>7.6</v>
      </c>
      <c r="J2477">
        <v>77</v>
      </c>
      <c r="K2477" t="s">
        <v>24</v>
      </c>
      <c r="L2477">
        <v>49</v>
      </c>
      <c r="M2477">
        <v>0.63</v>
      </c>
      <c r="N2477">
        <v>1</v>
      </c>
      <c r="O2477" t="s">
        <v>21</v>
      </c>
      <c r="P2477" cm="1">
        <f t="array" ref="P2477">_xlfn.SWITCH(Table2[[#This Row],[mood]], "Tired", 3, "Neutral", 2, "Happy", 1)</f>
        <v>1</v>
      </c>
    </row>
    <row r="2478" spans="1:16" x14ac:dyDescent="0.3">
      <c r="A2478">
        <v>1800</v>
      </c>
      <c r="B2478" s="1">
        <v>44481</v>
      </c>
      <c r="C2478">
        <v>39</v>
      </c>
      <c r="D2478" t="s">
        <v>15</v>
      </c>
      <c r="E2478">
        <v>171.8</v>
      </c>
      <c r="F2478">
        <v>61.8</v>
      </c>
      <c r="G2478">
        <v>13199</v>
      </c>
      <c r="H2478">
        <v>679.1</v>
      </c>
      <c r="I2478">
        <v>5.3</v>
      </c>
      <c r="J2478">
        <v>70</v>
      </c>
      <c r="K2478" t="s">
        <v>16</v>
      </c>
      <c r="L2478">
        <v>0</v>
      </c>
      <c r="M2478">
        <v>1.87</v>
      </c>
      <c r="N2478">
        <v>8</v>
      </c>
      <c r="O2478" t="s">
        <v>21</v>
      </c>
      <c r="P2478" cm="1">
        <f t="array" ref="P2478">_xlfn.SWITCH(Table2[[#This Row],[mood]], "Tired", 3, "Neutral", 2, "Happy", 1)</f>
        <v>1</v>
      </c>
    </row>
    <row r="2479" spans="1:16" x14ac:dyDescent="0.3">
      <c r="A2479">
        <v>1101</v>
      </c>
      <c r="B2479" s="1">
        <v>44482</v>
      </c>
      <c r="C2479">
        <v>53</v>
      </c>
      <c r="D2479" t="s">
        <v>15</v>
      </c>
      <c r="E2479">
        <v>173.5</v>
      </c>
      <c r="F2479">
        <v>82.8</v>
      </c>
      <c r="G2479">
        <v>16674</v>
      </c>
      <c r="H2479">
        <v>900</v>
      </c>
      <c r="I2479">
        <v>7.9</v>
      </c>
      <c r="J2479">
        <v>85</v>
      </c>
      <c r="K2479" t="s">
        <v>23</v>
      </c>
      <c r="L2479">
        <v>54</v>
      </c>
      <c r="M2479">
        <v>2.82</v>
      </c>
      <c r="N2479">
        <v>8</v>
      </c>
      <c r="O2479" t="s">
        <v>21</v>
      </c>
      <c r="P2479" cm="1">
        <f t="array" ref="P2479">_xlfn.SWITCH(Table2[[#This Row],[mood]], "Tired", 3, "Neutral", 2, "Happy", 1)</f>
        <v>1</v>
      </c>
    </row>
    <row r="2480" spans="1:16" x14ac:dyDescent="0.3">
      <c r="A2480">
        <v>1424</v>
      </c>
      <c r="B2480" s="1">
        <v>44483</v>
      </c>
      <c r="C2480">
        <v>28</v>
      </c>
      <c r="D2480" t="s">
        <v>20</v>
      </c>
      <c r="E2480">
        <v>162.80000000000001</v>
      </c>
      <c r="F2480">
        <v>45</v>
      </c>
      <c r="G2480">
        <v>14531</v>
      </c>
      <c r="H2480">
        <v>764.8</v>
      </c>
      <c r="I2480">
        <v>3.7</v>
      </c>
      <c r="J2480">
        <v>80</v>
      </c>
      <c r="K2480" t="s">
        <v>25</v>
      </c>
      <c r="L2480">
        <v>81</v>
      </c>
      <c r="M2480">
        <v>2.4900000000000002</v>
      </c>
      <c r="N2480">
        <v>5</v>
      </c>
      <c r="O2480" t="s">
        <v>19</v>
      </c>
      <c r="P2480" cm="1">
        <f t="array" ref="P2480">_xlfn.SWITCH(Table2[[#This Row],[mood]], "Tired", 3, "Neutral", 2, "Happy", 1)</f>
        <v>2</v>
      </c>
    </row>
    <row r="2481" spans="1:16" x14ac:dyDescent="0.3">
      <c r="A2481">
        <v>1391</v>
      </c>
      <c r="B2481" s="1">
        <v>44484</v>
      </c>
      <c r="C2481">
        <v>46</v>
      </c>
      <c r="D2481" t="s">
        <v>20</v>
      </c>
      <c r="E2481">
        <v>176.3</v>
      </c>
      <c r="F2481">
        <v>54.6</v>
      </c>
      <c r="G2481">
        <v>19565</v>
      </c>
      <c r="H2481">
        <v>900</v>
      </c>
      <c r="I2481">
        <v>8.6</v>
      </c>
      <c r="J2481">
        <v>80</v>
      </c>
      <c r="K2481" t="s">
        <v>23</v>
      </c>
      <c r="L2481">
        <v>70</v>
      </c>
      <c r="M2481">
        <v>1.26</v>
      </c>
      <c r="N2481">
        <v>10</v>
      </c>
      <c r="O2481" t="s">
        <v>19</v>
      </c>
      <c r="P2481" cm="1">
        <f t="array" ref="P2481">_xlfn.SWITCH(Table2[[#This Row],[mood]], "Tired", 3, "Neutral", 2, "Happy", 1)</f>
        <v>2</v>
      </c>
    </row>
    <row r="2482" spans="1:16" x14ac:dyDescent="0.3">
      <c r="A2482">
        <v>1778</v>
      </c>
      <c r="B2482" s="1">
        <v>44485</v>
      </c>
      <c r="C2482">
        <v>52</v>
      </c>
      <c r="D2482" t="s">
        <v>15</v>
      </c>
      <c r="E2482">
        <v>171.3</v>
      </c>
      <c r="F2482">
        <v>72.099999999999994</v>
      </c>
      <c r="G2482">
        <v>1832</v>
      </c>
      <c r="H2482">
        <v>286.3</v>
      </c>
      <c r="I2482">
        <v>7.2</v>
      </c>
      <c r="J2482">
        <v>83</v>
      </c>
      <c r="K2482" t="s">
        <v>22</v>
      </c>
      <c r="L2482">
        <v>69</v>
      </c>
      <c r="M2482">
        <v>1.72</v>
      </c>
      <c r="N2482">
        <v>2</v>
      </c>
      <c r="O2482" t="s">
        <v>21</v>
      </c>
      <c r="P2482" cm="1">
        <f t="array" ref="P2482">_xlfn.SWITCH(Table2[[#This Row],[mood]], "Tired", 3, "Neutral", 2, "Happy", 1)</f>
        <v>1</v>
      </c>
    </row>
    <row r="2483" spans="1:16" x14ac:dyDescent="0.3">
      <c r="A2483">
        <v>1213</v>
      </c>
      <c r="B2483" s="1">
        <v>44486</v>
      </c>
      <c r="C2483">
        <v>32</v>
      </c>
      <c r="D2483" t="s">
        <v>15</v>
      </c>
      <c r="E2483">
        <v>154.19999999999999</v>
      </c>
      <c r="F2483">
        <v>91.1</v>
      </c>
      <c r="G2483">
        <v>15210</v>
      </c>
      <c r="H2483">
        <v>759.8</v>
      </c>
      <c r="I2483">
        <v>4.0999999999999996</v>
      </c>
      <c r="J2483">
        <v>65</v>
      </c>
      <c r="K2483" t="s">
        <v>25</v>
      </c>
      <c r="L2483">
        <v>49</v>
      </c>
      <c r="M2483">
        <v>0.67</v>
      </c>
      <c r="N2483">
        <v>7</v>
      </c>
      <c r="O2483" t="s">
        <v>19</v>
      </c>
      <c r="P2483" cm="1">
        <f t="array" ref="P2483">_xlfn.SWITCH(Table2[[#This Row],[mood]], "Tired", 3, "Neutral", 2, "Happy", 1)</f>
        <v>2</v>
      </c>
    </row>
    <row r="2484" spans="1:16" x14ac:dyDescent="0.3">
      <c r="A2484">
        <v>1690</v>
      </c>
      <c r="B2484" s="1">
        <v>44487</v>
      </c>
      <c r="C2484">
        <v>48</v>
      </c>
      <c r="D2484" t="s">
        <v>20</v>
      </c>
      <c r="E2484">
        <v>164.7</v>
      </c>
      <c r="F2484">
        <v>85</v>
      </c>
      <c r="G2484">
        <v>18405</v>
      </c>
      <c r="H2484">
        <v>900</v>
      </c>
      <c r="I2484">
        <v>7.5</v>
      </c>
      <c r="J2484">
        <v>83</v>
      </c>
      <c r="K2484" t="s">
        <v>16</v>
      </c>
      <c r="L2484">
        <v>0</v>
      </c>
      <c r="M2484">
        <v>1.56</v>
      </c>
      <c r="N2484">
        <v>5</v>
      </c>
      <c r="O2484" t="s">
        <v>21</v>
      </c>
      <c r="P2484" cm="1">
        <f t="array" ref="P2484">_xlfn.SWITCH(Table2[[#This Row],[mood]], "Tired", 3, "Neutral", 2, "Happy", 1)</f>
        <v>1</v>
      </c>
    </row>
    <row r="2485" spans="1:16" x14ac:dyDescent="0.3">
      <c r="A2485">
        <v>1087</v>
      </c>
      <c r="B2485" s="1">
        <v>44488</v>
      </c>
      <c r="C2485">
        <v>59</v>
      </c>
      <c r="D2485" t="s">
        <v>15</v>
      </c>
      <c r="E2485">
        <v>161</v>
      </c>
      <c r="F2485">
        <v>92.5</v>
      </c>
      <c r="G2485">
        <v>11185</v>
      </c>
      <c r="H2485">
        <v>624.6</v>
      </c>
      <c r="I2485">
        <v>7.1</v>
      </c>
      <c r="J2485">
        <v>77</v>
      </c>
      <c r="K2485" t="s">
        <v>23</v>
      </c>
      <c r="L2485">
        <v>69</v>
      </c>
      <c r="M2485">
        <v>2.91</v>
      </c>
      <c r="N2485">
        <v>5</v>
      </c>
      <c r="O2485" t="s">
        <v>21</v>
      </c>
      <c r="P2485" cm="1">
        <f t="array" ref="P2485">_xlfn.SWITCH(Table2[[#This Row],[mood]], "Tired", 3, "Neutral", 2, "Happy", 1)</f>
        <v>1</v>
      </c>
    </row>
    <row r="2486" spans="1:16" x14ac:dyDescent="0.3">
      <c r="A2486">
        <v>1552</v>
      </c>
      <c r="B2486" s="1">
        <v>44489</v>
      </c>
      <c r="C2486">
        <v>58</v>
      </c>
      <c r="D2486" t="s">
        <v>15</v>
      </c>
      <c r="E2486">
        <v>160.9</v>
      </c>
      <c r="F2486">
        <v>73.099999999999994</v>
      </c>
      <c r="G2486">
        <v>4492</v>
      </c>
      <c r="H2486">
        <v>472.6</v>
      </c>
      <c r="I2486">
        <v>7.8</v>
      </c>
      <c r="J2486">
        <v>86</v>
      </c>
      <c r="K2486" t="s">
        <v>22</v>
      </c>
      <c r="L2486">
        <v>73</v>
      </c>
      <c r="M2486">
        <v>2.11</v>
      </c>
      <c r="N2486">
        <v>6</v>
      </c>
      <c r="O2486" t="s">
        <v>21</v>
      </c>
      <c r="P2486" cm="1">
        <f t="array" ref="P2486">_xlfn.SWITCH(Table2[[#This Row],[mood]], "Tired", 3, "Neutral", 2, "Happy", 1)</f>
        <v>1</v>
      </c>
    </row>
    <row r="2487" spans="1:16" x14ac:dyDescent="0.3">
      <c r="A2487">
        <v>1400</v>
      </c>
      <c r="B2487" s="1">
        <v>44490</v>
      </c>
      <c r="C2487">
        <v>33</v>
      </c>
      <c r="D2487" t="s">
        <v>20</v>
      </c>
      <c r="E2487">
        <v>165.2</v>
      </c>
      <c r="F2487">
        <v>66.900000000000006</v>
      </c>
      <c r="G2487">
        <v>12862</v>
      </c>
      <c r="H2487">
        <v>676.3</v>
      </c>
      <c r="I2487">
        <v>8.1999999999999993</v>
      </c>
      <c r="J2487">
        <v>75</v>
      </c>
      <c r="K2487" t="s">
        <v>18</v>
      </c>
      <c r="L2487">
        <v>23</v>
      </c>
      <c r="M2487">
        <v>2.62</v>
      </c>
      <c r="N2487">
        <v>10</v>
      </c>
      <c r="O2487" t="s">
        <v>21</v>
      </c>
      <c r="P2487" cm="1">
        <f t="array" ref="P2487">_xlfn.SWITCH(Table2[[#This Row],[mood]], "Tired", 3, "Neutral", 2, "Happy", 1)</f>
        <v>1</v>
      </c>
    </row>
    <row r="2488" spans="1:16" x14ac:dyDescent="0.3">
      <c r="A2488">
        <v>1587</v>
      </c>
      <c r="B2488" s="1">
        <v>44491</v>
      </c>
      <c r="C2488">
        <v>27</v>
      </c>
      <c r="D2488" t="s">
        <v>20</v>
      </c>
      <c r="E2488">
        <v>176.1</v>
      </c>
      <c r="F2488">
        <v>82.6</v>
      </c>
      <c r="G2488">
        <v>1288</v>
      </c>
      <c r="H2488">
        <v>201.3</v>
      </c>
      <c r="I2488">
        <v>3.4</v>
      </c>
      <c r="J2488">
        <v>81</v>
      </c>
      <c r="K2488" t="s">
        <v>22</v>
      </c>
      <c r="L2488">
        <v>31</v>
      </c>
      <c r="M2488">
        <v>2.5099999999999998</v>
      </c>
      <c r="N2488">
        <v>8</v>
      </c>
      <c r="O2488" t="s">
        <v>21</v>
      </c>
      <c r="P2488" cm="1">
        <f t="array" ref="P2488">_xlfn.SWITCH(Table2[[#This Row],[mood]], "Tired", 3, "Neutral", 2, "Happy", 1)</f>
        <v>1</v>
      </c>
    </row>
    <row r="2489" spans="1:16" x14ac:dyDescent="0.3">
      <c r="A2489">
        <v>1888</v>
      </c>
      <c r="B2489" s="1">
        <v>44492</v>
      </c>
      <c r="C2489">
        <v>49</v>
      </c>
      <c r="D2489" t="s">
        <v>20</v>
      </c>
      <c r="E2489">
        <v>163.69999999999999</v>
      </c>
      <c r="F2489">
        <v>56.5</v>
      </c>
      <c r="G2489">
        <v>8816</v>
      </c>
      <c r="H2489">
        <v>519.5</v>
      </c>
      <c r="I2489">
        <v>6.3</v>
      </c>
      <c r="J2489">
        <v>80</v>
      </c>
      <c r="K2489" t="s">
        <v>23</v>
      </c>
      <c r="L2489">
        <v>34</v>
      </c>
      <c r="M2489">
        <v>2.52</v>
      </c>
      <c r="N2489">
        <v>1</v>
      </c>
      <c r="O2489" t="s">
        <v>21</v>
      </c>
      <c r="P2489" cm="1">
        <f t="array" ref="P2489">_xlfn.SWITCH(Table2[[#This Row],[mood]], "Tired", 3, "Neutral", 2, "Happy", 1)</f>
        <v>1</v>
      </c>
    </row>
    <row r="2490" spans="1:16" x14ac:dyDescent="0.3">
      <c r="A2490">
        <v>1045</v>
      </c>
      <c r="B2490" s="1">
        <v>44493</v>
      </c>
      <c r="C2490">
        <v>19</v>
      </c>
      <c r="D2490" t="s">
        <v>15</v>
      </c>
      <c r="E2490">
        <v>172.3</v>
      </c>
      <c r="F2490">
        <v>55.3</v>
      </c>
      <c r="G2490">
        <v>2076</v>
      </c>
      <c r="H2490">
        <v>357.8</v>
      </c>
      <c r="I2490">
        <v>6.9</v>
      </c>
      <c r="J2490">
        <v>70</v>
      </c>
      <c r="K2490" t="s">
        <v>16</v>
      </c>
      <c r="L2490">
        <v>0</v>
      </c>
      <c r="M2490">
        <v>3.22</v>
      </c>
      <c r="N2490">
        <v>3</v>
      </c>
      <c r="O2490" t="s">
        <v>21</v>
      </c>
      <c r="P2490" cm="1">
        <f t="array" ref="P2490">_xlfn.SWITCH(Table2[[#This Row],[mood]], "Tired", 3, "Neutral", 2, "Happy", 1)</f>
        <v>1</v>
      </c>
    </row>
    <row r="2491" spans="1:16" x14ac:dyDescent="0.3">
      <c r="A2491">
        <v>1671</v>
      </c>
      <c r="B2491" s="1">
        <v>44494</v>
      </c>
      <c r="C2491">
        <v>41</v>
      </c>
      <c r="D2491" t="s">
        <v>15</v>
      </c>
      <c r="E2491">
        <v>170.6</v>
      </c>
      <c r="F2491">
        <v>52.7</v>
      </c>
      <c r="G2491">
        <v>16564</v>
      </c>
      <c r="H2491">
        <v>784.2</v>
      </c>
      <c r="I2491">
        <v>6.6</v>
      </c>
      <c r="J2491">
        <v>66</v>
      </c>
      <c r="K2491" t="s">
        <v>16</v>
      </c>
      <c r="L2491">
        <v>0</v>
      </c>
      <c r="M2491">
        <v>2.36</v>
      </c>
      <c r="N2491">
        <v>7</v>
      </c>
      <c r="O2491" t="s">
        <v>17</v>
      </c>
      <c r="P2491" cm="1">
        <f t="array" ref="P2491">_xlfn.SWITCH(Table2[[#This Row],[mood]], "Tired", 3, "Neutral", 2, "Happy", 1)</f>
        <v>3</v>
      </c>
    </row>
    <row r="2492" spans="1:16" x14ac:dyDescent="0.3">
      <c r="A2492">
        <v>1462</v>
      </c>
      <c r="B2492" s="1">
        <v>44495</v>
      </c>
      <c r="C2492">
        <v>40</v>
      </c>
      <c r="D2492" t="s">
        <v>20</v>
      </c>
      <c r="E2492">
        <v>162.19999999999999</v>
      </c>
      <c r="F2492">
        <v>86.3</v>
      </c>
      <c r="G2492">
        <v>2371</v>
      </c>
      <c r="H2492">
        <v>340.5</v>
      </c>
      <c r="I2492">
        <v>6.5</v>
      </c>
      <c r="J2492">
        <v>83</v>
      </c>
      <c r="K2492" t="s">
        <v>25</v>
      </c>
      <c r="L2492">
        <v>80</v>
      </c>
      <c r="M2492">
        <v>3.14</v>
      </c>
      <c r="N2492">
        <v>9</v>
      </c>
      <c r="O2492" t="s">
        <v>17</v>
      </c>
      <c r="P2492" cm="1">
        <f t="array" ref="P2492">_xlfn.SWITCH(Table2[[#This Row],[mood]], "Tired", 3, "Neutral", 2, "Happy", 1)</f>
        <v>3</v>
      </c>
    </row>
    <row r="2493" spans="1:16" x14ac:dyDescent="0.3">
      <c r="A2493">
        <v>1591</v>
      </c>
      <c r="B2493" s="1">
        <v>44496</v>
      </c>
      <c r="C2493">
        <v>19</v>
      </c>
      <c r="D2493" t="s">
        <v>20</v>
      </c>
      <c r="E2493">
        <v>166.6</v>
      </c>
      <c r="F2493">
        <v>57.5</v>
      </c>
      <c r="G2493">
        <v>2074</v>
      </c>
      <c r="H2493">
        <v>374.6</v>
      </c>
      <c r="I2493">
        <v>8.6</v>
      </c>
      <c r="J2493">
        <v>66</v>
      </c>
      <c r="K2493" t="s">
        <v>25</v>
      </c>
      <c r="L2493">
        <v>38</v>
      </c>
      <c r="M2493">
        <v>0.77</v>
      </c>
      <c r="N2493">
        <v>10</v>
      </c>
      <c r="O2493" t="s">
        <v>19</v>
      </c>
      <c r="P2493" cm="1">
        <f t="array" ref="P2493">_xlfn.SWITCH(Table2[[#This Row],[mood]], "Tired", 3, "Neutral", 2, "Happy", 1)</f>
        <v>2</v>
      </c>
    </row>
    <row r="2494" spans="1:16" x14ac:dyDescent="0.3">
      <c r="A2494">
        <v>1309</v>
      </c>
      <c r="B2494" s="1">
        <v>44497</v>
      </c>
      <c r="C2494">
        <v>55</v>
      </c>
      <c r="D2494" t="s">
        <v>15</v>
      </c>
      <c r="E2494">
        <v>178.6</v>
      </c>
      <c r="F2494">
        <v>85</v>
      </c>
      <c r="G2494">
        <v>5934</v>
      </c>
      <c r="H2494">
        <v>428.9</v>
      </c>
      <c r="I2494">
        <v>4.4000000000000004</v>
      </c>
      <c r="J2494">
        <v>72</v>
      </c>
      <c r="K2494" t="s">
        <v>18</v>
      </c>
      <c r="L2494">
        <v>72</v>
      </c>
      <c r="M2494">
        <v>3.28</v>
      </c>
      <c r="N2494">
        <v>2</v>
      </c>
      <c r="O2494" t="s">
        <v>19</v>
      </c>
      <c r="P2494" cm="1">
        <f t="array" ref="P2494">_xlfn.SWITCH(Table2[[#This Row],[mood]], "Tired", 3, "Neutral", 2, "Happy", 1)</f>
        <v>2</v>
      </c>
    </row>
    <row r="2495" spans="1:16" x14ac:dyDescent="0.3">
      <c r="A2495">
        <v>1085</v>
      </c>
      <c r="B2495" s="1">
        <v>44498</v>
      </c>
      <c r="C2495">
        <v>48</v>
      </c>
      <c r="D2495" t="s">
        <v>20</v>
      </c>
      <c r="E2495">
        <v>171.5</v>
      </c>
      <c r="F2495">
        <v>72.2</v>
      </c>
      <c r="G2495">
        <v>1039</v>
      </c>
      <c r="H2495">
        <v>221.9</v>
      </c>
      <c r="I2495">
        <v>6.6</v>
      </c>
      <c r="J2495">
        <v>71</v>
      </c>
      <c r="K2495" t="s">
        <v>23</v>
      </c>
      <c r="L2495">
        <v>76</v>
      </c>
      <c r="M2495">
        <v>1.6</v>
      </c>
      <c r="N2495">
        <v>4</v>
      </c>
      <c r="O2495" t="s">
        <v>17</v>
      </c>
      <c r="P2495" cm="1">
        <f t="array" ref="P2495">_xlfn.SWITCH(Table2[[#This Row],[mood]], "Tired", 3, "Neutral", 2, "Happy", 1)</f>
        <v>3</v>
      </c>
    </row>
    <row r="2496" spans="1:16" x14ac:dyDescent="0.3">
      <c r="A2496">
        <v>1091</v>
      </c>
      <c r="B2496" s="1">
        <v>44499</v>
      </c>
      <c r="C2496">
        <v>57</v>
      </c>
      <c r="D2496" t="s">
        <v>15</v>
      </c>
      <c r="E2496">
        <v>175.5</v>
      </c>
      <c r="F2496">
        <v>86.5</v>
      </c>
      <c r="G2496">
        <v>5274</v>
      </c>
      <c r="H2496">
        <v>415</v>
      </c>
      <c r="I2496">
        <v>6.7</v>
      </c>
      <c r="J2496">
        <v>79</v>
      </c>
      <c r="K2496" t="s">
        <v>16</v>
      </c>
      <c r="L2496">
        <v>0</v>
      </c>
      <c r="M2496">
        <v>1.75</v>
      </c>
      <c r="N2496">
        <v>4</v>
      </c>
      <c r="O2496" t="s">
        <v>17</v>
      </c>
      <c r="P2496" cm="1">
        <f t="array" ref="P2496">_xlfn.SWITCH(Table2[[#This Row],[mood]], "Tired", 3, "Neutral", 2, "Happy", 1)</f>
        <v>3</v>
      </c>
    </row>
    <row r="2497" spans="1:16" x14ac:dyDescent="0.3">
      <c r="A2497">
        <v>1659</v>
      </c>
      <c r="B2497" s="1">
        <v>44500</v>
      </c>
      <c r="C2497">
        <v>43</v>
      </c>
      <c r="D2497" t="s">
        <v>15</v>
      </c>
      <c r="E2497">
        <v>182.7</v>
      </c>
      <c r="F2497">
        <v>53.4</v>
      </c>
      <c r="G2497">
        <v>17566</v>
      </c>
      <c r="H2497">
        <v>846.5</v>
      </c>
      <c r="I2497">
        <v>6.8</v>
      </c>
      <c r="J2497">
        <v>82</v>
      </c>
      <c r="K2497" t="s">
        <v>16</v>
      </c>
      <c r="L2497">
        <v>0</v>
      </c>
      <c r="M2497">
        <v>2.0099999999999998</v>
      </c>
      <c r="N2497">
        <v>7</v>
      </c>
      <c r="O2497" t="s">
        <v>17</v>
      </c>
      <c r="P2497" cm="1">
        <f t="array" ref="P2497">_xlfn.SWITCH(Table2[[#This Row],[mood]], "Tired", 3, "Neutral", 2, "Happy", 1)</f>
        <v>3</v>
      </c>
    </row>
    <row r="2498" spans="1:16" x14ac:dyDescent="0.3">
      <c r="A2498">
        <v>1672</v>
      </c>
      <c r="B2498" s="1">
        <v>44501</v>
      </c>
      <c r="C2498">
        <v>46</v>
      </c>
      <c r="D2498" t="s">
        <v>20</v>
      </c>
      <c r="E2498">
        <v>174.3</v>
      </c>
      <c r="F2498">
        <v>60.6</v>
      </c>
      <c r="G2498">
        <v>6496</v>
      </c>
      <c r="H2498">
        <v>592.29999999999995</v>
      </c>
      <c r="I2498">
        <v>5.5</v>
      </c>
      <c r="J2498">
        <v>59</v>
      </c>
      <c r="K2498" t="s">
        <v>18</v>
      </c>
      <c r="L2498">
        <v>26</v>
      </c>
      <c r="M2498">
        <v>3.26</v>
      </c>
      <c r="N2498">
        <v>5</v>
      </c>
      <c r="O2498" t="s">
        <v>19</v>
      </c>
      <c r="P2498" cm="1">
        <f t="array" ref="P2498">_xlfn.SWITCH(Table2[[#This Row],[mood]], "Tired", 3, "Neutral", 2, "Happy", 1)</f>
        <v>2</v>
      </c>
    </row>
    <row r="2499" spans="1:16" x14ac:dyDescent="0.3">
      <c r="A2499">
        <v>1713</v>
      </c>
      <c r="B2499" s="1">
        <v>44502</v>
      </c>
      <c r="C2499">
        <v>20</v>
      </c>
      <c r="D2499" t="s">
        <v>20</v>
      </c>
      <c r="E2499">
        <v>150.80000000000001</v>
      </c>
      <c r="F2499">
        <v>76.8</v>
      </c>
      <c r="G2499">
        <v>13992</v>
      </c>
      <c r="H2499">
        <v>793.2</v>
      </c>
      <c r="I2499">
        <v>10</v>
      </c>
      <c r="J2499">
        <v>68</v>
      </c>
      <c r="K2499" t="s">
        <v>24</v>
      </c>
      <c r="L2499">
        <v>36</v>
      </c>
      <c r="M2499">
        <v>1.88</v>
      </c>
      <c r="N2499">
        <v>5</v>
      </c>
      <c r="O2499" t="s">
        <v>21</v>
      </c>
      <c r="P2499" cm="1">
        <f t="array" ref="P2499">_xlfn.SWITCH(Table2[[#This Row],[mood]], "Tired", 3, "Neutral", 2, "Happy", 1)</f>
        <v>1</v>
      </c>
    </row>
    <row r="2500" spans="1:16" x14ac:dyDescent="0.3">
      <c r="A2500">
        <v>1935</v>
      </c>
      <c r="B2500" s="1">
        <v>44503</v>
      </c>
      <c r="C2500">
        <v>31</v>
      </c>
      <c r="D2500" t="s">
        <v>15</v>
      </c>
      <c r="E2500">
        <v>172.7</v>
      </c>
      <c r="F2500">
        <v>63.5</v>
      </c>
      <c r="G2500">
        <v>3508</v>
      </c>
      <c r="H2500">
        <v>279.3</v>
      </c>
      <c r="I2500">
        <v>8.5</v>
      </c>
      <c r="J2500">
        <v>67</v>
      </c>
      <c r="K2500" t="s">
        <v>16</v>
      </c>
      <c r="L2500">
        <v>0</v>
      </c>
      <c r="M2500">
        <v>2.04</v>
      </c>
      <c r="N2500">
        <v>7</v>
      </c>
      <c r="O2500" t="s">
        <v>19</v>
      </c>
      <c r="P2500" cm="1">
        <f t="array" ref="P2500">_xlfn.SWITCH(Table2[[#This Row],[mood]], "Tired", 3, "Neutral", 2, "Happy", 1)</f>
        <v>2</v>
      </c>
    </row>
    <row r="2501" spans="1:16" x14ac:dyDescent="0.3">
      <c r="A2501">
        <v>1927</v>
      </c>
      <c r="B2501" s="1">
        <v>44504</v>
      </c>
      <c r="C2501">
        <v>42</v>
      </c>
      <c r="D2501" t="s">
        <v>20</v>
      </c>
      <c r="E2501">
        <v>163.80000000000001</v>
      </c>
      <c r="F2501">
        <v>45</v>
      </c>
      <c r="G2501">
        <v>13018</v>
      </c>
      <c r="H2501">
        <v>680.4</v>
      </c>
      <c r="I2501">
        <v>10</v>
      </c>
      <c r="J2501">
        <v>73</v>
      </c>
      <c r="K2501" t="s">
        <v>22</v>
      </c>
      <c r="L2501">
        <v>57</v>
      </c>
      <c r="M2501">
        <v>1.83</v>
      </c>
      <c r="N2501">
        <v>2</v>
      </c>
      <c r="O2501" t="s">
        <v>21</v>
      </c>
      <c r="P2501" cm="1">
        <f t="array" ref="P2501">_xlfn.SWITCH(Table2[[#This Row],[mood]], "Tired", 3, "Neutral", 2, "Happy", 1)</f>
        <v>1</v>
      </c>
    </row>
    <row r="2502" spans="1:16" x14ac:dyDescent="0.3">
      <c r="A2502">
        <v>1241</v>
      </c>
      <c r="B2502" s="1">
        <v>44505</v>
      </c>
      <c r="C2502">
        <v>18</v>
      </c>
      <c r="D2502" t="s">
        <v>20</v>
      </c>
      <c r="E2502">
        <v>188.1</v>
      </c>
      <c r="F2502">
        <v>49.4</v>
      </c>
      <c r="G2502">
        <v>9072</v>
      </c>
      <c r="H2502">
        <v>571.79999999999995</v>
      </c>
      <c r="I2502">
        <v>8</v>
      </c>
      <c r="J2502">
        <v>55</v>
      </c>
      <c r="K2502" t="s">
        <v>24</v>
      </c>
      <c r="L2502">
        <v>66</v>
      </c>
      <c r="M2502">
        <v>2.68</v>
      </c>
      <c r="N2502">
        <v>8</v>
      </c>
      <c r="O2502" t="s">
        <v>21</v>
      </c>
      <c r="P2502" cm="1">
        <f t="array" ref="P2502">_xlfn.SWITCH(Table2[[#This Row],[mood]], "Tired", 3, "Neutral", 2, "Happy", 1)</f>
        <v>1</v>
      </c>
    </row>
    <row r="2503" spans="1:16" x14ac:dyDescent="0.3">
      <c r="A2503">
        <v>1864</v>
      </c>
      <c r="B2503" s="1">
        <v>44506</v>
      </c>
      <c r="C2503">
        <v>20</v>
      </c>
      <c r="D2503" t="s">
        <v>20</v>
      </c>
      <c r="E2503">
        <v>174</v>
      </c>
      <c r="F2503">
        <v>53.3</v>
      </c>
      <c r="G2503">
        <v>14348</v>
      </c>
      <c r="H2503">
        <v>709.2</v>
      </c>
      <c r="I2503">
        <v>8.1</v>
      </c>
      <c r="J2503">
        <v>86</v>
      </c>
      <c r="K2503" t="s">
        <v>24</v>
      </c>
      <c r="L2503">
        <v>29</v>
      </c>
      <c r="M2503">
        <v>3.02</v>
      </c>
      <c r="N2503">
        <v>6</v>
      </c>
      <c r="O2503" t="s">
        <v>19</v>
      </c>
      <c r="P2503" cm="1">
        <f t="array" ref="P2503">_xlfn.SWITCH(Table2[[#This Row],[mood]], "Tired", 3, "Neutral", 2, "Happy", 1)</f>
        <v>2</v>
      </c>
    </row>
    <row r="2504" spans="1:16" x14ac:dyDescent="0.3">
      <c r="A2504">
        <v>1001</v>
      </c>
      <c r="B2504" s="1">
        <v>44507</v>
      </c>
      <c r="C2504">
        <v>43</v>
      </c>
      <c r="D2504" t="s">
        <v>20</v>
      </c>
      <c r="E2504">
        <v>164</v>
      </c>
      <c r="F2504">
        <v>54.4</v>
      </c>
      <c r="G2504">
        <v>14910</v>
      </c>
      <c r="H2504">
        <v>721.2</v>
      </c>
      <c r="I2504">
        <v>7</v>
      </c>
      <c r="J2504">
        <v>76</v>
      </c>
      <c r="K2504" t="s">
        <v>18</v>
      </c>
      <c r="L2504">
        <v>43</v>
      </c>
      <c r="M2504">
        <v>3.69</v>
      </c>
      <c r="N2504">
        <v>5</v>
      </c>
      <c r="O2504" t="s">
        <v>21</v>
      </c>
      <c r="P2504" cm="1">
        <f t="array" ref="P2504">_xlfn.SWITCH(Table2[[#This Row],[mood]], "Tired", 3, "Neutral", 2, "Happy", 1)</f>
        <v>1</v>
      </c>
    </row>
    <row r="2505" spans="1:16" x14ac:dyDescent="0.3">
      <c r="A2505">
        <v>1224</v>
      </c>
      <c r="B2505" s="1">
        <v>44508</v>
      </c>
      <c r="C2505">
        <v>35</v>
      </c>
      <c r="D2505" t="s">
        <v>15</v>
      </c>
      <c r="E2505">
        <v>175.7</v>
      </c>
      <c r="F2505">
        <v>80.2</v>
      </c>
      <c r="G2505">
        <v>14952</v>
      </c>
      <c r="H2505">
        <v>812.8</v>
      </c>
      <c r="I2505">
        <v>9.3000000000000007</v>
      </c>
      <c r="J2505">
        <v>74</v>
      </c>
      <c r="K2505" t="s">
        <v>18</v>
      </c>
      <c r="L2505">
        <v>69</v>
      </c>
      <c r="M2505">
        <v>4.18</v>
      </c>
      <c r="N2505">
        <v>1</v>
      </c>
      <c r="O2505" t="s">
        <v>19</v>
      </c>
      <c r="P2505" cm="1">
        <f t="array" ref="P2505">_xlfn.SWITCH(Table2[[#This Row],[mood]], "Tired", 3, "Neutral", 2, "Happy", 1)</f>
        <v>2</v>
      </c>
    </row>
    <row r="2506" spans="1:16" x14ac:dyDescent="0.3">
      <c r="A2506">
        <v>1800</v>
      </c>
      <c r="B2506" s="1">
        <v>44509</v>
      </c>
      <c r="C2506">
        <v>26</v>
      </c>
      <c r="D2506" t="s">
        <v>15</v>
      </c>
      <c r="E2506">
        <v>170.9</v>
      </c>
      <c r="F2506">
        <v>75.099999999999994</v>
      </c>
      <c r="G2506">
        <v>17065</v>
      </c>
      <c r="H2506">
        <v>900</v>
      </c>
      <c r="I2506">
        <v>7.8</v>
      </c>
      <c r="J2506">
        <v>83</v>
      </c>
      <c r="K2506" t="s">
        <v>22</v>
      </c>
      <c r="L2506">
        <v>87</v>
      </c>
      <c r="M2506">
        <v>2.96</v>
      </c>
      <c r="N2506">
        <v>2</v>
      </c>
      <c r="O2506" t="s">
        <v>17</v>
      </c>
      <c r="P2506" cm="1">
        <f t="array" ref="P2506">_xlfn.SWITCH(Table2[[#This Row],[mood]], "Tired", 3, "Neutral", 2, "Happy", 1)</f>
        <v>3</v>
      </c>
    </row>
    <row r="2507" spans="1:16" x14ac:dyDescent="0.3">
      <c r="A2507">
        <v>1744</v>
      </c>
      <c r="B2507" s="1">
        <v>44510</v>
      </c>
      <c r="C2507">
        <v>55</v>
      </c>
      <c r="D2507" t="s">
        <v>15</v>
      </c>
      <c r="E2507">
        <v>152.80000000000001</v>
      </c>
      <c r="F2507">
        <v>72.400000000000006</v>
      </c>
      <c r="G2507">
        <v>1318</v>
      </c>
      <c r="H2507">
        <v>298.5</v>
      </c>
      <c r="I2507">
        <v>6.7</v>
      </c>
      <c r="J2507">
        <v>80</v>
      </c>
      <c r="K2507" t="s">
        <v>18</v>
      </c>
      <c r="L2507">
        <v>62</v>
      </c>
      <c r="M2507">
        <v>2.76</v>
      </c>
      <c r="N2507">
        <v>6</v>
      </c>
      <c r="O2507" t="s">
        <v>17</v>
      </c>
      <c r="P2507" cm="1">
        <f t="array" ref="P2507">_xlfn.SWITCH(Table2[[#This Row],[mood]], "Tired", 3, "Neutral", 2, "Happy", 1)</f>
        <v>3</v>
      </c>
    </row>
    <row r="2508" spans="1:16" x14ac:dyDescent="0.3">
      <c r="A2508">
        <v>1972</v>
      </c>
      <c r="B2508" s="1">
        <v>44511</v>
      </c>
      <c r="C2508">
        <v>40</v>
      </c>
      <c r="D2508" t="s">
        <v>15</v>
      </c>
      <c r="E2508">
        <v>178.6</v>
      </c>
      <c r="F2508">
        <v>100.1</v>
      </c>
      <c r="G2508">
        <v>12818</v>
      </c>
      <c r="H2508">
        <v>709.7</v>
      </c>
      <c r="I2508">
        <v>9.8000000000000007</v>
      </c>
      <c r="J2508">
        <v>80</v>
      </c>
      <c r="K2508" t="s">
        <v>18</v>
      </c>
      <c r="L2508">
        <v>56</v>
      </c>
      <c r="M2508">
        <v>1.65</v>
      </c>
      <c r="N2508">
        <v>6</v>
      </c>
      <c r="O2508" t="s">
        <v>19</v>
      </c>
      <c r="P2508" cm="1">
        <f t="array" ref="P2508">_xlfn.SWITCH(Table2[[#This Row],[mood]], "Tired", 3, "Neutral", 2, "Happy", 1)</f>
        <v>2</v>
      </c>
    </row>
    <row r="2509" spans="1:16" x14ac:dyDescent="0.3">
      <c r="A2509">
        <v>1925</v>
      </c>
      <c r="B2509" s="1">
        <v>44512</v>
      </c>
      <c r="C2509">
        <v>38</v>
      </c>
      <c r="D2509" t="s">
        <v>20</v>
      </c>
      <c r="E2509">
        <v>165.9</v>
      </c>
      <c r="F2509">
        <v>87.6</v>
      </c>
      <c r="G2509">
        <v>19787</v>
      </c>
      <c r="H2509">
        <v>900</v>
      </c>
      <c r="I2509">
        <v>5</v>
      </c>
      <c r="J2509">
        <v>75</v>
      </c>
      <c r="K2509" t="s">
        <v>18</v>
      </c>
      <c r="L2509">
        <v>64</v>
      </c>
      <c r="M2509">
        <v>3.84</v>
      </c>
      <c r="N2509">
        <v>9</v>
      </c>
      <c r="O2509" t="s">
        <v>19</v>
      </c>
      <c r="P2509" cm="1">
        <f t="array" ref="P2509">_xlfn.SWITCH(Table2[[#This Row],[mood]], "Tired", 3, "Neutral", 2, "Happy", 1)</f>
        <v>2</v>
      </c>
    </row>
    <row r="2510" spans="1:16" x14ac:dyDescent="0.3">
      <c r="A2510">
        <v>1928</v>
      </c>
      <c r="B2510" s="1">
        <v>44513</v>
      </c>
      <c r="C2510">
        <v>18</v>
      </c>
      <c r="D2510" t="s">
        <v>20</v>
      </c>
      <c r="E2510">
        <v>184.2</v>
      </c>
      <c r="F2510">
        <v>82</v>
      </c>
      <c r="G2510">
        <v>14982</v>
      </c>
      <c r="H2510">
        <v>801.9</v>
      </c>
      <c r="I2510">
        <v>5.9</v>
      </c>
      <c r="J2510">
        <v>76</v>
      </c>
      <c r="K2510" t="s">
        <v>16</v>
      </c>
      <c r="L2510">
        <v>0</v>
      </c>
      <c r="M2510">
        <v>2.65</v>
      </c>
      <c r="N2510">
        <v>6</v>
      </c>
      <c r="O2510" t="s">
        <v>19</v>
      </c>
      <c r="P2510" cm="1">
        <f t="array" ref="P2510">_xlfn.SWITCH(Table2[[#This Row],[mood]], "Tired", 3, "Neutral", 2, "Happy", 1)</f>
        <v>2</v>
      </c>
    </row>
    <row r="2511" spans="1:16" x14ac:dyDescent="0.3">
      <c r="A2511">
        <v>1588</v>
      </c>
      <c r="B2511" s="1">
        <v>44514</v>
      </c>
      <c r="C2511">
        <v>38</v>
      </c>
      <c r="D2511" t="s">
        <v>15</v>
      </c>
      <c r="E2511">
        <v>168.8</v>
      </c>
      <c r="F2511">
        <v>47.6</v>
      </c>
      <c r="G2511">
        <v>11856</v>
      </c>
      <c r="H2511">
        <v>723.8</v>
      </c>
      <c r="I2511">
        <v>10</v>
      </c>
      <c r="J2511">
        <v>83</v>
      </c>
      <c r="K2511" t="s">
        <v>18</v>
      </c>
      <c r="L2511">
        <v>62</v>
      </c>
      <c r="M2511">
        <v>2.2999999999999998</v>
      </c>
      <c r="N2511">
        <v>1</v>
      </c>
      <c r="O2511" t="s">
        <v>19</v>
      </c>
      <c r="P2511" cm="1">
        <f t="array" ref="P2511">_xlfn.SWITCH(Table2[[#This Row],[mood]], "Tired", 3, "Neutral", 2, "Happy", 1)</f>
        <v>2</v>
      </c>
    </row>
    <row r="2512" spans="1:16" x14ac:dyDescent="0.3">
      <c r="A2512">
        <v>1115</v>
      </c>
      <c r="B2512" s="1">
        <v>44515</v>
      </c>
      <c r="C2512">
        <v>44</v>
      </c>
      <c r="D2512" t="s">
        <v>15</v>
      </c>
      <c r="E2512">
        <v>184.4</v>
      </c>
      <c r="F2512">
        <v>70.900000000000006</v>
      </c>
      <c r="G2512">
        <v>13516</v>
      </c>
      <c r="H2512">
        <v>677.8</v>
      </c>
      <c r="I2512">
        <v>8</v>
      </c>
      <c r="J2512">
        <v>80</v>
      </c>
      <c r="K2512" t="s">
        <v>18</v>
      </c>
      <c r="L2512">
        <v>87</v>
      </c>
      <c r="M2512">
        <v>2.77</v>
      </c>
      <c r="N2512">
        <v>7</v>
      </c>
      <c r="O2512" t="s">
        <v>21</v>
      </c>
      <c r="P2512" cm="1">
        <f t="array" ref="P2512">_xlfn.SWITCH(Table2[[#This Row],[mood]], "Tired", 3, "Neutral", 2, "Happy", 1)</f>
        <v>1</v>
      </c>
    </row>
    <row r="2513" spans="1:16" x14ac:dyDescent="0.3">
      <c r="A2513">
        <v>1665</v>
      </c>
      <c r="B2513" s="1">
        <v>44516</v>
      </c>
      <c r="C2513">
        <v>59</v>
      </c>
      <c r="D2513" t="s">
        <v>20</v>
      </c>
      <c r="E2513">
        <v>174.2</v>
      </c>
      <c r="F2513">
        <v>74.5</v>
      </c>
      <c r="G2513">
        <v>1728</v>
      </c>
      <c r="H2513">
        <v>230.2</v>
      </c>
      <c r="I2513">
        <v>3.1</v>
      </c>
      <c r="J2513">
        <v>92</v>
      </c>
      <c r="K2513" t="s">
        <v>24</v>
      </c>
      <c r="L2513">
        <v>56</v>
      </c>
      <c r="M2513">
        <v>2.0499999999999998</v>
      </c>
      <c r="N2513">
        <v>3</v>
      </c>
      <c r="O2513" t="s">
        <v>17</v>
      </c>
      <c r="P2513" cm="1">
        <f t="array" ref="P2513">_xlfn.SWITCH(Table2[[#This Row],[mood]], "Tired", 3, "Neutral", 2, "Happy", 1)</f>
        <v>3</v>
      </c>
    </row>
    <row r="2514" spans="1:16" x14ac:dyDescent="0.3">
      <c r="A2514">
        <v>1917</v>
      </c>
      <c r="B2514" s="1">
        <v>44517</v>
      </c>
      <c r="C2514">
        <v>23</v>
      </c>
      <c r="D2514" t="s">
        <v>15</v>
      </c>
      <c r="E2514">
        <v>179.7</v>
      </c>
      <c r="F2514">
        <v>63.8</v>
      </c>
      <c r="G2514">
        <v>2287</v>
      </c>
      <c r="H2514">
        <v>272.60000000000002</v>
      </c>
      <c r="I2514">
        <v>8.5</v>
      </c>
      <c r="J2514">
        <v>76</v>
      </c>
      <c r="K2514" t="s">
        <v>24</v>
      </c>
      <c r="L2514">
        <v>60</v>
      </c>
      <c r="M2514">
        <v>0.86</v>
      </c>
      <c r="N2514">
        <v>8</v>
      </c>
      <c r="O2514" t="s">
        <v>19</v>
      </c>
      <c r="P2514" cm="1">
        <f t="array" ref="P2514">_xlfn.SWITCH(Table2[[#This Row],[mood]], "Tired", 3, "Neutral", 2, "Happy", 1)</f>
        <v>2</v>
      </c>
    </row>
    <row r="2515" spans="1:16" x14ac:dyDescent="0.3">
      <c r="A2515">
        <v>1102</v>
      </c>
      <c r="B2515" s="1">
        <v>44518</v>
      </c>
      <c r="C2515">
        <v>53</v>
      </c>
      <c r="D2515" t="s">
        <v>15</v>
      </c>
      <c r="E2515">
        <v>165.1</v>
      </c>
      <c r="F2515">
        <v>95.6</v>
      </c>
      <c r="G2515">
        <v>5001</v>
      </c>
      <c r="H2515">
        <v>387.9</v>
      </c>
      <c r="I2515">
        <v>5.5</v>
      </c>
      <c r="J2515">
        <v>82</v>
      </c>
      <c r="K2515" t="s">
        <v>22</v>
      </c>
      <c r="L2515">
        <v>20</v>
      </c>
      <c r="M2515">
        <v>2.9</v>
      </c>
      <c r="N2515">
        <v>6</v>
      </c>
      <c r="O2515" t="s">
        <v>19</v>
      </c>
      <c r="P2515" cm="1">
        <f t="array" ref="P2515">_xlfn.SWITCH(Table2[[#This Row],[mood]], "Tired", 3, "Neutral", 2, "Happy", 1)</f>
        <v>2</v>
      </c>
    </row>
    <row r="2516" spans="1:16" x14ac:dyDescent="0.3">
      <c r="A2516">
        <v>1193</v>
      </c>
      <c r="B2516" s="1">
        <v>44519</v>
      </c>
      <c r="C2516">
        <v>45</v>
      </c>
      <c r="D2516" t="s">
        <v>20</v>
      </c>
      <c r="E2516">
        <v>173.5</v>
      </c>
      <c r="F2516">
        <v>70.8</v>
      </c>
      <c r="G2516">
        <v>9752</v>
      </c>
      <c r="H2516">
        <v>587.4</v>
      </c>
      <c r="I2516">
        <v>6.1</v>
      </c>
      <c r="J2516">
        <v>74</v>
      </c>
      <c r="K2516" t="s">
        <v>25</v>
      </c>
      <c r="L2516">
        <v>35</v>
      </c>
      <c r="M2516">
        <v>3.44</v>
      </c>
      <c r="N2516">
        <v>3</v>
      </c>
      <c r="O2516" t="s">
        <v>17</v>
      </c>
      <c r="P2516" cm="1">
        <f t="array" ref="P2516">_xlfn.SWITCH(Table2[[#This Row],[mood]], "Tired", 3, "Neutral", 2, "Happy", 1)</f>
        <v>3</v>
      </c>
    </row>
    <row r="2517" spans="1:16" x14ac:dyDescent="0.3">
      <c r="A2517">
        <v>1165</v>
      </c>
      <c r="B2517" s="1">
        <v>44520</v>
      </c>
      <c r="C2517">
        <v>34</v>
      </c>
      <c r="D2517" t="s">
        <v>15</v>
      </c>
      <c r="E2517">
        <v>152.69999999999999</v>
      </c>
      <c r="F2517">
        <v>51.6</v>
      </c>
      <c r="G2517">
        <v>2375</v>
      </c>
      <c r="H2517">
        <v>293.8</v>
      </c>
      <c r="I2517">
        <v>10</v>
      </c>
      <c r="J2517">
        <v>78</v>
      </c>
      <c r="K2517" t="s">
        <v>22</v>
      </c>
      <c r="L2517">
        <v>56</v>
      </c>
      <c r="M2517">
        <v>2.89</v>
      </c>
      <c r="N2517">
        <v>3</v>
      </c>
      <c r="O2517" t="s">
        <v>19</v>
      </c>
      <c r="P2517" cm="1">
        <f t="array" ref="P2517">_xlfn.SWITCH(Table2[[#This Row],[mood]], "Tired", 3, "Neutral", 2, "Happy", 1)</f>
        <v>2</v>
      </c>
    </row>
    <row r="2518" spans="1:16" x14ac:dyDescent="0.3">
      <c r="A2518">
        <v>1870</v>
      </c>
      <c r="B2518" s="1">
        <v>44521</v>
      </c>
      <c r="C2518">
        <v>57</v>
      </c>
      <c r="D2518" t="s">
        <v>20</v>
      </c>
      <c r="E2518">
        <v>168.7</v>
      </c>
      <c r="F2518">
        <v>55</v>
      </c>
      <c r="G2518">
        <v>15970</v>
      </c>
      <c r="H2518">
        <v>872.5</v>
      </c>
      <c r="I2518">
        <v>9.5</v>
      </c>
      <c r="J2518">
        <v>79</v>
      </c>
      <c r="K2518" t="s">
        <v>16</v>
      </c>
      <c r="L2518">
        <v>0</v>
      </c>
      <c r="M2518">
        <v>2.5</v>
      </c>
      <c r="N2518">
        <v>8</v>
      </c>
      <c r="O2518" t="s">
        <v>17</v>
      </c>
      <c r="P2518" cm="1">
        <f t="array" ref="P2518">_xlfn.SWITCH(Table2[[#This Row],[mood]], "Tired", 3, "Neutral", 2, "Happy", 1)</f>
        <v>3</v>
      </c>
    </row>
    <row r="2519" spans="1:16" x14ac:dyDescent="0.3">
      <c r="A2519">
        <v>1089</v>
      </c>
      <c r="B2519" s="1">
        <v>44522</v>
      </c>
      <c r="C2519">
        <v>20</v>
      </c>
      <c r="D2519" t="s">
        <v>20</v>
      </c>
      <c r="E2519">
        <v>155.19999999999999</v>
      </c>
      <c r="F2519">
        <v>104.2</v>
      </c>
      <c r="G2519">
        <v>13078</v>
      </c>
      <c r="H2519">
        <v>635</v>
      </c>
      <c r="I2519">
        <v>10</v>
      </c>
      <c r="J2519">
        <v>71</v>
      </c>
      <c r="K2519" t="s">
        <v>16</v>
      </c>
      <c r="L2519">
        <v>0</v>
      </c>
      <c r="M2519">
        <v>2.5099999999999998</v>
      </c>
      <c r="N2519">
        <v>6</v>
      </c>
      <c r="O2519" t="s">
        <v>17</v>
      </c>
      <c r="P2519" cm="1">
        <f t="array" ref="P2519">_xlfn.SWITCH(Table2[[#This Row],[mood]], "Tired", 3, "Neutral", 2, "Happy", 1)</f>
        <v>3</v>
      </c>
    </row>
    <row r="2520" spans="1:16" x14ac:dyDescent="0.3">
      <c r="A2520">
        <v>1685</v>
      </c>
      <c r="B2520" s="1">
        <v>44523</v>
      </c>
      <c r="C2520">
        <v>29</v>
      </c>
      <c r="D2520" t="s">
        <v>15</v>
      </c>
      <c r="E2520">
        <v>158.6</v>
      </c>
      <c r="F2520">
        <v>63.7</v>
      </c>
      <c r="G2520">
        <v>1024</v>
      </c>
      <c r="H2520">
        <v>160.9</v>
      </c>
      <c r="I2520">
        <v>6.1</v>
      </c>
      <c r="J2520">
        <v>69</v>
      </c>
      <c r="K2520" t="s">
        <v>16</v>
      </c>
      <c r="L2520">
        <v>0</v>
      </c>
      <c r="M2520">
        <v>2.62</v>
      </c>
      <c r="N2520">
        <v>2</v>
      </c>
      <c r="O2520" t="s">
        <v>19</v>
      </c>
      <c r="P2520" cm="1">
        <f t="array" ref="P2520">_xlfn.SWITCH(Table2[[#This Row],[mood]], "Tired", 3, "Neutral", 2, "Happy", 1)</f>
        <v>2</v>
      </c>
    </row>
    <row r="2521" spans="1:16" x14ac:dyDescent="0.3">
      <c r="A2521">
        <v>1121</v>
      </c>
      <c r="B2521" s="1">
        <v>44524</v>
      </c>
      <c r="C2521">
        <v>56</v>
      </c>
      <c r="D2521" t="s">
        <v>20</v>
      </c>
      <c r="E2521">
        <v>161.1</v>
      </c>
      <c r="F2521">
        <v>45</v>
      </c>
      <c r="G2521">
        <v>18538</v>
      </c>
      <c r="H2521">
        <v>900</v>
      </c>
      <c r="I2521">
        <v>6.6</v>
      </c>
      <c r="J2521">
        <v>81</v>
      </c>
      <c r="K2521" t="s">
        <v>23</v>
      </c>
      <c r="L2521">
        <v>70</v>
      </c>
      <c r="M2521">
        <v>2.6</v>
      </c>
      <c r="N2521">
        <v>3</v>
      </c>
      <c r="O2521" t="s">
        <v>21</v>
      </c>
      <c r="P2521" cm="1">
        <f t="array" ref="P2521">_xlfn.SWITCH(Table2[[#This Row],[mood]], "Tired", 3, "Neutral", 2, "Happy", 1)</f>
        <v>1</v>
      </c>
    </row>
    <row r="2522" spans="1:16" x14ac:dyDescent="0.3">
      <c r="A2522">
        <v>1142</v>
      </c>
      <c r="B2522" s="1">
        <v>44525</v>
      </c>
      <c r="C2522">
        <v>29</v>
      </c>
      <c r="D2522" t="s">
        <v>15</v>
      </c>
      <c r="E2522">
        <v>176.6</v>
      </c>
      <c r="F2522">
        <v>61</v>
      </c>
      <c r="G2522">
        <v>13657</v>
      </c>
      <c r="H2522">
        <v>789.5</v>
      </c>
      <c r="I2522">
        <v>7.3</v>
      </c>
      <c r="J2522">
        <v>80</v>
      </c>
      <c r="K2522" t="s">
        <v>22</v>
      </c>
      <c r="L2522">
        <v>83</v>
      </c>
      <c r="M2522">
        <v>2.46</v>
      </c>
      <c r="N2522">
        <v>6</v>
      </c>
      <c r="O2522" t="s">
        <v>19</v>
      </c>
      <c r="P2522" cm="1">
        <f t="array" ref="P2522">_xlfn.SWITCH(Table2[[#This Row],[mood]], "Tired", 3, "Neutral", 2, "Happy", 1)</f>
        <v>2</v>
      </c>
    </row>
    <row r="2523" spans="1:16" x14ac:dyDescent="0.3">
      <c r="A2523">
        <v>1993</v>
      </c>
      <c r="B2523" s="1">
        <v>44526</v>
      </c>
      <c r="C2523">
        <v>19</v>
      </c>
      <c r="D2523" t="s">
        <v>20</v>
      </c>
      <c r="E2523">
        <v>168.5</v>
      </c>
      <c r="F2523">
        <v>45</v>
      </c>
      <c r="G2523">
        <v>18843</v>
      </c>
      <c r="H2523">
        <v>900</v>
      </c>
      <c r="I2523">
        <v>8.3000000000000007</v>
      </c>
      <c r="J2523">
        <v>90</v>
      </c>
      <c r="K2523" t="s">
        <v>22</v>
      </c>
      <c r="L2523">
        <v>41</v>
      </c>
      <c r="M2523">
        <v>2.52</v>
      </c>
      <c r="N2523">
        <v>7</v>
      </c>
      <c r="O2523" t="s">
        <v>21</v>
      </c>
      <c r="P2523" cm="1">
        <f t="array" ref="P2523">_xlfn.SWITCH(Table2[[#This Row],[mood]], "Tired", 3, "Neutral", 2, "Happy", 1)</f>
        <v>1</v>
      </c>
    </row>
    <row r="2524" spans="1:16" x14ac:dyDescent="0.3">
      <c r="A2524">
        <v>1105</v>
      </c>
      <c r="B2524" s="1">
        <v>44527</v>
      </c>
      <c r="C2524">
        <v>39</v>
      </c>
      <c r="D2524" t="s">
        <v>15</v>
      </c>
      <c r="E2524">
        <v>170.3</v>
      </c>
      <c r="F2524">
        <v>83.8</v>
      </c>
      <c r="G2524">
        <v>16583</v>
      </c>
      <c r="H2524">
        <v>861.3</v>
      </c>
      <c r="I2524">
        <v>6.5</v>
      </c>
      <c r="J2524">
        <v>75</v>
      </c>
      <c r="K2524" t="s">
        <v>18</v>
      </c>
      <c r="L2524">
        <v>62</v>
      </c>
      <c r="M2524">
        <v>3.59</v>
      </c>
      <c r="N2524">
        <v>4</v>
      </c>
      <c r="O2524" t="s">
        <v>19</v>
      </c>
      <c r="P2524" cm="1">
        <f t="array" ref="P2524">_xlfn.SWITCH(Table2[[#This Row],[mood]], "Tired", 3, "Neutral", 2, "Happy", 1)</f>
        <v>2</v>
      </c>
    </row>
    <row r="2525" spans="1:16" x14ac:dyDescent="0.3">
      <c r="A2525">
        <v>1886</v>
      </c>
      <c r="B2525" s="1">
        <v>44528</v>
      </c>
      <c r="C2525">
        <v>40</v>
      </c>
      <c r="D2525" t="s">
        <v>15</v>
      </c>
      <c r="E2525">
        <v>168.3</v>
      </c>
      <c r="F2525">
        <v>45</v>
      </c>
      <c r="G2525">
        <v>5706</v>
      </c>
      <c r="H2525">
        <v>434.6</v>
      </c>
      <c r="I2525">
        <v>9.8000000000000007</v>
      </c>
      <c r="J2525">
        <v>65</v>
      </c>
      <c r="K2525" t="s">
        <v>18</v>
      </c>
      <c r="L2525">
        <v>81</v>
      </c>
      <c r="M2525">
        <v>2.83</v>
      </c>
      <c r="N2525">
        <v>8</v>
      </c>
      <c r="O2525" t="s">
        <v>21</v>
      </c>
      <c r="P2525" cm="1">
        <f t="array" ref="P2525">_xlfn.SWITCH(Table2[[#This Row],[mood]], "Tired", 3, "Neutral", 2, "Happy", 1)</f>
        <v>1</v>
      </c>
    </row>
    <row r="2526" spans="1:16" x14ac:dyDescent="0.3">
      <c r="A2526">
        <v>1427</v>
      </c>
      <c r="B2526" s="1">
        <v>44529</v>
      </c>
      <c r="C2526">
        <v>47</v>
      </c>
      <c r="D2526" t="s">
        <v>15</v>
      </c>
      <c r="E2526">
        <v>180.8</v>
      </c>
      <c r="F2526">
        <v>49</v>
      </c>
      <c r="G2526">
        <v>14663</v>
      </c>
      <c r="H2526">
        <v>802.3</v>
      </c>
      <c r="I2526">
        <v>7.7</v>
      </c>
      <c r="J2526">
        <v>75</v>
      </c>
      <c r="K2526" t="s">
        <v>18</v>
      </c>
      <c r="L2526">
        <v>73</v>
      </c>
      <c r="M2526">
        <v>2.57</v>
      </c>
      <c r="N2526">
        <v>3</v>
      </c>
      <c r="O2526" t="s">
        <v>17</v>
      </c>
      <c r="P2526" cm="1">
        <f t="array" ref="P2526">_xlfn.SWITCH(Table2[[#This Row],[mood]], "Tired", 3, "Neutral", 2, "Happy", 1)</f>
        <v>3</v>
      </c>
    </row>
    <row r="2527" spans="1:16" x14ac:dyDescent="0.3">
      <c r="A2527">
        <v>1304</v>
      </c>
      <c r="B2527" s="1">
        <v>44530</v>
      </c>
      <c r="C2527">
        <v>22</v>
      </c>
      <c r="D2527" t="s">
        <v>20</v>
      </c>
      <c r="E2527">
        <v>170</v>
      </c>
      <c r="F2527">
        <v>70.099999999999994</v>
      </c>
      <c r="G2527">
        <v>16844</v>
      </c>
      <c r="H2527">
        <v>900</v>
      </c>
      <c r="I2527">
        <v>9.1999999999999993</v>
      </c>
      <c r="J2527">
        <v>83</v>
      </c>
      <c r="K2527" t="s">
        <v>25</v>
      </c>
      <c r="L2527">
        <v>46</v>
      </c>
      <c r="M2527">
        <v>2.96</v>
      </c>
      <c r="N2527">
        <v>6</v>
      </c>
      <c r="O2527" t="s">
        <v>17</v>
      </c>
      <c r="P2527" cm="1">
        <f t="array" ref="P2527">_xlfn.SWITCH(Table2[[#This Row],[mood]], "Tired", 3, "Neutral", 2, "Happy", 1)</f>
        <v>3</v>
      </c>
    </row>
    <row r="2528" spans="1:16" x14ac:dyDescent="0.3">
      <c r="A2528">
        <v>1871</v>
      </c>
      <c r="B2528" s="1">
        <v>44531</v>
      </c>
      <c r="C2528">
        <v>26</v>
      </c>
      <c r="D2528" t="s">
        <v>20</v>
      </c>
      <c r="E2528">
        <v>172.5</v>
      </c>
      <c r="F2528">
        <v>86.6</v>
      </c>
      <c r="G2528">
        <v>10412</v>
      </c>
      <c r="H2528">
        <v>651.20000000000005</v>
      </c>
      <c r="I2528">
        <v>5.8</v>
      </c>
      <c r="J2528">
        <v>54</v>
      </c>
      <c r="K2528" t="s">
        <v>16</v>
      </c>
      <c r="L2528">
        <v>0</v>
      </c>
      <c r="M2528">
        <v>2.96</v>
      </c>
      <c r="N2528">
        <v>7</v>
      </c>
      <c r="O2528" t="s">
        <v>19</v>
      </c>
      <c r="P2528" cm="1">
        <f t="array" ref="P2528">_xlfn.SWITCH(Table2[[#This Row],[mood]], "Tired", 3, "Neutral", 2, "Happy", 1)</f>
        <v>2</v>
      </c>
    </row>
    <row r="2529" spans="1:16" x14ac:dyDescent="0.3">
      <c r="A2529">
        <v>1970</v>
      </c>
      <c r="B2529" s="1">
        <v>44532</v>
      </c>
      <c r="C2529">
        <v>38</v>
      </c>
      <c r="D2529" t="s">
        <v>15</v>
      </c>
      <c r="E2529">
        <v>164.3</v>
      </c>
      <c r="F2529">
        <v>69</v>
      </c>
      <c r="G2529">
        <v>19540</v>
      </c>
      <c r="H2529">
        <v>900</v>
      </c>
      <c r="I2529">
        <v>6.4</v>
      </c>
      <c r="J2529">
        <v>75</v>
      </c>
      <c r="K2529" t="s">
        <v>18</v>
      </c>
      <c r="L2529">
        <v>35</v>
      </c>
      <c r="M2529">
        <v>3.16</v>
      </c>
      <c r="N2529">
        <v>8</v>
      </c>
      <c r="O2529" t="s">
        <v>19</v>
      </c>
      <c r="P2529" cm="1">
        <f t="array" ref="P2529">_xlfn.SWITCH(Table2[[#This Row],[mood]], "Tired", 3, "Neutral", 2, "Happy", 1)</f>
        <v>2</v>
      </c>
    </row>
    <row r="2530" spans="1:16" x14ac:dyDescent="0.3">
      <c r="A2530">
        <v>1316</v>
      </c>
      <c r="B2530" s="1">
        <v>44533</v>
      </c>
      <c r="C2530">
        <v>28</v>
      </c>
      <c r="D2530" t="s">
        <v>20</v>
      </c>
      <c r="E2530">
        <v>181.5</v>
      </c>
      <c r="F2530">
        <v>51.1</v>
      </c>
      <c r="G2530">
        <v>6979</v>
      </c>
      <c r="H2530">
        <v>472.8</v>
      </c>
      <c r="I2530">
        <v>7.4</v>
      </c>
      <c r="J2530">
        <v>82</v>
      </c>
      <c r="K2530" t="s">
        <v>23</v>
      </c>
      <c r="L2530">
        <v>30</v>
      </c>
      <c r="M2530">
        <v>1.97</v>
      </c>
      <c r="N2530">
        <v>4</v>
      </c>
      <c r="O2530" t="s">
        <v>21</v>
      </c>
      <c r="P2530" cm="1">
        <f t="array" ref="P2530">_xlfn.SWITCH(Table2[[#This Row],[mood]], "Tired", 3, "Neutral", 2, "Happy", 1)</f>
        <v>1</v>
      </c>
    </row>
    <row r="2531" spans="1:16" x14ac:dyDescent="0.3">
      <c r="A2531">
        <v>1962</v>
      </c>
      <c r="B2531" s="1">
        <v>44534</v>
      </c>
      <c r="C2531">
        <v>22</v>
      </c>
      <c r="D2531" t="s">
        <v>15</v>
      </c>
      <c r="E2531">
        <v>182.2</v>
      </c>
      <c r="F2531">
        <v>72.7</v>
      </c>
      <c r="G2531">
        <v>8943</v>
      </c>
      <c r="H2531">
        <v>631.4</v>
      </c>
      <c r="I2531">
        <v>6.3</v>
      </c>
      <c r="J2531">
        <v>77</v>
      </c>
      <c r="K2531" t="s">
        <v>24</v>
      </c>
      <c r="L2531">
        <v>40</v>
      </c>
      <c r="M2531">
        <v>2.16</v>
      </c>
      <c r="N2531">
        <v>5</v>
      </c>
      <c r="O2531" t="s">
        <v>21</v>
      </c>
      <c r="P2531" cm="1">
        <f t="array" ref="P2531">_xlfn.SWITCH(Table2[[#This Row],[mood]], "Tired", 3, "Neutral", 2, "Happy", 1)</f>
        <v>1</v>
      </c>
    </row>
    <row r="2532" spans="1:16" x14ac:dyDescent="0.3">
      <c r="A2532">
        <v>1634</v>
      </c>
      <c r="B2532" s="1">
        <v>44535</v>
      </c>
      <c r="C2532">
        <v>52</v>
      </c>
      <c r="D2532" t="s">
        <v>15</v>
      </c>
      <c r="E2532">
        <v>169.6</v>
      </c>
      <c r="F2532">
        <v>63</v>
      </c>
      <c r="G2532">
        <v>9911</v>
      </c>
      <c r="H2532">
        <v>600</v>
      </c>
      <c r="I2532">
        <v>8.6</v>
      </c>
      <c r="J2532">
        <v>71</v>
      </c>
      <c r="K2532" t="s">
        <v>23</v>
      </c>
      <c r="L2532">
        <v>28</v>
      </c>
      <c r="M2532">
        <v>1.93</v>
      </c>
      <c r="N2532">
        <v>6</v>
      </c>
      <c r="O2532" t="s">
        <v>21</v>
      </c>
      <c r="P2532" cm="1">
        <f t="array" ref="P2532">_xlfn.SWITCH(Table2[[#This Row],[mood]], "Tired", 3, "Neutral", 2, "Happy", 1)</f>
        <v>1</v>
      </c>
    </row>
    <row r="2533" spans="1:16" x14ac:dyDescent="0.3">
      <c r="A2533">
        <v>1901</v>
      </c>
      <c r="B2533" s="1">
        <v>44536</v>
      </c>
      <c r="C2533">
        <v>44</v>
      </c>
      <c r="D2533" t="s">
        <v>20</v>
      </c>
      <c r="E2533">
        <v>164.2</v>
      </c>
      <c r="F2533">
        <v>87</v>
      </c>
      <c r="G2533">
        <v>8486</v>
      </c>
      <c r="H2533">
        <v>441.7</v>
      </c>
      <c r="I2533">
        <v>8.6</v>
      </c>
      <c r="J2533">
        <v>63</v>
      </c>
      <c r="K2533" t="s">
        <v>25</v>
      </c>
      <c r="L2533">
        <v>46</v>
      </c>
      <c r="M2533">
        <v>3.04</v>
      </c>
      <c r="N2533">
        <v>1</v>
      </c>
      <c r="O2533" t="s">
        <v>21</v>
      </c>
      <c r="P2533" cm="1">
        <f t="array" ref="P2533">_xlfn.SWITCH(Table2[[#This Row],[mood]], "Tired", 3, "Neutral", 2, "Happy", 1)</f>
        <v>1</v>
      </c>
    </row>
    <row r="2534" spans="1:16" x14ac:dyDescent="0.3">
      <c r="A2534">
        <v>1008</v>
      </c>
      <c r="B2534" s="1">
        <v>44537</v>
      </c>
      <c r="C2534">
        <v>19</v>
      </c>
      <c r="D2534" t="s">
        <v>15</v>
      </c>
      <c r="E2534">
        <v>153.80000000000001</v>
      </c>
      <c r="F2534">
        <v>82.8</v>
      </c>
      <c r="G2534">
        <v>2105</v>
      </c>
      <c r="H2534">
        <v>407.1</v>
      </c>
      <c r="I2534">
        <v>6.6</v>
      </c>
      <c r="J2534">
        <v>75</v>
      </c>
      <c r="K2534" t="s">
        <v>18</v>
      </c>
      <c r="L2534">
        <v>42</v>
      </c>
      <c r="M2534">
        <v>3</v>
      </c>
      <c r="N2534">
        <v>9</v>
      </c>
      <c r="O2534" t="s">
        <v>21</v>
      </c>
      <c r="P2534" cm="1">
        <f t="array" ref="P2534">_xlfn.SWITCH(Table2[[#This Row],[mood]], "Tired", 3, "Neutral", 2, "Happy", 1)</f>
        <v>1</v>
      </c>
    </row>
    <row r="2535" spans="1:16" x14ac:dyDescent="0.3">
      <c r="A2535">
        <v>1773</v>
      </c>
      <c r="B2535" s="1">
        <v>44538</v>
      </c>
      <c r="C2535">
        <v>41</v>
      </c>
      <c r="D2535" t="s">
        <v>20</v>
      </c>
      <c r="E2535">
        <v>161.30000000000001</v>
      </c>
      <c r="F2535">
        <v>61.9</v>
      </c>
      <c r="G2535">
        <v>4769</v>
      </c>
      <c r="H2535">
        <v>393.1</v>
      </c>
      <c r="I2535">
        <v>8</v>
      </c>
      <c r="J2535">
        <v>63</v>
      </c>
      <c r="K2535" t="s">
        <v>22</v>
      </c>
      <c r="L2535">
        <v>70</v>
      </c>
      <c r="M2535">
        <v>1.61</v>
      </c>
      <c r="N2535">
        <v>3</v>
      </c>
      <c r="O2535" t="s">
        <v>19</v>
      </c>
      <c r="P2535" cm="1">
        <f t="array" ref="P2535">_xlfn.SWITCH(Table2[[#This Row],[mood]], "Tired", 3, "Neutral", 2, "Happy", 1)</f>
        <v>2</v>
      </c>
    </row>
    <row r="2536" spans="1:16" x14ac:dyDescent="0.3">
      <c r="A2536">
        <v>1072</v>
      </c>
      <c r="B2536" s="1">
        <v>44539</v>
      </c>
      <c r="C2536">
        <v>48</v>
      </c>
      <c r="D2536" t="s">
        <v>15</v>
      </c>
      <c r="E2536">
        <v>150</v>
      </c>
      <c r="F2536">
        <v>81.7</v>
      </c>
      <c r="G2536">
        <v>3479</v>
      </c>
      <c r="H2536">
        <v>365.6</v>
      </c>
      <c r="I2536">
        <v>10</v>
      </c>
      <c r="J2536">
        <v>82</v>
      </c>
      <c r="K2536" t="s">
        <v>24</v>
      </c>
      <c r="L2536">
        <v>22</v>
      </c>
      <c r="M2536">
        <v>2.77</v>
      </c>
      <c r="N2536">
        <v>2</v>
      </c>
      <c r="O2536" t="s">
        <v>17</v>
      </c>
      <c r="P2536" cm="1">
        <f t="array" ref="P2536">_xlfn.SWITCH(Table2[[#This Row],[mood]], "Tired", 3, "Neutral", 2, "Happy", 1)</f>
        <v>3</v>
      </c>
    </row>
    <row r="2537" spans="1:16" x14ac:dyDescent="0.3">
      <c r="A2537">
        <v>1358</v>
      </c>
      <c r="B2537" s="1">
        <v>44540</v>
      </c>
      <c r="C2537">
        <v>50</v>
      </c>
      <c r="D2537" t="s">
        <v>20</v>
      </c>
      <c r="E2537">
        <v>160.9</v>
      </c>
      <c r="F2537">
        <v>74.099999999999994</v>
      </c>
      <c r="G2537">
        <v>11112</v>
      </c>
      <c r="H2537">
        <v>591</v>
      </c>
      <c r="I2537">
        <v>8.6</v>
      </c>
      <c r="J2537">
        <v>76</v>
      </c>
      <c r="K2537" t="s">
        <v>16</v>
      </c>
      <c r="L2537">
        <v>0</v>
      </c>
      <c r="M2537">
        <v>3.46</v>
      </c>
      <c r="N2537">
        <v>7</v>
      </c>
      <c r="O2537" t="s">
        <v>21</v>
      </c>
      <c r="P2537" cm="1">
        <f t="array" ref="P2537">_xlfn.SWITCH(Table2[[#This Row],[mood]], "Tired", 3, "Neutral", 2, "Happy", 1)</f>
        <v>1</v>
      </c>
    </row>
    <row r="2538" spans="1:16" x14ac:dyDescent="0.3">
      <c r="A2538">
        <v>1222</v>
      </c>
      <c r="B2538" s="1">
        <v>44541</v>
      </c>
      <c r="C2538">
        <v>56</v>
      </c>
      <c r="D2538" t="s">
        <v>15</v>
      </c>
      <c r="E2538">
        <v>173.6</v>
      </c>
      <c r="F2538">
        <v>90.5</v>
      </c>
      <c r="G2538">
        <v>12271</v>
      </c>
      <c r="H2538">
        <v>800.7</v>
      </c>
      <c r="I2538">
        <v>8</v>
      </c>
      <c r="J2538">
        <v>90</v>
      </c>
      <c r="K2538" t="s">
        <v>25</v>
      </c>
      <c r="L2538">
        <v>27</v>
      </c>
      <c r="M2538">
        <v>2.34</v>
      </c>
      <c r="N2538">
        <v>4</v>
      </c>
      <c r="O2538" t="s">
        <v>17</v>
      </c>
      <c r="P2538" cm="1">
        <f t="array" ref="P2538">_xlfn.SWITCH(Table2[[#This Row],[mood]], "Tired", 3, "Neutral", 2, "Happy", 1)</f>
        <v>3</v>
      </c>
    </row>
    <row r="2539" spans="1:16" x14ac:dyDescent="0.3">
      <c r="A2539">
        <v>1415</v>
      </c>
      <c r="B2539" s="1">
        <v>44542</v>
      </c>
      <c r="C2539">
        <v>47</v>
      </c>
      <c r="D2539" t="s">
        <v>15</v>
      </c>
      <c r="E2539">
        <v>169.5</v>
      </c>
      <c r="F2539">
        <v>81.099999999999994</v>
      </c>
      <c r="G2539">
        <v>5731</v>
      </c>
      <c r="H2539">
        <v>389.6</v>
      </c>
      <c r="I2539">
        <v>8.9</v>
      </c>
      <c r="J2539">
        <v>55</v>
      </c>
      <c r="K2539" t="s">
        <v>23</v>
      </c>
      <c r="L2539">
        <v>61</v>
      </c>
      <c r="M2539">
        <v>2.72</v>
      </c>
      <c r="N2539">
        <v>4</v>
      </c>
      <c r="O2539" t="s">
        <v>17</v>
      </c>
      <c r="P2539" cm="1">
        <f t="array" ref="P2539">_xlfn.SWITCH(Table2[[#This Row],[mood]], "Tired", 3, "Neutral", 2, "Happy", 1)</f>
        <v>3</v>
      </c>
    </row>
    <row r="2540" spans="1:16" x14ac:dyDescent="0.3">
      <c r="A2540">
        <v>1552</v>
      </c>
      <c r="B2540" s="1">
        <v>44543</v>
      </c>
      <c r="C2540">
        <v>54</v>
      </c>
      <c r="D2540" t="s">
        <v>20</v>
      </c>
      <c r="E2540">
        <v>193.2</v>
      </c>
      <c r="F2540">
        <v>78.2</v>
      </c>
      <c r="G2540">
        <v>12361</v>
      </c>
      <c r="H2540">
        <v>675.2</v>
      </c>
      <c r="I2540">
        <v>9.5</v>
      </c>
      <c r="J2540">
        <v>72</v>
      </c>
      <c r="K2540" t="s">
        <v>18</v>
      </c>
      <c r="L2540">
        <v>54</v>
      </c>
      <c r="M2540">
        <v>3.01</v>
      </c>
      <c r="N2540">
        <v>10</v>
      </c>
      <c r="O2540" t="s">
        <v>19</v>
      </c>
      <c r="P2540" cm="1">
        <f t="array" ref="P2540">_xlfn.SWITCH(Table2[[#This Row],[mood]], "Tired", 3, "Neutral", 2, "Happy", 1)</f>
        <v>2</v>
      </c>
    </row>
    <row r="2541" spans="1:16" x14ac:dyDescent="0.3">
      <c r="A2541">
        <v>1369</v>
      </c>
      <c r="B2541" s="1">
        <v>44544</v>
      </c>
      <c r="C2541">
        <v>45</v>
      </c>
      <c r="D2541" t="s">
        <v>15</v>
      </c>
      <c r="E2541">
        <v>166.3</v>
      </c>
      <c r="F2541">
        <v>89.9</v>
      </c>
      <c r="G2541">
        <v>17087</v>
      </c>
      <c r="H2541">
        <v>807</v>
      </c>
      <c r="I2541">
        <v>9.3000000000000007</v>
      </c>
      <c r="J2541">
        <v>82</v>
      </c>
      <c r="K2541" t="s">
        <v>25</v>
      </c>
      <c r="L2541">
        <v>67</v>
      </c>
      <c r="M2541">
        <v>1.58</v>
      </c>
      <c r="N2541">
        <v>9</v>
      </c>
      <c r="O2541" t="s">
        <v>21</v>
      </c>
      <c r="P2541" cm="1">
        <f t="array" ref="P2541">_xlfn.SWITCH(Table2[[#This Row],[mood]], "Tired", 3, "Neutral", 2, "Happy", 1)</f>
        <v>1</v>
      </c>
    </row>
    <row r="2542" spans="1:16" x14ac:dyDescent="0.3">
      <c r="A2542">
        <v>1715</v>
      </c>
      <c r="B2542" s="1">
        <v>44545</v>
      </c>
      <c r="C2542">
        <v>48</v>
      </c>
      <c r="D2542" t="s">
        <v>15</v>
      </c>
      <c r="E2542">
        <v>165.5</v>
      </c>
      <c r="F2542">
        <v>70.2</v>
      </c>
      <c r="G2542">
        <v>4172</v>
      </c>
      <c r="H2542">
        <v>385.1</v>
      </c>
      <c r="I2542">
        <v>6.9</v>
      </c>
      <c r="J2542">
        <v>86</v>
      </c>
      <c r="K2542" t="s">
        <v>25</v>
      </c>
      <c r="L2542">
        <v>73</v>
      </c>
      <c r="M2542">
        <v>2.61</v>
      </c>
      <c r="N2542">
        <v>7</v>
      </c>
      <c r="O2542" t="s">
        <v>21</v>
      </c>
      <c r="P2542" cm="1">
        <f t="array" ref="P2542">_xlfn.SWITCH(Table2[[#This Row],[mood]], "Tired", 3, "Neutral", 2, "Happy", 1)</f>
        <v>1</v>
      </c>
    </row>
    <row r="2543" spans="1:16" x14ac:dyDescent="0.3">
      <c r="A2543">
        <v>1263</v>
      </c>
      <c r="B2543" s="1">
        <v>44546</v>
      </c>
      <c r="C2543">
        <v>28</v>
      </c>
      <c r="D2543" t="s">
        <v>20</v>
      </c>
      <c r="E2543">
        <v>180.6</v>
      </c>
      <c r="F2543">
        <v>58.4</v>
      </c>
      <c r="G2543">
        <v>15041</v>
      </c>
      <c r="H2543">
        <v>787.6</v>
      </c>
      <c r="I2543">
        <v>8.4</v>
      </c>
      <c r="J2543">
        <v>83</v>
      </c>
      <c r="K2543" t="s">
        <v>22</v>
      </c>
      <c r="L2543">
        <v>55</v>
      </c>
      <c r="M2543">
        <v>3.39</v>
      </c>
      <c r="N2543">
        <v>9</v>
      </c>
      <c r="O2543" t="s">
        <v>21</v>
      </c>
      <c r="P2543" cm="1">
        <f t="array" ref="P2543">_xlfn.SWITCH(Table2[[#This Row],[mood]], "Tired", 3, "Neutral", 2, "Happy", 1)</f>
        <v>1</v>
      </c>
    </row>
    <row r="2544" spans="1:16" x14ac:dyDescent="0.3">
      <c r="A2544">
        <v>1839</v>
      </c>
      <c r="B2544" s="1">
        <v>44547</v>
      </c>
      <c r="C2544">
        <v>40</v>
      </c>
      <c r="D2544" t="s">
        <v>15</v>
      </c>
      <c r="E2544">
        <v>150.69999999999999</v>
      </c>
      <c r="F2544">
        <v>73</v>
      </c>
      <c r="G2544">
        <v>8068</v>
      </c>
      <c r="H2544">
        <v>445.5</v>
      </c>
      <c r="I2544">
        <v>6.6</v>
      </c>
      <c r="J2544">
        <v>65</v>
      </c>
      <c r="K2544" t="s">
        <v>16</v>
      </c>
      <c r="L2544">
        <v>0</v>
      </c>
      <c r="M2544">
        <v>2.08</v>
      </c>
      <c r="N2544">
        <v>1</v>
      </c>
      <c r="O2544" t="s">
        <v>21</v>
      </c>
      <c r="P2544" cm="1">
        <f t="array" ref="P2544">_xlfn.SWITCH(Table2[[#This Row],[mood]], "Tired", 3, "Neutral", 2, "Happy", 1)</f>
        <v>1</v>
      </c>
    </row>
    <row r="2545" spans="1:16" x14ac:dyDescent="0.3">
      <c r="A2545">
        <v>1689</v>
      </c>
      <c r="B2545" s="1">
        <v>44548</v>
      </c>
      <c r="C2545">
        <v>19</v>
      </c>
      <c r="D2545" t="s">
        <v>20</v>
      </c>
      <c r="E2545">
        <v>155.19999999999999</v>
      </c>
      <c r="F2545">
        <v>64.7</v>
      </c>
      <c r="G2545">
        <v>7557</v>
      </c>
      <c r="H2545">
        <v>498.9</v>
      </c>
      <c r="I2545">
        <v>6.9</v>
      </c>
      <c r="J2545">
        <v>70</v>
      </c>
      <c r="K2545" t="s">
        <v>22</v>
      </c>
      <c r="L2545">
        <v>31</v>
      </c>
      <c r="M2545">
        <v>3.08</v>
      </c>
      <c r="N2545">
        <v>3</v>
      </c>
      <c r="O2545" t="s">
        <v>19</v>
      </c>
      <c r="P2545" cm="1">
        <f t="array" ref="P2545">_xlfn.SWITCH(Table2[[#This Row],[mood]], "Tired", 3, "Neutral", 2, "Happy", 1)</f>
        <v>2</v>
      </c>
    </row>
    <row r="2546" spans="1:16" x14ac:dyDescent="0.3">
      <c r="A2546">
        <v>1859</v>
      </c>
      <c r="B2546" s="1">
        <v>44549</v>
      </c>
      <c r="C2546">
        <v>57</v>
      </c>
      <c r="D2546" t="s">
        <v>15</v>
      </c>
      <c r="E2546">
        <v>176.6</v>
      </c>
      <c r="F2546">
        <v>79.099999999999994</v>
      </c>
      <c r="G2546">
        <v>4330</v>
      </c>
      <c r="H2546">
        <v>377.9</v>
      </c>
      <c r="I2546">
        <v>7.7</v>
      </c>
      <c r="J2546">
        <v>53</v>
      </c>
      <c r="K2546" t="s">
        <v>22</v>
      </c>
      <c r="L2546">
        <v>78</v>
      </c>
      <c r="M2546">
        <v>2.52</v>
      </c>
      <c r="N2546">
        <v>10</v>
      </c>
      <c r="O2546" t="s">
        <v>19</v>
      </c>
      <c r="P2546" cm="1">
        <f t="array" ref="P2546">_xlfn.SWITCH(Table2[[#This Row],[mood]], "Tired", 3, "Neutral", 2, "Happy", 1)</f>
        <v>2</v>
      </c>
    </row>
    <row r="2547" spans="1:16" x14ac:dyDescent="0.3">
      <c r="A2547">
        <v>1317</v>
      </c>
      <c r="B2547" s="1">
        <v>44550</v>
      </c>
      <c r="C2547">
        <v>58</v>
      </c>
      <c r="D2547" t="s">
        <v>20</v>
      </c>
      <c r="E2547">
        <v>168</v>
      </c>
      <c r="F2547">
        <v>70.900000000000006</v>
      </c>
      <c r="G2547">
        <v>7022</v>
      </c>
      <c r="H2547">
        <v>468.5</v>
      </c>
      <c r="I2547">
        <v>4.8</v>
      </c>
      <c r="J2547">
        <v>75</v>
      </c>
      <c r="K2547" t="s">
        <v>16</v>
      </c>
      <c r="L2547">
        <v>0</v>
      </c>
      <c r="M2547">
        <v>2.0299999999999998</v>
      </c>
      <c r="N2547">
        <v>10</v>
      </c>
      <c r="O2547" t="s">
        <v>21</v>
      </c>
      <c r="P2547" cm="1">
        <f t="array" ref="P2547">_xlfn.SWITCH(Table2[[#This Row],[mood]], "Tired", 3, "Neutral", 2, "Happy", 1)</f>
        <v>1</v>
      </c>
    </row>
    <row r="2548" spans="1:16" x14ac:dyDescent="0.3">
      <c r="A2548">
        <v>1083</v>
      </c>
      <c r="B2548" s="1">
        <v>44551</v>
      </c>
      <c r="C2548">
        <v>44</v>
      </c>
      <c r="D2548" t="s">
        <v>15</v>
      </c>
      <c r="E2548">
        <v>168.3</v>
      </c>
      <c r="F2548">
        <v>76</v>
      </c>
      <c r="G2548">
        <v>13643</v>
      </c>
      <c r="H2548">
        <v>654.70000000000005</v>
      </c>
      <c r="I2548">
        <v>7.6</v>
      </c>
      <c r="J2548">
        <v>87</v>
      </c>
      <c r="K2548" t="s">
        <v>23</v>
      </c>
      <c r="L2548">
        <v>69</v>
      </c>
      <c r="M2548">
        <v>2.4300000000000002</v>
      </c>
      <c r="N2548">
        <v>6</v>
      </c>
      <c r="O2548" t="s">
        <v>21</v>
      </c>
      <c r="P2548" cm="1">
        <f t="array" ref="P2548">_xlfn.SWITCH(Table2[[#This Row],[mood]], "Tired", 3, "Neutral", 2, "Happy", 1)</f>
        <v>1</v>
      </c>
    </row>
    <row r="2549" spans="1:16" x14ac:dyDescent="0.3">
      <c r="A2549">
        <v>1317</v>
      </c>
      <c r="B2549" s="1">
        <v>44552</v>
      </c>
      <c r="C2549">
        <v>52</v>
      </c>
      <c r="D2549" t="s">
        <v>15</v>
      </c>
      <c r="E2549">
        <v>160.6</v>
      </c>
      <c r="F2549">
        <v>51.9</v>
      </c>
      <c r="G2549">
        <v>3058</v>
      </c>
      <c r="H2549">
        <v>336.9</v>
      </c>
      <c r="I2549">
        <v>6</v>
      </c>
      <c r="J2549">
        <v>75</v>
      </c>
      <c r="K2549" t="s">
        <v>22</v>
      </c>
      <c r="L2549">
        <v>62</v>
      </c>
      <c r="M2549">
        <v>2.13</v>
      </c>
      <c r="N2549">
        <v>1</v>
      </c>
      <c r="O2549" t="s">
        <v>17</v>
      </c>
      <c r="P2549" cm="1">
        <f t="array" ref="P2549">_xlfn.SWITCH(Table2[[#This Row],[mood]], "Tired", 3, "Neutral", 2, "Happy", 1)</f>
        <v>3</v>
      </c>
    </row>
    <row r="2550" spans="1:16" x14ac:dyDescent="0.3">
      <c r="A2550">
        <v>1110</v>
      </c>
      <c r="B2550" s="1">
        <v>44553</v>
      </c>
      <c r="C2550">
        <v>19</v>
      </c>
      <c r="D2550" t="s">
        <v>15</v>
      </c>
      <c r="E2550">
        <v>172.4</v>
      </c>
      <c r="F2550">
        <v>77.599999999999994</v>
      </c>
      <c r="G2550">
        <v>19254</v>
      </c>
      <c r="H2550">
        <v>900</v>
      </c>
      <c r="I2550">
        <v>5.2</v>
      </c>
      <c r="J2550">
        <v>81</v>
      </c>
      <c r="K2550" t="s">
        <v>16</v>
      </c>
      <c r="L2550">
        <v>0</v>
      </c>
      <c r="M2550">
        <v>1.88</v>
      </c>
      <c r="N2550">
        <v>5</v>
      </c>
      <c r="O2550" t="s">
        <v>17</v>
      </c>
      <c r="P2550" cm="1">
        <f t="array" ref="P2550">_xlfn.SWITCH(Table2[[#This Row],[mood]], "Tired", 3, "Neutral", 2, "Happy", 1)</f>
        <v>3</v>
      </c>
    </row>
    <row r="2551" spans="1:16" x14ac:dyDescent="0.3">
      <c r="A2551">
        <v>1250</v>
      </c>
      <c r="B2551" s="1">
        <v>44554</v>
      </c>
      <c r="C2551">
        <v>56</v>
      </c>
      <c r="D2551" t="s">
        <v>20</v>
      </c>
      <c r="E2551">
        <v>161.9</v>
      </c>
      <c r="F2551">
        <v>50.7</v>
      </c>
      <c r="G2551">
        <v>4621</v>
      </c>
      <c r="H2551">
        <v>429.3</v>
      </c>
      <c r="I2551">
        <v>8.1999999999999993</v>
      </c>
      <c r="J2551">
        <v>81</v>
      </c>
      <c r="K2551" t="s">
        <v>25</v>
      </c>
      <c r="L2551">
        <v>68</v>
      </c>
      <c r="M2551">
        <v>2.3199999999999998</v>
      </c>
      <c r="N2551">
        <v>4</v>
      </c>
      <c r="O2551" t="s">
        <v>21</v>
      </c>
      <c r="P2551" cm="1">
        <f t="array" ref="P2551">_xlfn.SWITCH(Table2[[#This Row],[mood]], "Tired", 3, "Neutral", 2, "Happy", 1)</f>
        <v>1</v>
      </c>
    </row>
    <row r="2552" spans="1:16" x14ac:dyDescent="0.3">
      <c r="A2552">
        <v>1382</v>
      </c>
      <c r="B2552" s="1">
        <v>44555</v>
      </c>
      <c r="C2552">
        <v>54</v>
      </c>
      <c r="D2552" t="s">
        <v>20</v>
      </c>
      <c r="E2552">
        <v>170.7</v>
      </c>
      <c r="F2552">
        <v>84.4</v>
      </c>
      <c r="G2552">
        <v>10337</v>
      </c>
      <c r="H2552">
        <v>585.70000000000005</v>
      </c>
      <c r="I2552">
        <v>6.6</v>
      </c>
      <c r="J2552">
        <v>72</v>
      </c>
      <c r="K2552" t="s">
        <v>25</v>
      </c>
      <c r="L2552">
        <v>74</v>
      </c>
      <c r="M2552">
        <v>2.5499999999999998</v>
      </c>
      <c r="N2552">
        <v>4</v>
      </c>
      <c r="O2552" t="s">
        <v>21</v>
      </c>
      <c r="P2552" cm="1">
        <f t="array" ref="P2552">_xlfn.SWITCH(Table2[[#This Row],[mood]], "Tired", 3, "Neutral", 2, "Happy", 1)</f>
        <v>1</v>
      </c>
    </row>
    <row r="2553" spans="1:16" x14ac:dyDescent="0.3">
      <c r="A2553">
        <v>1006</v>
      </c>
      <c r="B2553" s="1">
        <v>44556</v>
      </c>
      <c r="C2553">
        <v>38</v>
      </c>
      <c r="D2553" t="s">
        <v>20</v>
      </c>
      <c r="E2553">
        <v>158.4</v>
      </c>
      <c r="F2553">
        <v>84.4</v>
      </c>
      <c r="G2553">
        <v>4991</v>
      </c>
      <c r="H2553">
        <v>446</v>
      </c>
      <c r="I2553">
        <v>7.3</v>
      </c>
      <c r="J2553">
        <v>51</v>
      </c>
      <c r="K2553" t="s">
        <v>16</v>
      </c>
      <c r="L2553">
        <v>0</v>
      </c>
      <c r="M2553">
        <v>2.38</v>
      </c>
      <c r="N2553">
        <v>7</v>
      </c>
      <c r="O2553" t="s">
        <v>17</v>
      </c>
      <c r="P2553" cm="1">
        <f t="array" ref="P2553">_xlfn.SWITCH(Table2[[#This Row],[mood]], "Tired", 3, "Neutral", 2, "Happy", 1)</f>
        <v>3</v>
      </c>
    </row>
    <row r="2554" spans="1:16" x14ac:dyDescent="0.3">
      <c r="A2554">
        <v>1458</v>
      </c>
      <c r="B2554" s="1">
        <v>44557</v>
      </c>
      <c r="C2554">
        <v>22</v>
      </c>
      <c r="D2554" t="s">
        <v>20</v>
      </c>
      <c r="E2554">
        <v>168.2</v>
      </c>
      <c r="F2554">
        <v>75.2</v>
      </c>
      <c r="G2554">
        <v>12565</v>
      </c>
      <c r="H2554">
        <v>703.3</v>
      </c>
      <c r="I2554">
        <v>6.6</v>
      </c>
      <c r="J2554">
        <v>88</v>
      </c>
      <c r="K2554" t="s">
        <v>25</v>
      </c>
      <c r="L2554">
        <v>40</v>
      </c>
      <c r="M2554">
        <v>2.31</v>
      </c>
      <c r="N2554">
        <v>5</v>
      </c>
      <c r="O2554" t="s">
        <v>17</v>
      </c>
      <c r="P2554" cm="1">
        <f t="array" ref="P2554">_xlfn.SWITCH(Table2[[#This Row],[mood]], "Tired", 3, "Neutral", 2, "Happy", 1)</f>
        <v>3</v>
      </c>
    </row>
    <row r="2555" spans="1:16" x14ac:dyDescent="0.3">
      <c r="A2555">
        <v>1083</v>
      </c>
      <c r="B2555" s="1">
        <v>44558</v>
      </c>
      <c r="C2555">
        <v>38</v>
      </c>
      <c r="D2555" t="s">
        <v>15</v>
      </c>
      <c r="E2555">
        <v>190.2</v>
      </c>
      <c r="F2555">
        <v>74.7</v>
      </c>
      <c r="G2555">
        <v>9503</v>
      </c>
      <c r="H2555">
        <v>583.4</v>
      </c>
      <c r="I2555">
        <v>6.1</v>
      </c>
      <c r="J2555">
        <v>79</v>
      </c>
      <c r="K2555" t="s">
        <v>24</v>
      </c>
      <c r="L2555">
        <v>32</v>
      </c>
      <c r="M2555">
        <v>2.66</v>
      </c>
      <c r="N2555">
        <v>7</v>
      </c>
      <c r="O2555" t="s">
        <v>21</v>
      </c>
      <c r="P2555" cm="1">
        <f t="array" ref="P2555">_xlfn.SWITCH(Table2[[#This Row],[mood]], "Tired", 3, "Neutral", 2, "Happy", 1)</f>
        <v>1</v>
      </c>
    </row>
    <row r="2556" spans="1:16" x14ac:dyDescent="0.3">
      <c r="A2556">
        <v>1207</v>
      </c>
      <c r="B2556" s="1">
        <v>44559</v>
      </c>
      <c r="C2556">
        <v>46</v>
      </c>
      <c r="D2556" t="s">
        <v>15</v>
      </c>
      <c r="E2556">
        <v>165.8</v>
      </c>
      <c r="F2556">
        <v>66.599999999999994</v>
      </c>
      <c r="G2556">
        <v>18158</v>
      </c>
      <c r="H2556">
        <v>900</v>
      </c>
      <c r="I2556">
        <v>7.2</v>
      </c>
      <c r="J2556">
        <v>62</v>
      </c>
      <c r="K2556" t="s">
        <v>24</v>
      </c>
      <c r="L2556">
        <v>61</v>
      </c>
      <c r="M2556">
        <v>2.87</v>
      </c>
      <c r="N2556">
        <v>1</v>
      </c>
      <c r="O2556" t="s">
        <v>17</v>
      </c>
      <c r="P2556" cm="1">
        <f t="array" ref="P2556">_xlfn.SWITCH(Table2[[#This Row],[mood]], "Tired", 3, "Neutral", 2, "Happy", 1)</f>
        <v>3</v>
      </c>
    </row>
    <row r="2557" spans="1:16" x14ac:dyDescent="0.3">
      <c r="A2557">
        <v>1899</v>
      </c>
      <c r="B2557" s="1">
        <v>44560</v>
      </c>
      <c r="C2557">
        <v>37</v>
      </c>
      <c r="D2557" t="s">
        <v>20</v>
      </c>
      <c r="E2557">
        <v>168.7</v>
      </c>
      <c r="F2557">
        <v>61</v>
      </c>
      <c r="G2557">
        <v>16337</v>
      </c>
      <c r="H2557">
        <v>812.7</v>
      </c>
      <c r="I2557">
        <v>5</v>
      </c>
      <c r="J2557">
        <v>79</v>
      </c>
      <c r="K2557" t="s">
        <v>16</v>
      </c>
      <c r="L2557">
        <v>0</v>
      </c>
      <c r="M2557">
        <v>1.7</v>
      </c>
      <c r="N2557">
        <v>9</v>
      </c>
      <c r="O2557" t="s">
        <v>19</v>
      </c>
      <c r="P2557" cm="1">
        <f t="array" ref="P2557">_xlfn.SWITCH(Table2[[#This Row],[mood]], "Tired", 3, "Neutral", 2, "Happy", 1)</f>
        <v>2</v>
      </c>
    </row>
    <row r="2558" spans="1:16" x14ac:dyDescent="0.3">
      <c r="A2558">
        <v>1389</v>
      </c>
      <c r="B2558" s="1">
        <v>44561</v>
      </c>
      <c r="C2558">
        <v>55</v>
      </c>
      <c r="D2558" t="s">
        <v>20</v>
      </c>
      <c r="E2558">
        <v>168</v>
      </c>
      <c r="F2558">
        <v>69.8</v>
      </c>
      <c r="G2558">
        <v>12112</v>
      </c>
      <c r="H2558">
        <v>629.70000000000005</v>
      </c>
      <c r="I2558">
        <v>6.9</v>
      </c>
      <c r="J2558">
        <v>77</v>
      </c>
      <c r="K2558" t="s">
        <v>16</v>
      </c>
      <c r="L2558">
        <v>0</v>
      </c>
      <c r="M2558">
        <v>2.3199999999999998</v>
      </c>
      <c r="N2558">
        <v>8</v>
      </c>
      <c r="O2558" t="s">
        <v>17</v>
      </c>
      <c r="P2558" cm="1">
        <f t="array" ref="P2558">_xlfn.SWITCH(Table2[[#This Row],[mood]], "Tired", 3, "Neutral", 2, "Happy", 1)</f>
        <v>3</v>
      </c>
    </row>
    <row r="2559" spans="1:16" x14ac:dyDescent="0.3">
      <c r="A2559">
        <v>1313</v>
      </c>
      <c r="B2559" s="1">
        <v>44562</v>
      </c>
      <c r="C2559">
        <v>37</v>
      </c>
      <c r="D2559" t="s">
        <v>20</v>
      </c>
      <c r="E2559">
        <v>171.7</v>
      </c>
      <c r="F2559">
        <v>99.7</v>
      </c>
      <c r="G2559">
        <v>14761</v>
      </c>
      <c r="H2559">
        <v>818.2</v>
      </c>
      <c r="I2559">
        <v>10</v>
      </c>
      <c r="J2559">
        <v>88</v>
      </c>
      <c r="K2559" t="s">
        <v>23</v>
      </c>
      <c r="L2559">
        <v>20</v>
      </c>
      <c r="M2559">
        <v>1.1200000000000001</v>
      </c>
      <c r="N2559">
        <v>7</v>
      </c>
      <c r="O2559" t="s">
        <v>21</v>
      </c>
      <c r="P2559" cm="1">
        <f t="array" ref="P2559">_xlfn.SWITCH(Table2[[#This Row],[mood]], "Tired", 3, "Neutral", 2, "Happy", 1)</f>
        <v>1</v>
      </c>
    </row>
    <row r="2560" spans="1:16" x14ac:dyDescent="0.3">
      <c r="A2560">
        <v>1021</v>
      </c>
      <c r="B2560" s="1">
        <v>44563</v>
      </c>
      <c r="C2560">
        <v>42</v>
      </c>
      <c r="D2560" t="s">
        <v>15</v>
      </c>
      <c r="E2560">
        <v>174.7</v>
      </c>
      <c r="F2560">
        <v>73.400000000000006</v>
      </c>
      <c r="G2560">
        <v>11023</v>
      </c>
      <c r="H2560">
        <v>575.20000000000005</v>
      </c>
      <c r="I2560">
        <v>5.2</v>
      </c>
      <c r="J2560">
        <v>80</v>
      </c>
      <c r="K2560" t="s">
        <v>16</v>
      </c>
      <c r="L2560">
        <v>0</v>
      </c>
      <c r="M2560">
        <v>2.39</v>
      </c>
      <c r="N2560">
        <v>10</v>
      </c>
      <c r="O2560" t="s">
        <v>19</v>
      </c>
      <c r="P2560" cm="1">
        <f t="array" ref="P2560">_xlfn.SWITCH(Table2[[#This Row],[mood]], "Tired", 3, "Neutral", 2, "Happy", 1)</f>
        <v>2</v>
      </c>
    </row>
    <row r="2561" spans="1:16" x14ac:dyDescent="0.3">
      <c r="A2561">
        <v>1409</v>
      </c>
      <c r="B2561" s="1">
        <v>44564</v>
      </c>
      <c r="C2561">
        <v>19</v>
      </c>
      <c r="D2561" t="s">
        <v>20</v>
      </c>
      <c r="E2561">
        <v>172.6</v>
      </c>
      <c r="F2561">
        <v>49.8</v>
      </c>
      <c r="G2561">
        <v>9885</v>
      </c>
      <c r="H2561">
        <v>555.5</v>
      </c>
      <c r="I2561">
        <v>9.1</v>
      </c>
      <c r="J2561">
        <v>80</v>
      </c>
      <c r="K2561" t="s">
        <v>22</v>
      </c>
      <c r="L2561">
        <v>53</v>
      </c>
      <c r="M2561">
        <v>2.61</v>
      </c>
      <c r="N2561">
        <v>2</v>
      </c>
      <c r="O2561" t="s">
        <v>19</v>
      </c>
      <c r="P2561" cm="1">
        <f t="array" ref="P2561">_xlfn.SWITCH(Table2[[#This Row],[mood]], "Tired", 3, "Neutral", 2, "Happy", 1)</f>
        <v>2</v>
      </c>
    </row>
    <row r="2562" spans="1:16" x14ac:dyDescent="0.3">
      <c r="A2562">
        <v>1894</v>
      </c>
      <c r="B2562" s="1">
        <v>44565</v>
      </c>
      <c r="C2562">
        <v>49</v>
      </c>
      <c r="D2562" t="s">
        <v>20</v>
      </c>
      <c r="E2562">
        <v>172.8</v>
      </c>
      <c r="F2562">
        <v>45</v>
      </c>
      <c r="G2562">
        <v>2376</v>
      </c>
      <c r="H2562">
        <v>216.1</v>
      </c>
      <c r="I2562">
        <v>10</v>
      </c>
      <c r="J2562">
        <v>77</v>
      </c>
      <c r="K2562" t="s">
        <v>25</v>
      </c>
      <c r="L2562">
        <v>61</v>
      </c>
      <c r="M2562">
        <v>2.9</v>
      </c>
      <c r="N2562">
        <v>6</v>
      </c>
      <c r="O2562" t="s">
        <v>17</v>
      </c>
      <c r="P2562" cm="1">
        <f t="array" ref="P2562">_xlfn.SWITCH(Table2[[#This Row],[mood]], "Tired", 3, "Neutral", 2, "Happy", 1)</f>
        <v>3</v>
      </c>
    </row>
    <row r="2563" spans="1:16" x14ac:dyDescent="0.3">
      <c r="A2563">
        <v>1514</v>
      </c>
      <c r="B2563" s="1">
        <v>44566</v>
      </c>
      <c r="C2563">
        <v>43</v>
      </c>
      <c r="D2563" t="s">
        <v>15</v>
      </c>
      <c r="E2563">
        <v>168.2</v>
      </c>
      <c r="F2563">
        <v>48.4</v>
      </c>
      <c r="G2563">
        <v>6939</v>
      </c>
      <c r="H2563">
        <v>535.20000000000005</v>
      </c>
      <c r="I2563">
        <v>5.8</v>
      </c>
      <c r="J2563">
        <v>67</v>
      </c>
      <c r="K2563" t="s">
        <v>22</v>
      </c>
      <c r="L2563">
        <v>81</v>
      </c>
      <c r="M2563">
        <v>2.61</v>
      </c>
      <c r="N2563">
        <v>4</v>
      </c>
      <c r="O2563" t="s">
        <v>21</v>
      </c>
      <c r="P2563" cm="1">
        <f t="array" ref="P2563">_xlfn.SWITCH(Table2[[#This Row],[mood]], "Tired", 3, "Neutral", 2, "Happy", 1)</f>
        <v>1</v>
      </c>
    </row>
    <row r="2564" spans="1:16" x14ac:dyDescent="0.3">
      <c r="A2564">
        <v>1126</v>
      </c>
      <c r="B2564" s="1">
        <v>44567</v>
      </c>
      <c r="C2564">
        <v>23</v>
      </c>
      <c r="D2564" t="s">
        <v>15</v>
      </c>
      <c r="E2564">
        <v>171</v>
      </c>
      <c r="F2564">
        <v>64.3</v>
      </c>
      <c r="G2564">
        <v>10181</v>
      </c>
      <c r="H2564">
        <v>557.1</v>
      </c>
      <c r="I2564">
        <v>7.5</v>
      </c>
      <c r="J2564">
        <v>82</v>
      </c>
      <c r="K2564" t="s">
        <v>16</v>
      </c>
      <c r="L2564">
        <v>0</v>
      </c>
      <c r="M2564">
        <v>2.88</v>
      </c>
      <c r="N2564">
        <v>3</v>
      </c>
      <c r="O2564" t="s">
        <v>17</v>
      </c>
      <c r="P2564" cm="1">
        <f t="array" ref="P2564">_xlfn.SWITCH(Table2[[#This Row],[mood]], "Tired", 3, "Neutral", 2, "Happy", 1)</f>
        <v>3</v>
      </c>
    </row>
    <row r="2565" spans="1:16" x14ac:dyDescent="0.3">
      <c r="A2565">
        <v>1808</v>
      </c>
      <c r="B2565" s="1">
        <v>44568</v>
      </c>
      <c r="C2565">
        <v>58</v>
      </c>
      <c r="D2565" t="s">
        <v>20</v>
      </c>
      <c r="E2565">
        <v>167.9</v>
      </c>
      <c r="F2565">
        <v>89</v>
      </c>
      <c r="G2565">
        <v>3846</v>
      </c>
      <c r="H2565">
        <v>321.10000000000002</v>
      </c>
      <c r="I2565">
        <v>5.0999999999999996</v>
      </c>
      <c r="J2565">
        <v>75</v>
      </c>
      <c r="K2565" t="s">
        <v>25</v>
      </c>
      <c r="L2565">
        <v>80</v>
      </c>
      <c r="M2565">
        <v>2.5499999999999998</v>
      </c>
      <c r="N2565">
        <v>8</v>
      </c>
      <c r="O2565" t="s">
        <v>17</v>
      </c>
      <c r="P2565" cm="1">
        <f t="array" ref="P2565">_xlfn.SWITCH(Table2[[#This Row],[mood]], "Tired", 3, "Neutral", 2, "Happy", 1)</f>
        <v>3</v>
      </c>
    </row>
    <row r="2566" spans="1:16" x14ac:dyDescent="0.3">
      <c r="A2566">
        <v>1699</v>
      </c>
      <c r="B2566" s="1">
        <v>44569</v>
      </c>
      <c r="C2566">
        <v>20</v>
      </c>
      <c r="D2566" t="s">
        <v>15</v>
      </c>
      <c r="E2566">
        <v>151.9</v>
      </c>
      <c r="F2566">
        <v>54.6</v>
      </c>
      <c r="G2566">
        <v>7817</v>
      </c>
      <c r="H2566">
        <v>448.2</v>
      </c>
      <c r="I2566">
        <v>4.8</v>
      </c>
      <c r="J2566">
        <v>65</v>
      </c>
      <c r="K2566" t="s">
        <v>24</v>
      </c>
      <c r="L2566">
        <v>73</v>
      </c>
      <c r="M2566">
        <v>2.0299999999999998</v>
      </c>
      <c r="N2566">
        <v>4</v>
      </c>
      <c r="O2566" t="s">
        <v>17</v>
      </c>
      <c r="P2566" cm="1">
        <f t="array" ref="P2566">_xlfn.SWITCH(Table2[[#This Row],[mood]], "Tired", 3, "Neutral", 2, "Happy", 1)</f>
        <v>3</v>
      </c>
    </row>
    <row r="2567" spans="1:16" x14ac:dyDescent="0.3">
      <c r="A2567">
        <v>1873</v>
      </c>
      <c r="B2567" s="1">
        <v>44570</v>
      </c>
      <c r="C2567">
        <v>50</v>
      </c>
      <c r="D2567" t="s">
        <v>20</v>
      </c>
      <c r="E2567">
        <v>196.3</v>
      </c>
      <c r="F2567">
        <v>91.3</v>
      </c>
      <c r="G2567">
        <v>8430</v>
      </c>
      <c r="H2567">
        <v>517.9</v>
      </c>
      <c r="I2567">
        <v>7.3</v>
      </c>
      <c r="J2567">
        <v>68</v>
      </c>
      <c r="K2567" t="s">
        <v>25</v>
      </c>
      <c r="L2567">
        <v>77</v>
      </c>
      <c r="M2567">
        <v>1.72</v>
      </c>
      <c r="N2567">
        <v>3</v>
      </c>
      <c r="O2567" t="s">
        <v>19</v>
      </c>
      <c r="P2567" cm="1">
        <f t="array" ref="P2567">_xlfn.SWITCH(Table2[[#This Row],[mood]], "Tired", 3, "Neutral", 2, "Happy", 1)</f>
        <v>2</v>
      </c>
    </row>
    <row r="2568" spans="1:16" x14ac:dyDescent="0.3">
      <c r="A2568">
        <v>1013</v>
      </c>
      <c r="B2568" s="1">
        <v>44571</v>
      </c>
      <c r="C2568">
        <v>18</v>
      </c>
      <c r="D2568" t="s">
        <v>15</v>
      </c>
      <c r="E2568">
        <v>177.3</v>
      </c>
      <c r="F2568">
        <v>72.7</v>
      </c>
      <c r="G2568">
        <v>12151</v>
      </c>
      <c r="H2568">
        <v>678.9</v>
      </c>
      <c r="I2568">
        <v>7.6</v>
      </c>
      <c r="J2568">
        <v>64</v>
      </c>
      <c r="K2568" t="s">
        <v>23</v>
      </c>
      <c r="L2568">
        <v>43</v>
      </c>
      <c r="M2568">
        <v>2.3199999999999998</v>
      </c>
      <c r="N2568">
        <v>5</v>
      </c>
      <c r="O2568" t="s">
        <v>17</v>
      </c>
      <c r="P2568" cm="1">
        <f t="array" ref="P2568">_xlfn.SWITCH(Table2[[#This Row],[mood]], "Tired", 3, "Neutral", 2, "Happy", 1)</f>
        <v>3</v>
      </c>
    </row>
    <row r="2569" spans="1:16" x14ac:dyDescent="0.3">
      <c r="A2569">
        <v>1970</v>
      </c>
      <c r="B2569" s="1">
        <v>44572</v>
      </c>
      <c r="C2569">
        <v>22</v>
      </c>
      <c r="D2569" t="s">
        <v>20</v>
      </c>
      <c r="E2569">
        <v>160.19999999999999</v>
      </c>
      <c r="F2569">
        <v>77.3</v>
      </c>
      <c r="G2569">
        <v>2716</v>
      </c>
      <c r="H2569">
        <v>349.9</v>
      </c>
      <c r="I2569">
        <v>6.1</v>
      </c>
      <c r="J2569">
        <v>86</v>
      </c>
      <c r="K2569" t="s">
        <v>18</v>
      </c>
      <c r="L2569">
        <v>46</v>
      </c>
      <c r="M2569">
        <v>1.96</v>
      </c>
      <c r="N2569">
        <v>9</v>
      </c>
      <c r="O2569" t="s">
        <v>17</v>
      </c>
      <c r="P2569" cm="1">
        <f t="array" ref="P2569">_xlfn.SWITCH(Table2[[#This Row],[mood]], "Tired", 3, "Neutral", 2, "Happy", 1)</f>
        <v>3</v>
      </c>
    </row>
    <row r="2570" spans="1:16" x14ac:dyDescent="0.3">
      <c r="A2570">
        <v>1977</v>
      </c>
      <c r="B2570" s="1">
        <v>44573</v>
      </c>
      <c r="C2570">
        <v>30</v>
      </c>
      <c r="D2570" t="s">
        <v>20</v>
      </c>
      <c r="E2570">
        <v>172.3</v>
      </c>
      <c r="F2570">
        <v>76.8</v>
      </c>
      <c r="G2570">
        <v>7780</v>
      </c>
      <c r="H2570">
        <v>445.1</v>
      </c>
      <c r="I2570">
        <v>5.3</v>
      </c>
      <c r="J2570">
        <v>95</v>
      </c>
      <c r="K2570" t="s">
        <v>25</v>
      </c>
      <c r="L2570">
        <v>40</v>
      </c>
      <c r="M2570">
        <v>2.42</v>
      </c>
      <c r="N2570">
        <v>10</v>
      </c>
      <c r="O2570" t="s">
        <v>17</v>
      </c>
      <c r="P2570" cm="1">
        <f t="array" ref="P2570">_xlfn.SWITCH(Table2[[#This Row],[mood]], "Tired", 3, "Neutral", 2, "Happy", 1)</f>
        <v>3</v>
      </c>
    </row>
    <row r="2571" spans="1:16" x14ac:dyDescent="0.3">
      <c r="A2571">
        <v>1011</v>
      </c>
      <c r="B2571" s="1">
        <v>44574</v>
      </c>
      <c r="C2571">
        <v>36</v>
      </c>
      <c r="D2571" t="s">
        <v>20</v>
      </c>
      <c r="E2571">
        <v>156.5</v>
      </c>
      <c r="F2571">
        <v>78.900000000000006</v>
      </c>
      <c r="G2571">
        <v>4331</v>
      </c>
      <c r="H2571">
        <v>343.2</v>
      </c>
      <c r="I2571">
        <v>5.8</v>
      </c>
      <c r="J2571">
        <v>87</v>
      </c>
      <c r="K2571" t="s">
        <v>16</v>
      </c>
      <c r="L2571">
        <v>0</v>
      </c>
      <c r="M2571">
        <v>2.16</v>
      </c>
      <c r="N2571">
        <v>3</v>
      </c>
      <c r="O2571" t="s">
        <v>17</v>
      </c>
      <c r="P2571" cm="1">
        <f t="array" ref="P2571">_xlfn.SWITCH(Table2[[#This Row],[mood]], "Tired", 3, "Neutral", 2, "Happy", 1)</f>
        <v>3</v>
      </c>
    </row>
    <row r="2572" spans="1:16" x14ac:dyDescent="0.3">
      <c r="A2572">
        <v>1086</v>
      </c>
      <c r="B2572" s="1">
        <v>44575</v>
      </c>
      <c r="C2572">
        <v>29</v>
      </c>
      <c r="D2572" t="s">
        <v>20</v>
      </c>
      <c r="E2572">
        <v>165.1</v>
      </c>
      <c r="F2572">
        <v>63.8</v>
      </c>
      <c r="G2572">
        <v>10081</v>
      </c>
      <c r="H2572">
        <v>674.4</v>
      </c>
      <c r="I2572">
        <v>8.3000000000000007</v>
      </c>
      <c r="J2572">
        <v>79</v>
      </c>
      <c r="K2572" t="s">
        <v>23</v>
      </c>
      <c r="L2572">
        <v>74</v>
      </c>
      <c r="M2572">
        <v>2.79</v>
      </c>
      <c r="N2572">
        <v>9</v>
      </c>
      <c r="O2572" t="s">
        <v>21</v>
      </c>
      <c r="P2572" cm="1">
        <f t="array" ref="P2572">_xlfn.SWITCH(Table2[[#This Row],[mood]], "Tired", 3, "Neutral", 2, "Happy", 1)</f>
        <v>1</v>
      </c>
    </row>
    <row r="2573" spans="1:16" x14ac:dyDescent="0.3">
      <c r="A2573">
        <v>1523</v>
      </c>
      <c r="B2573" s="1">
        <v>44576</v>
      </c>
      <c r="C2573">
        <v>42</v>
      </c>
      <c r="D2573" t="s">
        <v>15</v>
      </c>
      <c r="E2573">
        <v>155.19999999999999</v>
      </c>
      <c r="F2573">
        <v>45</v>
      </c>
      <c r="G2573">
        <v>18762</v>
      </c>
      <c r="H2573">
        <v>900</v>
      </c>
      <c r="I2573">
        <v>8.3000000000000007</v>
      </c>
      <c r="J2573">
        <v>74</v>
      </c>
      <c r="K2573" t="s">
        <v>24</v>
      </c>
      <c r="L2573">
        <v>87</v>
      </c>
      <c r="M2573">
        <v>2.5299999999999998</v>
      </c>
      <c r="N2573">
        <v>4</v>
      </c>
      <c r="O2573" t="s">
        <v>21</v>
      </c>
      <c r="P2573" cm="1">
        <f t="array" ref="P2573">_xlfn.SWITCH(Table2[[#This Row],[mood]], "Tired", 3, "Neutral", 2, "Happy", 1)</f>
        <v>1</v>
      </c>
    </row>
    <row r="2574" spans="1:16" x14ac:dyDescent="0.3">
      <c r="A2574">
        <v>1908</v>
      </c>
      <c r="B2574" s="1">
        <v>44577</v>
      </c>
      <c r="C2574">
        <v>52</v>
      </c>
      <c r="D2574" t="s">
        <v>15</v>
      </c>
      <c r="E2574">
        <v>169.5</v>
      </c>
      <c r="F2574">
        <v>61.2</v>
      </c>
      <c r="G2574">
        <v>5275</v>
      </c>
      <c r="H2574">
        <v>377.1</v>
      </c>
      <c r="I2574">
        <v>8</v>
      </c>
      <c r="J2574">
        <v>72</v>
      </c>
      <c r="K2574" t="s">
        <v>24</v>
      </c>
      <c r="L2574">
        <v>66</v>
      </c>
      <c r="M2574">
        <v>2.81</v>
      </c>
      <c r="N2574">
        <v>10</v>
      </c>
      <c r="O2574" t="s">
        <v>21</v>
      </c>
      <c r="P2574" cm="1">
        <f t="array" ref="P2574">_xlfn.SWITCH(Table2[[#This Row],[mood]], "Tired", 3, "Neutral", 2, "Happy", 1)</f>
        <v>1</v>
      </c>
    </row>
    <row r="2575" spans="1:16" x14ac:dyDescent="0.3">
      <c r="A2575">
        <v>1536</v>
      </c>
      <c r="B2575" s="1">
        <v>44578</v>
      </c>
      <c r="C2575">
        <v>29</v>
      </c>
      <c r="D2575" t="s">
        <v>15</v>
      </c>
      <c r="E2575">
        <v>154.19999999999999</v>
      </c>
      <c r="F2575">
        <v>56.7</v>
      </c>
      <c r="G2575">
        <v>11556</v>
      </c>
      <c r="H2575">
        <v>659.8</v>
      </c>
      <c r="I2575">
        <v>6.4</v>
      </c>
      <c r="J2575">
        <v>65</v>
      </c>
      <c r="K2575" t="s">
        <v>18</v>
      </c>
      <c r="L2575">
        <v>73</v>
      </c>
      <c r="M2575">
        <v>2.81</v>
      </c>
      <c r="N2575">
        <v>4</v>
      </c>
      <c r="O2575" t="s">
        <v>19</v>
      </c>
      <c r="P2575" cm="1">
        <f t="array" ref="P2575">_xlfn.SWITCH(Table2[[#This Row],[mood]], "Tired", 3, "Neutral", 2, "Happy", 1)</f>
        <v>2</v>
      </c>
    </row>
    <row r="2576" spans="1:16" x14ac:dyDescent="0.3">
      <c r="A2576">
        <v>1300</v>
      </c>
      <c r="B2576" s="1">
        <v>44579</v>
      </c>
      <c r="C2576">
        <v>47</v>
      </c>
      <c r="D2576" t="s">
        <v>15</v>
      </c>
      <c r="E2576">
        <v>173.9</v>
      </c>
      <c r="F2576">
        <v>74.7</v>
      </c>
      <c r="G2576">
        <v>14555</v>
      </c>
      <c r="H2576">
        <v>880.6</v>
      </c>
      <c r="I2576">
        <v>5.4</v>
      </c>
      <c r="J2576">
        <v>94</v>
      </c>
      <c r="K2576" t="s">
        <v>16</v>
      </c>
      <c r="L2576">
        <v>0</v>
      </c>
      <c r="M2576">
        <v>2.37</v>
      </c>
      <c r="N2576">
        <v>2</v>
      </c>
      <c r="O2576" t="s">
        <v>21</v>
      </c>
      <c r="P2576" cm="1">
        <f t="array" ref="P2576">_xlfn.SWITCH(Table2[[#This Row],[mood]], "Tired", 3, "Neutral", 2, "Happy", 1)</f>
        <v>1</v>
      </c>
    </row>
    <row r="2577" spans="1:16" x14ac:dyDescent="0.3">
      <c r="A2577">
        <v>1242</v>
      </c>
      <c r="B2577" s="1">
        <v>44580</v>
      </c>
      <c r="C2577">
        <v>22</v>
      </c>
      <c r="D2577" t="s">
        <v>20</v>
      </c>
      <c r="E2577">
        <v>176.8</v>
      </c>
      <c r="F2577">
        <v>73.3</v>
      </c>
      <c r="G2577">
        <v>17615</v>
      </c>
      <c r="H2577">
        <v>844.9</v>
      </c>
      <c r="I2577">
        <v>9</v>
      </c>
      <c r="J2577">
        <v>65</v>
      </c>
      <c r="K2577" t="s">
        <v>22</v>
      </c>
      <c r="L2577">
        <v>83</v>
      </c>
      <c r="M2577">
        <v>2.42</v>
      </c>
      <c r="N2577">
        <v>8</v>
      </c>
      <c r="O2577" t="s">
        <v>17</v>
      </c>
      <c r="P2577" cm="1">
        <f t="array" ref="P2577">_xlfn.SWITCH(Table2[[#This Row],[mood]], "Tired", 3, "Neutral", 2, "Happy", 1)</f>
        <v>3</v>
      </c>
    </row>
    <row r="2578" spans="1:16" x14ac:dyDescent="0.3">
      <c r="A2578">
        <v>1121</v>
      </c>
      <c r="B2578" s="1">
        <v>44581</v>
      </c>
      <c r="C2578">
        <v>51</v>
      </c>
      <c r="D2578" t="s">
        <v>20</v>
      </c>
      <c r="E2578">
        <v>161.69999999999999</v>
      </c>
      <c r="F2578">
        <v>65.900000000000006</v>
      </c>
      <c r="G2578">
        <v>11004</v>
      </c>
      <c r="H2578">
        <v>544.1</v>
      </c>
      <c r="I2578">
        <v>9.5</v>
      </c>
      <c r="J2578">
        <v>67</v>
      </c>
      <c r="K2578" t="s">
        <v>22</v>
      </c>
      <c r="L2578">
        <v>68</v>
      </c>
      <c r="M2578">
        <v>2.85</v>
      </c>
      <c r="N2578">
        <v>4</v>
      </c>
      <c r="O2578" t="s">
        <v>17</v>
      </c>
      <c r="P2578" cm="1">
        <f t="array" ref="P2578">_xlfn.SWITCH(Table2[[#This Row],[mood]], "Tired", 3, "Neutral", 2, "Happy", 1)</f>
        <v>3</v>
      </c>
    </row>
    <row r="2579" spans="1:16" x14ac:dyDescent="0.3">
      <c r="A2579">
        <v>1146</v>
      </c>
      <c r="B2579" s="1">
        <v>44582</v>
      </c>
      <c r="C2579">
        <v>39</v>
      </c>
      <c r="D2579" t="s">
        <v>15</v>
      </c>
      <c r="E2579">
        <v>171.6</v>
      </c>
      <c r="F2579">
        <v>96.3</v>
      </c>
      <c r="G2579">
        <v>6422</v>
      </c>
      <c r="H2579">
        <v>430.1</v>
      </c>
      <c r="I2579">
        <v>6.2</v>
      </c>
      <c r="J2579">
        <v>73</v>
      </c>
      <c r="K2579" t="s">
        <v>25</v>
      </c>
      <c r="L2579">
        <v>54</v>
      </c>
      <c r="M2579">
        <v>4.21</v>
      </c>
      <c r="N2579">
        <v>3</v>
      </c>
      <c r="O2579" t="s">
        <v>21</v>
      </c>
      <c r="P2579" cm="1">
        <f t="array" ref="P2579">_xlfn.SWITCH(Table2[[#This Row],[mood]], "Tired", 3, "Neutral", 2, "Happy", 1)</f>
        <v>1</v>
      </c>
    </row>
    <row r="2580" spans="1:16" x14ac:dyDescent="0.3">
      <c r="A2580">
        <v>1566</v>
      </c>
      <c r="B2580" s="1">
        <v>44583</v>
      </c>
      <c r="C2580">
        <v>56</v>
      </c>
      <c r="D2580" t="s">
        <v>15</v>
      </c>
      <c r="E2580">
        <v>161.19999999999999</v>
      </c>
      <c r="F2580">
        <v>60.4</v>
      </c>
      <c r="G2580">
        <v>12188</v>
      </c>
      <c r="H2580">
        <v>683.4</v>
      </c>
      <c r="I2580">
        <v>6.8</v>
      </c>
      <c r="J2580">
        <v>74</v>
      </c>
      <c r="K2580" t="s">
        <v>24</v>
      </c>
      <c r="L2580">
        <v>58</v>
      </c>
      <c r="M2580">
        <v>1.81</v>
      </c>
      <c r="N2580">
        <v>3</v>
      </c>
      <c r="O2580" t="s">
        <v>19</v>
      </c>
      <c r="P2580" cm="1">
        <f t="array" ref="P2580">_xlfn.SWITCH(Table2[[#This Row],[mood]], "Tired", 3, "Neutral", 2, "Happy", 1)</f>
        <v>2</v>
      </c>
    </row>
    <row r="2581" spans="1:16" x14ac:dyDescent="0.3">
      <c r="A2581">
        <v>1749</v>
      </c>
      <c r="B2581" s="1">
        <v>44584</v>
      </c>
      <c r="C2581">
        <v>30</v>
      </c>
      <c r="D2581" t="s">
        <v>15</v>
      </c>
      <c r="E2581">
        <v>175.1</v>
      </c>
      <c r="F2581">
        <v>45</v>
      </c>
      <c r="G2581">
        <v>1247</v>
      </c>
      <c r="H2581">
        <v>209.8</v>
      </c>
      <c r="I2581">
        <v>4.8</v>
      </c>
      <c r="J2581">
        <v>81</v>
      </c>
      <c r="K2581" t="s">
        <v>23</v>
      </c>
      <c r="L2581">
        <v>77</v>
      </c>
      <c r="M2581">
        <v>2.5299999999999998</v>
      </c>
      <c r="N2581">
        <v>1</v>
      </c>
      <c r="O2581" t="s">
        <v>19</v>
      </c>
      <c r="P2581" cm="1">
        <f t="array" ref="P2581">_xlfn.SWITCH(Table2[[#This Row],[mood]], "Tired", 3, "Neutral", 2, "Happy", 1)</f>
        <v>2</v>
      </c>
    </row>
    <row r="2582" spans="1:16" x14ac:dyDescent="0.3">
      <c r="A2582">
        <v>1355</v>
      </c>
      <c r="B2582" s="1">
        <v>44585</v>
      </c>
      <c r="C2582">
        <v>20</v>
      </c>
      <c r="D2582" t="s">
        <v>15</v>
      </c>
      <c r="E2582">
        <v>163.1</v>
      </c>
      <c r="F2582">
        <v>71.8</v>
      </c>
      <c r="G2582">
        <v>14598</v>
      </c>
      <c r="H2582">
        <v>832.8</v>
      </c>
      <c r="I2582">
        <v>7.8</v>
      </c>
      <c r="J2582">
        <v>68</v>
      </c>
      <c r="K2582" t="s">
        <v>18</v>
      </c>
      <c r="L2582">
        <v>76</v>
      </c>
      <c r="M2582">
        <v>1.66</v>
      </c>
      <c r="N2582">
        <v>8</v>
      </c>
      <c r="O2582" t="s">
        <v>19</v>
      </c>
      <c r="P2582" cm="1">
        <f t="array" ref="P2582">_xlfn.SWITCH(Table2[[#This Row],[mood]], "Tired", 3, "Neutral", 2, "Happy", 1)</f>
        <v>2</v>
      </c>
    </row>
    <row r="2583" spans="1:16" x14ac:dyDescent="0.3">
      <c r="A2583">
        <v>1684</v>
      </c>
      <c r="B2583" s="1">
        <v>44586</v>
      </c>
      <c r="C2583">
        <v>37</v>
      </c>
      <c r="D2583" t="s">
        <v>15</v>
      </c>
      <c r="E2583">
        <v>177.9</v>
      </c>
      <c r="F2583">
        <v>87.8</v>
      </c>
      <c r="G2583">
        <v>14227</v>
      </c>
      <c r="H2583">
        <v>779.6</v>
      </c>
      <c r="I2583">
        <v>10</v>
      </c>
      <c r="J2583">
        <v>55</v>
      </c>
      <c r="K2583" t="s">
        <v>22</v>
      </c>
      <c r="L2583">
        <v>25</v>
      </c>
      <c r="M2583">
        <v>2.4900000000000002</v>
      </c>
      <c r="N2583">
        <v>5</v>
      </c>
      <c r="O2583" t="s">
        <v>17</v>
      </c>
      <c r="P2583" cm="1">
        <f t="array" ref="P2583">_xlfn.SWITCH(Table2[[#This Row],[mood]], "Tired", 3, "Neutral", 2, "Happy", 1)</f>
        <v>3</v>
      </c>
    </row>
    <row r="2584" spans="1:16" x14ac:dyDescent="0.3">
      <c r="A2584">
        <v>1903</v>
      </c>
      <c r="B2584" s="1">
        <v>44587</v>
      </c>
      <c r="C2584">
        <v>48</v>
      </c>
      <c r="D2584" t="s">
        <v>20</v>
      </c>
      <c r="E2584">
        <v>151.9</v>
      </c>
      <c r="F2584">
        <v>74.3</v>
      </c>
      <c r="G2584">
        <v>14811</v>
      </c>
      <c r="H2584">
        <v>762.2</v>
      </c>
      <c r="I2584">
        <v>8.4</v>
      </c>
      <c r="J2584">
        <v>73</v>
      </c>
      <c r="K2584" t="s">
        <v>25</v>
      </c>
      <c r="L2584">
        <v>39</v>
      </c>
      <c r="M2584">
        <v>2.0299999999999998</v>
      </c>
      <c r="N2584">
        <v>5</v>
      </c>
      <c r="O2584" t="s">
        <v>21</v>
      </c>
      <c r="P2584" cm="1">
        <f t="array" ref="P2584">_xlfn.SWITCH(Table2[[#This Row],[mood]], "Tired", 3, "Neutral", 2, "Happy", 1)</f>
        <v>1</v>
      </c>
    </row>
    <row r="2585" spans="1:16" x14ac:dyDescent="0.3">
      <c r="A2585">
        <v>1732</v>
      </c>
      <c r="B2585" s="1">
        <v>44588</v>
      </c>
      <c r="C2585">
        <v>22</v>
      </c>
      <c r="D2585" t="s">
        <v>20</v>
      </c>
      <c r="E2585">
        <v>160</v>
      </c>
      <c r="F2585">
        <v>64.7</v>
      </c>
      <c r="G2585">
        <v>4741</v>
      </c>
      <c r="H2585">
        <v>362.7</v>
      </c>
      <c r="I2585">
        <v>10</v>
      </c>
      <c r="J2585">
        <v>73</v>
      </c>
      <c r="K2585" t="s">
        <v>25</v>
      </c>
      <c r="L2585">
        <v>69</v>
      </c>
      <c r="M2585">
        <v>2.42</v>
      </c>
      <c r="N2585">
        <v>4</v>
      </c>
      <c r="O2585" t="s">
        <v>19</v>
      </c>
      <c r="P2585" cm="1">
        <f t="array" ref="P2585">_xlfn.SWITCH(Table2[[#This Row],[mood]], "Tired", 3, "Neutral", 2, "Happy", 1)</f>
        <v>2</v>
      </c>
    </row>
    <row r="2586" spans="1:16" x14ac:dyDescent="0.3">
      <c r="A2586">
        <v>1630</v>
      </c>
      <c r="B2586" s="1">
        <v>44589</v>
      </c>
      <c r="C2586">
        <v>41</v>
      </c>
      <c r="D2586" t="s">
        <v>20</v>
      </c>
      <c r="E2586">
        <v>158.9</v>
      </c>
      <c r="F2586">
        <v>73.599999999999994</v>
      </c>
      <c r="G2586">
        <v>17446</v>
      </c>
      <c r="H2586">
        <v>860.5</v>
      </c>
      <c r="I2586">
        <v>6.4</v>
      </c>
      <c r="J2586">
        <v>73</v>
      </c>
      <c r="K2586" t="s">
        <v>24</v>
      </c>
      <c r="L2586">
        <v>28</v>
      </c>
      <c r="M2586">
        <v>2.61</v>
      </c>
      <c r="N2586">
        <v>5</v>
      </c>
      <c r="O2586" t="s">
        <v>17</v>
      </c>
      <c r="P2586" cm="1">
        <f t="array" ref="P2586">_xlfn.SWITCH(Table2[[#This Row],[mood]], "Tired", 3, "Neutral", 2, "Happy", 1)</f>
        <v>3</v>
      </c>
    </row>
    <row r="2587" spans="1:16" x14ac:dyDescent="0.3">
      <c r="A2587">
        <v>1308</v>
      </c>
      <c r="B2587" s="1">
        <v>44590</v>
      </c>
      <c r="C2587">
        <v>57</v>
      </c>
      <c r="D2587" t="s">
        <v>15</v>
      </c>
      <c r="E2587">
        <v>172</v>
      </c>
      <c r="F2587">
        <v>97.6</v>
      </c>
      <c r="G2587">
        <v>2551</v>
      </c>
      <c r="H2587">
        <v>343.5</v>
      </c>
      <c r="I2587">
        <v>5</v>
      </c>
      <c r="J2587">
        <v>72</v>
      </c>
      <c r="K2587" t="s">
        <v>23</v>
      </c>
      <c r="L2587">
        <v>33</v>
      </c>
      <c r="M2587">
        <v>2.16</v>
      </c>
      <c r="N2587">
        <v>5</v>
      </c>
      <c r="O2587" t="s">
        <v>19</v>
      </c>
      <c r="P2587" cm="1">
        <f t="array" ref="P2587">_xlfn.SWITCH(Table2[[#This Row],[mood]], "Tired", 3, "Neutral", 2, "Happy", 1)</f>
        <v>2</v>
      </c>
    </row>
    <row r="2588" spans="1:16" x14ac:dyDescent="0.3">
      <c r="A2588">
        <v>1694</v>
      </c>
      <c r="B2588" s="1">
        <v>44591</v>
      </c>
      <c r="C2588">
        <v>50</v>
      </c>
      <c r="D2588" t="s">
        <v>15</v>
      </c>
      <c r="E2588">
        <v>175.6</v>
      </c>
      <c r="F2588">
        <v>56.9</v>
      </c>
      <c r="G2588">
        <v>7306</v>
      </c>
      <c r="H2588">
        <v>468.6</v>
      </c>
      <c r="I2588">
        <v>9.3000000000000007</v>
      </c>
      <c r="J2588">
        <v>71</v>
      </c>
      <c r="K2588" t="s">
        <v>23</v>
      </c>
      <c r="L2588">
        <v>42</v>
      </c>
      <c r="M2588">
        <v>1.25</v>
      </c>
      <c r="N2588">
        <v>9</v>
      </c>
      <c r="O2588" t="s">
        <v>19</v>
      </c>
      <c r="P2588" cm="1">
        <f t="array" ref="P2588">_xlfn.SWITCH(Table2[[#This Row],[mood]], "Tired", 3, "Neutral", 2, "Happy", 1)</f>
        <v>2</v>
      </c>
    </row>
    <row r="2589" spans="1:16" x14ac:dyDescent="0.3">
      <c r="A2589">
        <v>1287</v>
      </c>
      <c r="B2589" s="1">
        <v>44592</v>
      </c>
      <c r="C2589">
        <v>25</v>
      </c>
      <c r="D2589" t="s">
        <v>15</v>
      </c>
      <c r="E2589">
        <v>172.8</v>
      </c>
      <c r="F2589">
        <v>70.5</v>
      </c>
      <c r="G2589">
        <v>4005</v>
      </c>
      <c r="H2589">
        <v>300.60000000000002</v>
      </c>
      <c r="I2589">
        <v>7.3</v>
      </c>
      <c r="J2589">
        <v>62</v>
      </c>
      <c r="K2589" t="s">
        <v>22</v>
      </c>
      <c r="L2589">
        <v>67</v>
      </c>
      <c r="M2589">
        <v>3.5</v>
      </c>
      <c r="N2589">
        <v>6</v>
      </c>
      <c r="O2589" t="s">
        <v>21</v>
      </c>
      <c r="P2589" cm="1">
        <f t="array" ref="P2589">_xlfn.SWITCH(Table2[[#This Row],[mood]], "Tired", 3, "Neutral", 2, "Happy", 1)</f>
        <v>1</v>
      </c>
    </row>
    <row r="2590" spans="1:16" x14ac:dyDescent="0.3">
      <c r="A2590">
        <v>1306</v>
      </c>
      <c r="B2590" s="1">
        <v>44593</v>
      </c>
      <c r="C2590">
        <v>41</v>
      </c>
      <c r="D2590" t="s">
        <v>15</v>
      </c>
      <c r="E2590">
        <v>164.9</v>
      </c>
      <c r="F2590">
        <v>80</v>
      </c>
      <c r="G2590">
        <v>4322</v>
      </c>
      <c r="H2590">
        <v>421</v>
      </c>
      <c r="I2590">
        <v>5.7</v>
      </c>
      <c r="J2590">
        <v>90</v>
      </c>
      <c r="K2590" t="s">
        <v>25</v>
      </c>
      <c r="L2590">
        <v>75</v>
      </c>
      <c r="M2590">
        <v>3.09</v>
      </c>
      <c r="N2590">
        <v>9</v>
      </c>
      <c r="O2590" t="s">
        <v>17</v>
      </c>
      <c r="P2590" cm="1">
        <f t="array" ref="P2590">_xlfn.SWITCH(Table2[[#This Row],[mood]], "Tired", 3, "Neutral", 2, "Happy", 1)</f>
        <v>3</v>
      </c>
    </row>
    <row r="2591" spans="1:16" x14ac:dyDescent="0.3">
      <c r="A2591">
        <v>1811</v>
      </c>
      <c r="B2591" s="1">
        <v>44594</v>
      </c>
      <c r="C2591">
        <v>37</v>
      </c>
      <c r="D2591" t="s">
        <v>20</v>
      </c>
      <c r="E2591">
        <v>150</v>
      </c>
      <c r="F2591">
        <v>73.8</v>
      </c>
      <c r="G2591">
        <v>17008</v>
      </c>
      <c r="H2591">
        <v>866.5</v>
      </c>
      <c r="I2591">
        <v>9.8000000000000007</v>
      </c>
      <c r="J2591">
        <v>89</v>
      </c>
      <c r="K2591" t="s">
        <v>24</v>
      </c>
      <c r="L2591">
        <v>59</v>
      </c>
      <c r="M2591">
        <v>2.41</v>
      </c>
      <c r="N2591">
        <v>8</v>
      </c>
      <c r="O2591" t="s">
        <v>19</v>
      </c>
      <c r="P2591" cm="1">
        <f t="array" ref="P2591">_xlfn.SWITCH(Table2[[#This Row],[mood]], "Tired", 3, "Neutral", 2, "Happy", 1)</f>
        <v>2</v>
      </c>
    </row>
    <row r="2592" spans="1:16" x14ac:dyDescent="0.3">
      <c r="A2592">
        <v>1593</v>
      </c>
      <c r="B2592" s="1">
        <v>44595</v>
      </c>
      <c r="C2592">
        <v>33</v>
      </c>
      <c r="D2592" t="s">
        <v>20</v>
      </c>
      <c r="E2592">
        <v>170.4</v>
      </c>
      <c r="F2592">
        <v>66.3</v>
      </c>
      <c r="G2592">
        <v>8997</v>
      </c>
      <c r="H2592">
        <v>491.9</v>
      </c>
      <c r="I2592">
        <v>6.1</v>
      </c>
      <c r="J2592">
        <v>89</v>
      </c>
      <c r="K2592" t="s">
        <v>23</v>
      </c>
      <c r="L2592">
        <v>88</v>
      </c>
      <c r="M2592">
        <v>1.87</v>
      </c>
      <c r="N2592">
        <v>3</v>
      </c>
      <c r="O2592" t="s">
        <v>17</v>
      </c>
      <c r="P2592" cm="1">
        <f t="array" ref="P2592">_xlfn.SWITCH(Table2[[#This Row],[mood]], "Tired", 3, "Neutral", 2, "Happy", 1)</f>
        <v>3</v>
      </c>
    </row>
    <row r="2593" spans="1:16" x14ac:dyDescent="0.3">
      <c r="A2593">
        <v>1965</v>
      </c>
      <c r="B2593" s="1">
        <v>44596</v>
      </c>
      <c r="C2593">
        <v>29</v>
      </c>
      <c r="D2593" t="s">
        <v>15</v>
      </c>
      <c r="E2593">
        <v>177.9</v>
      </c>
      <c r="F2593">
        <v>63.6</v>
      </c>
      <c r="G2593">
        <v>13466</v>
      </c>
      <c r="H2593">
        <v>824.3</v>
      </c>
      <c r="I2593">
        <v>5.3</v>
      </c>
      <c r="J2593">
        <v>63</v>
      </c>
      <c r="K2593" t="s">
        <v>25</v>
      </c>
      <c r="L2593">
        <v>58</v>
      </c>
      <c r="M2593">
        <v>2.56</v>
      </c>
      <c r="N2593">
        <v>2</v>
      </c>
      <c r="O2593" t="s">
        <v>19</v>
      </c>
      <c r="P2593" cm="1">
        <f t="array" ref="P2593">_xlfn.SWITCH(Table2[[#This Row],[mood]], "Tired", 3, "Neutral", 2, "Happy", 1)</f>
        <v>2</v>
      </c>
    </row>
    <row r="2594" spans="1:16" x14ac:dyDescent="0.3">
      <c r="A2594">
        <v>1913</v>
      </c>
      <c r="B2594" s="1">
        <v>44597</v>
      </c>
      <c r="C2594">
        <v>30</v>
      </c>
      <c r="D2594" t="s">
        <v>20</v>
      </c>
      <c r="E2594">
        <v>196.8</v>
      </c>
      <c r="F2594">
        <v>65.7</v>
      </c>
      <c r="G2594">
        <v>13516</v>
      </c>
      <c r="H2594">
        <v>771.2</v>
      </c>
      <c r="I2594">
        <v>7.9</v>
      </c>
      <c r="J2594">
        <v>79</v>
      </c>
      <c r="K2594" t="s">
        <v>23</v>
      </c>
      <c r="L2594">
        <v>62</v>
      </c>
      <c r="M2594">
        <v>2.75</v>
      </c>
      <c r="N2594">
        <v>6</v>
      </c>
      <c r="O2594" t="s">
        <v>21</v>
      </c>
      <c r="P2594" cm="1">
        <f t="array" ref="P2594">_xlfn.SWITCH(Table2[[#This Row],[mood]], "Tired", 3, "Neutral", 2, "Happy", 1)</f>
        <v>1</v>
      </c>
    </row>
    <row r="2595" spans="1:16" x14ac:dyDescent="0.3">
      <c r="A2595">
        <v>1722</v>
      </c>
      <c r="B2595" s="1">
        <v>44598</v>
      </c>
      <c r="C2595">
        <v>59</v>
      </c>
      <c r="D2595" t="s">
        <v>20</v>
      </c>
      <c r="E2595">
        <v>165.8</v>
      </c>
      <c r="F2595">
        <v>78</v>
      </c>
      <c r="G2595">
        <v>18266</v>
      </c>
      <c r="H2595">
        <v>900</v>
      </c>
      <c r="I2595">
        <v>5</v>
      </c>
      <c r="J2595">
        <v>71</v>
      </c>
      <c r="K2595" t="s">
        <v>18</v>
      </c>
      <c r="L2595">
        <v>50</v>
      </c>
      <c r="M2595">
        <v>3.04</v>
      </c>
      <c r="N2595">
        <v>2</v>
      </c>
      <c r="O2595" t="s">
        <v>19</v>
      </c>
      <c r="P2595" cm="1">
        <f t="array" ref="P2595">_xlfn.SWITCH(Table2[[#This Row],[mood]], "Tired", 3, "Neutral", 2, "Happy", 1)</f>
        <v>2</v>
      </c>
    </row>
    <row r="2596" spans="1:16" x14ac:dyDescent="0.3">
      <c r="A2596">
        <v>1661</v>
      </c>
      <c r="B2596" s="1">
        <v>44599</v>
      </c>
      <c r="C2596">
        <v>56</v>
      </c>
      <c r="D2596" t="s">
        <v>15</v>
      </c>
      <c r="E2596">
        <v>163.30000000000001</v>
      </c>
      <c r="F2596">
        <v>77.099999999999994</v>
      </c>
      <c r="G2596">
        <v>1393</v>
      </c>
      <c r="H2596">
        <v>245.1</v>
      </c>
      <c r="I2596">
        <v>8.5</v>
      </c>
      <c r="J2596">
        <v>70</v>
      </c>
      <c r="K2596" t="s">
        <v>23</v>
      </c>
      <c r="L2596">
        <v>89</v>
      </c>
      <c r="M2596">
        <v>3.1</v>
      </c>
      <c r="N2596">
        <v>3</v>
      </c>
      <c r="O2596" t="s">
        <v>21</v>
      </c>
      <c r="P2596" cm="1">
        <f t="array" ref="P2596">_xlfn.SWITCH(Table2[[#This Row],[mood]], "Tired", 3, "Neutral", 2, "Happy", 1)</f>
        <v>1</v>
      </c>
    </row>
    <row r="2597" spans="1:16" x14ac:dyDescent="0.3">
      <c r="A2597">
        <v>1548</v>
      </c>
      <c r="B2597" s="1">
        <v>44600</v>
      </c>
      <c r="C2597">
        <v>42</v>
      </c>
      <c r="D2597" t="s">
        <v>15</v>
      </c>
      <c r="E2597">
        <v>173.2</v>
      </c>
      <c r="F2597">
        <v>101.4</v>
      </c>
      <c r="G2597">
        <v>3739</v>
      </c>
      <c r="H2597">
        <v>335.5</v>
      </c>
      <c r="I2597">
        <v>5.3</v>
      </c>
      <c r="J2597">
        <v>66</v>
      </c>
      <c r="K2597" t="s">
        <v>23</v>
      </c>
      <c r="L2597">
        <v>22</v>
      </c>
      <c r="M2597">
        <v>3.24</v>
      </c>
      <c r="N2597">
        <v>3</v>
      </c>
      <c r="O2597" t="s">
        <v>19</v>
      </c>
      <c r="P2597" cm="1">
        <f t="array" ref="P2597">_xlfn.SWITCH(Table2[[#This Row],[mood]], "Tired", 3, "Neutral", 2, "Happy", 1)</f>
        <v>2</v>
      </c>
    </row>
    <row r="2598" spans="1:16" x14ac:dyDescent="0.3">
      <c r="A2598">
        <v>1351</v>
      </c>
      <c r="B2598" s="1">
        <v>44601</v>
      </c>
      <c r="C2598">
        <v>49</v>
      </c>
      <c r="D2598" t="s">
        <v>15</v>
      </c>
      <c r="E2598">
        <v>167.4</v>
      </c>
      <c r="F2598">
        <v>46.9</v>
      </c>
      <c r="G2598">
        <v>5167</v>
      </c>
      <c r="H2598">
        <v>391.6</v>
      </c>
      <c r="I2598">
        <v>7.4</v>
      </c>
      <c r="J2598">
        <v>101</v>
      </c>
      <c r="K2598" t="s">
        <v>25</v>
      </c>
      <c r="L2598">
        <v>23</v>
      </c>
      <c r="M2598">
        <v>1.28</v>
      </c>
      <c r="N2598">
        <v>1</v>
      </c>
      <c r="O2598" t="s">
        <v>21</v>
      </c>
      <c r="P2598" cm="1">
        <f t="array" ref="P2598">_xlfn.SWITCH(Table2[[#This Row],[mood]], "Tired", 3, "Neutral", 2, "Happy", 1)</f>
        <v>1</v>
      </c>
    </row>
    <row r="2599" spans="1:16" x14ac:dyDescent="0.3">
      <c r="A2599">
        <v>1311</v>
      </c>
      <c r="B2599" s="1">
        <v>44602</v>
      </c>
      <c r="C2599">
        <v>41</v>
      </c>
      <c r="D2599" t="s">
        <v>15</v>
      </c>
      <c r="E2599">
        <v>182.8</v>
      </c>
      <c r="F2599">
        <v>96.4</v>
      </c>
      <c r="G2599">
        <v>14194</v>
      </c>
      <c r="H2599">
        <v>754.1</v>
      </c>
      <c r="I2599">
        <v>7.5</v>
      </c>
      <c r="J2599">
        <v>73</v>
      </c>
      <c r="K2599" t="s">
        <v>23</v>
      </c>
      <c r="L2599">
        <v>46</v>
      </c>
      <c r="M2599">
        <v>2.29</v>
      </c>
      <c r="N2599">
        <v>5</v>
      </c>
      <c r="O2599" t="s">
        <v>19</v>
      </c>
      <c r="P2599" cm="1">
        <f t="array" ref="P2599">_xlfn.SWITCH(Table2[[#This Row],[mood]], "Tired", 3, "Neutral", 2, "Happy", 1)</f>
        <v>2</v>
      </c>
    </row>
    <row r="2600" spans="1:16" x14ac:dyDescent="0.3">
      <c r="A2600">
        <v>1872</v>
      </c>
      <c r="B2600" s="1">
        <v>44603</v>
      </c>
      <c r="C2600">
        <v>26</v>
      </c>
      <c r="D2600" t="s">
        <v>15</v>
      </c>
      <c r="E2600">
        <v>161.9</v>
      </c>
      <c r="F2600">
        <v>66.900000000000006</v>
      </c>
      <c r="G2600">
        <v>5231</v>
      </c>
      <c r="H2600">
        <v>379.8</v>
      </c>
      <c r="I2600">
        <v>7.4</v>
      </c>
      <c r="J2600">
        <v>66</v>
      </c>
      <c r="K2600" t="s">
        <v>23</v>
      </c>
      <c r="L2600">
        <v>46</v>
      </c>
      <c r="M2600">
        <v>3.2</v>
      </c>
      <c r="N2600">
        <v>8</v>
      </c>
      <c r="O2600" t="s">
        <v>19</v>
      </c>
      <c r="P2600" cm="1">
        <f t="array" ref="P2600">_xlfn.SWITCH(Table2[[#This Row],[mood]], "Tired", 3, "Neutral", 2, "Happy", 1)</f>
        <v>2</v>
      </c>
    </row>
    <row r="2601" spans="1:16" x14ac:dyDescent="0.3">
      <c r="A2601">
        <v>1058</v>
      </c>
      <c r="B2601" s="1">
        <v>44604</v>
      </c>
      <c r="C2601">
        <v>57</v>
      </c>
      <c r="D2601" t="s">
        <v>15</v>
      </c>
      <c r="E2601">
        <v>167.5</v>
      </c>
      <c r="F2601">
        <v>68.599999999999994</v>
      </c>
      <c r="G2601">
        <v>2401</v>
      </c>
      <c r="H2601">
        <v>290.89999999999998</v>
      </c>
      <c r="I2601">
        <v>5.0999999999999996</v>
      </c>
      <c r="J2601">
        <v>76</v>
      </c>
      <c r="K2601" t="s">
        <v>18</v>
      </c>
      <c r="L2601">
        <v>66</v>
      </c>
      <c r="M2601">
        <v>1.85</v>
      </c>
      <c r="N2601">
        <v>9</v>
      </c>
      <c r="O2601" t="s">
        <v>19</v>
      </c>
      <c r="P2601" cm="1">
        <f t="array" ref="P2601">_xlfn.SWITCH(Table2[[#This Row],[mood]], "Tired", 3, "Neutral", 2, "Happy", 1)</f>
        <v>2</v>
      </c>
    </row>
    <row r="2602" spans="1:16" x14ac:dyDescent="0.3">
      <c r="A2602">
        <v>1642</v>
      </c>
      <c r="B2602" s="1">
        <v>44605</v>
      </c>
      <c r="C2602">
        <v>40</v>
      </c>
      <c r="D2602" t="s">
        <v>20</v>
      </c>
      <c r="E2602">
        <v>178.8</v>
      </c>
      <c r="F2602">
        <v>82.9</v>
      </c>
      <c r="G2602">
        <v>9086</v>
      </c>
      <c r="H2602">
        <v>533</v>
      </c>
      <c r="I2602">
        <v>6.7</v>
      </c>
      <c r="J2602">
        <v>83</v>
      </c>
      <c r="K2602" t="s">
        <v>23</v>
      </c>
      <c r="L2602">
        <v>79</v>
      </c>
      <c r="M2602">
        <v>3.35</v>
      </c>
      <c r="N2602">
        <v>7</v>
      </c>
      <c r="O2602" t="s">
        <v>17</v>
      </c>
      <c r="P2602" cm="1">
        <f t="array" ref="P2602">_xlfn.SWITCH(Table2[[#This Row],[mood]], "Tired", 3, "Neutral", 2, "Happy", 1)</f>
        <v>3</v>
      </c>
    </row>
    <row r="2603" spans="1:16" x14ac:dyDescent="0.3">
      <c r="A2603">
        <v>1923</v>
      </c>
      <c r="B2603" s="1">
        <v>44606</v>
      </c>
      <c r="C2603">
        <v>30</v>
      </c>
      <c r="D2603" t="s">
        <v>20</v>
      </c>
      <c r="E2603">
        <v>173.1</v>
      </c>
      <c r="F2603">
        <v>82.8</v>
      </c>
      <c r="G2603">
        <v>1905</v>
      </c>
      <c r="H2603">
        <v>287.39999999999998</v>
      </c>
      <c r="I2603">
        <v>9.1</v>
      </c>
      <c r="J2603">
        <v>74</v>
      </c>
      <c r="K2603" t="s">
        <v>23</v>
      </c>
      <c r="L2603">
        <v>55</v>
      </c>
      <c r="M2603">
        <v>3.77</v>
      </c>
      <c r="N2603">
        <v>5</v>
      </c>
      <c r="O2603" t="s">
        <v>17</v>
      </c>
      <c r="P2603" cm="1">
        <f t="array" ref="P2603">_xlfn.SWITCH(Table2[[#This Row],[mood]], "Tired", 3, "Neutral", 2, "Happy", 1)</f>
        <v>3</v>
      </c>
    </row>
    <row r="2604" spans="1:16" x14ac:dyDescent="0.3">
      <c r="A2604">
        <v>1713</v>
      </c>
      <c r="B2604" s="1">
        <v>44607</v>
      </c>
      <c r="C2604">
        <v>49</v>
      </c>
      <c r="D2604" t="s">
        <v>15</v>
      </c>
      <c r="E2604">
        <v>181.6</v>
      </c>
      <c r="F2604">
        <v>87.3</v>
      </c>
      <c r="G2604">
        <v>1529</v>
      </c>
      <c r="H2604">
        <v>260</v>
      </c>
      <c r="I2604">
        <v>6.7</v>
      </c>
      <c r="J2604">
        <v>77</v>
      </c>
      <c r="K2604" t="s">
        <v>25</v>
      </c>
      <c r="L2604">
        <v>65</v>
      </c>
      <c r="M2604">
        <v>3.33</v>
      </c>
      <c r="N2604">
        <v>8</v>
      </c>
      <c r="O2604" t="s">
        <v>19</v>
      </c>
      <c r="P2604" cm="1">
        <f t="array" ref="P2604">_xlfn.SWITCH(Table2[[#This Row],[mood]], "Tired", 3, "Neutral", 2, "Happy", 1)</f>
        <v>2</v>
      </c>
    </row>
    <row r="2605" spans="1:16" x14ac:dyDescent="0.3">
      <c r="A2605">
        <v>1754</v>
      </c>
      <c r="B2605" s="1">
        <v>44608</v>
      </c>
      <c r="C2605">
        <v>32</v>
      </c>
      <c r="D2605" t="s">
        <v>20</v>
      </c>
      <c r="E2605">
        <v>165.6</v>
      </c>
      <c r="F2605">
        <v>90.6</v>
      </c>
      <c r="G2605">
        <v>9011</v>
      </c>
      <c r="H2605">
        <v>525.4</v>
      </c>
      <c r="I2605">
        <v>5.3</v>
      </c>
      <c r="J2605">
        <v>85</v>
      </c>
      <c r="K2605" t="s">
        <v>24</v>
      </c>
      <c r="L2605">
        <v>80</v>
      </c>
      <c r="M2605">
        <v>2.96</v>
      </c>
      <c r="N2605">
        <v>9</v>
      </c>
      <c r="O2605" t="s">
        <v>17</v>
      </c>
      <c r="P2605" cm="1">
        <f t="array" ref="P2605">_xlfn.SWITCH(Table2[[#This Row],[mood]], "Tired", 3, "Neutral", 2, "Happy", 1)</f>
        <v>3</v>
      </c>
    </row>
    <row r="2606" spans="1:16" x14ac:dyDescent="0.3">
      <c r="A2606">
        <v>1034</v>
      </c>
      <c r="B2606" s="1">
        <v>44609</v>
      </c>
      <c r="C2606">
        <v>53</v>
      </c>
      <c r="D2606" t="s">
        <v>15</v>
      </c>
      <c r="E2606">
        <v>182.6</v>
      </c>
      <c r="F2606">
        <v>69.400000000000006</v>
      </c>
      <c r="G2606">
        <v>16001</v>
      </c>
      <c r="H2606">
        <v>835.7</v>
      </c>
      <c r="I2606">
        <v>6.3</v>
      </c>
      <c r="J2606">
        <v>65</v>
      </c>
      <c r="K2606" t="s">
        <v>18</v>
      </c>
      <c r="L2606">
        <v>61</v>
      </c>
      <c r="M2606">
        <v>2.19</v>
      </c>
      <c r="N2606">
        <v>9</v>
      </c>
      <c r="O2606" t="s">
        <v>17</v>
      </c>
      <c r="P2606" cm="1">
        <f t="array" ref="P2606">_xlfn.SWITCH(Table2[[#This Row],[mood]], "Tired", 3, "Neutral", 2, "Happy", 1)</f>
        <v>3</v>
      </c>
    </row>
    <row r="2607" spans="1:16" x14ac:dyDescent="0.3">
      <c r="A2607">
        <v>1444</v>
      </c>
      <c r="B2607" s="1">
        <v>44610</v>
      </c>
      <c r="C2607">
        <v>22</v>
      </c>
      <c r="D2607" t="s">
        <v>15</v>
      </c>
      <c r="E2607">
        <v>153.4</v>
      </c>
      <c r="F2607">
        <v>90.8</v>
      </c>
      <c r="G2607">
        <v>5618</v>
      </c>
      <c r="H2607">
        <v>451.9</v>
      </c>
      <c r="I2607">
        <v>5.0999999999999996</v>
      </c>
      <c r="J2607">
        <v>77</v>
      </c>
      <c r="K2607" t="s">
        <v>23</v>
      </c>
      <c r="L2607">
        <v>26</v>
      </c>
      <c r="M2607">
        <v>2.7</v>
      </c>
      <c r="N2607">
        <v>9</v>
      </c>
      <c r="O2607" t="s">
        <v>19</v>
      </c>
      <c r="P2607" cm="1">
        <f t="array" ref="P2607">_xlfn.SWITCH(Table2[[#This Row],[mood]], "Tired", 3, "Neutral", 2, "Happy", 1)</f>
        <v>2</v>
      </c>
    </row>
    <row r="2608" spans="1:16" x14ac:dyDescent="0.3">
      <c r="A2608">
        <v>1092</v>
      </c>
      <c r="B2608" s="1">
        <v>44611</v>
      </c>
      <c r="C2608">
        <v>39</v>
      </c>
      <c r="D2608" t="s">
        <v>15</v>
      </c>
      <c r="E2608">
        <v>153.80000000000001</v>
      </c>
      <c r="F2608">
        <v>60.6</v>
      </c>
      <c r="G2608">
        <v>17956</v>
      </c>
      <c r="H2608">
        <v>805.4</v>
      </c>
      <c r="I2608">
        <v>3.7</v>
      </c>
      <c r="J2608">
        <v>69</v>
      </c>
      <c r="K2608" t="s">
        <v>24</v>
      </c>
      <c r="L2608">
        <v>49</v>
      </c>
      <c r="M2608">
        <v>1.56</v>
      </c>
      <c r="N2608">
        <v>2</v>
      </c>
      <c r="O2608" t="s">
        <v>19</v>
      </c>
      <c r="P2608" cm="1">
        <f t="array" ref="P2608">_xlfn.SWITCH(Table2[[#This Row],[mood]], "Tired", 3, "Neutral", 2, "Happy", 1)</f>
        <v>2</v>
      </c>
    </row>
    <row r="2609" spans="1:16" x14ac:dyDescent="0.3">
      <c r="A2609">
        <v>1949</v>
      </c>
      <c r="B2609" s="1">
        <v>44612</v>
      </c>
      <c r="C2609">
        <v>33</v>
      </c>
      <c r="D2609" t="s">
        <v>15</v>
      </c>
      <c r="E2609">
        <v>182.8</v>
      </c>
      <c r="F2609">
        <v>65.400000000000006</v>
      </c>
      <c r="G2609">
        <v>18027</v>
      </c>
      <c r="H2609">
        <v>900</v>
      </c>
      <c r="I2609">
        <v>6.7</v>
      </c>
      <c r="J2609">
        <v>67</v>
      </c>
      <c r="K2609" t="s">
        <v>25</v>
      </c>
      <c r="L2609">
        <v>69</v>
      </c>
      <c r="M2609">
        <v>1.95</v>
      </c>
      <c r="N2609">
        <v>3</v>
      </c>
      <c r="O2609" t="s">
        <v>19</v>
      </c>
      <c r="P2609" cm="1">
        <f t="array" ref="P2609">_xlfn.SWITCH(Table2[[#This Row],[mood]], "Tired", 3, "Neutral", 2, "Happy", 1)</f>
        <v>2</v>
      </c>
    </row>
    <row r="2610" spans="1:16" x14ac:dyDescent="0.3">
      <c r="A2610">
        <v>1958</v>
      </c>
      <c r="B2610" s="1">
        <v>44613</v>
      </c>
      <c r="C2610">
        <v>58</v>
      </c>
      <c r="D2610" t="s">
        <v>20</v>
      </c>
      <c r="E2610">
        <v>170.1</v>
      </c>
      <c r="F2610">
        <v>67.3</v>
      </c>
      <c r="G2610">
        <v>15908</v>
      </c>
      <c r="H2610">
        <v>775</v>
      </c>
      <c r="I2610">
        <v>7.2</v>
      </c>
      <c r="J2610">
        <v>93</v>
      </c>
      <c r="K2610" t="s">
        <v>18</v>
      </c>
      <c r="L2610">
        <v>66</v>
      </c>
      <c r="M2610">
        <v>2</v>
      </c>
      <c r="N2610">
        <v>2</v>
      </c>
      <c r="O2610" t="s">
        <v>17</v>
      </c>
      <c r="P2610" cm="1">
        <f t="array" ref="P2610">_xlfn.SWITCH(Table2[[#This Row],[mood]], "Tired", 3, "Neutral", 2, "Happy", 1)</f>
        <v>3</v>
      </c>
    </row>
    <row r="2611" spans="1:16" x14ac:dyDescent="0.3">
      <c r="A2611">
        <v>1206</v>
      </c>
      <c r="B2611" s="1">
        <v>44614</v>
      </c>
      <c r="C2611">
        <v>27</v>
      </c>
      <c r="D2611" t="s">
        <v>15</v>
      </c>
      <c r="E2611">
        <v>179.2</v>
      </c>
      <c r="F2611">
        <v>62.1</v>
      </c>
      <c r="G2611">
        <v>8013</v>
      </c>
      <c r="H2611">
        <v>497.6</v>
      </c>
      <c r="I2611">
        <v>8</v>
      </c>
      <c r="J2611">
        <v>74</v>
      </c>
      <c r="K2611" t="s">
        <v>16</v>
      </c>
      <c r="L2611">
        <v>0</v>
      </c>
      <c r="M2611">
        <v>2.54</v>
      </c>
      <c r="N2611">
        <v>5</v>
      </c>
      <c r="O2611" t="s">
        <v>17</v>
      </c>
      <c r="P2611" cm="1">
        <f t="array" ref="P2611">_xlfn.SWITCH(Table2[[#This Row],[mood]], "Tired", 3, "Neutral", 2, "Happy", 1)</f>
        <v>3</v>
      </c>
    </row>
    <row r="2612" spans="1:16" x14ac:dyDescent="0.3">
      <c r="A2612">
        <v>1352</v>
      </c>
      <c r="B2612" s="1">
        <v>44615</v>
      </c>
      <c r="C2612">
        <v>41</v>
      </c>
      <c r="D2612" t="s">
        <v>20</v>
      </c>
      <c r="E2612">
        <v>171</v>
      </c>
      <c r="F2612">
        <v>70.900000000000006</v>
      </c>
      <c r="G2612">
        <v>10484</v>
      </c>
      <c r="H2612">
        <v>477.9</v>
      </c>
      <c r="I2612">
        <v>7.7</v>
      </c>
      <c r="J2612">
        <v>64</v>
      </c>
      <c r="K2612" t="s">
        <v>25</v>
      </c>
      <c r="L2612">
        <v>24</v>
      </c>
      <c r="M2612">
        <v>2.23</v>
      </c>
      <c r="N2612">
        <v>3</v>
      </c>
      <c r="O2612" t="s">
        <v>17</v>
      </c>
      <c r="P2612" cm="1">
        <f t="array" ref="P2612">_xlfn.SWITCH(Table2[[#This Row],[mood]], "Tired", 3, "Neutral", 2, "Happy", 1)</f>
        <v>3</v>
      </c>
    </row>
    <row r="2613" spans="1:16" x14ac:dyDescent="0.3">
      <c r="A2613">
        <v>1902</v>
      </c>
      <c r="B2613" s="1">
        <v>44616</v>
      </c>
      <c r="C2613">
        <v>35</v>
      </c>
      <c r="D2613" t="s">
        <v>15</v>
      </c>
      <c r="E2613">
        <v>169.9</v>
      </c>
      <c r="F2613">
        <v>83.4</v>
      </c>
      <c r="G2613">
        <v>12787</v>
      </c>
      <c r="H2613">
        <v>739.8</v>
      </c>
      <c r="I2613">
        <v>7.9</v>
      </c>
      <c r="J2613">
        <v>74</v>
      </c>
      <c r="K2613" t="s">
        <v>24</v>
      </c>
      <c r="L2613">
        <v>89</v>
      </c>
      <c r="M2613">
        <v>2.68</v>
      </c>
      <c r="N2613">
        <v>9</v>
      </c>
      <c r="O2613" t="s">
        <v>19</v>
      </c>
      <c r="P2613" cm="1">
        <f t="array" ref="P2613">_xlfn.SWITCH(Table2[[#This Row],[mood]], "Tired", 3, "Neutral", 2, "Happy", 1)</f>
        <v>2</v>
      </c>
    </row>
    <row r="2614" spans="1:16" x14ac:dyDescent="0.3">
      <c r="A2614">
        <v>1331</v>
      </c>
      <c r="B2614" s="1">
        <v>44617</v>
      </c>
      <c r="C2614">
        <v>35</v>
      </c>
      <c r="D2614" t="s">
        <v>15</v>
      </c>
      <c r="E2614">
        <v>156.69999999999999</v>
      </c>
      <c r="F2614">
        <v>79.8</v>
      </c>
      <c r="G2614">
        <v>13834</v>
      </c>
      <c r="H2614">
        <v>716.3</v>
      </c>
      <c r="I2614">
        <v>6.9</v>
      </c>
      <c r="J2614">
        <v>63</v>
      </c>
      <c r="K2614" t="s">
        <v>18</v>
      </c>
      <c r="L2614">
        <v>77</v>
      </c>
      <c r="M2614">
        <v>3.11</v>
      </c>
      <c r="N2614">
        <v>2</v>
      </c>
      <c r="O2614" t="s">
        <v>17</v>
      </c>
      <c r="P2614" cm="1">
        <f t="array" ref="P2614">_xlfn.SWITCH(Table2[[#This Row],[mood]], "Tired", 3, "Neutral", 2, "Happy", 1)</f>
        <v>3</v>
      </c>
    </row>
    <row r="2615" spans="1:16" x14ac:dyDescent="0.3">
      <c r="A2615">
        <v>1816</v>
      </c>
      <c r="B2615" s="1">
        <v>44618</v>
      </c>
      <c r="C2615">
        <v>24</v>
      </c>
      <c r="D2615" t="s">
        <v>15</v>
      </c>
      <c r="E2615">
        <v>169.7</v>
      </c>
      <c r="F2615">
        <v>60.8</v>
      </c>
      <c r="G2615">
        <v>6605</v>
      </c>
      <c r="H2615">
        <v>439.2</v>
      </c>
      <c r="I2615">
        <v>10</v>
      </c>
      <c r="J2615">
        <v>73</v>
      </c>
      <c r="K2615" t="s">
        <v>23</v>
      </c>
      <c r="L2615">
        <v>63</v>
      </c>
      <c r="M2615">
        <v>2</v>
      </c>
      <c r="N2615">
        <v>5</v>
      </c>
      <c r="O2615" t="s">
        <v>17</v>
      </c>
      <c r="P2615" cm="1">
        <f t="array" ref="P2615">_xlfn.SWITCH(Table2[[#This Row],[mood]], "Tired", 3, "Neutral", 2, "Happy", 1)</f>
        <v>3</v>
      </c>
    </row>
    <row r="2616" spans="1:16" x14ac:dyDescent="0.3">
      <c r="A2616">
        <v>1861</v>
      </c>
      <c r="B2616" s="1">
        <v>44619</v>
      </c>
      <c r="C2616">
        <v>21</v>
      </c>
      <c r="D2616" t="s">
        <v>20</v>
      </c>
      <c r="E2616">
        <v>183.6</v>
      </c>
      <c r="F2616">
        <v>59.6</v>
      </c>
      <c r="G2616">
        <v>11677</v>
      </c>
      <c r="H2616">
        <v>671.6</v>
      </c>
      <c r="I2616">
        <v>5.7</v>
      </c>
      <c r="J2616">
        <v>68</v>
      </c>
      <c r="K2616" t="s">
        <v>24</v>
      </c>
      <c r="L2616">
        <v>51</v>
      </c>
      <c r="M2616">
        <v>2.6</v>
      </c>
      <c r="N2616">
        <v>5</v>
      </c>
      <c r="O2616" t="s">
        <v>21</v>
      </c>
      <c r="P2616" cm="1">
        <f t="array" ref="P2616">_xlfn.SWITCH(Table2[[#This Row],[mood]], "Tired", 3, "Neutral", 2, "Happy", 1)</f>
        <v>1</v>
      </c>
    </row>
    <row r="2617" spans="1:16" x14ac:dyDescent="0.3">
      <c r="A2617">
        <v>1724</v>
      </c>
      <c r="B2617" s="1">
        <v>44620</v>
      </c>
      <c r="C2617">
        <v>43</v>
      </c>
      <c r="D2617" t="s">
        <v>15</v>
      </c>
      <c r="E2617">
        <v>170.6</v>
      </c>
      <c r="F2617">
        <v>57.2</v>
      </c>
      <c r="G2617">
        <v>17938</v>
      </c>
      <c r="H2617">
        <v>819</v>
      </c>
      <c r="I2617">
        <v>6.5</v>
      </c>
      <c r="J2617">
        <v>80</v>
      </c>
      <c r="K2617" t="s">
        <v>25</v>
      </c>
      <c r="L2617">
        <v>59</v>
      </c>
      <c r="M2617">
        <v>2.21</v>
      </c>
      <c r="N2617">
        <v>5</v>
      </c>
      <c r="O2617" t="s">
        <v>21</v>
      </c>
      <c r="P2617" cm="1">
        <f t="array" ref="P2617">_xlfn.SWITCH(Table2[[#This Row],[mood]], "Tired", 3, "Neutral", 2, "Happy", 1)</f>
        <v>1</v>
      </c>
    </row>
    <row r="2618" spans="1:16" x14ac:dyDescent="0.3">
      <c r="A2618">
        <v>1158</v>
      </c>
      <c r="B2618" s="1">
        <v>44621</v>
      </c>
      <c r="C2618">
        <v>22</v>
      </c>
      <c r="D2618" t="s">
        <v>15</v>
      </c>
      <c r="E2618">
        <v>176.8</v>
      </c>
      <c r="F2618">
        <v>71.3</v>
      </c>
      <c r="G2618">
        <v>15051</v>
      </c>
      <c r="H2618">
        <v>805.1</v>
      </c>
      <c r="I2618">
        <v>9.5</v>
      </c>
      <c r="J2618">
        <v>94</v>
      </c>
      <c r="K2618" t="s">
        <v>18</v>
      </c>
      <c r="L2618">
        <v>76</v>
      </c>
      <c r="M2618">
        <v>2.63</v>
      </c>
      <c r="N2618">
        <v>1</v>
      </c>
      <c r="O2618" t="s">
        <v>19</v>
      </c>
      <c r="P2618" cm="1">
        <f t="array" ref="P2618">_xlfn.SWITCH(Table2[[#This Row],[mood]], "Tired", 3, "Neutral", 2, "Happy", 1)</f>
        <v>2</v>
      </c>
    </row>
    <row r="2619" spans="1:16" x14ac:dyDescent="0.3">
      <c r="A2619">
        <v>1953</v>
      </c>
      <c r="B2619" s="1">
        <v>44622</v>
      </c>
      <c r="C2619">
        <v>33</v>
      </c>
      <c r="D2619" t="s">
        <v>15</v>
      </c>
      <c r="E2619">
        <v>176.5</v>
      </c>
      <c r="F2619">
        <v>46.3</v>
      </c>
      <c r="G2619">
        <v>11766</v>
      </c>
      <c r="H2619">
        <v>703.1</v>
      </c>
      <c r="I2619">
        <v>6.4</v>
      </c>
      <c r="J2619">
        <v>73</v>
      </c>
      <c r="K2619" t="s">
        <v>24</v>
      </c>
      <c r="L2619">
        <v>30</v>
      </c>
      <c r="M2619">
        <v>2.98</v>
      </c>
      <c r="N2619">
        <v>10</v>
      </c>
      <c r="O2619" t="s">
        <v>19</v>
      </c>
      <c r="P2619" cm="1">
        <f t="array" ref="P2619">_xlfn.SWITCH(Table2[[#This Row],[mood]], "Tired", 3, "Neutral", 2, "Happy", 1)</f>
        <v>2</v>
      </c>
    </row>
    <row r="2620" spans="1:16" x14ac:dyDescent="0.3">
      <c r="A2620">
        <v>1956</v>
      </c>
      <c r="B2620" s="1">
        <v>44623</v>
      </c>
      <c r="C2620">
        <v>52</v>
      </c>
      <c r="D2620" t="s">
        <v>20</v>
      </c>
      <c r="E2620">
        <v>159.9</v>
      </c>
      <c r="F2620">
        <v>56.6</v>
      </c>
      <c r="G2620">
        <v>11416</v>
      </c>
      <c r="H2620">
        <v>665.4</v>
      </c>
      <c r="I2620">
        <v>6.8</v>
      </c>
      <c r="J2620">
        <v>69</v>
      </c>
      <c r="K2620" t="s">
        <v>16</v>
      </c>
      <c r="L2620">
        <v>0</v>
      </c>
      <c r="M2620">
        <v>3.14</v>
      </c>
      <c r="N2620">
        <v>7</v>
      </c>
      <c r="O2620" t="s">
        <v>17</v>
      </c>
      <c r="P2620" cm="1">
        <f t="array" ref="P2620">_xlfn.SWITCH(Table2[[#This Row],[mood]], "Tired", 3, "Neutral", 2, "Happy", 1)</f>
        <v>3</v>
      </c>
    </row>
    <row r="2621" spans="1:16" x14ac:dyDescent="0.3">
      <c r="A2621">
        <v>1023</v>
      </c>
      <c r="B2621" s="1">
        <v>44624</v>
      </c>
      <c r="C2621">
        <v>43</v>
      </c>
      <c r="D2621" t="s">
        <v>20</v>
      </c>
      <c r="E2621">
        <v>178.6</v>
      </c>
      <c r="F2621">
        <v>63.1</v>
      </c>
      <c r="G2621">
        <v>16009</v>
      </c>
      <c r="H2621">
        <v>820.7</v>
      </c>
      <c r="I2621">
        <v>7.6</v>
      </c>
      <c r="J2621">
        <v>76</v>
      </c>
      <c r="K2621" t="s">
        <v>24</v>
      </c>
      <c r="L2621">
        <v>66</v>
      </c>
      <c r="M2621">
        <v>2.97</v>
      </c>
      <c r="N2621">
        <v>2</v>
      </c>
      <c r="O2621" t="s">
        <v>21</v>
      </c>
      <c r="P2621" cm="1">
        <f t="array" ref="P2621">_xlfn.SWITCH(Table2[[#This Row],[mood]], "Tired", 3, "Neutral", 2, "Happy", 1)</f>
        <v>1</v>
      </c>
    </row>
    <row r="2622" spans="1:16" x14ac:dyDescent="0.3">
      <c r="A2622">
        <v>1403</v>
      </c>
      <c r="B2622" s="1">
        <v>44625</v>
      </c>
      <c r="C2622">
        <v>35</v>
      </c>
      <c r="D2622" t="s">
        <v>20</v>
      </c>
      <c r="E2622">
        <v>166.9</v>
      </c>
      <c r="F2622">
        <v>85.8</v>
      </c>
      <c r="G2622">
        <v>14874</v>
      </c>
      <c r="H2622">
        <v>797</v>
      </c>
      <c r="I2622">
        <v>8.8000000000000007</v>
      </c>
      <c r="J2622">
        <v>90</v>
      </c>
      <c r="K2622" t="s">
        <v>25</v>
      </c>
      <c r="L2622">
        <v>21</v>
      </c>
      <c r="M2622">
        <v>2.79</v>
      </c>
      <c r="N2622">
        <v>2</v>
      </c>
      <c r="O2622" t="s">
        <v>21</v>
      </c>
      <c r="P2622" cm="1">
        <f t="array" ref="P2622">_xlfn.SWITCH(Table2[[#This Row],[mood]], "Tired", 3, "Neutral", 2, "Happy", 1)</f>
        <v>1</v>
      </c>
    </row>
    <row r="2623" spans="1:16" x14ac:dyDescent="0.3">
      <c r="A2623">
        <v>1804</v>
      </c>
      <c r="B2623" s="1">
        <v>44626</v>
      </c>
      <c r="C2623">
        <v>46</v>
      </c>
      <c r="D2623" t="s">
        <v>15</v>
      </c>
      <c r="E2623">
        <v>167.4</v>
      </c>
      <c r="F2623">
        <v>68</v>
      </c>
      <c r="G2623">
        <v>10185</v>
      </c>
      <c r="H2623">
        <v>603.6</v>
      </c>
      <c r="I2623">
        <v>7.2</v>
      </c>
      <c r="J2623">
        <v>80</v>
      </c>
      <c r="K2623" t="s">
        <v>25</v>
      </c>
      <c r="L2623">
        <v>71</v>
      </c>
      <c r="M2623">
        <v>1.51</v>
      </c>
      <c r="N2623">
        <v>9</v>
      </c>
      <c r="O2623" t="s">
        <v>19</v>
      </c>
      <c r="P2623" cm="1">
        <f t="array" ref="P2623">_xlfn.SWITCH(Table2[[#This Row],[mood]], "Tired", 3, "Neutral", 2, "Happy", 1)</f>
        <v>2</v>
      </c>
    </row>
    <row r="2624" spans="1:16" x14ac:dyDescent="0.3">
      <c r="A2624">
        <v>1515</v>
      </c>
      <c r="B2624" s="1">
        <v>44627</v>
      </c>
      <c r="C2624">
        <v>40</v>
      </c>
      <c r="D2624" t="s">
        <v>20</v>
      </c>
      <c r="E2624">
        <v>191</v>
      </c>
      <c r="F2624">
        <v>85.1</v>
      </c>
      <c r="G2624">
        <v>18505</v>
      </c>
      <c r="H2624">
        <v>900</v>
      </c>
      <c r="I2624">
        <v>5.7</v>
      </c>
      <c r="J2624">
        <v>74</v>
      </c>
      <c r="K2624" t="s">
        <v>23</v>
      </c>
      <c r="L2624">
        <v>68</v>
      </c>
      <c r="M2624">
        <v>1.74</v>
      </c>
      <c r="N2624">
        <v>1</v>
      </c>
      <c r="O2624" t="s">
        <v>17</v>
      </c>
      <c r="P2624" cm="1">
        <f t="array" ref="P2624">_xlfn.SWITCH(Table2[[#This Row],[mood]], "Tired", 3, "Neutral", 2, "Happy", 1)</f>
        <v>3</v>
      </c>
    </row>
    <row r="2625" spans="1:16" x14ac:dyDescent="0.3">
      <c r="A2625">
        <v>1731</v>
      </c>
      <c r="B2625" s="1">
        <v>44628</v>
      </c>
      <c r="C2625">
        <v>31</v>
      </c>
      <c r="D2625" t="s">
        <v>15</v>
      </c>
      <c r="E2625">
        <v>176</v>
      </c>
      <c r="F2625">
        <v>72.8</v>
      </c>
      <c r="G2625">
        <v>17439</v>
      </c>
      <c r="H2625">
        <v>900</v>
      </c>
      <c r="I2625">
        <v>6.4</v>
      </c>
      <c r="J2625">
        <v>54</v>
      </c>
      <c r="K2625" t="s">
        <v>23</v>
      </c>
      <c r="L2625">
        <v>78</v>
      </c>
      <c r="M2625">
        <v>1.92</v>
      </c>
      <c r="N2625">
        <v>9</v>
      </c>
      <c r="O2625" t="s">
        <v>19</v>
      </c>
      <c r="P2625" cm="1">
        <f t="array" ref="P2625">_xlfn.SWITCH(Table2[[#This Row],[mood]], "Tired", 3, "Neutral", 2, "Happy", 1)</f>
        <v>2</v>
      </c>
    </row>
    <row r="2626" spans="1:16" x14ac:dyDescent="0.3">
      <c r="A2626">
        <v>1363</v>
      </c>
      <c r="B2626" s="1">
        <v>44629</v>
      </c>
      <c r="C2626">
        <v>32</v>
      </c>
      <c r="D2626" t="s">
        <v>20</v>
      </c>
      <c r="E2626">
        <v>163.6</v>
      </c>
      <c r="F2626">
        <v>62.9</v>
      </c>
      <c r="G2626">
        <v>15660</v>
      </c>
      <c r="H2626">
        <v>805.9</v>
      </c>
      <c r="I2626">
        <v>7.8</v>
      </c>
      <c r="J2626">
        <v>74</v>
      </c>
      <c r="K2626" t="s">
        <v>24</v>
      </c>
      <c r="L2626">
        <v>57</v>
      </c>
      <c r="M2626">
        <v>2.75</v>
      </c>
      <c r="N2626">
        <v>6</v>
      </c>
      <c r="O2626" t="s">
        <v>17</v>
      </c>
      <c r="P2626" cm="1">
        <f t="array" ref="P2626">_xlfn.SWITCH(Table2[[#This Row],[mood]], "Tired", 3, "Neutral", 2, "Happy", 1)</f>
        <v>3</v>
      </c>
    </row>
    <row r="2627" spans="1:16" x14ac:dyDescent="0.3">
      <c r="A2627">
        <v>1381</v>
      </c>
      <c r="B2627" s="1">
        <v>44630</v>
      </c>
      <c r="C2627">
        <v>50</v>
      </c>
      <c r="D2627" t="s">
        <v>20</v>
      </c>
      <c r="E2627">
        <v>170.6</v>
      </c>
      <c r="F2627">
        <v>63.5</v>
      </c>
      <c r="G2627">
        <v>9849</v>
      </c>
      <c r="H2627">
        <v>605.5</v>
      </c>
      <c r="I2627">
        <v>6.6</v>
      </c>
      <c r="J2627">
        <v>83</v>
      </c>
      <c r="K2627" t="s">
        <v>25</v>
      </c>
      <c r="L2627">
        <v>35</v>
      </c>
      <c r="M2627">
        <v>1.6</v>
      </c>
      <c r="N2627">
        <v>5</v>
      </c>
      <c r="O2627" t="s">
        <v>21</v>
      </c>
      <c r="P2627" cm="1">
        <f t="array" ref="P2627">_xlfn.SWITCH(Table2[[#This Row],[mood]], "Tired", 3, "Neutral", 2, "Happy", 1)</f>
        <v>1</v>
      </c>
    </row>
    <row r="2628" spans="1:16" x14ac:dyDescent="0.3">
      <c r="A2628">
        <v>1531</v>
      </c>
      <c r="B2628" s="1">
        <v>44631</v>
      </c>
      <c r="C2628">
        <v>42</v>
      </c>
      <c r="D2628" t="s">
        <v>15</v>
      </c>
      <c r="E2628">
        <v>170.4</v>
      </c>
      <c r="F2628">
        <v>52.5</v>
      </c>
      <c r="G2628">
        <v>5736</v>
      </c>
      <c r="H2628">
        <v>396.1</v>
      </c>
      <c r="I2628">
        <v>6.3</v>
      </c>
      <c r="J2628">
        <v>85</v>
      </c>
      <c r="K2628" t="s">
        <v>24</v>
      </c>
      <c r="L2628">
        <v>46</v>
      </c>
      <c r="M2628">
        <v>2.74</v>
      </c>
      <c r="N2628">
        <v>5</v>
      </c>
      <c r="O2628" t="s">
        <v>17</v>
      </c>
      <c r="P2628" cm="1">
        <f t="array" ref="P2628">_xlfn.SWITCH(Table2[[#This Row],[mood]], "Tired", 3, "Neutral", 2, "Happy", 1)</f>
        <v>3</v>
      </c>
    </row>
    <row r="2629" spans="1:16" x14ac:dyDescent="0.3">
      <c r="A2629">
        <v>1955</v>
      </c>
      <c r="B2629" s="1">
        <v>44632</v>
      </c>
      <c r="C2629">
        <v>38</v>
      </c>
      <c r="D2629" t="s">
        <v>20</v>
      </c>
      <c r="E2629">
        <v>186.9</v>
      </c>
      <c r="F2629">
        <v>106</v>
      </c>
      <c r="G2629">
        <v>3609</v>
      </c>
      <c r="H2629">
        <v>365.2</v>
      </c>
      <c r="I2629">
        <v>5.6</v>
      </c>
      <c r="J2629">
        <v>88</v>
      </c>
      <c r="K2629" t="s">
        <v>22</v>
      </c>
      <c r="L2629">
        <v>47</v>
      </c>
      <c r="M2629">
        <v>2.69</v>
      </c>
      <c r="N2629">
        <v>5</v>
      </c>
      <c r="O2629" t="s">
        <v>21</v>
      </c>
      <c r="P2629" cm="1">
        <f t="array" ref="P2629">_xlfn.SWITCH(Table2[[#This Row],[mood]], "Tired", 3, "Neutral", 2, "Happy", 1)</f>
        <v>1</v>
      </c>
    </row>
    <row r="2630" spans="1:16" x14ac:dyDescent="0.3">
      <c r="A2630">
        <v>1151</v>
      </c>
      <c r="B2630" s="1">
        <v>44633</v>
      </c>
      <c r="C2630">
        <v>34</v>
      </c>
      <c r="D2630" t="s">
        <v>15</v>
      </c>
      <c r="E2630">
        <v>170.4</v>
      </c>
      <c r="F2630">
        <v>86.7</v>
      </c>
      <c r="G2630">
        <v>15675</v>
      </c>
      <c r="H2630">
        <v>850</v>
      </c>
      <c r="I2630">
        <v>8.8000000000000007</v>
      </c>
      <c r="J2630">
        <v>68</v>
      </c>
      <c r="K2630" t="s">
        <v>16</v>
      </c>
      <c r="L2630">
        <v>0</v>
      </c>
      <c r="M2630">
        <v>1.1499999999999999</v>
      </c>
      <c r="N2630">
        <v>6</v>
      </c>
      <c r="O2630" t="s">
        <v>21</v>
      </c>
      <c r="P2630" cm="1">
        <f t="array" ref="P2630">_xlfn.SWITCH(Table2[[#This Row],[mood]], "Tired", 3, "Neutral", 2, "Happy", 1)</f>
        <v>1</v>
      </c>
    </row>
    <row r="2631" spans="1:16" x14ac:dyDescent="0.3">
      <c r="A2631">
        <v>1561</v>
      </c>
      <c r="B2631" s="1">
        <v>44634</v>
      </c>
      <c r="C2631">
        <v>40</v>
      </c>
      <c r="D2631" t="s">
        <v>15</v>
      </c>
      <c r="E2631">
        <v>192.1</v>
      </c>
      <c r="F2631">
        <v>79.099999999999994</v>
      </c>
      <c r="G2631">
        <v>4909</v>
      </c>
      <c r="H2631">
        <v>388</v>
      </c>
      <c r="I2631">
        <v>6.8</v>
      </c>
      <c r="J2631">
        <v>71</v>
      </c>
      <c r="K2631" t="s">
        <v>25</v>
      </c>
      <c r="L2631">
        <v>64</v>
      </c>
      <c r="M2631">
        <v>1.74</v>
      </c>
      <c r="N2631">
        <v>7</v>
      </c>
      <c r="O2631" t="s">
        <v>21</v>
      </c>
      <c r="P2631" cm="1">
        <f t="array" ref="P2631">_xlfn.SWITCH(Table2[[#This Row],[mood]], "Tired", 3, "Neutral", 2, "Happy", 1)</f>
        <v>1</v>
      </c>
    </row>
    <row r="2632" spans="1:16" x14ac:dyDescent="0.3">
      <c r="A2632">
        <v>1688</v>
      </c>
      <c r="B2632" s="1">
        <v>44635</v>
      </c>
      <c r="C2632">
        <v>34</v>
      </c>
      <c r="D2632" t="s">
        <v>20</v>
      </c>
      <c r="E2632">
        <v>157</v>
      </c>
      <c r="F2632">
        <v>50.5</v>
      </c>
      <c r="G2632">
        <v>17787</v>
      </c>
      <c r="H2632">
        <v>900</v>
      </c>
      <c r="I2632">
        <v>6.8</v>
      </c>
      <c r="J2632">
        <v>74</v>
      </c>
      <c r="K2632" t="s">
        <v>22</v>
      </c>
      <c r="L2632">
        <v>52</v>
      </c>
      <c r="M2632">
        <v>3.23</v>
      </c>
      <c r="N2632">
        <v>9</v>
      </c>
      <c r="O2632" t="s">
        <v>19</v>
      </c>
      <c r="P2632" cm="1">
        <f t="array" ref="P2632">_xlfn.SWITCH(Table2[[#This Row],[mood]], "Tired", 3, "Neutral", 2, "Happy", 1)</f>
        <v>2</v>
      </c>
    </row>
    <row r="2633" spans="1:16" x14ac:dyDescent="0.3">
      <c r="A2633">
        <v>1946</v>
      </c>
      <c r="B2633" s="1">
        <v>44636</v>
      </c>
      <c r="C2633">
        <v>31</v>
      </c>
      <c r="D2633" t="s">
        <v>15</v>
      </c>
      <c r="E2633">
        <v>169.7</v>
      </c>
      <c r="F2633">
        <v>63.2</v>
      </c>
      <c r="G2633">
        <v>15867</v>
      </c>
      <c r="H2633">
        <v>834.8</v>
      </c>
      <c r="I2633">
        <v>8</v>
      </c>
      <c r="J2633">
        <v>82</v>
      </c>
      <c r="K2633" t="s">
        <v>22</v>
      </c>
      <c r="L2633">
        <v>79</v>
      </c>
      <c r="M2633">
        <v>2.99</v>
      </c>
      <c r="N2633">
        <v>2</v>
      </c>
      <c r="O2633" t="s">
        <v>19</v>
      </c>
      <c r="P2633" cm="1">
        <f t="array" ref="P2633">_xlfn.SWITCH(Table2[[#This Row],[mood]], "Tired", 3, "Neutral", 2, "Happy", 1)</f>
        <v>2</v>
      </c>
    </row>
    <row r="2634" spans="1:16" x14ac:dyDescent="0.3">
      <c r="A2634">
        <v>1607</v>
      </c>
      <c r="B2634" s="1">
        <v>44637</v>
      </c>
      <c r="C2634">
        <v>46</v>
      </c>
      <c r="D2634" t="s">
        <v>15</v>
      </c>
      <c r="E2634">
        <v>162.4</v>
      </c>
      <c r="F2634">
        <v>55.4</v>
      </c>
      <c r="G2634">
        <v>1794</v>
      </c>
      <c r="H2634">
        <v>269.39999999999998</v>
      </c>
      <c r="I2634">
        <v>5</v>
      </c>
      <c r="J2634">
        <v>72</v>
      </c>
      <c r="K2634" t="s">
        <v>25</v>
      </c>
      <c r="L2634">
        <v>69</v>
      </c>
      <c r="M2634">
        <v>1.9</v>
      </c>
      <c r="N2634">
        <v>4</v>
      </c>
      <c r="O2634" t="s">
        <v>19</v>
      </c>
      <c r="P2634" cm="1">
        <f t="array" ref="P2634">_xlfn.SWITCH(Table2[[#This Row],[mood]], "Tired", 3, "Neutral", 2, "Happy", 1)</f>
        <v>2</v>
      </c>
    </row>
    <row r="2635" spans="1:16" x14ac:dyDescent="0.3">
      <c r="A2635">
        <v>1616</v>
      </c>
      <c r="B2635" s="1">
        <v>44638</v>
      </c>
      <c r="C2635">
        <v>37</v>
      </c>
      <c r="D2635" t="s">
        <v>20</v>
      </c>
      <c r="E2635">
        <v>165.1</v>
      </c>
      <c r="F2635">
        <v>71.900000000000006</v>
      </c>
      <c r="G2635">
        <v>18945</v>
      </c>
      <c r="H2635">
        <v>900</v>
      </c>
      <c r="I2635">
        <v>7.1</v>
      </c>
      <c r="J2635">
        <v>80</v>
      </c>
      <c r="K2635" t="s">
        <v>23</v>
      </c>
      <c r="L2635">
        <v>65</v>
      </c>
      <c r="M2635">
        <v>1.78</v>
      </c>
      <c r="N2635">
        <v>5</v>
      </c>
      <c r="O2635" t="s">
        <v>17</v>
      </c>
      <c r="P2635" cm="1">
        <f t="array" ref="P2635">_xlfn.SWITCH(Table2[[#This Row],[mood]], "Tired", 3, "Neutral", 2, "Happy", 1)</f>
        <v>3</v>
      </c>
    </row>
    <row r="2636" spans="1:16" x14ac:dyDescent="0.3">
      <c r="A2636">
        <v>1419</v>
      </c>
      <c r="B2636" s="1">
        <v>44639</v>
      </c>
      <c r="C2636">
        <v>47</v>
      </c>
      <c r="D2636" t="s">
        <v>20</v>
      </c>
      <c r="E2636">
        <v>165.3</v>
      </c>
      <c r="F2636">
        <v>56.1</v>
      </c>
      <c r="G2636">
        <v>16369</v>
      </c>
      <c r="H2636">
        <v>863.4</v>
      </c>
      <c r="I2636">
        <v>9.3000000000000007</v>
      </c>
      <c r="J2636">
        <v>71</v>
      </c>
      <c r="K2636" t="s">
        <v>24</v>
      </c>
      <c r="L2636">
        <v>54</v>
      </c>
      <c r="M2636">
        <v>0.78</v>
      </c>
      <c r="N2636">
        <v>6</v>
      </c>
      <c r="O2636" t="s">
        <v>19</v>
      </c>
      <c r="P2636" cm="1">
        <f t="array" ref="P2636">_xlfn.SWITCH(Table2[[#This Row],[mood]], "Tired", 3, "Neutral", 2, "Happy", 1)</f>
        <v>2</v>
      </c>
    </row>
    <row r="2637" spans="1:16" x14ac:dyDescent="0.3">
      <c r="A2637">
        <v>1249</v>
      </c>
      <c r="B2637" s="1">
        <v>44640</v>
      </c>
      <c r="C2637">
        <v>36</v>
      </c>
      <c r="D2637" t="s">
        <v>15</v>
      </c>
      <c r="E2637">
        <v>162.9</v>
      </c>
      <c r="F2637">
        <v>59.9</v>
      </c>
      <c r="G2637">
        <v>11833</v>
      </c>
      <c r="H2637">
        <v>644.4</v>
      </c>
      <c r="I2637">
        <v>6.9</v>
      </c>
      <c r="J2637">
        <v>68</v>
      </c>
      <c r="K2637" t="s">
        <v>18</v>
      </c>
      <c r="L2637">
        <v>60</v>
      </c>
      <c r="M2637">
        <v>3.53</v>
      </c>
      <c r="N2637">
        <v>7</v>
      </c>
      <c r="O2637" t="s">
        <v>21</v>
      </c>
      <c r="P2637" cm="1">
        <f t="array" ref="P2637">_xlfn.SWITCH(Table2[[#This Row],[mood]], "Tired", 3, "Neutral", 2, "Happy", 1)</f>
        <v>1</v>
      </c>
    </row>
    <row r="2638" spans="1:16" x14ac:dyDescent="0.3">
      <c r="A2638">
        <v>1116</v>
      </c>
      <c r="B2638" s="1">
        <v>44641</v>
      </c>
      <c r="C2638">
        <v>56</v>
      </c>
      <c r="D2638" t="s">
        <v>20</v>
      </c>
      <c r="E2638">
        <v>187.3</v>
      </c>
      <c r="F2638">
        <v>56.5</v>
      </c>
      <c r="G2638">
        <v>11856</v>
      </c>
      <c r="H2638">
        <v>717.7</v>
      </c>
      <c r="I2638">
        <v>7.3</v>
      </c>
      <c r="J2638">
        <v>86</v>
      </c>
      <c r="K2638" t="s">
        <v>18</v>
      </c>
      <c r="L2638">
        <v>77</v>
      </c>
      <c r="M2638">
        <v>2.5299999999999998</v>
      </c>
      <c r="N2638">
        <v>3</v>
      </c>
      <c r="O2638" t="s">
        <v>19</v>
      </c>
      <c r="P2638" cm="1">
        <f t="array" ref="P2638">_xlfn.SWITCH(Table2[[#This Row],[mood]], "Tired", 3, "Neutral", 2, "Happy", 1)</f>
        <v>2</v>
      </c>
    </row>
    <row r="2639" spans="1:16" x14ac:dyDescent="0.3">
      <c r="A2639">
        <v>1865</v>
      </c>
      <c r="B2639" s="1">
        <v>44642</v>
      </c>
      <c r="C2639">
        <v>30</v>
      </c>
      <c r="D2639" t="s">
        <v>15</v>
      </c>
      <c r="E2639">
        <v>184.2</v>
      </c>
      <c r="F2639">
        <v>66.400000000000006</v>
      </c>
      <c r="G2639">
        <v>7795</v>
      </c>
      <c r="H2639">
        <v>469.6</v>
      </c>
      <c r="I2639">
        <v>7.3</v>
      </c>
      <c r="J2639">
        <v>78</v>
      </c>
      <c r="K2639" t="s">
        <v>16</v>
      </c>
      <c r="L2639">
        <v>0</v>
      </c>
      <c r="M2639">
        <v>3.82</v>
      </c>
      <c r="N2639">
        <v>3</v>
      </c>
      <c r="O2639" t="s">
        <v>21</v>
      </c>
      <c r="P2639" cm="1">
        <f t="array" ref="P2639">_xlfn.SWITCH(Table2[[#This Row],[mood]], "Tired", 3, "Neutral", 2, "Happy", 1)</f>
        <v>1</v>
      </c>
    </row>
    <row r="2640" spans="1:16" x14ac:dyDescent="0.3">
      <c r="A2640">
        <v>1511</v>
      </c>
      <c r="B2640" s="1">
        <v>44643</v>
      </c>
      <c r="C2640">
        <v>35</v>
      </c>
      <c r="D2640" t="s">
        <v>15</v>
      </c>
      <c r="E2640">
        <v>174</v>
      </c>
      <c r="F2640">
        <v>71.099999999999994</v>
      </c>
      <c r="G2640">
        <v>6492</v>
      </c>
      <c r="H2640">
        <v>473.1</v>
      </c>
      <c r="I2640">
        <v>8.6</v>
      </c>
      <c r="J2640">
        <v>82</v>
      </c>
      <c r="K2640" t="s">
        <v>25</v>
      </c>
      <c r="L2640">
        <v>24</v>
      </c>
      <c r="M2640">
        <v>2.37</v>
      </c>
      <c r="N2640">
        <v>9</v>
      </c>
      <c r="O2640" t="s">
        <v>19</v>
      </c>
      <c r="P2640" cm="1">
        <f t="array" ref="P2640">_xlfn.SWITCH(Table2[[#This Row],[mood]], "Tired", 3, "Neutral", 2, "Happy", 1)</f>
        <v>2</v>
      </c>
    </row>
    <row r="2641" spans="1:16" x14ac:dyDescent="0.3">
      <c r="A2641">
        <v>1739</v>
      </c>
      <c r="B2641" s="1">
        <v>44644</v>
      </c>
      <c r="C2641">
        <v>40</v>
      </c>
      <c r="D2641" t="s">
        <v>20</v>
      </c>
      <c r="E2641">
        <v>165.3</v>
      </c>
      <c r="F2641">
        <v>66.8</v>
      </c>
      <c r="G2641">
        <v>16794</v>
      </c>
      <c r="H2641">
        <v>858.7</v>
      </c>
      <c r="I2641">
        <v>7.3</v>
      </c>
      <c r="J2641">
        <v>73</v>
      </c>
      <c r="K2641" t="s">
        <v>23</v>
      </c>
      <c r="L2641">
        <v>24</v>
      </c>
      <c r="M2641">
        <v>2.7</v>
      </c>
      <c r="N2641">
        <v>9</v>
      </c>
      <c r="O2641" t="s">
        <v>17</v>
      </c>
      <c r="P2641" cm="1">
        <f t="array" ref="P2641">_xlfn.SWITCH(Table2[[#This Row],[mood]], "Tired", 3, "Neutral", 2, "Happy", 1)</f>
        <v>3</v>
      </c>
    </row>
    <row r="2642" spans="1:16" x14ac:dyDescent="0.3">
      <c r="A2642">
        <v>1577</v>
      </c>
      <c r="B2642" s="1">
        <v>44645</v>
      </c>
      <c r="C2642">
        <v>50</v>
      </c>
      <c r="D2642" t="s">
        <v>20</v>
      </c>
      <c r="E2642">
        <v>163.19999999999999</v>
      </c>
      <c r="F2642">
        <v>93</v>
      </c>
      <c r="G2642">
        <v>11149</v>
      </c>
      <c r="H2642">
        <v>659.3</v>
      </c>
      <c r="I2642">
        <v>10</v>
      </c>
      <c r="J2642">
        <v>83</v>
      </c>
      <c r="K2642" t="s">
        <v>23</v>
      </c>
      <c r="L2642">
        <v>41</v>
      </c>
      <c r="M2642">
        <v>3.12</v>
      </c>
      <c r="N2642">
        <v>2</v>
      </c>
      <c r="O2642" t="s">
        <v>17</v>
      </c>
      <c r="P2642" cm="1">
        <f t="array" ref="P2642">_xlfn.SWITCH(Table2[[#This Row],[mood]], "Tired", 3, "Neutral", 2, "Happy", 1)</f>
        <v>3</v>
      </c>
    </row>
    <row r="2643" spans="1:16" x14ac:dyDescent="0.3">
      <c r="A2643">
        <v>1334</v>
      </c>
      <c r="B2643" s="1">
        <v>44646</v>
      </c>
      <c r="C2643">
        <v>56</v>
      </c>
      <c r="D2643" t="s">
        <v>20</v>
      </c>
      <c r="E2643">
        <v>177.4</v>
      </c>
      <c r="F2643">
        <v>82.2</v>
      </c>
      <c r="G2643">
        <v>5999</v>
      </c>
      <c r="H2643">
        <v>437</v>
      </c>
      <c r="I2643">
        <v>7.3</v>
      </c>
      <c r="J2643">
        <v>64</v>
      </c>
      <c r="K2643" t="s">
        <v>23</v>
      </c>
      <c r="L2643">
        <v>53</v>
      </c>
      <c r="M2643">
        <v>3.65</v>
      </c>
      <c r="N2643">
        <v>4</v>
      </c>
      <c r="O2643" t="s">
        <v>21</v>
      </c>
      <c r="P2643" cm="1">
        <f t="array" ref="P2643">_xlfn.SWITCH(Table2[[#This Row],[mood]], "Tired", 3, "Neutral", 2, "Happy", 1)</f>
        <v>1</v>
      </c>
    </row>
    <row r="2644" spans="1:16" x14ac:dyDescent="0.3">
      <c r="A2644">
        <v>1417</v>
      </c>
      <c r="B2644" s="1">
        <v>44647</v>
      </c>
      <c r="C2644">
        <v>57</v>
      </c>
      <c r="D2644" t="s">
        <v>20</v>
      </c>
      <c r="E2644">
        <v>173</v>
      </c>
      <c r="F2644">
        <v>58.3</v>
      </c>
      <c r="G2644">
        <v>6197</v>
      </c>
      <c r="H2644">
        <v>407</v>
      </c>
      <c r="I2644">
        <v>6.3</v>
      </c>
      <c r="J2644">
        <v>66</v>
      </c>
      <c r="K2644" t="s">
        <v>18</v>
      </c>
      <c r="L2644">
        <v>84</v>
      </c>
      <c r="M2644">
        <v>2.85</v>
      </c>
      <c r="N2644">
        <v>4</v>
      </c>
      <c r="O2644" t="s">
        <v>19</v>
      </c>
      <c r="P2644" cm="1">
        <f t="array" ref="P2644">_xlfn.SWITCH(Table2[[#This Row],[mood]], "Tired", 3, "Neutral", 2, "Happy", 1)</f>
        <v>2</v>
      </c>
    </row>
    <row r="2645" spans="1:16" x14ac:dyDescent="0.3">
      <c r="A2645">
        <v>1931</v>
      </c>
      <c r="B2645" s="1">
        <v>44648</v>
      </c>
      <c r="C2645">
        <v>35</v>
      </c>
      <c r="D2645" t="s">
        <v>15</v>
      </c>
      <c r="E2645">
        <v>168.6</v>
      </c>
      <c r="F2645">
        <v>74.900000000000006</v>
      </c>
      <c r="G2645">
        <v>4562</v>
      </c>
      <c r="H2645">
        <v>437.2</v>
      </c>
      <c r="I2645">
        <v>9.3000000000000007</v>
      </c>
      <c r="J2645">
        <v>84</v>
      </c>
      <c r="K2645" t="s">
        <v>22</v>
      </c>
      <c r="L2645">
        <v>78</v>
      </c>
      <c r="M2645">
        <v>2.5</v>
      </c>
      <c r="N2645">
        <v>5</v>
      </c>
      <c r="O2645" t="s">
        <v>19</v>
      </c>
      <c r="P2645" cm="1">
        <f t="array" ref="P2645">_xlfn.SWITCH(Table2[[#This Row],[mood]], "Tired", 3, "Neutral", 2, "Happy", 1)</f>
        <v>2</v>
      </c>
    </row>
    <row r="2646" spans="1:16" x14ac:dyDescent="0.3">
      <c r="A2646">
        <v>1773</v>
      </c>
      <c r="B2646" s="1">
        <v>44649</v>
      </c>
      <c r="C2646">
        <v>26</v>
      </c>
      <c r="D2646" t="s">
        <v>15</v>
      </c>
      <c r="E2646">
        <v>175.4</v>
      </c>
      <c r="F2646">
        <v>59.5</v>
      </c>
      <c r="G2646">
        <v>19078</v>
      </c>
      <c r="H2646">
        <v>900</v>
      </c>
      <c r="I2646">
        <v>6.7</v>
      </c>
      <c r="J2646">
        <v>74</v>
      </c>
      <c r="K2646" t="s">
        <v>16</v>
      </c>
      <c r="L2646">
        <v>0</v>
      </c>
      <c r="M2646">
        <v>2.52</v>
      </c>
      <c r="N2646">
        <v>2</v>
      </c>
      <c r="O2646" t="s">
        <v>21</v>
      </c>
      <c r="P2646" cm="1">
        <f t="array" ref="P2646">_xlfn.SWITCH(Table2[[#This Row],[mood]], "Tired", 3, "Neutral", 2, "Happy", 1)</f>
        <v>1</v>
      </c>
    </row>
    <row r="2647" spans="1:16" x14ac:dyDescent="0.3">
      <c r="A2647">
        <v>1294</v>
      </c>
      <c r="B2647" s="1">
        <v>44650</v>
      </c>
      <c r="C2647">
        <v>50</v>
      </c>
      <c r="D2647" t="s">
        <v>20</v>
      </c>
      <c r="E2647">
        <v>178.9</v>
      </c>
      <c r="F2647">
        <v>64.099999999999994</v>
      </c>
      <c r="G2647">
        <v>1855</v>
      </c>
      <c r="H2647">
        <v>306.3</v>
      </c>
      <c r="I2647">
        <v>6.1</v>
      </c>
      <c r="J2647">
        <v>73</v>
      </c>
      <c r="K2647" t="s">
        <v>18</v>
      </c>
      <c r="L2647">
        <v>70</v>
      </c>
      <c r="M2647">
        <v>1.77</v>
      </c>
      <c r="N2647">
        <v>4</v>
      </c>
      <c r="O2647" t="s">
        <v>17</v>
      </c>
      <c r="P2647" cm="1">
        <f t="array" ref="P2647">_xlfn.SWITCH(Table2[[#This Row],[mood]], "Tired", 3, "Neutral", 2, "Happy", 1)</f>
        <v>3</v>
      </c>
    </row>
    <row r="2648" spans="1:16" x14ac:dyDescent="0.3">
      <c r="A2648">
        <v>1937</v>
      </c>
      <c r="B2648" s="1">
        <v>44651</v>
      </c>
      <c r="C2648">
        <v>49</v>
      </c>
      <c r="D2648" t="s">
        <v>20</v>
      </c>
      <c r="E2648">
        <v>168.5</v>
      </c>
      <c r="F2648">
        <v>77.2</v>
      </c>
      <c r="G2648">
        <v>10487</v>
      </c>
      <c r="H2648">
        <v>534.6</v>
      </c>
      <c r="I2648">
        <v>5.2</v>
      </c>
      <c r="J2648">
        <v>66</v>
      </c>
      <c r="K2648" t="s">
        <v>23</v>
      </c>
      <c r="L2648">
        <v>68</v>
      </c>
      <c r="M2648">
        <v>2.23</v>
      </c>
      <c r="N2648">
        <v>3</v>
      </c>
      <c r="O2648" t="s">
        <v>19</v>
      </c>
      <c r="P2648" cm="1">
        <f t="array" ref="P2648">_xlfn.SWITCH(Table2[[#This Row],[mood]], "Tired", 3, "Neutral", 2, "Happy", 1)</f>
        <v>2</v>
      </c>
    </row>
    <row r="2649" spans="1:16" x14ac:dyDescent="0.3">
      <c r="A2649">
        <v>1754</v>
      </c>
      <c r="B2649" s="1">
        <v>44652</v>
      </c>
      <c r="C2649">
        <v>34</v>
      </c>
      <c r="D2649" t="s">
        <v>15</v>
      </c>
      <c r="E2649">
        <v>162.1</v>
      </c>
      <c r="F2649">
        <v>80</v>
      </c>
      <c r="G2649">
        <v>4621</v>
      </c>
      <c r="H2649">
        <v>370.4</v>
      </c>
      <c r="I2649">
        <v>7.7</v>
      </c>
      <c r="J2649">
        <v>83</v>
      </c>
      <c r="K2649" t="s">
        <v>18</v>
      </c>
      <c r="L2649">
        <v>28</v>
      </c>
      <c r="M2649">
        <v>2.54</v>
      </c>
      <c r="N2649">
        <v>6</v>
      </c>
      <c r="O2649" t="s">
        <v>19</v>
      </c>
      <c r="P2649" cm="1">
        <f t="array" ref="P2649">_xlfn.SWITCH(Table2[[#This Row],[mood]], "Tired", 3, "Neutral", 2, "Happy", 1)</f>
        <v>2</v>
      </c>
    </row>
    <row r="2650" spans="1:16" x14ac:dyDescent="0.3">
      <c r="A2650">
        <v>1370</v>
      </c>
      <c r="B2650" s="1">
        <v>44653</v>
      </c>
      <c r="C2650">
        <v>36</v>
      </c>
      <c r="D2650" t="s">
        <v>15</v>
      </c>
      <c r="E2650">
        <v>156.80000000000001</v>
      </c>
      <c r="F2650">
        <v>61.2</v>
      </c>
      <c r="G2650">
        <v>5206</v>
      </c>
      <c r="H2650">
        <v>484.7</v>
      </c>
      <c r="I2650">
        <v>6.3</v>
      </c>
      <c r="J2650">
        <v>94</v>
      </c>
      <c r="K2650" t="s">
        <v>18</v>
      </c>
      <c r="L2650">
        <v>34</v>
      </c>
      <c r="M2650">
        <v>3.47</v>
      </c>
      <c r="N2650">
        <v>4</v>
      </c>
      <c r="O2650" t="s">
        <v>19</v>
      </c>
      <c r="P2650" cm="1">
        <f t="array" ref="P2650">_xlfn.SWITCH(Table2[[#This Row],[mood]], "Tired", 3, "Neutral", 2, "Happy", 1)</f>
        <v>2</v>
      </c>
    </row>
    <row r="2651" spans="1:16" x14ac:dyDescent="0.3">
      <c r="A2651">
        <v>1185</v>
      </c>
      <c r="B2651" s="1">
        <v>44654</v>
      </c>
      <c r="C2651">
        <v>44</v>
      </c>
      <c r="D2651" t="s">
        <v>15</v>
      </c>
      <c r="E2651">
        <v>172.5</v>
      </c>
      <c r="F2651">
        <v>53.4</v>
      </c>
      <c r="G2651">
        <v>2038</v>
      </c>
      <c r="H2651">
        <v>267.7</v>
      </c>
      <c r="I2651">
        <v>5.8</v>
      </c>
      <c r="J2651">
        <v>81</v>
      </c>
      <c r="K2651" t="s">
        <v>16</v>
      </c>
      <c r="L2651">
        <v>0</v>
      </c>
      <c r="M2651">
        <v>2.2000000000000002</v>
      </c>
      <c r="N2651">
        <v>1</v>
      </c>
      <c r="O2651" t="s">
        <v>17</v>
      </c>
      <c r="P2651" cm="1">
        <f t="array" ref="P2651">_xlfn.SWITCH(Table2[[#This Row],[mood]], "Tired", 3, "Neutral", 2, "Happy", 1)</f>
        <v>3</v>
      </c>
    </row>
    <row r="2652" spans="1:16" x14ac:dyDescent="0.3">
      <c r="A2652">
        <v>1245</v>
      </c>
      <c r="B2652" s="1">
        <v>44655</v>
      </c>
      <c r="C2652">
        <v>23</v>
      </c>
      <c r="D2652" t="s">
        <v>15</v>
      </c>
      <c r="E2652">
        <v>191.7</v>
      </c>
      <c r="F2652">
        <v>71.3</v>
      </c>
      <c r="G2652">
        <v>5596</v>
      </c>
      <c r="H2652">
        <v>428.7</v>
      </c>
      <c r="I2652">
        <v>6.2</v>
      </c>
      <c r="J2652">
        <v>71</v>
      </c>
      <c r="K2652" t="s">
        <v>24</v>
      </c>
      <c r="L2652">
        <v>72</v>
      </c>
      <c r="M2652">
        <v>3.24</v>
      </c>
      <c r="N2652">
        <v>3</v>
      </c>
      <c r="O2652" t="s">
        <v>19</v>
      </c>
      <c r="P2652" cm="1">
        <f t="array" ref="P2652">_xlfn.SWITCH(Table2[[#This Row],[mood]], "Tired", 3, "Neutral", 2, "Happy", 1)</f>
        <v>2</v>
      </c>
    </row>
    <row r="2653" spans="1:16" x14ac:dyDescent="0.3">
      <c r="A2653">
        <v>1636</v>
      </c>
      <c r="B2653" s="1">
        <v>44656</v>
      </c>
      <c r="C2653">
        <v>52</v>
      </c>
      <c r="D2653" t="s">
        <v>20</v>
      </c>
      <c r="E2653">
        <v>158.9</v>
      </c>
      <c r="F2653">
        <v>76.5</v>
      </c>
      <c r="G2653">
        <v>15151</v>
      </c>
      <c r="H2653">
        <v>886.2</v>
      </c>
      <c r="I2653">
        <v>6.5</v>
      </c>
      <c r="J2653">
        <v>89</v>
      </c>
      <c r="K2653" t="s">
        <v>25</v>
      </c>
      <c r="L2653">
        <v>44</v>
      </c>
      <c r="M2653">
        <v>2.44</v>
      </c>
      <c r="N2653">
        <v>8</v>
      </c>
      <c r="O2653" t="s">
        <v>17</v>
      </c>
      <c r="P2653" cm="1">
        <f t="array" ref="P2653">_xlfn.SWITCH(Table2[[#This Row],[mood]], "Tired", 3, "Neutral", 2, "Happy", 1)</f>
        <v>3</v>
      </c>
    </row>
    <row r="2654" spans="1:16" x14ac:dyDescent="0.3">
      <c r="A2654">
        <v>1267</v>
      </c>
      <c r="B2654" s="1">
        <v>44657</v>
      </c>
      <c r="C2654">
        <v>54</v>
      </c>
      <c r="D2654" t="s">
        <v>15</v>
      </c>
      <c r="E2654">
        <v>181</v>
      </c>
      <c r="F2654">
        <v>60.4</v>
      </c>
      <c r="G2654">
        <v>5370</v>
      </c>
      <c r="H2654">
        <v>407.7</v>
      </c>
      <c r="I2654">
        <v>8.1999999999999993</v>
      </c>
      <c r="J2654">
        <v>79</v>
      </c>
      <c r="K2654" t="s">
        <v>22</v>
      </c>
      <c r="L2654">
        <v>47</v>
      </c>
      <c r="M2654">
        <v>3.37</v>
      </c>
      <c r="N2654">
        <v>3</v>
      </c>
      <c r="O2654" t="s">
        <v>19</v>
      </c>
      <c r="P2654" cm="1">
        <f t="array" ref="P2654">_xlfn.SWITCH(Table2[[#This Row],[mood]], "Tired", 3, "Neutral", 2, "Happy", 1)</f>
        <v>2</v>
      </c>
    </row>
    <row r="2655" spans="1:16" x14ac:dyDescent="0.3">
      <c r="A2655">
        <v>1642</v>
      </c>
      <c r="B2655" s="1">
        <v>44658</v>
      </c>
      <c r="C2655">
        <v>51</v>
      </c>
      <c r="D2655" t="s">
        <v>15</v>
      </c>
      <c r="E2655">
        <v>163.19999999999999</v>
      </c>
      <c r="F2655">
        <v>82.2</v>
      </c>
      <c r="G2655">
        <v>4447</v>
      </c>
      <c r="H2655">
        <v>390.8</v>
      </c>
      <c r="I2655">
        <v>7.7</v>
      </c>
      <c r="J2655">
        <v>71</v>
      </c>
      <c r="K2655" t="s">
        <v>24</v>
      </c>
      <c r="L2655">
        <v>42</v>
      </c>
      <c r="M2655">
        <v>2.97</v>
      </c>
      <c r="N2655">
        <v>7</v>
      </c>
      <c r="O2655" t="s">
        <v>17</v>
      </c>
      <c r="P2655" cm="1">
        <f t="array" ref="P2655">_xlfn.SWITCH(Table2[[#This Row],[mood]], "Tired", 3, "Neutral", 2, "Happy", 1)</f>
        <v>3</v>
      </c>
    </row>
    <row r="2656" spans="1:16" x14ac:dyDescent="0.3">
      <c r="A2656">
        <v>1236</v>
      </c>
      <c r="B2656" s="1">
        <v>44659</v>
      </c>
      <c r="C2656">
        <v>37</v>
      </c>
      <c r="D2656" t="s">
        <v>20</v>
      </c>
      <c r="E2656">
        <v>165.3</v>
      </c>
      <c r="F2656">
        <v>79.599999999999994</v>
      </c>
      <c r="G2656">
        <v>16903</v>
      </c>
      <c r="H2656">
        <v>900</v>
      </c>
      <c r="I2656">
        <v>6.8</v>
      </c>
      <c r="J2656">
        <v>88</v>
      </c>
      <c r="K2656" t="s">
        <v>25</v>
      </c>
      <c r="L2656">
        <v>22</v>
      </c>
      <c r="M2656">
        <v>2.93</v>
      </c>
      <c r="N2656">
        <v>2</v>
      </c>
      <c r="O2656" t="s">
        <v>21</v>
      </c>
      <c r="P2656" cm="1">
        <f t="array" ref="P2656">_xlfn.SWITCH(Table2[[#This Row],[mood]], "Tired", 3, "Neutral", 2, "Happy", 1)</f>
        <v>1</v>
      </c>
    </row>
    <row r="2657" spans="1:16" x14ac:dyDescent="0.3">
      <c r="A2657">
        <v>1529</v>
      </c>
      <c r="B2657" s="1">
        <v>44660</v>
      </c>
      <c r="C2657">
        <v>42</v>
      </c>
      <c r="D2657" t="s">
        <v>15</v>
      </c>
      <c r="E2657">
        <v>179.1</v>
      </c>
      <c r="F2657">
        <v>60.2</v>
      </c>
      <c r="G2657">
        <v>16326</v>
      </c>
      <c r="H2657">
        <v>784.1</v>
      </c>
      <c r="I2657">
        <v>7.8</v>
      </c>
      <c r="J2657">
        <v>73</v>
      </c>
      <c r="K2657" t="s">
        <v>23</v>
      </c>
      <c r="L2657">
        <v>52</v>
      </c>
      <c r="M2657">
        <v>3.19</v>
      </c>
      <c r="N2657">
        <v>5</v>
      </c>
      <c r="O2657" t="s">
        <v>17</v>
      </c>
      <c r="P2657" cm="1">
        <f t="array" ref="P2657">_xlfn.SWITCH(Table2[[#This Row],[mood]], "Tired", 3, "Neutral", 2, "Happy", 1)</f>
        <v>3</v>
      </c>
    </row>
    <row r="2658" spans="1:16" x14ac:dyDescent="0.3">
      <c r="A2658">
        <v>1551</v>
      </c>
      <c r="B2658" s="1">
        <v>44661</v>
      </c>
      <c r="C2658">
        <v>21</v>
      </c>
      <c r="D2658" t="s">
        <v>15</v>
      </c>
      <c r="E2658">
        <v>167.4</v>
      </c>
      <c r="F2658">
        <v>87</v>
      </c>
      <c r="G2658">
        <v>15056</v>
      </c>
      <c r="H2658">
        <v>778</v>
      </c>
      <c r="I2658">
        <v>6.8</v>
      </c>
      <c r="J2658">
        <v>61</v>
      </c>
      <c r="K2658" t="s">
        <v>16</v>
      </c>
      <c r="L2658">
        <v>0</v>
      </c>
      <c r="M2658">
        <v>3.08</v>
      </c>
      <c r="N2658">
        <v>7</v>
      </c>
      <c r="O2658" t="s">
        <v>21</v>
      </c>
      <c r="P2658" cm="1">
        <f t="array" ref="P2658">_xlfn.SWITCH(Table2[[#This Row],[mood]], "Tired", 3, "Neutral", 2, "Happy", 1)</f>
        <v>1</v>
      </c>
    </row>
    <row r="2659" spans="1:16" x14ac:dyDescent="0.3">
      <c r="A2659">
        <v>1020</v>
      </c>
      <c r="B2659" s="1">
        <v>44662</v>
      </c>
      <c r="C2659">
        <v>27</v>
      </c>
      <c r="D2659" t="s">
        <v>20</v>
      </c>
      <c r="E2659">
        <v>172.5</v>
      </c>
      <c r="F2659">
        <v>87.4</v>
      </c>
      <c r="G2659">
        <v>6229</v>
      </c>
      <c r="H2659">
        <v>455.7</v>
      </c>
      <c r="I2659">
        <v>7.3</v>
      </c>
      <c r="J2659">
        <v>72</v>
      </c>
      <c r="K2659" t="s">
        <v>16</v>
      </c>
      <c r="L2659">
        <v>0</v>
      </c>
      <c r="M2659">
        <v>3.24</v>
      </c>
      <c r="N2659">
        <v>1</v>
      </c>
      <c r="O2659" t="s">
        <v>19</v>
      </c>
      <c r="P2659" cm="1">
        <f t="array" ref="P2659">_xlfn.SWITCH(Table2[[#This Row],[mood]], "Tired", 3, "Neutral", 2, "Happy", 1)</f>
        <v>2</v>
      </c>
    </row>
    <row r="2660" spans="1:16" x14ac:dyDescent="0.3">
      <c r="A2660">
        <v>1910</v>
      </c>
      <c r="B2660" s="1">
        <v>44663</v>
      </c>
      <c r="C2660">
        <v>27</v>
      </c>
      <c r="D2660" t="s">
        <v>20</v>
      </c>
      <c r="E2660">
        <v>172.3</v>
      </c>
      <c r="F2660">
        <v>101</v>
      </c>
      <c r="G2660">
        <v>3241</v>
      </c>
      <c r="H2660">
        <v>249.8</v>
      </c>
      <c r="I2660">
        <v>6</v>
      </c>
      <c r="J2660">
        <v>80</v>
      </c>
      <c r="K2660" t="s">
        <v>24</v>
      </c>
      <c r="L2660">
        <v>86</v>
      </c>
      <c r="M2660">
        <v>3.99</v>
      </c>
      <c r="N2660">
        <v>1</v>
      </c>
      <c r="O2660" t="s">
        <v>19</v>
      </c>
      <c r="P2660" cm="1">
        <f t="array" ref="P2660">_xlfn.SWITCH(Table2[[#This Row],[mood]], "Tired", 3, "Neutral", 2, "Happy", 1)</f>
        <v>2</v>
      </c>
    </row>
    <row r="2661" spans="1:16" x14ac:dyDescent="0.3">
      <c r="A2661">
        <v>1736</v>
      </c>
      <c r="B2661" s="1">
        <v>44664</v>
      </c>
      <c r="C2661">
        <v>41</v>
      </c>
      <c r="D2661" t="s">
        <v>20</v>
      </c>
      <c r="E2661">
        <v>163.30000000000001</v>
      </c>
      <c r="F2661">
        <v>95.7</v>
      </c>
      <c r="G2661">
        <v>8818</v>
      </c>
      <c r="H2661">
        <v>621.20000000000005</v>
      </c>
      <c r="I2661">
        <v>6</v>
      </c>
      <c r="J2661">
        <v>68</v>
      </c>
      <c r="K2661" t="s">
        <v>25</v>
      </c>
      <c r="L2661">
        <v>86</v>
      </c>
      <c r="M2661">
        <v>3.63</v>
      </c>
      <c r="N2661">
        <v>8</v>
      </c>
      <c r="O2661" t="s">
        <v>19</v>
      </c>
      <c r="P2661" cm="1">
        <f t="array" ref="P2661">_xlfn.SWITCH(Table2[[#This Row],[mood]], "Tired", 3, "Neutral", 2, "Happy", 1)</f>
        <v>2</v>
      </c>
    </row>
    <row r="2662" spans="1:16" x14ac:dyDescent="0.3">
      <c r="A2662">
        <v>1866</v>
      </c>
      <c r="B2662" s="1">
        <v>44665</v>
      </c>
      <c r="C2662">
        <v>38</v>
      </c>
      <c r="D2662" t="s">
        <v>15</v>
      </c>
      <c r="E2662">
        <v>179</v>
      </c>
      <c r="F2662">
        <v>56.5</v>
      </c>
      <c r="G2662">
        <v>7998</v>
      </c>
      <c r="H2662">
        <v>557.70000000000005</v>
      </c>
      <c r="I2662">
        <v>7.2</v>
      </c>
      <c r="J2662">
        <v>56</v>
      </c>
      <c r="K2662" t="s">
        <v>16</v>
      </c>
      <c r="L2662">
        <v>0</v>
      </c>
      <c r="M2662">
        <v>2.83</v>
      </c>
      <c r="N2662">
        <v>2</v>
      </c>
      <c r="O2662" t="s">
        <v>21</v>
      </c>
      <c r="P2662" cm="1">
        <f t="array" ref="P2662">_xlfn.SWITCH(Table2[[#This Row],[mood]], "Tired", 3, "Neutral", 2, "Happy", 1)</f>
        <v>1</v>
      </c>
    </row>
    <row r="2663" spans="1:16" x14ac:dyDescent="0.3">
      <c r="A2663">
        <v>1793</v>
      </c>
      <c r="B2663" s="1">
        <v>44666</v>
      </c>
      <c r="C2663">
        <v>28</v>
      </c>
      <c r="D2663" t="s">
        <v>15</v>
      </c>
      <c r="E2663">
        <v>169.4</v>
      </c>
      <c r="F2663">
        <v>83.9</v>
      </c>
      <c r="G2663">
        <v>11155</v>
      </c>
      <c r="H2663">
        <v>676.6</v>
      </c>
      <c r="I2663">
        <v>7.2</v>
      </c>
      <c r="J2663">
        <v>90</v>
      </c>
      <c r="K2663" t="s">
        <v>24</v>
      </c>
      <c r="L2663">
        <v>27</v>
      </c>
      <c r="M2663">
        <v>2.19</v>
      </c>
      <c r="N2663">
        <v>4</v>
      </c>
      <c r="O2663" t="s">
        <v>19</v>
      </c>
      <c r="P2663" cm="1">
        <f t="array" ref="P2663">_xlfn.SWITCH(Table2[[#This Row],[mood]], "Tired", 3, "Neutral", 2, "Happy", 1)</f>
        <v>2</v>
      </c>
    </row>
    <row r="2664" spans="1:16" x14ac:dyDescent="0.3">
      <c r="A2664">
        <v>1519</v>
      </c>
      <c r="B2664" s="1">
        <v>44667</v>
      </c>
      <c r="C2664">
        <v>44</v>
      </c>
      <c r="D2664" t="s">
        <v>20</v>
      </c>
      <c r="E2664">
        <v>156.1</v>
      </c>
      <c r="F2664">
        <v>83.2</v>
      </c>
      <c r="G2664">
        <v>7444</v>
      </c>
      <c r="H2664">
        <v>563.79999999999995</v>
      </c>
      <c r="I2664">
        <v>8.5</v>
      </c>
      <c r="J2664">
        <v>105</v>
      </c>
      <c r="K2664" t="s">
        <v>16</v>
      </c>
      <c r="L2664">
        <v>0</v>
      </c>
      <c r="M2664">
        <v>2.76</v>
      </c>
      <c r="N2664">
        <v>3</v>
      </c>
      <c r="O2664" t="s">
        <v>17</v>
      </c>
      <c r="P2664" cm="1">
        <f t="array" ref="P2664">_xlfn.SWITCH(Table2[[#This Row],[mood]], "Tired", 3, "Neutral", 2, "Happy", 1)</f>
        <v>3</v>
      </c>
    </row>
    <row r="2665" spans="1:16" x14ac:dyDescent="0.3">
      <c r="A2665">
        <v>1099</v>
      </c>
      <c r="B2665" s="1">
        <v>44668</v>
      </c>
      <c r="C2665">
        <v>33</v>
      </c>
      <c r="D2665" t="s">
        <v>20</v>
      </c>
      <c r="E2665">
        <v>161.1</v>
      </c>
      <c r="F2665">
        <v>64.8</v>
      </c>
      <c r="G2665">
        <v>4015</v>
      </c>
      <c r="H2665">
        <v>396.8</v>
      </c>
      <c r="I2665">
        <v>7.7</v>
      </c>
      <c r="J2665">
        <v>70</v>
      </c>
      <c r="K2665" t="s">
        <v>18</v>
      </c>
      <c r="L2665">
        <v>79</v>
      </c>
      <c r="M2665">
        <v>1.1499999999999999</v>
      </c>
      <c r="N2665">
        <v>5</v>
      </c>
      <c r="O2665" t="s">
        <v>17</v>
      </c>
      <c r="P2665" cm="1">
        <f t="array" ref="P2665">_xlfn.SWITCH(Table2[[#This Row],[mood]], "Tired", 3, "Neutral", 2, "Happy", 1)</f>
        <v>3</v>
      </c>
    </row>
    <row r="2666" spans="1:16" x14ac:dyDescent="0.3">
      <c r="A2666">
        <v>1751</v>
      </c>
      <c r="B2666" s="1">
        <v>44669</v>
      </c>
      <c r="C2666">
        <v>43</v>
      </c>
      <c r="D2666" t="s">
        <v>15</v>
      </c>
      <c r="E2666">
        <v>150</v>
      </c>
      <c r="F2666">
        <v>76.8</v>
      </c>
      <c r="G2666">
        <v>15903</v>
      </c>
      <c r="H2666">
        <v>824.6</v>
      </c>
      <c r="I2666">
        <v>6.3</v>
      </c>
      <c r="J2666">
        <v>69</v>
      </c>
      <c r="K2666" t="s">
        <v>18</v>
      </c>
      <c r="L2666">
        <v>75</v>
      </c>
      <c r="M2666">
        <v>3.08</v>
      </c>
      <c r="N2666">
        <v>2</v>
      </c>
      <c r="O2666" t="s">
        <v>21</v>
      </c>
      <c r="P2666" cm="1">
        <f t="array" ref="P2666">_xlfn.SWITCH(Table2[[#This Row],[mood]], "Tired", 3, "Neutral", 2, "Happy", 1)</f>
        <v>1</v>
      </c>
    </row>
    <row r="2667" spans="1:16" x14ac:dyDescent="0.3">
      <c r="A2667">
        <v>1477</v>
      </c>
      <c r="B2667" s="1">
        <v>44670</v>
      </c>
      <c r="C2667">
        <v>47</v>
      </c>
      <c r="D2667" t="s">
        <v>20</v>
      </c>
      <c r="E2667">
        <v>170.5</v>
      </c>
      <c r="F2667">
        <v>45</v>
      </c>
      <c r="G2667">
        <v>7815</v>
      </c>
      <c r="H2667">
        <v>431</v>
      </c>
      <c r="I2667">
        <v>5.0999999999999996</v>
      </c>
      <c r="J2667">
        <v>62</v>
      </c>
      <c r="K2667" t="s">
        <v>24</v>
      </c>
      <c r="L2667">
        <v>89</v>
      </c>
      <c r="M2667">
        <v>1.76</v>
      </c>
      <c r="N2667">
        <v>6</v>
      </c>
      <c r="O2667" t="s">
        <v>17</v>
      </c>
      <c r="P2667" cm="1">
        <f t="array" ref="P2667">_xlfn.SWITCH(Table2[[#This Row],[mood]], "Tired", 3, "Neutral", 2, "Happy", 1)</f>
        <v>3</v>
      </c>
    </row>
    <row r="2668" spans="1:16" x14ac:dyDescent="0.3">
      <c r="A2668">
        <v>1598</v>
      </c>
      <c r="B2668" s="1">
        <v>44671</v>
      </c>
      <c r="C2668">
        <v>33</v>
      </c>
      <c r="D2668" t="s">
        <v>20</v>
      </c>
      <c r="E2668">
        <v>183</v>
      </c>
      <c r="F2668">
        <v>45</v>
      </c>
      <c r="G2668">
        <v>5864</v>
      </c>
      <c r="H2668">
        <v>400.5</v>
      </c>
      <c r="I2668">
        <v>8.3000000000000007</v>
      </c>
      <c r="J2668">
        <v>67</v>
      </c>
      <c r="K2668" t="s">
        <v>24</v>
      </c>
      <c r="L2668">
        <v>41</v>
      </c>
      <c r="M2668">
        <v>3.29</v>
      </c>
      <c r="N2668">
        <v>8</v>
      </c>
      <c r="O2668" t="s">
        <v>21</v>
      </c>
      <c r="P2668" cm="1">
        <f t="array" ref="P2668">_xlfn.SWITCH(Table2[[#This Row],[mood]], "Tired", 3, "Neutral", 2, "Happy", 1)</f>
        <v>1</v>
      </c>
    </row>
    <row r="2669" spans="1:16" x14ac:dyDescent="0.3">
      <c r="A2669">
        <v>1297</v>
      </c>
      <c r="B2669" s="1">
        <v>44672</v>
      </c>
      <c r="C2669">
        <v>24</v>
      </c>
      <c r="D2669" t="s">
        <v>20</v>
      </c>
      <c r="E2669">
        <v>159.5</v>
      </c>
      <c r="F2669">
        <v>45</v>
      </c>
      <c r="G2669">
        <v>10676</v>
      </c>
      <c r="H2669">
        <v>594.4</v>
      </c>
      <c r="I2669">
        <v>7.5</v>
      </c>
      <c r="J2669">
        <v>60</v>
      </c>
      <c r="K2669" t="s">
        <v>22</v>
      </c>
      <c r="L2669">
        <v>52</v>
      </c>
      <c r="M2669">
        <v>3.89</v>
      </c>
      <c r="N2669">
        <v>5</v>
      </c>
      <c r="O2669" t="s">
        <v>21</v>
      </c>
      <c r="P2669" cm="1">
        <f t="array" ref="P2669">_xlfn.SWITCH(Table2[[#This Row],[mood]], "Tired", 3, "Neutral", 2, "Happy", 1)</f>
        <v>1</v>
      </c>
    </row>
    <row r="2670" spans="1:16" x14ac:dyDescent="0.3">
      <c r="A2670">
        <v>1939</v>
      </c>
      <c r="B2670" s="1">
        <v>44673</v>
      </c>
      <c r="C2670">
        <v>33</v>
      </c>
      <c r="D2670" t="s">
        <v>15</v>
      </c>
      <c r="E2670">
        <v>175.9</v>
      </c>
      <c r="F2670">
        <v>75.8</v>
      </c>
      <c r="G2670">
        <v>5234</v>
      </c>
      <c r="H2670">
        <v>440.3</v>
      </c>
      <c r="I2670">
        <v>8.5</v>
      </c>
      <c r="J2670">
        <v>62</v>
      </c>
      <c r="K2670" t="s">
        <v>23</v>
      </c>
      <c r="L2670">
        <v>69</v>
      </c>
      <c r="M2670">
        <v>1.48</v>
      </c>
      <c r="N2670">
        <v>7</v>
      </c>
      <c r="O2670" t="s">
        <v>19</v>
      </c>
      <c r="P2670" cm="1">
        <f t="array" ref="P2670">_xlfn.SWITCH(Table2[[#This Row],[mood]], "Tired", 3, "Neutral", 2, "Happy", 1)</f>
        <v>2</v>
      </c>
    </row>
    <row r="2671" spans="1:16" x14ac:dyDescent="0.3">
      <c r="A2671">
        <v>1525</v>
      </c>
      <c r="B2671" s="1">
        <v>44674</v>
      </c>
      <c r="C2671">
        <v>52</v>
      </c>
      <c r="D2671" t="s">
        <v>15</v>
      </c>
      <c r="E2671">
        <v>174.3</v>
      </c>
      <c r="F2671">
        <v>76.5</v>
      </c>
      <c r="G2671">
        <v>15147</v>
      </c>
      <c r="H2671">
        <v>809.9</v>
      </c>
      <c r="I2671">
        <v>7.7</v>
      </c>
      <c r="J2671">
        <v>75</v>
      </c>
      <c r="K2671" t="s">
        <v>18</v>
      </c>
      <c r="L2671">
        <v>65</v>
      </c>
      <c r="M2671">
        <v>2.46</v>
      </c>
      <c r="N2671">
        <v>5</v>
      </c>
      <c r="O2671" t="s">
        <v>21</v>
      </c>
      <c r="P2671" cm="1">
        <f t="array" ref="P2671">_xlfn.SWITCH(Table2[[#This Row],[mood]], "Tired", 3, "Neutral", 2, "Happy", 1)</f>
        <v>1</v>
      </c>
    </row>
    <row r="2672" spans="1:16" x14ac:dyDescent="0.3">
      <c r="A2672">
        <v>1333</v>
      </c>
      <c r="B2672" s="1">
        <v>44675</v>
      </c>
      <c r="C2672">
        <v>33</v>
      </c>
      <c r="D2672" t="s">
        <v>15</v>
      </c>
      <c r="E2672">
        <v>162.5</v>
      </c>
      <c r="F2672">
        <v>65.900000000000006</v>
      </c>
      <c r="G2672">
        <v>19723</v>
      </c>
      <c r="H2672">
        <v>900</v>
      </c>
      <c r="I2672">
        <v>9.6999999999999993</v>
      </c>
      <c r="J2672">
        <v>59</v>
      </c>
      <c r="K2672" t="s">
        <v>16</v>
      </c>
      <c r="L2672">
        <v>0</v>
      </c>
      <c r="M2672">
        <v>1.75</v>
      </c>
      <c r="N2672">
        <v>6</v>
      </c>
      <c r="O2672" t="s">
        <v>17</v>
      </c>
      <c r="P2672" cm="1">
        <f t="array" ref="P2672">_xlfn.SWITCH(Table2[[#This Row],[mood]], "Tired", 3, "Neutral", 2, "Happy", 1)</f>
        <v>3</v>
      </c>
    </row>
    <row r="2673" spans="1:16" x14ac:dyDescent="0.3">
      <c r="A2673">
        <v>1001</v>
      </c>
      <c r="B2673" s="1">
        <v>44676</v>
      </c>
      <c r="C2673">
        <v>57</v>
      </c>
      <c r="D2673" t="s">
        <v>15</v>
      </c>
      <c r="E2673">
        <v>185.4</v>
      </c>
      <c r="F2673">
        <v>95.8</v>
      </c>
      <c r="G2673">
        <v>9526</v>
      </c>
      <c r="H2673">
        <v>624.29999999999995</v>
      </c>
      <c r="I2673">
        <v>6.7</v>
      </c>
      <c r="J2673">
        <v>60</v>
      </c>
      <c r="K2673" t="s">
        <v>24</v>
      </c>
      <c r="L2673">
        <v>85</v>
      </c>
      <c r="M2673">
        <v>1.29</v>
      </c>
      <c r="N2673">
        <v>9</v>
      </c>
      <c r="O2673" t="s">
        <v>17</v>
      </c>
      <c r="P2673" cm="1">
        <f t="array" ref="P2673">_xlfn.SWITCH(Table2[[#This Row],[mood]], "Tired", 3, "Neutral", 2, "Happy", 1)</f>
        <v>3</v>
      </c>
    </row>
    <row r="2674" spans="1:16" x14ac:dyDescent="0.3">
      <c r="A2674">
        <v>1374</v>
      </c>
      <c r="B2674" s="1">
        <v>44677</v>
      </c>
      <c r="C2674">
        <v>29</v>
      </c>
      <c r="D2674" t="s">
        <v>15</v>
      </c>
      <c r="E2674">
        <v>167.3</v>
      </c>
      <c r="F2674">
        <v>84.8</v>
      </c>
      <c r="G2674">
        <v>7842</v>
      </c>
      <c r="H2674">
        <v>580.1</v>
      </c>
      <c r="I2674">
        <v>7.1</v>
      </c>
      <c r="J2674">
        <v>77</v>
      </c>
      <c r="K2674" t="s">
        <v>25</v>
      </c>
      <c r="L2674">
        <v>40</v>
      </c>
      <c r="M2674">
        <v>2.4300000000000002</v>
      </c>
      <c r="N2674">
        <v>10</v>
      </c>
      <c r="O2674" t="s">
        <v>19</v>
      </c>
      <c r="P2674" cm="1">
        <f t="array" ref="P2674">_xlfn.SWITCH(Table2[[#This Row],[mood]], "Tired", 3, "Neutral", 2, "Happy", 1)</f>
        <v>2</v>
      </c>
    </row>
    <row r="2675" spans="1:16" x14ac:dyDescent="0.3">
      <c r="A2675">
        <v>1292</v>
      </c>
      <c r="B2675" s="1">
        <v>44678</v>
      </c>
      <c r="C2675">
        <v>52</v>
      </c>
      <c r="D2675" t="s">
        <v>15</v>
      </c>
      <c r="E2675">
        <v>190.1</v>
      </c>
      <c r="F2675">
        <v>46</v>
      </c>
      <c r="G2675">
        <v>2858</v>
      </c>
      <c r="H2675">
        <v>388.1</v>
      </c>
      <c r="I2675">
        <v>8.1999999999999993</v>
      </c>
      <c r="J2675">
        <v>69</v>
      </c>
      <c r="K2675" t="s">
        <v>16</v>
      </c>
      <c r="L2675">
        <v>0</v>
      </c>
      <c r="M2675">
        <v>2.94</v>
      </c>
      <c r="N2675">
        <v>1</v>
      </c>
      <c r="O2675" t="s">
        <v>21</v>
      </c>
      <c r="P2675" cm="1">
        <f t="array" ref="P2675">_xlfn.SWITCH(Table2[[#This Row],[mood]], "Tired", 3, "Neutral", 2, "Happy", 1)</f>
        <v>1</v>
      </c>
    </row>
    <row r="2676" spans="1:16" x14ac:dyDescent="0.3">
      <c r="A2676">
        <v>1836</v>
      </c>
      <c r="B2676" s="1">
        <v>44679</v>
      </c>
      <c r="C2676">
        <v>38</v>
      </c>
      <c r="D2676" t="s">
        <v>20</v>
      </c>
      <c r="E2676">
        <v>153.6</v>
      </c>
      <c r="F2676">
        <v>67.400000000000006</v>
      </c>
      <c r="G2676">
        <v>2207</v>
      </c>
      <c r="H2676">
        <v>231.8</v>
      </c>
      <c r="I2676">
        <v>8.3000000000000007</v>
      </c>
      <c r="J2676">
        <v>79</v>
      </c>
      <c r="K2676" t="s">
        <v>23</v>
      </c>
      <c r="L2676">
        <v>67</v>
      </c>
      <c r="M2676">
        <v>3.03</v>
      </c>
      <c r="N2676">
        <v>10</v>
      </c>
      <c r="O2676" t="s">
        <v>19</v>
      </c>
      <c r="P2676" cm="1">
        <f t="array" ref="P2676">_xlfn.SWITCH(Table2[[#This Row],[mood]], "Tired", 3, "Neutral", 2, "Happy", 1)</f>
        <v>2</v>
      </c>
    </row>
    <row r="2677" spans="1:16" x14ac:dyDescent="0.3">
      <c r="A2677">
        <v>1933</v>
      </c>
      <c r="B2677" s="1">
        <v>44680</v>
      </c>
      <c r="C2677">
        <v>53</v>
      </c>
      <c r="D2677" t="s">
        <v>15</v>
      </c>
      <c r="E2677">
        <v>167.3</v>
      </c>
      <c r="F2677">
        <v>55.9</v>
      </c>
      <c r="G2677">
        <v>18308</v>
      </c>
      <c r="H2677">
        <v>900</v>
      </c>
      <c r="I2677">
        <v>7.5</v>
      </c>
      <c r="J2677">
        <v>72</v>
      </c>
      <c r="K2677" t="s">
        <v>25</v>
      </c>
      <c r="L2677">
        <v>32</v>
      </c>
      <c r="M2677">
        <v>2.61</v>
      </c>
      <c r="N2677">
        <v>9</v>
      </c>
      <c r="O2677" t="s">
        <v>19</v>
      </c>
      <c r="P2677" cm="1">
        <f t="array" ref="P2677">_xlfn.SWITCH(Table2[[#This Row],[mood]], "Tired", 3, "Neutral", 2, "Happy", 1)</f>
        <v>2</v>
      </c>
    </row>
    <row r="2678" spans="1:16" x14ac:dyDescent="0.3">
      <c r="A2678">
        <v>1552</v>
      </c>
      <c r="B2678" s="1">
        <v>44681</v>
      </c>
      <c r="C2678">
        <v>34</v>
      </c>
      <c r="D2678" t="s">
        <v>15</v>
      </c>
      <c r="E2678">
        <v>168.5</v>
      </c>
      <c r="F2678">
        <v>76.2</v>
      </c>
      <c r="G2678">
        <v>6429</v>
      </c>
      <c r="H2678">
        <v>406.8</v>
      </c>
      <c r="I2678">
        <v>4.5999999999999996</v>
      </c>
      <c r="J2678">
        <v>73</v>
      </c>
      <c r="K2678" t="s">
        <v>16</v>
      </c>
      <c r="L2678">
        <v>0</v>
      </c>
      <c r="M2678">
        <v>1.34</v>
      </c>
      <c r="N2678">
        <v>3</v>
      </c>
      <c r="O2678" t="s">
        <v>19</v>
      </c>
      <c r="P2678" cm="1">
        <f t="array" ref="P2678">_xlfn.SWITCH(Table2[[#This Row],[mood]], "Tired", 3, "Neutral", 2, "Happy", 1)</f>
        <v>2</v>
      </c>
    </row>
    <row r="2679" spans="1:16" x14ac:dyDescent="0.3">
      <c r="A2679">
        <v>1317</v>
      </c>
      <c r="B2679" s="1">
        <v>44682</v>
      </c>
      <c r="C2679">
        <v>49</v>
      </c>
      <c r="D2679" t="s">
        <v>20</v>
      </c>
      <c r="E2679">
        <v>169.6</v>
      </c>
      <c r="F2679">
        <v>69.5</v>
      </c>
      <c r="G2679">
        <v>8591</v>
      </c>
      <c r="H2679">
        <v>640.6</v>
      </c>
      <c r="I2679">
        <v>4.3</v>
      </c>
      <c r="J2679">
        <v>83</v>
      </c>
      <c r="K2679" t="s">
        <v>23</v>
      </c>
      <c r="L2679">
        <v>24</v>
      </c>
      <c r="M2679">
        <v>2.59</v>
      </c>
      <c r="N2679">
        <v>10</v>
      </c>
      <c r="O2679" t="s">
        <v>19</v>
      </c>
      <c r="P2679" cm="1">
        <f t="array" ref="P2679">_xlfn.SWITCH(Table2[[#This Row],[mood]], "Tired", 3, "Neutral", 2, "Happy", 1)</f>
        <v>2</v>
      </c>
    </row>
    <row r="2680" spans="1:16" x14ac:dyDescent="0.3">
      <c r="A2680">
        <v>1501</v>
      </c>
      <c r="B2680" s="1">
        <v>44683</v>
      </c>
      <c r="C2680">
        <v>58</v>
      </c>
      <c r="D2680" t="s">
        <v>15</v>
      </c>
      <c r="E2680">
        <v>177.2</v>
      </c>
      <c r="F2680">
        <v>56.8</v>
      </c>
      <c r="G2680">
        <v>13944</v>
      </c>
      <c r="H2680">
        <v>759.3</v>
      </c>
      <c r="I2680">
        <v>6.4</v>
      </c>
      <c r="J2680">
        <v>70</v>
      </c>
      <c r="K2680" t="s">
        <v>25</v>
      </c>
      <c r="L2680">
        <v>37</v>
      </c>
      <c r="M2680">
        <v>1.46</v>
      </c>
      <c r="N2680">
        <v>3</v>
      </c>
      <c r="O2680" t="s">
        <v>19</v>
      </c>
      <c r="P2680" cm="1">
        <f t="array" ref="P2680">_xlfn.SWITCH(Table2[[#This Row],[mood]], "Tired", 3, "Neutral", 2, "Happy", 1)</f>
        <v>2</v>
      </c>
    </row>
    <row r="2681" spans="1:16" x14ac:dyDescent="0.3">
      <c r="A2681">
        <v>1827</v>
      </c>
      <c r="B2681" s="1">
        <v>44684</v>
      </c>
      <c r="C2681">
        <v>23</v>
      </c>
      <c r="D2681" t="s">
        <v>15</v>
      </c>
      <c r="E2681">
        <v>200</v>
      </c>
      <c r="F2681">
        <v>95.4</v>
      </c>
      <c r="G2681">
        <v>6892</v>
      </c>
      <c r="H2681">
        <v>457.2</v>
      </c>
      <c r="I2681">
        <v>7</v>
      </c>
      <c r="J2681">
        <v>82</v>
      </c>
      <c r="K2681" t="s">
        <v>18</v>
      </c>
      <c r="L2681">
        <v>56</v>
      </c>
      <c r="M2681">
        <v>1.5</v>
      </c>
      <c r="N2681">
        <v>4</v>
      </c>
      <c r="O2681" t="s">
        <v>21</v>
      </c>
      <c r="P2681" cm="1">
        <f t="array" ref="P2681">_xlfn.SWITCH(Table2[[#This Row],[mood]], "Tired", 3, "Neutral", 2, "Happy", 1)</f>
        <v>1</v>
      </c>
    </row>
    <row r="2682" spans="1:16" x14ac:dyDescent="0.3">
      <c r="A2682">
        <v>1380</v>
      </c>
      <c r="B2682" s="1">
        <v>44685</v>
      </c>
      <c r="C2682">
        <v>41</v>
      </c>
      <c r="D2682" t="s">
        <v>20</v>
      </c>
      <c r="E2682">
        <v>174.6</v>
      </c>
      <c r="F2682">
        <v>70.900000000000006</v>
      </c>
      <c r="G2682">
        <v>12777</v>
      </c>
      <c r="H2682">
        <v>683.4</v>
      </c>
      <c r="I2682">
        <v>4.2</v>
      </c>
      <c r="J2682">
        <v>71</v>
      </c>
      <c r="K2682" t="s">
        <v>24</v>
      </c>
      <c r="L2682">
        <v>73</v>
      </c>
      <c r="M2682">
        <v>1.8</v>
      </c>
      <c r="N2682">
        <v>8</v>
      </c>
      <c r="O2682" t="s">
        <v>17</v>
      </c>
      <c r="P2682" cm="1">
        <f t="array" ref="P2682">_xlfn.SWITCH(Table2[[#This Row],[mood]], "Tired", 3, "Neutral", 2, "Happy", 1)</f>
        <v>3</v>
      </c>
    </row>
    <row r="2683" spans="1:16" x14ac:dyDescent="0.3">
      <c r="A2683">
        <v>1622</v>
      </c>
      <c r="B2683" s="1">
        <v>44686</v>
      </c>
      <c r="C2683">
        <v>44</v>
      </c>
      <c r="D2683" t="s">
        <v>20</v>
      </c>
      <c r="E2683">
        <v>170.2</v>
      </c>
      <c r="F2683">
        <v>63.8</v>
      </c>
      <c r="G2683">
        <v>6945</v>
      </c>
      <c r="H2683">
        <v>494.5</v>
      </c>
      <c r="I2683">
        <v>7</v>
      </c>
      <c r="J2683">
        <v>67</v>
      </c>
      <c r="K2683" t="s">
        <v>16</v>
      </c>
      <c r="L2683">
        <v>0</v>
      </c>
      <c r="M2683">
        <v>3.23</v>
      </c>
      <c r="N2683">
        <v>1</v>
      </c>
      <c r="O2683" t="s">
        <v>21</v>
      </c>
      <c r="P2683" cm="1">
        <f t="array" ref="P2683">_xlfn.SWITCH(Table2[[#This Row],[mood]], "Tired", 3, "Neutral", 2, "Happy", 1)</f>
        <v>1</v>
      </c>
    </row>
    <row r="2684" spans="1:16" x14ac:dyDescent="0.3">
      <c r="A2684">
        <v>1013</v>
      </c>
      <c r="B2684" s="1">
        <v>44687</v>
      </c>
      <c r="C2684">
        <v>37</v>
      </c>
      <c r="D2684" t="s">
        <v>20</v>
      </c>
      <c r="E2684">
        <v>159</v>
      </c>
      <c r="F2684">
        <v>66.2</v>
      </c>
      <c r="G2684">
        <v>8691</v>
      </c>
      <c r="H2684">
        <v>573.4</v>
      </c>
      <c r="I2684">
        <v>8</v>
      </c>
      <c r="J2684">
        <v>64</v>
      </c>
      <c r="K2684" t="s">
        <v>24</v>
      </c>
      <c r="L2684">
        <v>47</v>
      </c>
      <c r="M2684">
        <v>2.88</v>
      </c>
      <c r="N2684">
        <v>4</v>
      </c>
      <c r="O2684" t="s">
        <v>21</v>
      </c>
      <c r="P2684" cm="1">
        <f t="array" ref="P2684">_xlfn.SWITCH(Table2[[#This Row],[mood]], "Tired", 3, "Neutral", 2, "Happy", 1)</f>
        <v>1</v>
      </c>
    </row>
    <row r="2685" spans="1:16" x14ac:dyDescent="0.3">
      <c r="A2685">
        <v>1503</v>
      </c>
      <c r="B2685" s="1">
        <v>44688</v>
      </c>
      <c r="C2685">
        <v>42</v>
      </c>
      <c r="D2685" t="s">
        <v>15</v>
      </c>
      <c r="E2685">
        <v>151.1</v>
      </c>
      <c r="F2685">
        <v>94.3</v>
      </c>
      <c r="G2685">
        <v>13548</v>
      </c>
      <c r="H2685">
        <v>659.5</v>
      </c>
      <c r="I2685">
        <v>6.9</v>
      </c>
      <c r="J2685">
        <v>58</v>
      </c>
      <c r="K2685" t="s">
        <v>22</v>
      </c>
      <c r="L2685">
        <v>64</v>
      </c>
      <c r="M2685">
        <v>2.73</v>
      </c>
      <c r="N2685">
        <v>7</v>
      </c>
      <c r="O2685" t="s">
        <v>19</v>
      </c>
      <c r="P2685" cm="1">
        <f t="array" ref="P2685">_xlfn.SWITCH(Table2[[#This Row],[mood]], "Tired", 3, "Neutral", 2, "Happy", 1)</f>
        <v>2</v>
      </c>
    </row>
    <row r="2686" spans="1:16" x14ac:dyDescent="0.3">
      <c r="A2686">
        <v>1230</v>
      </c>
      <c r="B2686" s="1">
        <v>44689</v>
      </c>
      <c r="C2686">
        <v>19</v>
      </c>
      <c r="D2686" t="s">
        <v>20</v>
      </c>
      <c r="E2686">
        <v>181.7</v>
      </c>
      <c r="F2686">
        <v>83.7</v>
      </c>
      <c r="G2686">
        <v>14673</v>
      </c>
      <c r="H2686">
        <v>856.8</v>
      </c>
      <c r="I2686">
        <v>7.4</v>
      </c>
      <c r="J2686">
        <v>63</v>
      </c>
      <c r="K2686" t="s">
        <v>16</v>
      </c>
      <c r="L2686">
        <v>0</v>
      </c>
      <c r="M2686">
        <v>1.9</v>
      </c>
      <c r="N2686">
        <v>3</v>
      </c>
      <c r="O2686" t="s">
        <v>17</v>
      </c>
      <c r="P2686" cm="1">
        <f t="array" ref="P2686">_xlfn.SWITCH(Table2[[#This Row],[mood]], "Tired", 3, "Neutral", 2, "Happy", 1)</f>
        <v>3</v>
      </c>
    </row>
    <row r="2687" spans="1:16" x14ac:dyDescent="0.3">
      <c r="A2687">
        <v>1984</v>
      </c>
      <c r="B2687" s="1">
        <v>44690</v>
      </c>
      <c r="C2687">
        <v>26</v>
      </c>
      <c r="D2687" t="s">
        <v>15</v>
      </c>
      <c r="E2687">
        <v>164.5</v>
      </c>
      <c r="F2687">
        <v>67.599999999999994</v>
      </c>
      <c r="G2687">
        <v>5027</v>
      </c>
      <c r="H2687">
        <v>424.6</v>
      </c>
      <c r="I2687">
        <v>7.9</v>
      </c>
      <c r="J2687">
        <v>57</v>
      </c>
      <c r="K2687" t="s">
        <v>24</v>
      </c>
      <c r="L2687">
        <v>84</v>
      </c>
      <c r="M2687">
        <v>2.23</v>
      </c>
      <c r="N2687">
        <v>7</v>
      </c>
      <c r="O2687" t="s">
        <v>21</v>
      </c>
      <c r="P2687" cm="1">
        <f t="array" ref="P2687">_xlfn.SWITCH(Table2[[#This Row],[mood]], "Tired", 3, "Neutral", 2, "Happy", 1)</f>
        <v>1</v>
      </c>
    </row>
    <row r="2688" spans="1:16" x14ac:dyDescent="0.3">
      <c r="A2688">
        <v>1083</v>
      </c>
      <c r="B2688" s="1">
        <v>44691</v>
      </c>
      <c r="C2688">
        <v>45</v>
      </c>
      <c r="D2688" t="s">
        <v>15</v>
      </c>
      <c r="E2688">
        <v>196</v>
      </c>
      <c r="F2688">
        <v>55.1</v>
      </c>
      <c r="G2688">
        <v>13456</v>
      </c>
      <c r="H2688">
        <v>807.7</v>
      </c>
      <c r="I2688">
        <v>4.5999999999999996</v>
      </c>
      <c r="J2688">
        <v>65</v>
      </c>
      <c r="K2688" t="s">
        <v>16</v>
      </c>
      <c r="L2688">
        <v>0</v>
      </c>
      <c r="M2688">
        <v>1.54</v>
      </c>
      <c r="N2688">
        <v>5</v>
      </c>
      <c r="O2688" t="s">
        <v>21</v>
      </c>
      <c r="P2688" cm="1">
        <f t="array" ref="P2688">_xlfn.SWITCH(Table2[[#This Row],[mood]], "Tired", 3, "Neutral", 2, "Happy", 1)</f>
        <v>1</v>
      </c>
    </row>
    <row r="2689" spans="1:16" x14ac:dyDescent="0.3">
      <c r="A2689">
        <v>1129</v>
      </c>
      <c r="B2689" s="1">
        <v>44692</v>
      </c>
      <c r="C2689">
        <v>55</v>
      </c>
      <c r="D2689" t="s">
        <v>15</v>
      </c>
      <c r="E2689">
        <v>178.7</v>
      </c>
      <c r="F2689">
        <v>57.5</v>
      </c>
      <c r="G2689">
        <v>5295</v>
      </c>
      <c r="H2689">
        <v>497.3</v>
      </c>
      <c r="I2689">
        <v>8</v>
      </c>
      <c r="J2689">
        <v>83</v>
      </c>
      <c r="K2689" t="s">
        <v>18</v>
      </c>
      <c r="L2689">
        <v>61</v>
      </c>
      <c r="M2689">
        <v>3.46</v>
      </c>
      <c r="N2689">
        <v>10</v>
      </c>
      <c r="O2689" t="s">
        <v>17</v>
      </c>
      <c r="P2689" cm="1">
        <f t="array" ref="P2689">_xlfn.SWITCH(Table2[[#This Row],[mood]], "Tired", 3, "Neutral", 2, "Happy", 1)</f>
        <v>3</v>
      </c>
    </row>
    <row r="2690" spans="1:16" x14ac:dyDescent="0.3">
      <c r="A2690">
        <v>1742</v>
      </c>
      <c r="B2690" s="1">
        <v>44693</v>
      </c>
      <c r="C2690">
        <v>20</v>
      </c>
      <c r="D2690" t="s">
        <v>15</v>
      </c>
      <c r="E2690">
        <v>173.4</v>
      </c>
      <c r="F2690">
        <v>62.8</v>
      </c>
      <c r="G2690">
        <v>13869</v>
      </c>
      <c r="H2690">
        <v>749.8</v>
      </c>
      <c r="I2690">
        <v>5.9</v>
      </c>
      <c r="J2690">
        <v>75</v>
      </c>
      <c r="K2690" t="s">
        <v>23</v>
      </c>
      <c r="L2690">
        <v>52</v>
      </c>
      <c r="M2690">
        <v>4.04</v>
      </c>
      <c r="N2690">
        <v>9</v>
      </c>
      <c r="O2690" t="s">
        <v>21</v>
      </c>
      <c r="P2690" cm="1">
        <f t="array" ref="P2690">_xlfn.SWITCH(Table2[[#This Row],[mood]], "Tired", 3, "Neutral", 2, "Happy", 1)</f>
        <v>1</v>
      </c>
    </row>
    <row r="2691" spans="1:16" x14ac:dyDescent="0.3">
      <c r="A2691">
        <v>1837</v>
      </c>
      <c r="B2691" s="1">
        <v>44694</v>
      </c>
      <c r="C2691">
        <v>37</v>
      </c>
      <c r="D2691" t="s">
        <v>20</v>
      </c>
      <c r="E2691">
        <v>173.9</v>
      </c>
      <c r="F2691">
        <v>77.599999999999994</v>
      </c>
      <c r="G2691">
        <v>5661</v>
      </c>
      <c r="H2691">
        <v>469.3</v>
      </c>
      <c r="I2691">
        <v>6.6</v>
      </c>
      <c r="J2691">
        <v>71</v>
      </c>
      <c r="K2691" t="s">
        <v>23</v>
      </c>
      <c r="L2691">
        <v>35</v>
      </c>
      <c r="M2691">
        <v>2.89</v>
      </c>
      <c r="N2691">
        <v>8</v>
      </c>
      <c r="O2691" t="s">
        <v>17</v>
      </c>
      <c r="P2691" cm="1">
        <f t="array" ref="P2691">_xlfn.SWITCH(Table2[[#This Row],[mood]], "Tired", 3, "Neutral", 2, "Happy", 1)</f>
        <v>3</v>
      </c>
    </row>
    <row r="2692" spans="1:16" x14ac:dyDescent="0.3">
      <c r="A2692">
        <v>1144</v>
      </c>
      <c r="B2692" s="1">
        <v>44695</v>
      </c>
      <c r="C2692">
        <v>23</v>
      </c>
      <c r="D2692" t="s">
        <v>20</v>
      </c>
      <c r="E2692">
        <v>174</v>
      </c>
      <c r="F2692">
        <v>81.3</v>
      </c>
      <c r="G2692">
        <v>15730</v>
      </c>
      <c r="H2692">
        <v>800.4</v>
      </c>
      <c r="I2692">
        <v>6</v>
      </c>
      <c r="J2692">
        <v>68</v>
      </c>
      <c r="K2692" t="s">
        <v>24</v>
      </c>
      <c r="L2692">
        <v>32</v>
      </c>
      <c r="M2692">
        <v>3.01</v>
      </c>
      <c r="N2692">
        <v>3</v>
      </c>
      <c r="O2692" t="s">
        <v>21</v>
      </c>
      <c r="P2692" cm="1">
        <f t="array" ref="P2692">_xlfn.SWITCH(Table2[[#This Row],[mood]], "Tired", 3, "Neutral", 2, "Happy", 1)</f>
        <v>1</v>
      </c>
    </row>
    <row r="2693" spans="1:16" x14ac:dyDescent="0.3">
      <c r="A2693">
        <v>1890</v>
      </c>
      <c r="B2693" s="1">
        <v>44696</v>
      </c>
      <c r="C2693">
        <v>56</v>
      </c>
      <c r="D2693" t="s">
        <v>15</v>
      </c>
      <c r="E2693">
        <v>163.1</v>
      </c>
      <c r="F2693">
        <v>59.1</v>
      </c>
      <c r="G2693">
        <v>13034</v>
      </c>
      <c r="H2693">
        <v>698</v>
      </c>
      <c r="I2693">
        <v>8.6</v>
      </c>
      <c r="J2693">
        <v>74</v>
      </c>
      <c r="K2693" t="s">
        <v>25</v>
      </c>
      <c r="L2693">
        <v>40</v>
      </c>
      <c r="M2693">
        <v>2.39</v>
      </c>
      <c r="N2693">
        <v>4</v>
      </c>
      <c r="O2693" t="s">
        <v>19</v>
      </c>
      <c r="P2693" cm="1">
        <f t="array" ref="P2693">_xlfn.SWITCH(Table2[[#This Row],[mood]], "Tired", 3, "Neutral", 2, "Happy", 1)</f>
        <v>2</v>
      </c>
    </row>
    <row r="2694" spans="1:16" x14ac:dyDescent="0.3">
      <c r="A2694">
        <v>1856</v>
      </c>
      <c r="B2694" s="1">
        <v>44697</v>
      </c>
      <c r="C2694">
        <v>50</v>
      </c>
      <c r="D2694" t="s">
        <v>20</v>
      </c>
      <c r="E2694">
        <v>152.5</v>
      </c>
      <c r="F2694">
        <v>82</v>
      </c>
      <c r="G2694">
        <v>19782</v>
      </c>
      <c r="H2694">
        <v>900</v>
      </c>
      <c r="I2694">
        <v>5.2</v>
      </c>
      <c r="J2694">
        <v>75</v>
      </c>
      <c r="K2694" t="s">
        <v>24</v>
      </c>
      <c r="L2694">
        <v>78</v>
      </c>
      <c r="M2694">
        <v>1.37</v>
      </c>
      <c r="N2694">
        <v>7</v>
      </c>
      <c r="O2694" t="s">
        <v>17</v>
      </c>
      <c r="P2694" cm="1">
        <f t="array" ref="P2694">_xlfn.SWITCH(Table2[[#This Row],[mood]], "Tired", 3, "Neutral", 2, "Happy", 1)</f>
        <v>3</v>
      </c>
    </row>
    <row r="2695" spans="1:16" x14ac:dyDescent="0.3">
      <c r="A2695">
        <v>1027</v>
      </c>
      <c r="B2695" s="1">
        <v>44698</v>
      </c>
      <c r="C2695">
        <v>18</v>
      </c>
      <c r="D2695" t="s">
        <v>15</v>
      </c>
      <c r="E2695">
        <v>164.5</v>
      </c>
      <c r="F2695">
        <v>56.4</v>
      </c>
      <c r="G2695">
        <v>17411</v>
      </c>
      <c r="H2695">
        <v>859.5</v>
      </c>
      <c r="I2695">
        <v>9.1</v>
      </c>
      <c r="J2695">
        <v>64</v>
      </c>
      <c r="K2695" t="s">
        <v>16</v>
      </c>
      <c r="L2695">
        <v>0</v>
      </c>
      <c r="M2695">
        <v>1.91</v>
      </c>
      <c r="N2695">
        <v>2</v>
      </c>
      <c r="O2695" t="s">
        <v>21</v>
      </c>
      <c r="P2695" cm="1">
        <f t="array" ref="P2695">_xlfn.SWITCH(Table2[[#This Row],[mood]], "Tired", 3, "Neutral", 2, "Happy", 1)</f>
        <v>1</v>
      </c>
    </row>
    <row r="2696" spans="1:16" x14ac:dyDescent="0.3">
      <c r="A2696">
        <v>1065</v>
      </c>
      <c r="B2696" s="1">
        <v>44699</v>
      </c>
      <c r="C2696">
        <v>54</v>
      </c>
      <c r="D2696" t="s">
        <v>15</v>
      </c>
      <c r="E2696">
        <v>169.8</v>
      </c>
      <c r="F2696">
        <v>60.8</v>
      </c>
      <c r="G2696">
        <v>13142</v>
      </c>
      <c r="H2696">
        <v>735.5</v>
      </c>
      <c r="I2696">
        <v>10</v>
      </c>
      <c r="J2696">
        <v>80</v>
      </c>
      <c r="K2696" t="s">
        <v>23</v>
      </c>
      <c r="L2696">
        <v>58</v>
      </c>
      <c r="M2696">
        <v>2.17</v>
      </c>
      <c r="N2696">
        <v>10</v>
      </c>
      <c r="O2696" t="s">
        <v>21</v>
      </c>
      <c r="P2696" cm="1">
        <f t="array" ref="P2696">_xlfn.SWITCH(Table2[[#This Row],[mood]], "Tired", 3, "Neutral", 2, "Happy", 1)</f>
        <v>1</v>
      </c>
    </row>
    <row r="2697" spans="1:16" x14ac:dyDescent="0.3">
      <c r="A2697">
        <v>1162</v>
      </c>
      <c r="B2697" s="1">
        <v>44700</v>
      </c>
      <c r="C2697">
        <v>23</v>
      </c>
      <c r="D2697" t="s">
        <v>15</v>
      </c>
      <c r="E2697">
        <v>163.5</v>
      </c>
      <c r="F2697">
        <v>48.3</v>
      </c>
      <c r="G2697">
        <v>2898</v>
      </c>
      <c r="H2697">
        <v>270.5</v>
      </c>
      <c r="I2697">
        <v>4.7</v>
      </c>
      <c r="J2697">
        <v>72</v>
      </c>
      <c r="K2697" t="s">
        <v>16</v>
      </c>
      <c r="L2697">
        <v>0</v>
      </c>
      <c r="M2697">
        <v>2.23</v>
      </c>
      <c r="N2697">
        <v>6</v>
      </c>
      <c r="O2697" t="s">
        <v>17</v>
      </c>
      <c r="P2697" cm="1">
        <f t="array" ref="P2697">_xlfn.SWITCH(Table2[[#This Row],[mood]], "Tired", 3, "Neutral", 2, "Happy", 1)</f>
        <v>3</v>
      </c>
    </row>
    <row r="2698" spans="1:16" x14ac:dyDescent="0.3">
      <c r="A2698">
        <v>1228</v>
      </c>
      <c r="B2698" s="1">
        <v>44701</v>
      </c>
      <c r="C2698">
        <v>51</v>
      </c>
      <c r="D2698" t="s">
        <v>20</v>
      </c>
      <c r="E2698">
        <v>157.1</v>
      </c>
      <c r="F2698">
        <v>47.8</v>
      </c>
      <c r="G2698">
        <v>13919</v>
      </c>
      <c r="H2698">
        <v>724</v>
      </c>
      <c r="I2698">
        <v>6.1</v>
      </c>
      <c r="J2698">
        <v>78</v>
      </c>
      <c r="K2698" t="s">
        <v>22</v>
      </c>
      <c r="L2698">
        <v>46</v>
      </c>
      <c r="M2698">
        <v>2.0699999999999998</v>
      </c>
      <c r="N2698">
        <v>9</v>
      </c>
      <c r="O2698" t="s">
        <v>17</v>
      </c>
      <c r="P2698" cm="1">
        <f t="array" ref="P2698">_xlfn.SWITCH(Table2[[#This Row],[mood]], "Tired", 3, "Neutral", 2, "Happy", 1)</f>
        <v>3</v>
      </c>
    </row>
    <row r="2699" spans="1:16" x14ac:dyDescent="0.3">
      <c r="A2699">
        <v>1260</v>
      </c>
      <c r="B2699" s="1">
        <v>44702</v>
      </c>
      <c r="C2699">
        <v>32</v>
      </c>
      <c r="D2699" t="s">
        <v>15</v>
      </c>
      <c r="E2699">
        <v>162.5</v>
      </c>
      <c r="F2699">
        <v>56.2</v>
      </c>
      <c r="G2699">
        <v>8300</v>
      </c>
      <c r="H2699">
        <v>506.7</v>
      </c>
      <c r="I2699">
        <v>7.9</v>
      </c>
      <c r="J2699">
        <v>75</v>
      </c>
      <c r="K2699" t="s">
        <v>23</v>
      </c>
      <c r="L2699">
        <v>56</v>
      </c>
      <c r="M2699">
        <v>2.5299999999999998</v>
      </c>
      <c r="N2699">
        <v>9</v>
      </c>
      <c r="O2699" t="s">
        <v>17</v>
      </c>
      <c r="P2699" cm="1">
        <f t="array" ref="P2699">_xlfn.SWITCH(Table2[[#This Row],[mood]], "Tired", 3, "Neutral", 2, "Happy", 1)</f>
        <v>3</v>
      </c>
    </row>
    <row r="2700" spans="1:16" x14ac:dyDescent="0.3">
      <c r="A2700">
        <v>1448</v>
      </c>
      <c r="B2700" s="1">
        <v>44703</v>
      </c>
      <c r="C2700">
        <v>43</v>
      </c>
      <c r="D2700" t="s">
        <v>15</v>
      </c>
      <c r="E2700">
        <v>180.4</v>
      </c>
      <c r="F2700">
        <v>69.599999999999994</v>
      </c>
      <c r="G2700">
        <v>3427</v>
      </c>
      <c r="H2700">
        <v>409.4</v>
      </c>
      <c r="I2700">
        <v>5.5</v>
      </c>
      <c r="J2700">
        <v>61</v>
      </c>
      <c r="K2700" t="s">
        <v>25</v>
      </c>
      <c r="L2700">
        <v>22</v>
      </c>
      <c r="M2700">
        <v>1.9</v>
      </c>
      <c r="N2700">
        <v>6</v>
      </c>
      <c r="O2700" t="s">
        <v>17</v>
      </c>
      <c r="P2700" cm="1">
        <f t="array" ref="P2700">_xlfn.SWITCH(Table2[[#This Row],[mood]], "Tired", 3, "Neutral", 2, "Happy", 1)</f>
        <v>3</v>
      </c>
    </row>
    <row r="2701" spans="1:16" x14ac:dyDescent="0.3">
      <c r="A2701">
        <v>1423</v>
      </c>
      <c r="B2701" s="1">
        <v>44704</v>
      </c>
      <c r="C2701">
        <v>31</v>
      </c>
      <c r="D2701" t="s">
        <v>20</v>
      </c>
      <c r="E2701">
        <v>177.5</v>
      </c>
      <c r="F2701">
        <v>55.1</v>
      </c>
      <c r="G2701">
        <v>2625</v>
      </c>
      <c r="H2701">
        <v>330.7</v>
      </c>
      <c r="I2701">
        <v>6.6</v>
      </c>
      <c r="J2701">
        <v>88</v>
      </c>
      <c r="K2701" t="s">
        <v>25</v>
      </c>
      <c r="L2701">
        <v>26</v>
      </c>
      <c r="M2701">
        <v>4.0199999999999996</v>
      </c>
      <c r="N2701">
        <v>6</v>
      </c>
      <c r="O2701" t="s">
        <v>17</v>
      </c>
      <c r="P2701" cm="1">
        <f t="array" ref="P2701">_xlfn.SWITCH(Table2[[#This Row],[mood]], "Tired", 3, "Neutral", 2, "Happy", 1)</f>
        <v>3</v>
      </c>
    </row>
    <row r="2702" spans="1:16" x14ac:dyDescent="0.3">
      <c r="A2702">
        <v>1459</v>
      </c>
      <c r="B2702" s="1">
        <v>44705</v>
      </c>
      <c r="C2702">
        <v>24</v>
      </c>
      <c r="D2702" t="s">
        <v>20</v>
      </c>
      <c r="E2702">
        <v>171.7</v>
      </c>
      <c r="F2702">
        <v>92.5</v>
      </c>
      <c r="G2702">
        <v>11767</v>
      </c>
      <c r="H2702">
        <v>712.8</v>
      </c>
      <c r="I2702">
        <v>7.3</v>
      </c>
      <c r="J2702">
        <v>75</v>
      </c>
      <c r="K2702" t="s">
        <v>22</v>
      </c>
      <c r="L2702">
        <v>77</v>
      </c>
      <c r="M2702">
        <v>1.54</v>
      </c>
      <c r="N2702">
        <v>6</v>
      </c>
      <c r="O2702" t="s">
        <v>17</v>
      </c>
      <c r="P2702" cm="1">
        <f t="array" ref="P2702">_xlfn.SWITCH(Table2[[#This Row],[mood]], "Tired", 3, "Neutral", 2, "Happy", 1)</f>
        <v>3</v>
      </c>
    </row>
    <row r="2703" spans="1:16" x14ac:dyDescent="0.3">
      <c r="A2703">
        <v>1951</v>
      </c>
      <c r="B2703" s="1">
        <v>44706</v>
      </c>
      <c r="C2703">
        <v>48</v>
      </c>
      <c r="D2703" t="s">
        <v>20</v>
      </c>
      <c r="E2703">
        <v>175.9</v>
      </c>
      <c r="F2703">
        <v>56</v>
      </c>
      <c r="G2703">
        <v>19420</v>
      </c>
      <c r="H2703">
        <v>886.5</v>
      </c>
      <c r="I2703">
        <v>5.9</v>
      </c>
      <c r="J2703">
        <v>71</v>
      </c>
      <c r="K2703" t="s">
        <v>16</v>
      </c>
      <c r="L2703">
        <v>0</v>
      </c>
      <c r="M2703">
        <v>3.12</v>
      </c>
      <c r="N2703">
        <v>10</v>
      </c>
      <c r="O2703" t="s">
        <v>19</v>
      </c>
      <c r="P2703" cm="1">
        <f t="array" ref="P2703">_xlfn.SWITCH(Table2[[#This Row],[mood]], "Tired", 3, "Neutral", 2, "Happy", 1)</f>
        <v>2</v>
      </c>
    </row>
    <row r="2704" spans="1:16" x14ac:dyDescent="0.3">
      <c r="A2704">
        <v>1675</v>
      </c>
      <c r="B2704" s="1">
        <v>44707</v>
      </c>
      <c r="C2704">
        <v>41</v>
      </c>
      <c r="D2704" t="s">
        <v>20</v>
      </c>
      <c r="E2704">
        <v>158.69999999999999</v>
      </c>
      <c r="F2704">
        <v>72.8</v>
      </c>
      <c r="G2704">
        <v>4355</v>
      </c>
      <c r="H2704">
        <v>375.9</v>
      </c>
      <c r="I2704">
        <v>7.1</v>
      </c>
      <c r="J2704">
        <v>81</v>
      </c>
      <c r="K2704" t="s">
        <v>16</v>
      </c>
      <c r="L2704">
        <v>0</v>
      </c>
      <c r="M2704">
        <v>2.3199999999999998</v>
      </c>
      <c r="N2704">
        <v>6</v>
      </c>
      <c r="O2704" t="s">
        <v>19</v>
      </c>
      <c r="P2704" cm="1">
        <f t="array" ref="P2704">_xlfn.SWITCH(Table2[[#This Row],[mood]], "Tired", 3, "Neutral", 2, "Happy", 1)</f>
        <v>2</v>
      </c>
    </row>
    <row r="2705" spans="1:16" x14ac:dyDescent="0.3">
      <c r="A2705">
        <v>1300</v>
      </c>
      <c r="B2705" s="1">
        <v>44708</v>
      </c>
      <c r="C2705">
        <v>48</v>
      </c>
      <c r="D2705" t="s">
        <v>15</v>
      </c>
      <c r="E2705">
        <v>162</v>
      </c>
      <c r="F2705">
        <v>89.8</v>
      </c>
      <c r="G2705">
        <v>15053</v>
      </c>
      <c r="H2705">
        <v>783</v>
      </c>
      <c r="I2705">
        <v>8.4</v>
      </c>
      <c r="J2705">
        <v>63</v>
      </c>
      <c r="K2705" t="s">
        <v>16</v>
      </c>
      <c r="L2705">
        <v>0</v>
      </c>
      <c r="M2705">
        <v>2.82</v>
      </c>
      <c r="N2705">
        <v>3</v>
      </c>
      <c r="O2705" t="s">
        <v>17</v>
      </c>
      <c r="P2705" cm="1">
        <f t="array" ref="P2705">_xlfn.SWITCH(Table2[[#This Row],[mood]], "Tired", 3, "Neutral", 2, "Happy", 1)</f>
        <v>3</v>
      </c>
    </row>
    <row r="2706" spans="1:16" x14ac:dyDescent="0.3">
      <c r="A2706">
        <v>1918</v>
      </c>
      <c r="B2706" s="1">
        <v>44709</v>
      </c>
      <c r="C2706">
        <v>46</v>
      </c>
      <c r="D2706" t="s">
        <v>20</v>
      </c>
      <c r="E2706">
        <v>173.1</v>
      </c>
      <c r="F2706">
        <v>71.400000000000006</v>
      </c>
      <c r="G2706">
        <v>5902</v>
      </c>
      <c r="H2706">
        <v>460.7</v>
      </c>
      <c r="I2706">
        <v>6.9</v>
      </c>
      <c r="J2706">
        <v>59</v>
      </c>
      <c r="K2706" t="s">
        <v>25</v>
      </c>
      <c r="L2706">
        <v>68</v>
      </c>
      <c r="M2706">
        <v>2.86</v>
      </c>
      <c r="N2706">
        <v>4</v>
      </c>
      <c r="O2706" t="s">
        <v>21</v>
      </c>
      <c r="P2706" cm="1">
        <f t="array" ref="P2706">_xlfn.SWITCH(Table2[[#This Row],[mood]], "Tired", 3, "Neutral", 2, "Happy", 1)</f>
        <v>1</v>
      </c>
    </row>
    <row r="2707" spans="1:16" x14ac:dyDescent="0.3">
      <c r="A2707">
        <v>1302</v>
      </c>
      <c r="B2707" s="1">
        <v>44710</v>
      </c>
      <c r="C2707">
        <v>59</v>
      </c>
      <c r="D2707" t="s">
        <v>15</v>
      </c>
      <c r="E2707">
        <v>160</v>
      </c>
      <c r="F2707">
        <v>64.5</v>
      </c>
      <c r="G2707">
        <v>16786</v>
      </c>
      <c r="H2707">
        <v>900</v>
      </c>
      <c r="I2707">
        <v>5.4</v>
      </c>
      <c r="J2707">
        <v>81</v>
      </c>
      <c r="K2707" t="s">
        <v>24</v>
      </c>
      <c r="L2707">
        <v>56</v>
      </c>
      <c r="M2707">
        <v>2.61</v>
      </c>
      <c r="N2707">
        <v>6</v>
      </c>
      <c r="O2707" t="s">
        <v>19</v>
      </c>
      <c r="P2707" cm="1">
        <f t="array" ref="P2707">_xlfn.SWITCH(Table2[[#This Row],[mood]], "Tired", 3, "Neutral", 2, "Happy", 1)</f>
        <v>2</v>
      </c>
    </row>
    <row r="2708" spans="1:16" x14ac:dyDescent="0.3">
      <c r="A2708">
        <v>1286</v>
      </c>
      <c r="B2708" s="1">
        <v>44711</v>
      </c>
      <c r="C2708">
        <v>49</v>
      </c>
      <c r="D2708" t="s">
        <v>20</v>
      </c>
      <c r="E2708">
        <v>171.1</v>
      </c>
      <c r="F2708">
        <v>72.2</v>
      </c>
      <c r="G2708">
        <v>11266</v>
      </c>
      <c r="H2708">
        <v>531.1</v>
      </c>
      <c r="I2708">
        <v>8.6999999999999993</v>
      </c>
      <c r="J2708">
        <v>86</v>
      </c>
      <c r="K2708" t="s">
        <v>24</v>
      </c>
      <c r="L2708">
        <v>25</v>
      </c>
      <c r="M2708">
        <v>1.71</v>
      </c>
      <c r="N2708">
        <v>10</v>
      </c>
      <c r="O2708" t="s">
        <v>19</v>
      </c>
      <c r="P2708" cm="1">
        <f t="array" ref="P2708">_xlfn.SWITCH(Table2[[#This Row],[mood]], "Tired", 3, "Neutral", 2, "Happy", 1)</f>
        <v>2</v>
      </c>
    </row>
    <row r="2709" spans="1:16" x14ac:dyDescent="0.3">
      <c r="A2709">
        <v>1394</v>
      </c>
      <c r="B2709" s="1">
        <v>44712</v>
      </c>
      <c r="C2709">
        <v>34</v>
      </c>
      <c r="D2709" t="s">
        <v>20</v>
      </c>
      <c r="E2709">
        <v>157.4</v>
      </c>
      <c r="F2709">
        <v>61.6</v>
      </c>
      <c r="G2709">
        <v>9280</v>
      </c>
      <c r="H2709">
        <v>591.20000000000005</v>
      </c>
      <c r="I2709">
        <v>9.1</v>
      </c>
      <c r="J2709">
        <v>78</v>
      </c>
      <c r="K2709" t="s">
        <v>23</v>
      </c>
      <c r="L2709">
        <v>25</v>
      </c>
      <c r="M2709">
        <v>2.27</v>
      </c>
      <c r="N2709">
        <v>1</v>
      </c>
      <c r="O2709" t="s">
        <v>21</v>
      </c>
      <c r="P2709" cm="1">
        <f t="array" ref="P2709">_xlfn.SWITCH(Table2[[#This Row],[mood]], "Tired", 3, "Neutral", 2, "Happy", 1)</f>
        <v>1</v>
      </c>
    </row>
    <row r="2710" spans="1:16" x14ac:dyDescent="0.3">
      <c r="A2710">
        <v>1009</v>
      </c>
      <c r="B2710" s="1">
        <v>44713</v>
      </c>
      <c r="C2710">
        <v>31</v>
      </c>
      <c r="D2710" t="s">
        <v>20</v>
      </c>
      <c r="E2710">
        <v>153.5</v>
      </c>
      <c r="F2710">
        <v>55</v>
      </c>
      <c r="G2710">
        <v>15954</v>
      </c>
      <c r="H2710">
        <v>900</v>
      </c>
      <c r="I2710">
        <v>7.6</v>
      </c>
      <c r="J2710">
        <v>83</v>
      </c>
      <c r="K2710" t="s">
        <v>18</v>
      </c>
      <c r="L2710">
        <v>47</v>
      </c>
      <c r="M2710">
        <v>2.62</v>
      </c>
      <c r="N2710">
        <v>1</v>
      </c>
      <c r="O2710" t="s">
        <v>19</v>
      </c>
      <c r="P2710" cm="1">
        <f t="array" ref="P2710">_xlfn.SWITCH(Table2[[#This Row],[mood]], "Tired", 3, "Neutral", 2, "Happy", 1)</f>
        <v>2</v>
      </c>
    </row>
    <row r="2711" spans="1:16" x14ac:dyDescent="0.3">
      <c r="A2711">
        <v>1706</v>
      </c>
      <c r="B2711" s="1">
        <v>44714</v>
      </c>
      <c r="C2711">
        <v>57</v>
      </c>
      <c r="D2711" t="s">
        <v>20</v>
      </c>
      <c r="E2711">
        <v>177.4</v>
      </c>
      <c r="F2711">
        <v>79.2</v>
      </c>
      <c r="G2711">
        <v>12996</v>
      </c>
      <c r="H2711">
        <v>694.4</v>
      </c>
      <c r="I2711">
        <v>5.5</v>
      </c>
      <c r="J2711">
        <v>62</v>
      </c>
      <c r="K2711" t="s">
        <v>24</v>
      </c>
      <c r="L2711">
        <v>32</v>
      </c>
      <c r="M2711">
        <v>2.57</v>
      </c>
      <c r="N2711">
        <v>7</v>
      </c>
      <c r="O2711" t="s">
        <v>19</v>
      </c>
      <c r="P2711" cm="1">
        <f t="array" ref="P2711">_xlfn.SWITCH(Table2[[#This Row],[mood]], "Tired", 3, "Neutral", 2, "Happy", 1)</f>
        <v>2</v>
      </c>
    </row>
    <row r="2712" spans="1:16" x14ac:dyDescent="0.3">
      <c r="A2712">
        <v>1629</v>
      </c>
      <c r="B2712" s="1">
        <v>44715</v>
      </c>
      <c r="C2712">
        <v>53</v>
      </c>
      <c r="D2712" t="s">
        <v>20</v>
      </c>
      <c r="E2712">
        <v>180.3</v>
      </c>
      <c r="F2712">
        <v>61.3</v>
      </c>
      <c r="G2712">
        <v>15046</v>
      </c>
      <c r="H2712">
        <v>809.3</v>
      </c>
      <c r="I2712">
        <v>5.7</v>
      </c>
      <c r="J2712">
        <v>71</v>
      </c>
      <c r="K2712" t="s">
        <v>24</v>
      </c>
      <c r="L2712">
        <v>32</v>
      </c>
      <c r="M2712">
        <v>1.78</v>
      </c>
      <c r="N2712">
        <v>1</v>
      </c>
      <c r="O2712" t="s">
        <v>17</v>
      </c>
      <c r="P2712" cm="1">
        <f t="array" ref="P2712">_xlfn.SWITCH(Table2[[#This Row],[mood]], "Tired", 3, "Neutral", 2, "Happy", 1)</f>
        <v>3</v>
      </c>
    </row>
    <row r="2713" spans="1:16" x14ac:dyDescent="0.3">
      <c r="A2713">
        <v>1269</v>
      </c>
      <c r="B2713" s="1">
        <v>44716</v>
      </c>
      <c r="C2713">
        <v>41</v>
      </c>
      <c r="D2713" t="s">
        <v>20</v>
      </c>
      <c r="E2713">
        <v>163.69999999999999</v>
      </c>
      <c r="F2713">
        <v>84.1</v>
      </c>
      <c r="G2713">
        <v>15205</v>
      </c>
      <c r="H2713">
        <v>842</v>
      </c>
      <c r="I2713">
        <v>3.4</v>
      </c>
      <c r="J2713">
        <v>68</v>
      </c>
      <c r="K2713" t="s">
        <v>16</v>
      </c>
      <c r="L2713">
        <v>0</v>
      </c>
      <c r="M2713">
        <v>3.4</v>
      </c>
      <c r="N2713">
        <v>5</v>
      </c>
      <c r="O2713" t="s">
        <v>19</v>
      </c>
      <c r="P2713" cm="1">
        <f t="array" ref="P2713">_xlfn.SWITCH(Table2[[#This Row],[mood]], "Tired", 3, "Neutral", 2, "Happy", 1)</f>
        <v>2</v>
      </c>
    </row>
    <row r="2714" spans="1:16" x14ac:dyDescent="0.3">
      <c r="A2714">
        <v>1591</v>
      </c>
      <c r="B2714" s="1">
        <v>44717</v>
      </c>
      <c r="C2714">
        <v>44</v>
      </c>
      <c r="D2714" t="s">
        <v>15</v>
      </c>
      <c r="E2714">
        <v>154.80000000000001</v>
      </c>
      <c r="F2714">
        <v>81.900000000000006</v>
      </c>
      <c r="G2714">
        <v>5961</v>
      </c>
      <c r="H2714">
        <v>330.6</v>
      </c>
      <c r="I2714">
        <v>6.1</v>
      </c>
      <c r="J2714">
        <v>85</v>
      </c>
      <c r="K2714" t="s">
        <v>16</v>
      </c>
      <c r="L2714">
        <v>0</v>
      </c>
      <c r="M2714">
        <v>0.75</v>
      </c>
      <c r="N2714">
        <v>10</v>
      </c>
      <c r="O2714" t="s">
        <v>19</v>
      </c>
      <c r="P2714" cm="1">
        <f t="array" ref="P2714">_xlfn.SWITCH(Table2[[#This Row],[mood]], "Tired", 3, "Neutral", 2, "Happy", 1)</f>
        <v>2</v>
      </c>
    </row>
    <row r="2715" spans="1:16" x14ac:dyDescent="0.3">
      <c r="A2715">
        <v>1969</v>
      </c>
      <c r="B2715" s="1">
        <v>44718</v>
      </c>
      <c r="C2715">
        <v>42</v>
      </c>
      <c r="D2715" t="s">
        <v>20</v>
      </c>
      <c r="E2715">
        <v>150</v>
      </c>
      <c r="F2715">
        <v>72.5</v>
      </c>
      <c r="G2715">
        <v>1032</v>
      </c>
      <c r="H2715">
        <v>254.6</v>
      </c>
      <c r="I2715">
        <v>8.6</v>
      </c>
      <c r="J2715">
        <v>80</v>
      </c>
      <c r="K2715" t="s">
        <v>22</v>
      </c>
      <c r="L2715">
        <v>42</v>
      </c>
      <c r="M2715">
        <v>2.3199999999999998</v>
      </c>
      <c r="N2715">
        <v>8</v>
      </c>
      <c r="O2715" t="s">
        <v>19</v>
      </c>
      <c r="P2715" cm="1">
        <f t="array" ref="P2715">_xlfn.SWITCH(Table2[[#This Row],[mood]], "Tired", 3, "Neutral", 2, "Happy", 1)</f>
        <v>2</v>
      </c>
    </row>
    <row r="2716" spans="1:16" x14ac:dyDescent="0.3">
      <c r="A2716">
        <v>1604</v>
      </c>
      <c r="B2716" s="1">
        <v>44719</v>
      </c>
      <c r="C2716">
        <v>49</v>
      </c>
      <c r="D2716" t="s">
        <v>20</v>
      </c>
      <c r="E2716">
        <v>188.4</v>
      </c>
      <c r="F2716">
        <v>84.6</v>
      </c>
      <c r="G2716">
        <v>5698</v>
      </c>
      <c r="H2716">
        <v>388.2</v>
      </c>
      <c r="I2716">
        <v>6</v>
      </c>
      <c r="J2716">
        <v>85</v>
      </c>
      <c r="K2716" t="s">
        <v>24</v>
      </c>
      <c r="L2716">
        <v>56</v>
      </c>
      <c r="M2716">
        <v>1.86</v>
      </c>
      <c r="N2716">
        <v>6</v>
      </c>
      <c r="O2716" t="s">
        <v>17</v>
      </c>
      <c r="P2716" cm="1">
        <f t="array" ref="P2716">_xlfn.SWITCH(Table2[[#This Row],[mood]], "Tired", 3, "Neutral", 2, "Happy", 1)</f>
        <v>3</v>
      </c>
    </row>
    <row r="2717" spans="1:16" x14ac:dyDescent="0.3">
      <c r="A2717">
        <v>1777</v>
      </c>
      <c r="B2717" s="1">
        <v>44720</v>
      </c>
      <c r="C2717">
        <v>35</v>
      </c>
      <c r="D2717" t="s">
        <v>20</v>
      </c>
      <c r="E2717">
        <v>171.1</v>
      </c>
      <c r="F2717">
        <v>61.8</v>
      </c>
      <c r="G2717">
        <v>9887</v>
      </c>
      <c r="H2717">
        <v>697.9</v>
      </c>
      <c r="I2717">
        <v>5.6</v>
      </c>
      <c r="J2717">
        <v>69</v>
      </c>
      <c r="K2717" t="s">
        <v>23</v>
      </c>
      <c r="L2717">
        <v>27</v>
      </c>
      <c r="M2717">
        <v>2.63</v>
      </c>
      <c r="N2717">
        <v>3</v>
      </c>
      <c r="O2717" t="s">
        <v>21</v>
      </c>
      <c r="P2717" cm="1">
        <f t="array" ref="P2717">_xlfn.SWITCH(Table2[[#This Row],[mood]], "Tired", 3, "Neutral", 2, "Happy", 1)</f>
        <v>1</v>
      </c>
    </row>
    <row r="2718" spans="1:16" x14ac:dyDescent="0.3">
      <c r="A2718">
        <v>1843</v>
      </c>
      <c r="B2718" s="1">
        <v>44721</v>
      </c>
      <c r="C2718">
        <v>35</v>
      </c>
      <c r="D2718" t="s">
        <v>20</v>
      </c>
      <c r="E2718">
        <v>163.9</v>
      </c>
      <c r="F2718">
        <v>81.8</v>
      </c>
      <c r="G2718">
        <v>9716</v>
      </c>
      <c r="H2718">
        <v>578.29999999999995</v>
      </c>
      <c r="I2718">
        <v>8.5</v>
      </c>
      <c r="J2718">
        <v>64</v>
      </c>
      <c r="K2718" t="s">
        <v>16</v>
      </c>
      <c r="L2718">
        <v>0</v>
      </c>
      <c r="M2718">
        <v>3.21</v>
      </c>
      <c r="N2718">
        <v>2</v>
      </c>
      <c r="O2718" t="s">
        <v>21</v>
      </c>
      <c r="P2718" cm="1">
        <f t="array" ref="P2718">_xlfn.SWITCH(Table2[[#This Row],[mood]], "Tired", 3, "Neutral", 2, "Happy", 1)</f>
        <v>1</v>
      </c>
    </row>
    <row r="2719" spans="1:16" x14ac:dyDescent="0.3">
      <c r="A2719">
        <v>1861</v>
      </c>
      <c r="B2719" s="1">
        <v>44722</v>
      </c>
      <c r="C2719">
        <v>54</v>
      </c>
      <c r="D2719" t="s">
        <v>15</v>
      </c>
      <c r="E2719">
        <v>166.4</v>
      </c>
      <c r="F2719">
        <v>81.7</v>
      </c>
      <c r="G2719">
        <v>14335</v>
      </c>
      <c r="H2719">
        <v>737.9</v>
      </c>
      <c r="I2719">
        <v>8.6999999999999993</v>
      </c>
      <c r="J2719">
        <v>88</v>
      </c>
      <c r="K2719" t="s">
        <v>22</v>
      </c>
      <c r="L2719">
        <v>24</v>
      </c>
      <c r="M2719">
        <v>1.52</v>
      </c>
      <c r="N2719">
        <v>2</v>
      </c>
      <c r="O2719" t="s">
        <v>21</v>
      </c>
      <c r="P2719" cm="1">
        <f t="array" ref="P2719">_xlfn.SWITCH(Table2[[#This Row],[mood]], "Tired", 3, "Neutral", 2, "Happy", 1)</f>
        <v>1</v>
      </c>
    </row>
    <row r="2720" spans="1:16" x14ac:dyDescent="0.3">
      <c r="A2720">
        <v>1360</v>
      </c>
      <c r="B2720" s="1">
        <v>44723</v>
      </c>
      <c r="C2720">
        <v>43</v>
      </c>
      <c r="D2720" t="s">
        <v>20</v>
      </c>
      <c r="E2720">
        <v>150.9</v>
      </c>
      <c r="F2720">
        <v>65.5</v>
      </c>
      <c r="G2720">
        <v>7177</v>
      </c>
      <c r="H2720">
        <v>529.4</v>
      </c>
      <c r="I2720">
        <v>6.2</v>
      </c>
      <c r="J2720">
        <v>75</v>
      </c>
      <c r="K2720" t="s">
        <v>24</v>
      </c>
      <c r="L2720">
        <v>46</v>
      </c>
      <c r="M2720">
        <v>4.1500000000000004</v>
      </c>
      <c r="N2720">
        <v>4</v>
      </c>
      <c r="O2720" t="s">
        <v>21</v>
      </c>
      <c r="P2720" cm="1">
        <f t="array" ref="P2720">_xlfn.SWITCH(Table2[[#This Row],[mood]], "Tired", 3, "Neutral", 2, "Happy", 1)</f>
        <v>1</v>
      </c>
    </row>
    <row r="2721" spans="1:16" x14ac:dyDescent="0.3">
      <c r="A2721">
        <v>1256</v>
      </c>
      <c r="B2721" s="1">
        <v>44724</v>
      </c>
      <c r="C2721">
        <v>26</v>
      </c>
      <c r="D2721" t="s">
        <v>20</v>
      </c>
      <c r="E2721">
        <v>176.2</v>
      </c>
      <c r="F2721">
        <v>63.6</v>
      </c>
      <c r="G2721">
        <v>9438</v>
      </c>
      <c r="H2721">
        <v>601.9</v>
      </c>
      <c r="I2721">
        <v>7.8</v>
      </c>
      <c r="J2721">
        <v>86</v>
      </c>
      <c r="K2721" t="s">
        <v>23</v>
      </c>
      <c r="L2721">
        <v>38</v>
      </c>
      <c r="M2721">
        <v>2.64</v>
      </c>
      <c r="N2721">
        <v>9</v>
      </c>
      <c r="O2721" t="s">
        <v>19</v>
      </c>
      <c r="P2721" cm="1">
        <f t="array" ref="P2721">_xlfn.SWITCH(Table2[[#This Row],[mood]], "Tired", 3, "Neutral", 2, "Happy", 1)</f>
        <v>2</v>
      </c>
    </row>
    <row r="2722" spans="1:16" x14ac:dyDescent="0.3">
      <c r="A2722">
        <v>1132</v>
      </c>
      <c r="B2722" s="1">
        <v>44725</v>
      </c>
      <c r="C2722">
        <v>52</v>
      </c>
      <c r="D2722" t="s">
        <v>20</v>
      </c>
      <c r="E2722">
        <v>190</v>
      </c>
      <c r="F2722">
        <v>74.900000000000006</v>
      </c>
      <c r="G2722">
        <v>4926</v>
      </c>
      <c r="H2722">
        <v>441.8</v>
      </c>
      <c r="I2722">
        <v>5.7</v>
      </c>
      <c r="J2722">
        <v>74</v>
      </c>
      <c r="K2722" t="s">
        <v>22</v>
      </c>
      <c r="L2722">
        <v>62</v>
      </c>
      <c r="M2722">
        <v>2.77</v>
      </c>
      <c r="N2722">
        <v>9</v>
      </c>
      <c r="O2722" t="s">
        <v>17</v>
      </c>
      <c r="P2722" cm="1">
        <f t="array" ref="P2722">_xlfn.SWITCH(Table2[[#This Row],[mood]], "Tired", 3, "Neutral", 2, "Happy", 1)</f>
        <v>3</v>
      </c>
    </row>
    <row r="2723" spans="1:16" x14ac:dyDescent="0.3">
      <c r="A2723">
        <v>1275</v>
      </c>
      <c r="B2723" s="1">
        <v>44726</v>
      </c>
      <c r="C2723">
        <v>25</v>
      </c>
      <c r="D2723" t="s">
        <v>20</v>
      </c>
      <c r="E2723">
        <v>162.19999999999999</v>
      </c>
      <c r="F2723">
        <v>99.5</v>
      </c>
      <c r="G2723">
        <v>16378</v>
      </c>
      <c r="H2723">
        <v>900</v>
      </c>
      <c r="I2723">
        <v>6.5</v>
      </c>
      <c r="J2723">
        <v>97</v>
      </c>
      <c r="K2723" t="s">
        <v>18</v>
      </c>
      <c r="L2723">
        <v>62</v>
      </c>
      <c r="M2723">
        <v>1.49</v>
      </c>
      <c r="N2723">
        <v>1</v>
      </c>
      <c r="O2723" t="s">
        <v>17</v>
      </c>
      <c r="P2723" cm="1">
        <f t="array" ref="P2723">_xlfn.SWITCH(Table2[[#This Row],[mood]], "Tired", 3, "Neutral", 2, "Happy", 1)</f>
        <v>3</v>
      </c>
    </row>
    <row r="2724" spans="1:16" x14ac:dyDescent="0.3">
      <c r="A2724">
        <v>1775</v>
      </c>
      <c r="B2724" s="1">
        <v>44727</v>
      </c>
      <c r="C2724">
        <v>37</v>
      </c>
      <c r="D2724" t="s">
        <v>15</v>
      </c>
      <c r="E2724">
        <v>193.8</v>
      </c>
      <c r="F2724">
        <v>66.5</v>
      </c>
      <c r="G2724">
        <v>11288</v>
      </c>
      <c r="H2724">
        <v>622.29999999999995</v>
      </c>
      <c r="I2724">
        <v>4.3</v>
      </c>
      <c r="J2724">
        <v>87</v>
      </c>
      <c r="K2724" t="s">
        <v>16</v>
      </c>
      <c r="L2724">
        <v>0</v>
      </c>
      <c r="M2724">
        <v>2.4700000000000002</v>
      </c>
      <c r="N2724">
        <v>5</v>
      </c>
      <c r="O2724" t="s">
        <v>19</v>
      </c>
      <c r="P2724" cm="1">
        <f t="array" ref="P2724">_xlfn.SWITCH(Table2[[#This Row],[mood]], "Tired", 3, "Neutral", 2, "Happy", 1)</f>
        <v>2</v>
      </c>
    </row>
    <row r="2725" spans="1:16" x14ac:dyDescent="0.3">
      <c r="A2725">
        <v>1682</v>
      </c>
      <c r="B2725" s="1">
        <v>44728</v>
      </c>
      <c r="C2725">
        <v>59</v>
      </c>
      <c r="D2725" t="s">
        <v>20</v>
      </c>
      <c r="E2725">
        <v>168.8</v>
      </c>
      <c r="F2725">
        <v>63.2</v>
      </c>
      <c r="G2725">
        <v>11154</v>
      </c>
      <c r="H2725">
        <v>732.1</v>
      </c>
      <c r="I2725">
        <v>7.5</v>
      </c>
      <c r="J2725">
        <v>73</v>
      </c>
      <c r="K2725" t="s">
        <v>23</v>
      </c>
      <c r="L2725">
        <v>74</v>
      </c>
      <c r="M2725">
        <v>3.18</v>
      </c>
      <c r="N2725">
        <v>9</v>
      </c>
      <c r="O2725" t="s">
        <v>21</v>
      </c>
      <c r="P2725" cm="1">
        <f t="array" ref="P2725">_xlfn.SWITCH(Table2[[#This Row],[mood]], "Tired", 3, "Neutral", 2, "Happy", 1)</f>
        <v>1</v>
      </c>
    </row>
    <row r="2726" spans="1:16" x14ac:dyDescent="0.3">
      <c r="A2726">
        <v>1971</v>
      </c>
      <c r="B2726" s="1">
        <v>44729</v>
      </c>
      <c r="C2726">
        <v>39</v>
      </c>
      <c r="D2726" t="s">
        <v>15</v>
      </c>
      <c r="E2726">
        <v>186.7</v>
      </c>
      <c r="F2726">
        <v>87.7</v>
      </c>
      <c r="G2726">
        <v>3959</v>
      </c>
      <c r="H2726">
        <v>452.2</v>
      </c>
      <c r="I2726">
        <v>6.8</v>
      </c>
      <c r="J2726">
        <v>75</v>
      </c>
      <c r="K2726" t="s">
        <v>24</v>
      </c>
      <c r="L2726">
        <v>80</v>
      </c>
      <c r="M2726">
        <v>2.65</v>
      </c>
      <c r="N2726">
        <v>4</v>
      </c>
      <c r="O2726" t="s">
        <v>17</v>
      </c>
      <c r="P2726" cm="1">
        <f t="array" ref="P2726">_xlfn.SWITCH(Table2[[#This Row],[mood]], "Tired", 3, "Neutral", 2, "Happy", 1)</f>
        <v>3</v>
      </c>
    </row>
    <row r="2727" spans="1:16" x14ac:dyDescent="0.3">
      <c r="A2727">
        <v>1512</v>
      </c>
      <c r="B2727" s="1">
        <v>44730</v>
      </c>
      <c r="C2727">
        <v>36</v>
      </c>
      <c r="D2727" t="s">
        <v>20</v>
      </c>
      <c r="E2727">
        <v>173.1</v>
      </c>
      <c r="F2727">
        <v>71</v>
      </c>
      <c r="G2727">
        <v>19611</v>
      </c>
      <c r="H2727">
        <v>900</v>
      </c>
      <c r="I2727">
        <v>6</v>
      </c>
      <c r="J2727">
        <v>75</v>
      </c>
      <c r="K2727" t="s">
        <v>22</v>
      </c>
      <c r="L2727">
        <v>66</v>
      </c>
      <c r="M2727">
        <v>2.6</v>
      </c>
      <c r="N2727">
        <v>7</v>
      </c>
      <c r="O2727" t="s">
        <v>19</v>
      </c>
      <c r="P2727" cm="1">
        <f t="array" ref="P2727">_xlfn.SWITCH(Table2[[#This Row],[mood]], "Tired", 3, "Neutral", 2, "Happy", 1)</f>
        <v>2</v>
      </c>
    </row>
    <row r="2728" spans="1:16" x14ac:dyDescent="0.3">
      <c r="A2728">
        <v>1312</v>
      </c>
      <c r="B2728" s="1">
        <v>44731</v>
      </c>
      <c r="C2728">
        <v>47</v>
      </c>
      <c r="D2728" t="s">
        <v>15</v>
      </c>
      <c r="E2728">
        <v>173.1</v>
      </c>
      <c r="F2728">
        <v>83</v>
      </c>
      <c r="G2728">
        <v>2393</v>
      </c>
      <c r="H2728">
        <v>262.10000000000002</v>
      </c>
      <c r="I2728">
        <v>6.9</v>
      </c>
      <c r="J2728">
        <v>64</v>
      </c>
      <c r="K2728" t="s">
        <v>18</v>
      </c>
      <c r="L2728">
        <v>75</v>
      </c>
      <c r="M2728">
        <v>2.46</v>
      </c>
      <c r="N2728">
        <v>6</v>
      </c>
      <c r="O2728" t="s">
        <v>19</v>
      </c>
      <c r="P2728" cm="1">
        <f t="array" ref="P2728">_xlfn.SWITCH(Table2[[#This Row],[mood]], "Tired", 3, "Neutral", 2, "Happy", 1)</f>
        <v>2</v>
      </c>
    </row>
    <row r="2729" spans="1:16" x14ac:dyDescent="0.3">
      <c r="A2729">
        <v>1575</v>
      </c>
      <c r="B2729" s="1">
        <v>44732</v>
      </c>
      <c r="C2729">
        <v>45</v>
      </c>
      <c r="D2729" t="s">
        <v>15</v>
      </c>
      <c r="E2729">
        <v>188.4</v>
      </c>
      <c r="F2729">
        <v>92.1</v>
      </c>
      <c r="G2729">
        <v>19407</v>
      </c>
      <c r="H2729">
        <v>900</v>
      </c>
      <c r="I2729">
        <v>6.7</v>
      </c>
      <c r="J2729">
        <v>70</v>
      </c>
      <c r="K2729" t="s">
        <v>23</v>
      </c>
      <c r="L2729">
        <v>37</v>
      </c>
      <c r="M2729">
        <v>1.54</v>
      </c>
      <c r="N2729">
        <v>4</v>
      </c>
      <c r="O2729" t="s">
        <v>19</v>
      </c>
      <c r="P2729" cm="1">
        <f t="array" ref="P2729">_xlfn.SWITCH(Table2[[#This Row],[mood]], "Tired", 3, "Neutral", 2, "Happy", 1)</f>
        <v>2</v>
      </c>
    </row>
    <row r="2730" spans="1:16" x14ac:dyDescent="0.3">
      <c r="A2730">
        <v>1885</v>
      </c>
      <c r="B2730" s="1">
        <v>44733</v>
      </c>
      <c r="C2730">
        <v>52</v>
      </c>
      <c r="D2730" t="s">
        <v>20</v>
      </c>
      <c r="E2730">
        <v>177.8</v>
      </c>
      <c r="F2730">
        <v>45</v>
      </c>
      <c r="G2730">
        <v>14025</v>
      </c>
      <c r="H2730">
        <v>751</v>
      </c>
      <c r="I2730">
        <v>5.8</v>
      </c>
      <c r="J2730">
        <v>69</v>
      </c>
      <c r="K2730" t="s">
        <v>18</v>
      </c>
      <c r="L2730">
        <v>84</v>
      </c>
      <c r="M2730">
        <v>1.53</v>
      </c>
      <c r="N2730">
        <v>10</v>
      </c>
      <c r="O2730" t="s">
        <v>19</v>
      </c>
      <c r="P2730" cm="1">
        <f t="array" ref="P2730">_xlfn.SWITCH(Table2[[#This Row],[mood]], "Tired", 3, "Neutral", 2, "Happy", 1)</f>
        <v>2</v>
      </c>
    </row>
    <row r="2731" spans="1:16" x14ac:dyDescent="0.3">
      <c r="A2731">
        <v>1979</v>
      </c>
      <c r="B2731" s="1">
        <v>44734</v>
      </c>
      <c r="C2731">
        <v>28</v>
      </c>
      <c r="D2731" t="s">
        <v>20</v>
      </c>
      <c r="E2731">
        <v>173.7</v>
      </c>
      <c r="F2731">
        <v>69.400000000000006</v>
      </c>
      <c r="G2731">
        <v>7064</v>
      </c>
      <c r="H2731">
        <v>568</v>
      </c>
      <c r="I2731">
        <v>7.6</v>
      </c>
      <c r="J2731">
        <v>77</v>
      </c>
      <c r="K2731" t="s">
        <v>23</v>
      </c>
      <c r="L2731">
        <v>72</v>
      </c>
      <c r="M2731">
        <v>3.32</v>
      </c>
      <c r="N2731">
        <v>7</v>
      </c>
      <c r="O2731" t="s">
        <v>17</v>
      </c>
      <c r="P2731" cm="1">
        <f t="array" ref="P2731">_xlfn.SWITCH(Table2[[#This Row],[mood]], "Tired", 3, "Neutral", 2, "Happy", 1)</f>
        <v>3</v>
      </c>
    </row>
    <row r="2732" spans="1:16" x14ac:dyDescent="0.3">
      <c r="A2732">
        <v>1283</v>
      </c>
      <c r="B2732" s="1">
        <v>44735</v>
      </c>
      <c r="C2732">
        <v>48</v>
      </c>
      <c r="D2732" t="s">
        <v>15</v>
      </c>
      <c r="E2732">
        <v>150.6</v>
      </c>
      <c r="F2732">
        <v>66.599999999999994</v>
      </c>
      <c r="G2732">
        <v>7639</v>
      </c>
      <c r="H2732">
        <v>462.4</v>
      </c>
      <c r="I2732">
        <v>6.6</v>
      </c>
      <c r="J2732">
        <v>67</v>
      </c>
      <c r="K2732" t="s">
        <v>24</v>
      </c>
      <c r="L2732">
        <v>30</v>
      </c>
      <c r="M2732">
        <v>3.12</v>
      </c>
      <c r="N2732">
        <v>7</v>
      </c>
      <c r="O2732" t="s">
        <v>19</v>
      </c>
      <c r="P2732" cm="1">
        <f t="array" ref="P2732">_xlfn.SWITCH(Table2[[#This Row],[mood]], "Tired", 3, "Neutral", 2, "Happy", 1)</f>
        <v>2</v>
      </c>
    </row>
    <row r="2733" spans="1:16" x14ac:dyDescent="0.3">
      <c r="A2733">
        <v>1120</v>
      </c>
      <c r="B2733" s="1">
        <v>44736</v>
      </c>
      <c r="C2733">
        <v>56</v>
      </c>
      <c r="D2733" t="s">
        <v>15</v>
      </c>
      <c r="E2733">
        <v>154.9</v>
      </c>
      <c r="F2733">
        <v>55.6</v>
      </c>
      <c r="G2733">
        <v>3478</v>
      </c>
      <c r="H2733">
        <v>351.4</v>
      </c>
      <c r="I2733">
        <v>6.8</v>
      </c>
      <c r="J2733">
        <v>73</v>
      </c>
      <c r="K2733" t="s">
        <v>23</v>
      </c>
      <c r="L2733">
        <v>20</v>
      </c>
      <c r="M2733">
        <v>3.22</v>
      </c>
      <c r="N2733">
        <v>2</v>
      </c>
      <c r="O2733" t="s">
        <v>17</v>
      </c>
      <c r="P2733" cm="1">
        <f t="array" ref="P2733">_xlfn.SWITCH(Table2[[#This Row],[mood]], "Tired", 3, "Neutral", 2, "Happy", 1)</f>
        <v>3</v>
      </c>
    </row>
    <row r="2734" spans="1:16" x14ac:dyDescent="0.3">
      <c r="A2734">
        <v>1106</v>
      </c>
      <c r="B2734" s="1">
        <v>44737</v>
      </c>
      <c r="C2734">
        <v>53</v>
      </c>
      <c r="D2734" t="s">
        <v>20</v>
      </c>
      <c r="E2734">
        <v>174.6</v>
      </c>
      <c r="F2734">
        <v>45</v>
      </c>
      <c r="G2734">
        <v>8929</v>
      </c>
      <c r="H2734">
        <v>518.9</v>
      </c>
      <c r="I2734">
        <v>4.8</v>
      </c>
      <c r="J2734">
        <v>71</v>
      </c>
      <c r="K2734" t="s">
        <v>24</v>
      </c>
      <c r="L2734">
        <v>27</v>
      </c>
      <c r="M2734">
        <v>1.92</v>
      </c>
      <c r="N2734">
        <v>7</v>
      </c>
      <c r="O2734" t="s">
        <v>19</v>
      </c>
      <c r="P2734" cm="1">
        <f t="array" ref="P2734">_xlfn.SWITCH(Table2[[#This Row],[mood]], "Tired", 3, "Neutral", 2, "Happy", 1)</f>
        <v>2</v>
      </c>
    </row>
    <row r="2735" spans="1:16" x14ac:dyDescent="0.3">
      <c r="A2735">
        <v>1932</v>
      </c>
      <c r="B2735" s="1">
        <v>44738</v>
      </c>
      <c r="C2735">
        <v>47</v>
      </c>
      <c r="D2735" t="s">
        <v>15</v>
      </c>
      <c r="E2735">
        <v>184.7</v>
      </c>
      <c r="F2735">
        <v>46.1</v>
      </c>
      <c r="G2735">
        <v>10173</v>
      </c>
      <c r="H2735">
        <v>612.29999999999995</v>
      </c>
      <c r="I2735">
        <v>6.8</v>
      </c>
      <c r="J2735">
        <v>76</v>
      </c>
      <c r="K2735" t="s">
        <v>23</v>
      </c>
      <c r="L2735">
        <v>38</v>
      </c>
      <c r="M2735">
        <v>2.39</v>
      </c>
      <c r="N2735">
        <v>9</v>
      </c>
      <c r="O2735" t="s">
        <v>19</v>
      </c>
      <c r="P2735" cm="1">
        <f t="array" ref="P2735">_xlfn.SWITCH(Table2[[#This Row],[mood]], "Tired", 3, "Neutral", 2, "Happy", 1)</f>
        <v>2</v>
      </c>
    </row>
    <row r="2736" spans="1:16" x14ac:dyDescent="0.3">
      <c r="A2736">
        <v>1686</v>
      </c>
      <c r="B2736" s="1">
        <v>44739</v>
      </c>
      <c r="C2736">
        <v>40</v>
      </c>
      <c r="D2736" t="s">
        <v>15</v>
      </c>
      <c r="E2736">
        <v>171.3</v>
      </c>
      <c r="F2736">
        <v>71.599999999999994</v>
      </c>
      <c r="G2736">
        <v>12415</v>
      </c>
      <c r="H2736">
        <v>803.7</v>
      </c>
      <c r="I2736">
        <v>6.7</v>
      </c>
      <c r="J2736">
        <v>90</v>
      </c>
      <c r="K2736" t="s">
        <v>22</v>
      </c>
      <c r="L2736">
        <v>74</v>
      </c>
      <c r="M2736">
        <v>3.36</v>
      </c>
      <c r="N2736">
        <v>6</v>
      </c>
      <c r="O2736" t="s">
        <v>17</v>
      </c>
      <c r="P2736" cm="1">
        <f t="array" ref="P2736">_xlfn.SWITCH(Table2[[#This Row],[mood]], "Tired", 3, "Neutral", 2, "Happy", 1)</f>
        <v>3</v>
      </c>
    </row>
    <row r="2737" spans="1:16" x14ac:dyDescent="0.3">
      <c r="A2737">
        <v>1996</v>
      </c>
      <c r="B2737" s="1">
        <v>44740</v>
      </c>
      <c r="C2737">
        <v>36</v>
      </c>
      <c r="D2737" t="s">
        <v>15</v>
      </c>
      <c r="E2737">
        <v>164.1</v>
      </c>
      <c r="F2737">
        <v>62</v>
      </c>
      <c r="G2737">
        <v>9418</v>
      </c>
      <c r="H2737">
        <v>667.9</v>
      </c>
      <c r="I2737">
        <v>5.8</v>
      </c>
      <c r="J2737">
        <v>86</v>
      </c>
      <c r="K2737" t="s">
        <v>23</v>
      </c>
      <c r="L2737">
        <v>35</v>
      </c>
      <c r="M2737">
        <v>1.64</v>
      </c>
      <c r="N2737">
        <v>6</v>
      </c>
      <c r="O2737" t="s">
        <v>19</v>
      </c>
      <c r="P2737" cm="1">
        <f t="array" ref="P2737">_xlfn.SWITCH(Table2[[#This Row],[mood]], "Tired", 3, "Neutral", 2, "Happy", 1)</f>
        <v>2</v>
      </c>
    </row>
    <row r="2738" spans="1:16" x14ac:dyDescent="0.3">
      <c r="A2738">
        <v>1203</v>
      </c>
      <c r="B2738" s="1">
        <v>44741</v>
      </c>
      <c r="C2738">
        <v>29</v>
      </c>
      <c r="D2738" t="s">
        <v>20</v>
      </c>
      <c r="E2738">
        <v>151.6</v>
      </c>
      <c r="F2738">
        <v>58</v>
      </c>
      <c r="G2738">
        <v>18650</v>
      </c>
      <c r="H2738">
        <v>900</v>
      </c>
      <c r="I2738">
        <v>7.8</v>
      </c>
      <c r="J2738">
        <v>62</v>
      </c>
      <c r="K2738" t="s">
        <v>23</v>
      </c>
      <c r="L2738">
        <v>85</v>
      </c>
      <c r="M2738">
        <v>3.29</v>
      </c>
      <c r="N2738">
        <v>6</v>
      </c>
      <c r="O2738" t="s">
        <v>21</v>
      </c>
      <c r="P2738" cm="1">
        <f t="array" ref="P2738">_xlfn.SWITCH(Table2[[#This Row],[mood]], "Tired", 3, "Neutral", 2, "Happy", 1)</f>
        <v>1</v>
      </c>
    </row>
    <row r="2739" spans="1:16" x14ac:dyDescent="0.3">
      <c r="A2739">
        <v>1164</v>
      </c>
      <c r="B2739" s="1">
        <v>44742</v>
      </c>
      <c r="C2739">
        <v>32</v>
      </c>
      <c r="D2739" t="s">
        <v>15</v>
      </c>
      <c r="E2739">
        <v>162.19999999999999</v>
      </c>
      <c r="F2739">
        <v>71.400000000000006</v>
      </c>
      <c r="G2739">
        <v>3057</v>
      </c>
      <c r="H2739">
        <v>353.8</v>
      </c>
      <c r="I2739">
        <v>3.8</v>
      </c>
      <c r="J2739">
        <v>74</v>
      </c>
      <c r="K2739" t="s">
        <v>25</v>
      </c>
      <c r="L2739">
        <v>31</v>
      </c>
      <c r="M2739">
        <v>2.09</v>
      </c>
      <c r="N2739">
        <v>2</v>
      </c>
      <c r="O2739" t="s">
        <v>17</v>
      </c>
      <c r="P2739" cm="1">
        <f t="array" ref="P2739">_xlfn.SWITCH(Table2[[#This Row],[mood]], "Tired", 3, "Neutral", 2, "Happy", 1)</f>
        <v>3</v>
      </c>
    </row>
    <row r="2740" spans="1:16" x14ac:dyDescent="0.3">
      <c r="A2740">
        <v>1304</v>
      </c>
      <c r="B2740" s="1">
        <v>44743</v>
      </c>
      <c r="C2740">
        <v>48</v>
      </c>
      <c r="D2740" t="s">
        <v>15</v>
      </c>
      <c r="E2740">
        <v>171.3</v>
      </c>
      <c r="F2740">
        <v>59.6</v>
      </c>
      <c r="G2740">
        <v>14703</v>
      </c>
      <c r="H2740">
        <v>811.7</v>
      </c>
      <c r="I2740">
        <v>6.3</v>
      </c>
      <c r="J2740">
        <v>72</v>
      </c>
      <c r="K2740" t="s">
        <v>25</v>
      </c>
      <c r="L2740">
        <v>81</v>
      </c>
      <c r="M2740">
        <v>1.9</v>
      </c>
      <c r="N2740">
        <v>6</v>
      </c>
      <c r="O2740" t="s">
        <v>17</v>
      </c>
      <c r="P2740" cm="1">
        <f t="array" ref="P2740">_xlfn.SWITCH(Table2[[#This Row],[mood]], "Tired", 3, "Neutral", 2, "Happy", 1)</f>
        <v>3</v>
      </c>
    </row>
    <row r="2741" spans="1:16" x14ac:dyDescent="0.3">
      <c r="A2741">
        <v>1496</v>
      </c>
      <c r="B2741" s="1">
        <v>44744</v>
      </c>
      <c r="C2741">
        <v>54</v>
      </c>
      <c r="D2741" t="s">
        <v>15</v>
      </c>
      <c r="E2741">
        <v>161.4</v>
      </c>
      <c r="F2741">
        <v>89.4</v>
      </c>
      <c r="G2741">
        <v>15383</v>
      </c>
      <c r="H2741">
        <v>800.1</v>
      </c>
      <c r="I2741">
        <v>7.5</v>
      </c>
      <c r="J2741">
        <v>69</v>
      </c>
      <c r="K2741" t="s">
        <v>23</v>
      </c>
      <c r="L2741">
        <v>77</v>
      </c>
      <c r="M2741">
        <v>2.48</v>
      </c>
      <c r="N2741">
        <v>6</v>
      </c>
      <c r="O2741" t="s">
        <v>19</v>
      </c>
      <c r="P2741" cm="1">
        <f t="array" ref="P2741">_xlfn.SWITCH(Table2[[#This Row],[mood]], "Tired", 3, "Neutral", 2, "Happy", 1)</f>
        <v>2</v>
      </c>
    </row>
    <row r="2742" spans="1:16" x14ac:dyDescent="0.3">
      <c r="A2742">
        <v>1631</v>
      </c>
      <c r="B2742" s="1">
        <v>44745</v>
      </c>
      <c r="C2742">
        <v>54</v>
      </c>
      <c r="D2742" t="s">
        <v>20</v>
      </c>
      <c r="E2742">
        <v>160.4</v>
      </c>
      <c r="F2742">
        <v>60.7</v>
      </c>
      <c r="G2742">
        <v>14935</v>
      </c>
      <c r="H2742">
        <v>893.2</v>
      </c>
      <c r="I2742">
        <v>10</v>
      </c>
      <c r="J2742">
        <v>97</v>
      </c>
      <c r="K2742" t="s">
        <v>25</v>
      </c>
      <c r="L2742">
        <v>40</v>
      </c>
      <c r="M2742">
        <v>1.72</v>
      </c>
      <c r="N2742">
        <v>9</v>
      </c>
      <c r="O2742" t="s">
        <v>17</v>
      </c>
      <c r="P2742" cm="1">
        <f t="array" ref="P2742">_xlfn.SWITCH(Table2[[#This Row],[mood]], "Tired", 3, "Neutral", 2, "Happy", 1)</f>
        <v>3</v>
      </c>
    </row>
    <row r="2743" spans="1:16" x14ac:dyDescent="0.3">
      <c r="A2743">
        <v>1555</v>
      </c>
      <c r="B2743" s="1">
        <v>44746</v>
      </c>
      <c r="C2743">
        <v>32</v>
      </c>
      <c r="D2743" t="s">
        <v>20</v>
      </c>
      <c r="E2743">
        <v>169.5</v>
      </c>
      <c r="F2743">
        <v>92.6</v>
      </c>
      <c r="G2743">
        <v>11443</v>
      </c>
      <c r="H2743">
        <v>723.7</v>
      </c>
      <c r="I2743">
        <v>5</v>
      </c>
      <c r="J2743">
        <v>70</v>
      </c>
      <c r="K2743" t="s">
        <v>24</v>
      </c>
      <c r="L2743">
        <v>56</v>
      </c>
      <c r="M2743">
        <v>1.17</v>
      </c>
      <c r="N2743">
        <v>2</v>
      </c>
      <c r="O2743" t="s">
        <v>17</v>
      </c>
      <c r="P2743" cm="1">
        <f t="array" ref="P2743">_xlfn.SWITCH(Table2[[#This Row],[mood]], "Tired", 3, "Neutral", 2, "Happy", 1)</f>
        <v>3</v>
      </c>
    </row>
    <row r="2744" spans="1:16" x14ac:dyDescent="0.3">
      <c r="A2744">
        <v>1823</v>
      </c>
      <c r="B2744" s="1">
        <v>44747</v>
      </c>
      <c r="C2744">
        <v>46</v>
      </c>
      <c r="D2744" t="s">
        <v>15</v>
      </c>
      <c r="E2744">
        <v>184.5</v>
      </c>
      <c r="F2744">
        <v>69.5</v>
      </c>
      <c r="G2744">
        <v>3941</v>
      </c>
      <c r="H2744">
        <v>369.4</v>
      </c>
      <c r="I2744">
        <v>7.1</v>
      </c>
      <c r="J2744">
        <v>70</v>
      </c>
      <c r="K2744" t="s">
        <v>25</v>
      </c>
      <c r="L2744">
        <v>24</v>
      </c>
      <c r="M2744">
        <v>2.5499999999999998</v>
      </c>
      <c r="N2744">
        <v>9</v>
      </c>
      <c r="O2744" t="s">
        <v>21</v>
      </c>
      <c r="P2744" cm="1">
        <f t="array" ref="P2744">_xlfn.SWITCH(Table2[[#This Row],[mood]], "Tired", 3, "Neutral", 2, "Happy", 1)</f>
        <v>1</v>
      </c>
    </row>
    <row r="2745" spans="1:16" x14ac:dyDescent="0.3">
      <c r="A2745">
        <v>1155</v>
      </c>
      <c r="B2745" s="1">
        <v>44748</v>
      </c>
      <c r="C2745">
        <v>43</v>
      </c>
      <c r="D2745" t="s">
        <v>20</v>
      </c>
      <c r="E2745">
        <v>176.8</v>
      </c>
      <c r="F2745">
        <v>60.2</v>
      </c>
      <c r="G2745">
        <v>1156</v>
      </c>
      <c r="H2745">
        <v>235.4</v>
      </c>
      <c r="I2745">
        <v>7.8</v>
      </c>
      <c r="J2745">
        <v>93</v>
      </c>
      <c r="K2745" t="s">
        <v>23</v>
      </c>
      <c r="L2745">
        <v>89</v>
      </c>
      <c r="M2745">
        <v>2.87</v>
      </c>
      <c r="N2745">
        <v>5</v>
      </c>
      <c r="O2745" t="s">
        <v>17</v>
      </c>
      <c r="P2745" cm="1">
        <f t="array" ref="P2745">_xlfn.SWITCH(Table2[[#This Row],[mood]], "Tired", 3, "Neutral", 2, "Happy", 1)</f>
        <v>3</v>
      </c>
    </row>
    <row r="2746" spans="1:16" x14ac:dyDescent="0.3">
      <c r="A2746">
        <v>1366</v>
      </c>
      <c r="B2746" s="1">
        <v>44749</v>
      </c>
      <c r="C2746">
        <v>19</v>
      </c>
      <c r="D2746" t="s">
        <v>15</v>
      </c>
      <c r="E2746">
        <v>172.9</v>
      </c>
      <c r="F2746">
        <v>59.1</v>
      </c>
      <c r="G2746">
        <v>13255</v>
      </c>
      <c r="H2746">
        <v>722.6</v>
      </c>
      <c r="I2746">
        <v>7.1</v>
      </c>
      <c r="J2746">
        <v>85</v>
      </c>
      <c r="K2746" t="s">
        <v>16</v>
      </c>
      <c r="L2746">
        <v>0</v>
      </c>
      <c r="M2746">
        <v>3.35</v>
      </c>
      <c r="N2746">
        <v>9</v>
      </c>
      <c r="O2746" t="s">
        <v>21</v>
      </c>
      <c r="P2746" cm="1">
        <f t="array" ref="P2746">_xlfn.SWITCH(Table2[[#This Row],[mood]], "Tired", 3, "Neutral", 2, "Happy", 1)</f>
        <v>1</v>
      </c>
    </row>
    <row r="2747" spans="1:16" x14ac:dyDescent="0.3">
      <c r="A2747">
        <v>1718</v>
      </c>
      <c r="B2747" s="1">
        <v>44750</v>
      </c>
      <c r="C2747">
        <v>37</v>
      </c>
      <c r="D2747" t="s">
        <v>20</v>
      </c>
      <c r="E2747">
        <v>171.9</v>
      </c>
      <c r="F2747">
        <v>92.7</v>
      </c>
      <c r="G2747">
        <v>18144</v>
      </c>
      <c r="H2747">
        <v>900</v>
      </c>
      <c r="I2747">
        <v>5.2</v>
      </c>
      <c r="J2747">
        <v>71</v>
      </c>
      <c r="K2747" t="s">
        <v>18</v>
      </c>
      <c r="L2747">
        <v>86</v>
      </c>
      <c r="M2747">
        <v>2.92</v>
      </c>
      <c r="N2747">
        <v>10</v>
      </c>
      <c r="O2747" t="s">
        <v>17</v>
      </c>
      <c r="P2747" cm="1">
        <f t="array" ref="P2747">_xlfn.SWITCH(Table2[[#This Row],[mood]], "Tired", 3, "Neutral", 2, "Happy", 1)</f>
        <v>3</v>
      </c>
    </row>
    <row r="2748" spans="1:16" x14ac:dyDescent="0.3">
      <c r="A2748">
        <v>1901</v>
      </c>
      <c r="B2748" s="1">
        <v>44751</v>
      </c>
      <c r="C2748">
        <v>32</v>
      </c>
      <c r="D2748" t="s">
        <v>20</v>
      </c>
      <c r="E2748">
        <v>175.5</v>
      </c>
      <c r="F2748">
        <v>80.400000000000006</v>
      </c>
      <c r="G2748">
        <v>9965</v>
      </c>
      <c r="H2748">
        <v>596.79999999999995</v>
      </c>
      <c r="I2748">
        <v>6.3</v>
      </c>
      <c r="J2748">
        <v>83</v>
      </c>
      <c r="K2748" t="s">
        <v>16</v>
      </c>
      <c r="L2748">
        <v>0</v>
      </c>
      <c r="M2748">
        <v>3.88</v>
      </c>
      <c r="N2748">
        <v>10</v>
      </c>
      <c r="O2748" t="s">
        <v>21</v>
      </c>
      <c r="P2748" cm="1">
        <f t="array" ref="P2748">_xlfn.SWITCH(Table2[[#This Row],[mood]], "Tired", 3, "Neutral", 2, "Happy", 1)</f>
        <v>1</v>
      </c>
    </row>
    <row r="2749" spans="1:16" x14ac:dyDescent="0.3">
      <c r="A2749">
        <v>1619</v>
      </c>
      <c r="B2749" s="1">
        <v>44752</v>
      </c>
      <c r="C2749">
        <v>21</v>
      </c>
      <c r="D2749" t="s">
        <v>15</v>
      </c>
      <c r="E2749">
        <v>168.9</v>
      </c>
      <c r="F2749">
        <v>58.6</v>
      </c>
      <c r="G2749">
        <v>18341</v>
      </c>
      <c r="H2749">
        <v>900</v>
      </c>
      <c r="I2749">
        <v>3.3</v>
      </c>
      <c r="J2749">
        <v>73</v>
      </c>
      <c r="K2749" t="s">
        <v>16</v>
      </c>
      <c r="L2749">
        <v>0</v>
      </c>
      <c r="M2749">
        <v>3.45</v>
      </c>
      <c r="N2749">
        <v>2</v>
      </c>
      <c r="O2749" t="s">
        <v>17</v>
      </c>
      <c r="P2749" cm="1">
        <f t="array" ref="P2749">_xlfn.SWITCH(Table2[[#This Row],[mood]], "Tired", 3, "Neutral", 2, "Happy", 1)</f>
        <v>3</v>
      </c>
    </row>
    <row r="2750" spans="1:16" x14ac:dyDescent="0.3">
      <c r="A2750">
        <v>1250</v>
      </c>
      <c r="B2750" s="1">
        <v>44753</v>
      </c>
      <c r="C2750">
        <v>39</v>
      </c>
      <c r="D2750" t="s">
        <v>20</v>
      </c>
      <c r="E2750">
        <v>165.9</v>
      </c>
      <c r="F2750">
        <v>71.8</v>
      </c>
      <c r="G2750">
        <v>15805</v>
      </c>
      <c r="H2750">
        <v>856.2</v>
      </c>
      <c r="I2750">
        <v>7</v>
      </c>
      <c r="J2750">
        <v>73</v>
      </c>
      <c r="K2750" t="s">
        <v>16</v>
      </c>
      <c r="L2750">
        <v>0</v>
      </c>
      <c r="M2750">
        <v>3.02</v>
      </c>
      <c r="N2750">
        <v>5</v>
      </c>
      <c r="O2750" t="s">
        <v>17</v>
      </c>
      <c r="P2750" cm="1">
        <f t="array" ref="P2750">_xlfn.SWITCH(Table2[[#This Row],[mood]], "Tired", 3, "Neutral", 2, "Happy", 1)</f>
        <v>3</v>
      </c>
    </row>
    <row r="2751" spans="1:16" x14ac:dyDescent="0.3">
      <c r="A2751">
        <v>1956</v>
      </c>
      <c r="B2751" s="1">
        <v>44754</v>
      </c>
      <c r="C2751">
        <v>55</v>
      </c>
      <c r="D2751" t="s">
        <v>20</v>
      </c>
      <c r="E2751">
        <v>177.4</v>
      </c>
      <c r="F2751">
        <v>45</v>
      </c>
      <c r="G2751">
        <v>17637</v>
      </c>
      <c r="H2751">
        <v>857.8</v>
      </c>
      <c r="I2751">
        <v>4.9000000000000004</v>
      </c>
      <c r="J2751">
        <v>67</v>
      </c>
      <c r="K2751" t="s">
        <v>16</v>
      </c>
      <c r="L2751">
        <v>0</v>
      </c>
      <c r="M2751">
        <v>2.83</v>
      </c>
      <c r="N2751">
        <v>2</v>
      </c>
      <c r="O2751" t="s">
        <v>21</v>
      </c>
      <c r="P2751" cm="1">
        <f t="array" ref="P2751">_xlfn.SWITCH(Table2[[#This Row],[mood]], "Tired", 3, "Neutral", 2, "Happy", 1)</f>
        <v>1</v>
      </c>
    </row>
    <row r="2752" spans="1:16" x14ac:dyDescent="0.3">
      <c r="A2752">
        <v>1915</v>
      </c>
      <c r="B2752" s="1">
        <v>44755</v>
      </c>
      <c r="C2752">
        <v>40</v>
      </c>
      <c r="D2752" t="s">
        <v>20</v>
      </c>
      <c r="E2752">
        <v>167.7</v>
      </c>
      <c r="F2752">
        <v>50</v>
      </c>
      <c r="G2752">
        <v>18953</v>
      </c>
      <c r="H2752">
        <v>900</v>
      </c>
      <c r="I2752">
        <v>7.7</v>
      </c>
      <c r="J2752">
        <v>51</v>
      </c>
      <c r="K2752" t="s">
        <v>18</v>
      </c>
      <c r="L2752">
        <v>66</v>
      </c>
      <c r="M2752">
        <v>3.36</v>
      </c>
      <c r="N2752">
        <v>5</v>
      </c>
      <c r="O2752" t="s">
        <v>21</v>
      </c>
      <c r="P2752" cm="1">
        <f t="array" ref="P2752">_xlfn.SWITCH(Table2[[#This Row],[mood]], "Tired", 3, "Neutral", 2, "Happy", 1)</f>
        <v>1</v>
      </c>
    </row>
    <row r="2753" spans="1:16" x14ac:dyDescent="0.3">
      <c r="A2753">
        <v>1881</v>
      </c>
      <c r="B2753" s="1">
        <v>44756</v>
      </c>
      <c r="C2753">
        <v>43</v>
      </c>
      <c r="D2753" t="s">
        <v>15</v>
      </c>
      <c r="E2753">
        <v>158.1</v>
      </c>
      <c r="F2753">
        <v>58.7</v>
      </c>
      <c r="G2753">
        <v>8505</v>
      </c>
      <c r="H2753">
        <v>589.70000000000005</v>
      </c>
      <c r="I2753">
        <v>6</v>
      </c>
      <c r="J2753">
        <v>61</v>
      </c>
      <c r="K2753" t="s">
        <v>23</v>
      </c>
      <c r="L2753">
        <v>68</v>
      </c>
      <c r="M2753">
        <v>0.95</v>
      </c>
      <c r="N2753">
        <v>7</v>
      </c>
      <c r="O2753" t="s">
        <v>21</v>
      </c>
      <c r="P2753" cm="1">
        <f t="array" ref="P2753">_xlfn.SWITCH(Table2[[#This Row],[mood]], "Tired", 3, "Neutral", 2, "Happy", 1)</f>
        <v>1</v>
      </c>
    </row>
    <row r="2754" spans="1:16" x14ac:dyDescent="0.3">
      <c r="A2754">
        <v>1333</v>
      </c>
      <c r="B2754" s="1">
        <v>44757</v>
      </c>
      <c r="C2754">
        <v>28</v>
      </c>
      <c r="D2754" t="s">
        <v>20</v>
      </c>
      <c r="E2754">
        <v>184.4</v>
      </c>
      <c r="F2754">
        <v>58.4</v>
      </c>
      <c r="G2754">
        <v>13405</v>
      </c>
      <c r="H2754">
        <v>678.4</v>
      </c>
      <c r="I2754">
        <v>5.9</v>
      </c>
      <c r="J2754">
        <v>64</v>
      </c>
      <c r="K2754" t="s">
        <v>23</v>
      </c>
      <c r="L2754">
        <v>43</v>
      </c>
      <c r="M2754">
        <v>2.16</v>
      </c>
      <c r="N2754">
        <v>7</v>
      </c>
      <c r="O2754" t="s">
        <v>17</v>
      </c>
      <c r="P2754" cm="1">
        <f t="array" ref="P2754">_xlfn.SWITCH(Table2[[#This Row],[mood]], "Tired", 3, "Neutral", 2, "Happy", 1)</f>
        <v>3</v>
      </c>
    </row>
    <row r="2755" spans="1:16" x14ac:dyDescent="0.3">
      <c r="A2755">
        <v>1641</v>
      </c>
      <c r="B2755" s="1">
        <v>44758</v>
      </c>
      <c r="C2755">
        <v>45</v>
      </c>
      <c r="D2755" t="s">
        <v>20</v>
      </c>
      <c r="E2755">
        <v>151.30000000000001</v>
      </c>
      <c r="F2755">
        <v>88.2</v>
      </c>
      <c r="G2755">
        <v>13837</v>
      </c>
      <c r="H2755">
        <v>736</v>
      </c>
      <c r="I2755">
        <v>7.2</v>
      </c>
      <c r="J2755">
        <v>79</v>
      </c>
      <c r="K2755" t="s">
        <v>18</v>
      </c>
      <c r="L2755">
        <v>45</v>
      </c>
      <c r="M2755">
        <v>1.2</v>
      </c>
      <c r="N2755">
        <v>7</v>
      </c>
      <c r="O2755" t="s">
        <v>19</v>
      </c>
      <c r="P2755" cm="1">
        <f t="array" ref="P2755">_xlfn.SWITCH(Table2[[#This Row],[mood]], "Tired", 3, "Neutral", 2, "Happy", 1)</f>
        <v>2</v>
      </c>
    </row>
    <row r="2756" spans="1:16" x14ac:dyDescent="0.3">
      <c r="A2756">
        <v>1968</v>
      </c>
      <c r="B2756" s="1">
        <v>44759</v>
      </c>
      <c r="C2756">
        <v>19</v>
      </c>
      <c r="D2756" t="s">
        <v>15</v>
      </c>
      <c r="E2756">
        <v>185.2</v>
      </c>
      <c r="F2756">
        <v>45</v>
      </c>
      <c r="G2756">
        <v>9999</v>
      </c>
      <c r="H2756">
        <v>578</v>
      </c>
      <c r="I2756">
        <v>7.4</v>
      </c>
      <c r="J2756">
        <v>77</v>
      </c>
      <c r="K2756" t="s">
        <v>22</v>
      </c>
      <c r="L2756">
        <v>74</v>
      </c>
      <c r="M2756">
        <v>2.96</v>
      </c>
      <c r="N2756">
        <v>5</v>
      </c>
      <c r="O2756" t="s">
        <v>19</v>
      </c>
      <c r="P2756" cm="1">
        <f t="array" ref="P2756">_xlfn.SWITCH(Table2[[#This Row],[mood]], "Tired", 3, "Neutral", 2, "Happy", 1)</f>
        <v>2</v>
      </c>
    </row>
    <row r="2757" spans="1:16" x14ac:dyDescent="0.3">
      <c r="A2757">
        <v>1510</v>
      </c>
      <c r="B2757" s="1">
        <v>44760</v>
      </c>
      <c r="C2757">
        <v>25</v>
      </c>
      <c r="D2757" t="s">
        <v>20</v>
      </c>
      <c r="E2757">
        <v>175.1</v>
      </c>
      <c r="F2757">
        <v>48.6</v>
      </c>
      <c r="G2757">
        <v>10973</v>
      </c>
      <c r="H2757">
        <v>577</v>
      </c>
      <c r="I2757">
        <v>8.3000000000000007</v>
      </c>
      <c r="J2757">
        <v>86</v>
      </c>
      <c r="K2757" t="s">
        <v>25</v>
      </c>
      <c r="L2757">
        <v>26</v>
      </c>
      <c r="M2757">
        <v>1.98</v>
      </c>
      <c r="N2757">
        <v>7</v>
      </c>
      <c r="O2757" t="s">
        <v>17</v>
      </c>
      <c r="P2757" cm="1">
        <f t="array" ref="P2757">_xlfn.SWITCH(Table2[[#This Row],[mood]], "Tired", 3, "Neutral", 2, "Happy", 1)</f>
        <v>3</v>
      </c>
    </row>
    <row r="2758" spans="1:16" x14ac:dyDescent="0.3">
      <c r="A2758">
        <v>1292</v>
      </c>
      <c r="B2758" s="1">
        <v>44761</v>
      </c>
      <c r="C2758">
        <v>46</v>
      </c>
      <c r="D2758" t="s">
        <v>20</v>
      </c>
      <c r="E2758">
        <v>160.30000000000001</v>
      </c>
      <c r="F2758">
        <v>76.8</v>
      </c>
      <c r="G2758">
        <v>12855</v>
      </c>
      <c r="H2758">
        <v>729.7</v>
      </c>
      <c r="I2758">
        <v>6.6</v>
      </c>
      <c r="J2758">
        <v>63</v>
      </c>
      <c r="K2758" t="s">
        <v>22</v>
      </c>
      <c r="L2758">
        <v>60</v>
      </c>
      <c r="M2758">
        <v>4.6100000000000003</v>
      </c>
      <c r="N2758">
        <v>6</v>
      </c>
      <c r="O2758" t="s">
        <v>17</v>
      </c>
      <c r="P2758" cm="1">
        <f t="array" ref="P2758">_xlfn.SWITCH(Table2[[#This Row],[mood]], "Tired", 3, "Neutral", 2, "Happy", 1)</f>
        <v>3</v>
      </c>
    </row>
    <row r="2759" spans="1:16" x14ac:dyDescent="0.3">
      <c r="A2759">
        <v>1019</v>
      </c>
      <c r="B2759" s="1">
        <v>44762</v>
      </c>
      <c r="C2759">
        <v>28</v>
      </c>
      <c r="D2759" t="s">
        <v>20</v>
      </c>
      <c r="E2759">
        <v>170.2</v>
      </c>
      <c r="F2759">
        <v>73.5</v>
      </c>
      <c r="G2759">
        <v>7557</v>
      </c>
      <c r="H2759">
        <v>496.1</v>
      </c>
      <c r="I2759">
        <v>6.8</v>
      </c>
      <c r="J2759">
        <v>93</v>
      </c>
      <c r="K2759" t="s">
        <v>24</v>
      </c>
      <c r="L2759">
        <v>21</v>
      </c>
      <c r="M2759">
        <v>2.14</v>
      </c>
      <c r="N2759">
        <v>7</v>
      </c>
      <c r="O2759" t="s">
        <v>21</v>
      </c>
      <c r="P2759" cm="1">
        <f t="array" ref="P2759">_xlfn.SWITCH(Table2[[#This Row],[mood]], "Tired", 3, "Neutral", 2, "Happy", 1)</f>
        <v>1</v>
      </c>
    </row>
    <row r="2760" spans="1:16" x14ac:dyDescent="0.3">
      <c r="A2760">
        <v>1281</v>
      </c>
      <c r="B2760" s="1">
        <v>44763</v>
      </c>
      <c r="C2760">
        <v>54</v>
      </c>
      <c r="D2760" t="s">
        <v>20</v>
      </c>
      <c r="E2760">
        <v>165.7</v>
      </c>
      <c r="F2760">
        <v>64.8</v>
      </c>
      <c r="G2760">
        <v>10071</v>
      </c>
      <c r="H2760">
        <v>570.9</v>
      </c>
      <c r="I2760">
        <v>4.9000000000000004</v>
      </c>
      <c r="J2760">
        <v>92</v>
      </c>
      <c r="K2760" t="s">
        <v>16</v>
      </c>
      <c r="L2760">
        <v>0</v>
      </c>
      <c r="M2760">
        <v>2.57</v>
      </c>
      <c r="N2760">
        <v>5</v>
      </c>
      <c r="O2760" t="s">
        <v>21</v>
      </c>
      <c r="P2760" cm="1">
        <f t="array" ref="P2760">_xlfn.SWITCH(Table2[[#This Row],[mood]], "Tired", 3, "Neutral", 2, "Happy", 1)</f>
        <v>1</v>
      </c>
    </row>
    <row r="2761" spans="1:16" x14ac:dyDescent="0.3">
      <c r="A2761">
        <v>1796</v>
      </c>
      <c r="B2761" s="1">
        <v>44764</v>
      </c>
      <c r="C2761">
        <v>35</v>
      </c>
      <c r="D2761" t="s">
        <v>20</v>
      </c>
      <c r="E2761">
        <v>178.1</v>
      </c>
      <c r="F2761">
        <v>100.8</v>
      </c>
      <c r="G2761">
        <v>6088</v>
      </c>
      <c r="H2761">
        <v>547.79999999999995</v>
      </c>
      <c r="I2761">
        <v>9.1999999999999993</v>
      </c>
      <c r="J2761">
        <v>75</v>
      </c>
      <c r="K2761" t="s">
        <v>16</v>
      </c>
      <c r="L2761">
        <v>0</v>
      </c>
      <c r="M2761">
        <v>2.2200000000000002</v>
      </c>
      <c r="N2761">
        <v>2</v>
      </c>
      <c r="O2761" t="s">
        <v>21</v>
      </c>
      <c r="P2761" cm="1">
        <f t="array" ref="P2761">_xlfn.SWITCH(Table2[[#This Row],[mood]], "Tired", 3, "Neutral", 2, "Happy", 1)</f>
        <v>1</v>
      </c>
    </row>
    <row r="2762" spans="1:16" x14ac:dyDescent="0.3">
      <c r="A2762">
        <v>1000</v>
      </c>
      <c r="B2762" s="1">
        <v>44765</v>
      </c>
      <c r="C2762">
        <v>31</v>
      </c>
      <c r="D2762" t="s">
        <v>15</v>
      </c>
      <c r="E2762">
        <v>177.9</v>
      </c>
      <c r="F2762">
        <v>79.3</v>
      </c>
      <c r="G2762">
        <v>17384</v>
      </c>
      <c r="H2762">
        <v>773.8</v>
      </c>
      <c r="I2762">
        <v>5.6</v>
      </c>
      <c r="J2762">
        <v>68</v>
      </c>
      <c r="K2762" t="s">
        <v>18</v>
      </c>
      <c r="L2762">
        <v>75</v>
      </c>
      <c r="M2762">
        <v>2.16</v>
      </c>
      <c r="N2762">
        <v>9</v>
      </c>
      <c r="O2762" t="s">
        <v>19</v>
      </c>
      <c r="P2762" cm="1">
        <f t="array" ref="P2762">_xlfn.SWITCH(Table2[[#This Row],[mood]], "Tired", 3, "Neutral", 2, "Happy", 1)</f>
        <v>2</v>
      </c>
    </row>
    <row r="2763" spans="1:16" x14ac:dyDescent="0.3">
      <c r="A2763">
        <v>1118</v>
      </c>
      <c r="B2763" s="1">
        <v>44766</v>
      </c>
      <c r="C2763">
        <v>27</v>
      </c>
      <c r="D2763" t="s">
        <v>15</v>
      </c>
      <c r="E2763">
        <v>174.6</v>
      </c>
      <c r="F2763">
        <v>88.3</v>
      </c>
      <c r="G2763">
        <v>17550</v>
      </c>
      <c r="H2763">
        <v>858.8</v>
      </c>
      <c r="I2763">
        <v>8.1</v>
      </c>
      <c r="J2763">
        <v>69</v>
      </c>
      <c r="K2763" t="s">
        <v>18</v>
      </c>
      <c r="L2763">
        <v>43</v>
      </c>
      <c r="M2763">
        <v>1.63</v>
      </c>
      <c r="N2763">
        <v>2</v>
      </c>
      <c r="O2763" t="s">
        <v>17</v>
      </c>
      <c r="P2763" cm="1">
        <f t="array" ref="P2763">_xlfn.SWITCH(Table2[[#This Row],[mood]], "Tired", 3, "Neutral", 2, "Happy", 1)</f>
        <v>3</v>
      </c>
    </row>
    <row r="2764" spans="1:16" x14ac:dyDescent="0.3">
      <c r="A2764">
        <v>1034</v>
      </c>
      <c r="B2764" s="1">
        <v>44767</v>
      </c>
      <c r="C2764">
        <v>52</v>
      </c>
      <c r="D2764" t="s">
        <v>20</v>
      </c>
      <c r="E2764">
        <v>177.5</v>
      </c>
      <c r="F2764">
        <v>69.2</v>
      </c>
      <c r="G2764">
        <v>3063</v>
      </c>
      <c r="H2764">
        <v>293.7</v>
      </c>
      <c r="I2764">
        <v>8.1</v>
      </c>
      <c r="J2764">
        <v>77</v>
      </c>
      <c r="K2764" t="s">
        <v>22</v>
      </c>
      <c r="L2764">
        <v>31</v>
      </c>
      <c r="M2764">
        <v>1.6</v>
      </c>
      <c r="N2764">
        <v>3</v>
      </c>
      <c r="O2764" t="s">
        <v>17</v>
      </c>
      <c r="P2764" cm="1">
        <f t="array" ref="P2764">_xlfn.SWITCH(Table2[[#This Row],[mood]], "Tired", 3, "Neutral", 2, "Happy", 1)</f>
        <v>3</v>
      </c>
    </row>
    <row r="2765" spans="1:16" x14ac:dyDescent="0.3">
      <c r="A2765">
        <v>1197</v>
      </c>
      <c r="B2765" s="1">
        <v>44768</v>
      </c>
      <c r="C2765">
        <v>26</v>
      </c>
      <c r="D2765" t="s">
        <v>20</v>
      </c>
      <c r="E2765">
        <v>168.9</v>
      </c>
      <c r="F2765">
        <v>61.8</v>
      </c>
      <c r="G2765">
        <v>9303</v>
      </c>
      <c r="H2765">
        <v>504.2</v>
      </c>
      <c r="I2765">
        <v>7.6</v>
      </c>
      <c r="J2765">
        <v>94</v>
      </c>
      <c r="K2765" t="s">
        <v>24</v>
      </c>
      <c r="L2765">
        <v>34</v>
      </c>
      <c r="M2765">
        <v>0.97</v>
      </c>
      <c r="N2765">
        <v>9</v>
      </c>
      <c r="O2765" t="s">
        <v>19</v>
      </c>
      <c r="P2765" cm="1">
        <f t="array" ref="P2765">_xlfn.SWITCH(Table2[[#This Row],[mood]], "Tired", 3, "Neutral", 2, "Happy", 1)</f>
        <v>2</v>
      </c>
    </row>
    <row r="2766" spans="1:16" x14ac:dyDescent="0.3">
      <c r="A2766">
        <v>1484</v>
      </c>
      <c r="B2766" s="1">
        <v>44769</v>
      </c>
      <c r="C2766">
        <v>52</v>
      </c>
      <c r="D2766" t="s">
        <v>20</v>
      </c>
      <c r="E2766">
        <v>187.6</v>
      </c>
      <c r="F2766">
        <v>62</v>
      </c>
      <c r="G2766">
        <v>12631</v>
      </c>
      <c r="H2766">
        <v>818.1</v>
      </c>
      <c r="I2766">
        <v>6.6</v>
      </c>
      <c r="J2766">
        <v>74</v>
      </c>
      <c r="K2766" t="s">
        <v>22</v>
      </c>
      <c r="L2766">
        <v>67</v>
      </c>
      <c r="M2766">
        <v>2.88</v>
      </c>
      <c r="N2766">
        <v>2</v>
      </c>
      <c r="O2766" t="s">
        <v>21</v>
      </c>
      <c r="P2766" cm="1">
        <f t="array" ref="P2766">_xlfn.SWITCH(Table2[[#This Row],[mood]], "Tired", 3, "Neutral", 2, "Happy", 1)</f>
        <v>1</v>
      </c>
    </row>
    <row r="2767" spans="1:16" x14ac:dyDescent="0.3">
      <c r="A2767">
        <v>1756</v>
      </c>
      <c r="B2767" s="1">
        <v>44770</v>
      </c>
      <c r="C2767">
        <v>28</v>
      </c>
      <c r="D2767" t="s">
        <v>15</v>
      </c>
      <c r="E2767">
        <v>182.2</v>
      </c>
      <c r="F2767">
        <v>83.9</v>
      </c>
      <c r="G2767">
        <v>2125</v>
      </c>
      <c r="H2767">
        <v>397.4</v>
      </c>
      <c r="I2767">
        <v>6.5</v>
      </c>
      <c r="J2767">
        <v>59</v>
      </c>
      <c r="K2767" t="s">
        <v>24</v>
      </c>
      <c r="L2767">
        <v>80</v>
      </c>
      <c r="M2767">
        <v>2.2000000000000002</v>
      </c>
      <c r="N2767">
        <v>8</v>
      </c>
      <c r="O2767" t="s">
        <v>21</v>
      </c>
      <c r="P2767" cm="1">
        <f t="array" ref="P2767">_xlfn.SWITCH(Table2[[#This Row],[mood]], "Tired", 3, "Neutral", 2, "Happy", 1)</f>
        <v>1</v>
      </c>
    </row>
    <row r="2768" spans="1:16" x14ac:dyDescent="0.3">
      <c r="A2768">
        <v>1058</v>
      </c>
      <c r="B2768" s="1">
        <v>44771</v>
      </c>
      <c r="C2768">
        <v>29</v>
      </c>
      <c r="D2768" t="s">
        <v>15</v>
      </c>
      <c r="E2768">
        <v>165.2</v>
      </c>
      <c r="F2768">
        <v>81.599999999999994</v>
      </c>
      <c r="G2768">
        <v>3641</v>
      </c>
      <c r="H2768">
        <v>311.39999999999998</v>
      </c>
      <c r="I2768">
        <v>6.9</v>
      </c>
      <c r="J2768">
        <v>94</v>
      </c>
      <c r="K2768" t="s">
        <v>23</v>
      </c>
      <c r="L2768">
        <v>47</v>
      </c>
      <c r="M2768">
        <v>3.85</v>
      </c>
      <c r="N2768">
        <v>3</v>
      </c>
      <c r="O2768" t="s">
        <v>21</v>
      </c>
      <c r="P2768" cm="1">
        <f t="array" ref="P2768">_xlfn.SWITCH(Table2[[#This Row],[mood]], "Tired", 3, "Neutral", 2, "Happy", 1)</f>
        <v>1</v>
      </c>
    </row>
    <row r="2769" spans="1:16" x14ac:dyDescent="0.3">
      <c r="A2769">
        <v>1836</v>
      </c>
      <c r="B2769" s="1">
        <v>44772</v>
      </c>
      <c r="C2769">
        <v>20</v>
      </c>
      <c r="D2769" t="s">
        <v>20</v>
      </c>
      <c r="E2769">
        <v>178.1</v>
      </c>
      <c r="F2769">
        <v>66.7</v>
      </c>
      <c r="G2769">
        <v>18813</v>
      </c>
      <c r="H2769">
        <v>900</v>
      </c>
      <c r="I2769">
        <v>4.0999999999999996</v>
      </c>
      <c r="J2769">
        <v>71</v>
      </c>
      <c r="K2769" t="s">
        <v>16</v>
      </c>
      <c r="L2769">
        <v>0</v>
      </c>
      <c r="M2769">
        <v>1.63</v>
      </c>
      <c r="N2769">
        <v>6</v>
      </c>
      <c r="O2769" t="s">
        <v>21</v>
      </c>
      <c r="P2769" cm="1">
        <f t="array" ref="P2769">_xlfn.SWITCH(Table2[[#This Row],[mood]], "Tired", 3, "Neutral", 2, "Happy", 1)</f>
        <v>1</v>
      </c>
    </row>
    <row r="2770" spans="1:16" x14ac:dyDescent="0.3">
      <c r="A2770">
        <v>1160</v>
      </c>
      <c r="B2770" s="1">
        <v>44773</v>
      </c>
      <c r="C2770">
        <v>56</v>
      </c>
      <c r="D2770" t="s">
        <v>20</v>
      </c>
      <c r="E2770">
        <v>177.2</v>
      </c>
      <c r="F2770">
        <v>77.099999999999994</v>
      </c>
      <c r="G2770">
        <v>11235</v>
      </c>
      <c r="H2770">
        <v>679.2</v>
      </c>
      <c r="I2770">
        <v>7</v>
      </c>
      <c r="J2770">
        <v>90</v>
      </c>
      <c r="K2770" t="s">
        <v>23</v>
      </c>
      <c r="L2770">
        <v>35</v>
      </c>
      <c r="M2770">
        <v>3.53</v>
      </c>
      <c r="N2770">
        <v>9</v>
      </c>
      <c r="O2770" t="s">
        <v>19</v>
      </c>
      <c r="P2770" cm="1">
        <f t="array" ref="P2770">_xlfn.SWITCH(Table2[[#This Row],[mood]], "Tired", 3, "Neutral", 2, "Happy", 1)</f>
        <v>2</v>
      </c>
    </row>
    <row r="2771" spans="1:16" x14ac:dyDescent="0.3">
      <c r="A2771">
        <v>1690</v>
      </c>
      <c r="B2771" s="1">
        <v>44774</v>
      </c>
      <c r="C2771">
        <v>31</v>
      </c>
      <c r="D2771" t="s">
        <v>15</v>
      </c>
      <c r="E2771">
        <v>167.4</v>
      </c>
      <c r="F2771">
        <v>84.4</v>
      </c>
      <c r="G2771">
        <v>13794</v>
      </c>
      <c r="H2771">
        <v>834.6</v>
      </c>
      <c r="I2771">
        <v>9.1999999999999993</v>
      </c>
      <c r="J2771">
        <v>81</v>
      </c>
      <c r="K2771" t="s">
        <v>18</v>
      </c>
      <c r="L2771">
        <v>55</v>
      </c>
      <c r="M2771">
        <v>3.6</v>
      </c>
      <c r="N2771">
        <v>10</v>
      </c>
      <c r="O2771" t="s">
        <v>21</v>
      </c>
      <c r="P2771" cm="1">
        <f t="array" ref="P2771">_xlfn.SWITCH(Table2[[#This Row],[mood]], "Tired", 3, "Neutral", 2, "Happy", 1)</f>
        <v>1</v>
      </c>
    </row>
    <row r="2772" spans="1:16" x14ac:dyDescent="0.3">
      <c r="A2772">
        <v>1205</v>
      </c>
      <c r="B2772" s="1">
        <v>44775</v>
      </c>
      <c r="C2772">
        <v>45</v>
      </c>
      <c r="D2772" t="s">
        <v>20</v>
      </c>
      <c r="E2772">
        <v>166.6</v>
      </c>
      <c r="F2772">
        <v>61.5</v>
      </c>
      <c r="G2772">
        <v>19018</v>
      </c>
      <c r="H2772">
        <v>900</v>
      </c>
      <c r="I2772">
        <v>6.7</v>
      </c>
      <c r="J2772">
        <v>74</v>
      </c>
      <c r="K2772" t="s">
        <v>23</v>
      </c>
      <c r="L2772">
        <v>23</v>
      </c>
      <c r="M2772">
        <v>3.39</v>
      </c>
      <c r="N2772">
        <v>10</v>
      </c>
      <c r="O2772" t="s">
        <v>21</v>
      </c>
      <c r="P2772" cm="1">
        <f t="array" ref="P2772">_xlfn.SWITCH(Table2[[#This Row],[mood]], "Tired", 3, "Neutral", 2, "Happy", 1)</f>
        <v>1</v>
      </c>
    </row>
    <row r="2773" spans="1:16" x14ac:dyDescent="0.3">
      <c r="A2773">
        <v>1011</v>
      </c>
      <c r="B2773" s="1">
        <v>44776</v>
      </c>
      <c r="C2773">
        <v>28</v>
      </c>
      <c r="D2773" t="s">
        <v>15</v>
      </c>
      <c r="E2773">
        <v>182.1</v>
      </c>
      <c r="F2773">
        <v>64.8</v>
      </c>
      <c r="G2773">
        <v>9862</v>
      </c>
      <c r="H2773">
        <v>616.1</v>
      </c>
      <c r="I2773">
        <v>7</v>
      </c>
      <c r="J2773">
        <v>85</v>
      </c>
      <c r="K2773" t="s">
        <v>22</v>
      </c>
      <c r="L2773">
        <v>28</v>
      </c>
      <c r="M2773">
        <v>2.66</v>
      </c>
      <c r="N2773">
        <v>3</v>
      </c>
      <c r="O2773" t="s">
        <v>19</v>
      </c>
      <c r="P2773" cm="1">
        <f t="array" ref="P2773">_xlfn.SWITCH(Table2[[#This Row],[mood]], "Tired", 3, "Neutral", 2, "Happy", 1)</f>
        <v>2</v>
      </c>
    </row>
    <row r="2774" spans="1:16" x14ac:dyDescent="0.3">
      <c r="A2774">
        <v>1489</v>
      </c>
      <c r="B2774" s="1">
        <v>44777</v>
      </c>
      <c r="C2774">
        <v>56</v>
      </c>
      <c r="D2774" t="s">
        <v>15</v>
      </c>
      <c r="E2774">
        <v>169.9</v>
      </c>
      <c r="F2774">
        <v>76.7</v>
      </c>
      <c r="G2774">
        <v>4111</v>
      </c>
      <c r="H2774">
        <v>434.6</v>
      </c>
      <c r="I2774">
        <v>5.5</v>
      </c>
      <c r="J2774">
        <v>68</v>
      </c>
      <c r="K2774" t="s">
        <v>24</v>
      </c>
      <c r="L2774">
        <v>31</v>
      </c>
      <c r="M2774">
        <v>2.2599999999999998</v>
      </c>
      <c r="N2774">
        <v>9</v>
      </c>
      <c r="O2774" t="s">
        <v>21</v>
      </c>
      <c r="P2774" cm="1">
        <f t="array" ref="P2774">_xlfn.SWITCH(Table2[[#This Row],[mood]], "Tired", 3, "Neutral", 2, "Happy", 1)</f>
        <v>1</v>
      </c>
    </row>
    <row r="2775" spans="1:16" x14ac:dyDescent="0.3">
      <c r="A2775">
        <v>1275</v>
      </c>
      <c r="B2775" s="1">
        <v>44778</v>
      </c>
      <c r="C2775">
        <v>42</v>
      </c>
      <c r="D2775" t="s">
        <v>20</v>
      </c>
      <c r="E2775">
        <v>172.6</v>
      </c>
      <c r="F2775">
        <v>45</v>
      </c>
      <c r="G2775">
        <v>2690</v>
      </c>
      <c r="H2775">
        <v>370.1</v>
      </c>
      <c r="I2775">
        <v>7.3</v>
      </c>
      <c r="J2775">
        <v>72</v>
      </c>
      <c r="K2775" t="s">
        <v>18</v>
      </c>
      <c r="L2775">
        <v>63</v>
      </c>
      <c r="M2775">
        <v>3.39</v>
      </c>
      <c r="N2775">
        <v>7</v>
      </c>
      <c r="O2775" t="s">
        <v>19</v>
      </c>
      <c r="P2775" cm="1">
        <f t="array" ref="P2775">_xlfn.SWITCH(Table2[[#This Row],[mood]], "Tired", 3, "Neutral", 2, "Happy", 1)</f>
        <v>2</v>
      </c>
    </row>
    <row r="2776" spans="1:16" x14ac:dyDescent="0.3">
      <c r="A2776">
        <v>1692</v>
      </c>
      <c r="B2776" s="1">
        <v>44779</v>
      </c>
      <c r="C2776">
        <v>38</v>
      </c>
      <c r="D2776" t="s">
        <v>15</v>
      </c>
      <c r="E2776">
        <v>184</v>
      </c>
      <c r="F2776">
        <v>77</v>
      </c>
      <c r="G2776">
        <v>16740</v>
      </c>
      <c r="H2776">
        <v>877.2</v>
      </c>
      <c r="I2776">
        <v>5.8</v>
      </c>
      <c r="J2776">
        <v>70</v>
      </c>
      <c r="K2776" t="s">
        <v>23</v>
      </c>
      <c r="L2776">
        <v>85</v>
      </c>
      <c r="M2776">
        <v>1.95</v>
      </c>
      <c r="N2776">
        <v>5</v>
      </c>
      <c r="O2776" t="s">
        <v>21</v>
      </c>
      <c r="P2776" cm="1">
        <f t="array" ref="P2776">_xlfn.SWITCH(Table2[[#This Row],[mood]], "Tired", 3, "Neutral", 2, "Happy", 1)</f>
        <v>1</v>
      </c>
    </row>
    <row r="2777" spans="1:16" x14ac:dyDescent="0.3">
      <c r="A2777">
        <v>1241</v>
      </c>
      <c r="B2777" s="1">
        <v>44780</v>
      </c>
      <c r="C2777">
        <v>27</v>
      </c>
      <c r="D2777" t="s">
        <v>20</v>
      </c>
      <c r="E2777">
        <v>195.3</v>
      </c>
      <c r="F2777">
        <v>53.1</v>
      </c>
      <c r="G2777">
        <v>16094</v>
      </c>
      <c r="H2777">
        <v>796.6</v>
      </c>
      <c r="I2777">
        <v>8.3000000000000007</v>
      </c>
      <c r="J2777">
        <v>73</v>
      </c>
      <c r="K2777" t="s">
        <v>18</v>
      </c>
      <c r="L2777">
        <v>38</v>
      </c>
      <c r="M2777">
        <v>2.69</v>
      </c>
      <c r="N2777">
        <v>8</v>
      </c>
      <c r="O2777" t="s">
        <v>17</v>
      </c>
      <c r="P2777" cm="1">
        <f t="array" ref="P2777">_xlfn.SWITCH(Table2[[#This Row],[mood]], "Tired", 3, "Neutral", 2, "Happy", 1)</f>
        <v>3</v>
      </c>
    </row>
    <row r="2778" spans="1:16" x14ac:dyDescent="0.3">
      <c r="A2778">
        <v>1215</v>
      </c>
      <c r="B2778" s="1">
        <v>44781</v>
      </c>
      <c r="C2778">
        <v>32</v>
      </c>
      <c r="D2778" t="s">
        <v>20</v>
      </c>
      <c r="E2778">
        <v>164.7</v>
      </c>
      <c r="F2778">
        <v>84.1</v>
      </c>
      <c r="G2778">
        <v>16875</v>
      </c>
      <c r="H2778">
        <v>836.8</v>
      </c>
      <c r="I2778">
        <v>8.6999999999999993</v>
      </c>
      <c r="J2778">
        <v>80</v>
      </c>
      <c r="K2778" t="s">
        <v>18</v>
      </c>
      <c r="L2778">
        <v>32</v>
      </c>
      <c r="M2778">
        <v>2.4700000000000002</v>
      </c>
      <c r="N2778">
        <v>6</v>
      </c>
      <c r="O2778" t="s">
        <v>21</v>
      </c>
      <c r="P2778" cm="1">
        <f t="array" ref="P2778">_xlfn.SWITCH(Table2[[#This Row],[mood]], "Tired", 3, "Neutral", 2, "Happy", 1)</f>
        <v>1</v>
      </c>
    </row>
    <row r="2779" spans="1:16" x14ac:dyDescent="0.3">
      <c r="A2779">
        <v>1250</v>
      </c>
      <c r="B2779" s="1">
        <v>44782</v>
      </c>
      <c r="C2779">
        <v>36</v>
      </c>
      <c r="D2779" t="s">
        <v>20</v>
      </c>
      <c r="E2779">
        <v>167.8</v>
      </c>
      <c r="F2779">
        <v>102.2</v>
      </c>
      <c r="G2779">
        <v>10156</v>
      </c>
      <c r="H2779">
        <v>513.79999999999995</v>
      </c>
      <c r="I2779">
        <v>9</v>
      </c>
      <c r="J2779">
        <v>80</v>
      </c>
      <c r="K2779" t="s">
        <v>24</v>
      </c>
      <c r="L2779">
        <v>74</v>
      </c>
      <c r="M2779">
        <v>1.88</v>
      </c>
      <c r="N2779">
        <v>7</v>
      </c>
      <c r="O2779" t="s">
        <v>17</v>
      </c>
      <c r="P2779" cm="1">
        <f t="array" ref="P2779">_xlfn.SWITCH(Table2[[#This Row],[mood]], "Tired", 3, "Neutral", 2, "Happy", 1)</f>
        <v>3</v>
      </c>
    </row>
    <row r="2780" spans="1:16" x14ac:dyDescent="0.3">
      <c r="A2780">
        <v>1810</v>
      </c>
      <c r="B2780" s="1">
        <v>44783</v>
      </c>
      <c r="C2780">
        <v>39</v>
      </c>
      <c r="D2780" t="s">
        <v>20</v>
      </c>
      <c r="E2780">
        <v>170.7</v>
      </c>
      <c r="F2780">
        <v>59.5</v>
      </c>
      <c r="G2780">
        <v>17664</v>
      </c>
      <c r="H2780">
        <v>900</v>
      </c>
      <c r="I2780">
        <v>4.8</v>
      </c>
      <c r="J2780">
        <v>59</v>
      </c>
      <c r="K2780" t="s">
        <v>22</v>
      </c>
      <c r="L2780">
        <v>84</v>
      </c>
      <c r="M2780">
        <v>2.69</v>
      </c>
      <c r="N2780">
        <v>3</v>
      </c>
      <c r="O2780" t="s">
        <v>19</v>
      </c>
      <c r="P2780" cm="1">
        <f t="array" ref="P2780">_xlfn.SWITCH(Table2[[#This Row],[mood]], "Tired", 3, "Neutral", 2, "Happy", 1)</f>
        <v>2</v>
      </c>
    </row>
    <row r="2781" spans="1:16" x14ac:dyDescent="0.3">
      <c r="A2781">
        <v>1125</v>
      </c>
      <c r="B2781" s="1">
        <v>44784</v>
      </c>
      <c r="C2781">
        <v>38</v>
      </c>
      <c r="D2781" t="s">
        <v>20</v>
      </c>
      <c r="E2781">
        <v>171</v>
      </c>
      <c r="F2781">
        <v>49.8</v>
      </c>
      <c r="G2781">
        <v>5446</v>
      </c>
      <c r="H2781">
        <v>428.4</v>
      </c>
      <c r="I2781">
        <v>8.1</v>
      </c>
      <c r="J2781">
        <v>70</v>
      </c>
      <c r="K2781" t="s">
        <v>16</v>
      </c>
      <c r="L2781">
        <v>0</v>
      </c>
      <c r="M2781">
        <v>3.02</v>
      </c>
      <c r="N2781">
        <v>10</v>
      </c>
      <c r="O2781" t="s">
        <v>21</v>
      </c>
      <c r="P2781" cm="1">
        <f t="array" ref="P2781">_xlfn.SWITCH(Table2[[#This Row],[mood]], "Tired", 3, "Neutral", 2, "Happy", 1)</f>
        <v>1</v>
      </c>
    </row>
    <row r="2782" spans="1:16" x14ac:dyDescent="0.3">
      <c r="A2782">
        <v>1993</v>
      </c>
      <c r="B2782" s="1">
        <v>44785</v>
      </c>
      <c r="C2782">
        <v>49</v>
      </c>
      <c r="D2782" t="s">
        <v>20</v>
      </c>
      <c r="E2782">
        <v>173.8</v>
      </c>
      <c r="F2782">
        <v>67.3</v>
      </c>
      <c r="G2782">
        <v>11158</v>
      </c>
      <c r="H2782">
        <v>660.8</v>
      </c>
      <c r="I2782">
        <v>8</v>
      </c>
      <c r="J2782">
        <v>71</v>
      </c>
      <c r="K2782" t="s">
        <v>22</v>
      </c>
      <c r="L2782">
        <v>22</v>
      </c>
      <c r="M2782">
        <v>1.85</v>
      </c>
      <c r="N2782">
        <v>6</v>
      </c>
      <c r="O2782" t="s">
        <v>21</v>
      </c>
      <c r="P2782" cm="1">
        <f t="array" ref="P2782">_xlfn.SWITCH(Table2[[#This Row],[mood]], "Tired", 3, "Neutral", 2, "Happy", 1)</f>
        <v>1</v>
      </c>
    </row>
    <row r="2783" spans="1:16" x14ac:dyDescent="0.3">
      <c r="A2783">
        <v>1216</v>
      </c>
      <c r="B2783" s="1">
        <v>44786</v>
      </c>
      <c r="C2783">
        <v>40</v>
      </c>
      <c r="D2783" t="s">
        <v>15</v>
      </c>
      <c r="E2783">
        <v>165.1</v>
      </c>
      <c r="F2783">
        <v>66</v>
      </c>
      <c r="G2783">
        <v>3808</v>
      </c>
      <c r="H2783">
        <v>351.1</v>
      </c>
      <c r="I2783">
        <v>6.4</v>
      </c>
      <c r="J2783">
        <v>81</v>
      </c>
      <c r="K2783" t="s">
        <v>25</v>
      </c>
      <c r="L2783">
        <v>44</v>
      </c>
      <c r="M2783">
        <v>2.82</v>
      </c>
      <c r="N2783">
        <v>3</v>
      </c>
      <c r="O2783" t="s">
        <v>21</v>
      </c>
      <c r="P2783" cm="1">
        <f t="array" ref="P2783">_xlfn.SWITCH(Table2[[#This Row],[mood]], "Tired", 3, "Neutral", 2, "Happy", 1)</f>
        <v>1</v>
      </c>
    </row>
    <row r="2784" spans="1:16" x14ac:dyDescent="0.3">
      <c r="A2784">
        <v>1305</v>
      </c>
      <c r="B2784" s="1">
        <v>44787</v>
      </c>
      <c r="C2784">
        <v>30</v>
      </c>
      <c r="D2784" t="s">
        <v>15</v>
      </c>
      <c r="E2784">
        <v>157.30000000000001</v>
      </c>
      <c r="F2784">
        <v>79.900000000000006</v>
      </c>
      <c r="G2784">
        <v>6402</v>
      </c>
      <c r="H2784">
        <v>398.9</v>
      </c>
      <c r="I2784">
        <v>8.8000000000000007</v>
      </c>
      <c r="J2784">
        <v>61</v>
      </c>
      <c r="K2784" t="s">
        <v>22</v>
      </c>
      <c r="L2784">
        <v>71</v>
      </c>
      <c r="M2784">
        <v>0.94</v>
      </c>
      <c r="N2784">
        <v>7</v>
      </c>
      <c r="O2784" t="s">
        <v>17</v>
      </c>
      <c r="P2784" cm="1">
        <f t="array" ref="P2784">_xlfn.SWITCH(Table2[[#This Row],[mood]], "Tired", 3, "Neutral", 2, "Happy", 1)</f>
        <v>3</v>
      </c>
    </row>
    <row r="2785" spans="1:16" x14ac:dyDescent="0.3">
      <c r="A2785">
        <v>1796</v>
      </c>
      <c r="B2785" s="1">
        <v>44788</v>
      </c>
      <c r="C2785">
        <v>22</v>
      </c>
      <c r="D2785" t="s">
        <v>15</v>
      </c>
      <c r="E2785">
        <v>187.5</v>
      </c>
      <c r="F2785">
        <v>73.5</v>
      </c>
      <c r="G2785">
        <v>2964</v>
      </c>
      <c r="H2785">
        <v>334.2</v>
      </c>
      <c r="I2785">
        <v>7.6</v>
      </c>
      <c r="J2785">
        <v>82</v>
      </c>
      <c r="K2785" t="s">
        <v>23</v>
      </c>
      <c r="L2785">
        <v>35</v>
      </c>
      <c r="M2785">
        <v>1.77</v>
      </c>
      <c r="N2785">
        <v>10</v>
      </c>
      <c r="O2785" t="s">
        <v>21</v>
      </c>
      <c r="P2785" cm="1">
        <f t="array" ref="P2785">_xlfn.SWITCH(Table2[[#This Row],[mood]], "Tired", 3, "Neutral", 2, "Happy", 1)</f>
        <v>1</v>
      </c>
    </row>
    <row r="2786" spans="1:16" x14ac:dyDescent="0.3">
      <c r="A2786">
        <v>1184</v>
      </c>
      <c r="B2786" s="1">
        <v>44789</v>
      </c>
      <c r="C2786">
        <v>21</v>
      </c>
      <c r="D2786" t="s">
        <v>15</v>
      </c>
      <c r="E2786">
        <v>176.1</v>
      </c>
      <c r="F2786">
        <v>65.599999999999994</v>
      </c>
      <c r="G2786">
        <v>18206</v>
      </c>
      <c r="H2786">
        <v>900</v>
      </c>
      <c r="I2786">
        <v>9.1</v>
      </c>
      <c r="J2786">
        <v>64</v>
      </c>
      <c r="K2786" t="s">
        <v>25</v>
      </c>
      <c r="L2786">
        <v>62</v>
      </c>
      <c r="M2786">
        <v>2.1800000000000002</v>
      </c>
      <c r="N2786">
        <v>6</v>
      </c>
      <c r="O2786" t="s">
        <v>19</v>
      </c>
      <c r="P2786" cm="1">
        <f t="array" ref="P2786">_xlfn.SWITCH(Table2[[#This Row],[mood]], "Tired", 3, "Neutral", 2, "Happy", 1)</f>
        <v>2</v>
      </c>
    </row>
    <row r="2787" spans="1:16" x14ac:dyDescent="0.3">
      <c r="A2787">
        <v>1038</v>
      </c>
      <c r="B2787" s="1">
        <v>44790</v>
      </c>
      <c r="C2787">
        <v>45</v>
      </c>
      <c r="D2787" t="s">
        <v>20</v>
      </c>
      <c r="E2787">
        <v>165.8</v>
      </c>
      <c r="F2787">
        <v>71.400000000000006</v>
      </c>
      <c r="G2787">
        <v>10629</v>
      </c>
      <c r="H2787">
        <v>581.79999999999995</v>
      </c>
      <c r="I2787">
        <v>5.0999999999999996</v>
      </c>
      <c r="J2787">
        <v>77</v>
      </c>
      <c r="K2787" t="s">
        <v>25</v>
      </c>
      <c r="L2787">
        <v>75</v>
      </c>
      <c r="M2787">
        <v>2.75</v>
      </c>
      <c r="N2787">
        <v>10</v>
      </c>
      <c r="O2787" t="s">
        <v>21</v>
      </c>
      <c r="P2787" cm="1">
        <f t="array" ref="P2787">_xlfn.SWITCH(Table2[[#This Row],[mood]], "Tired", 3, "Neutral", 2, "Happy", 1)</f>
        <v>1</v>
      </c>
    </row>
    <row r="2788" spans="1:16" x14ac:dyDescent="0.3">
      <c r="A2788">
        <v>1222</v>
      </c>
      <c r="B2788" s="1">
        <v>44791</v>
      </c>
      <c r="C2788">
        <v>31</v>
      </c>
      <c r="D2788" t="s">
        <v>15</v>
      </c>
      <c r="E2788">
        <v>174.4</v>
      </c>
      <c r="F2788">
        <v>53.2</v>
      </c>
      <c r="G2788">
        <v>3061</v>
      </c>
      <c r="H2788">
        <v>321</v>
      </c>
      <c r="I2788">
        <v>5.9</v>
      </c>
      <c r="J2788">
        <v>86</v>
      </c>
      <c r="K2788" t="s">
        <v>25</v>
      </c>
      <c r="L2788">
        <v>87</v>
      </c>
      <c r="M2788">
        <v>3.11</v>
      </c>
      <c r="N2788">
        <v>8</v>
      </c>
      <c r="O2788" t="s">
        <v>19</v>
      </c>
      <c r="P2788" cm="1">
        <f t="array" ref="P2788">_xlfn.SWITCH(Table2[[#This Row],[mood]], "Tired", 3, "Neutral", 2, "Happy", 1)</f>
        <v>2</v>
      </c>
    </row>
    <row r="2789" spans="1:16" x14ac:dyDescent="0.3">
      <c r="A2789">
        <v>1183</v>
      </c>
      <c r="B2789" s="1">
        <v>44792</v>
      </c>
      <c r="C2789">
        <v>25</v>
      </c>
      <c r="D2789" t="s">
        <v>15</v>
      </c>
      <c r="E2789">
        <v>188.3</v>
      </c>
      <c r="F2789">
        <v>82.4</v>
      </c>
      <c r="G2789">
        <v>4865</v>
      </c>
      <c r="H2789">
        <v>362.2</v>
      </c>
      <c r="I2789">
        <v>7.1</v>
      </c>
      <c r="J2789">
        <v>63</v>
      </c>
      <c r="K2789" t="s">
        <v>25</v>
      </c>
      <c r="L2789">
        <v>27</v>
      </c>
      <c r="M2789">
        <v>2.56</v>
      </c>
      <c r="N2789">
        <v>8</v>
      </c>
      <c r="O2789" t="s">
        <v>17</v>
      </c>
      <c r="P2789" cm="1">
        <f t="array" ref="P2789">_xlfn.SWITCH(Table2[[#This Row],[mood]], "Tired", 3, "Neutral", 2, "Happy", 1)</f>
        <v>3</v>
      </c>
    </row>
    <row r="2790" spans="1:16" x14ac:dyDescent="0.3">
      <c r="A2790">
        <v>1494</v>
      </c>
      <c r="B2790" s="1">
        <v>44793</v>
      </c>
      <c r="C2790">
        <v>26</v>
      </c>
      <c r="D2790" t="s">
        <v>15</v>
      </c>
      <c r="E2790">
        <v>162.1</v>
      </c>
      <c r="F2790">
        <v>94.3</v>
      </c>
      <c r="G2790">
        <v>5294</v>
      </c>
      <c r="H2790">
        <v>401</v>
      </c>
      <c r="I2790">
        <v>8.8000000000000007</v>
      </c>
      <c r="J2790">
        <v>77</v>
      </c>
      <c r="K2790" t="s">
        <v>22</v>
      </c>
      <c r="L2790">
        <v>63</v>
      </c>
      <c r="M2790">
        <v>2.9</v>
      </c>
      <c r="N2790">
        <v>6</v>
      </c>
      <c r="O2790" t="s">
        <v>19</v>
      </c>
      <c r="P2790" cm="1">
        <f t="array" ref="P2790">_xlfn.SWITCH(Table2[[#This Row],[mood]], "Tired", 3, "Neutral", 2, "Happy", 1)</f>
        <v>2</v>
      </c>
    </row>
    <row r="2791" spans="1:16" x14ac:dyDescent="0.3">
      <c r="A2791">
        <v>1426</v>
      </c>
      <c r="B2791" s="1">
        <v>44794</v>
      </c>
      <c r="C2791">
        <v>52</v>
      </c>
      <c r="D2791" t="s">
        <v>20</v>
      </c>
      <c r="E2791">
        <v>172.1</v>
      </c>
      <c r="F2791">
        <v>52</v>
      </c>
      <c r="G2791">
        <v>15171</v>
      </c>
      <c r="H2791">
        <v>750.1</v>
      </c>
      <c r="I2791">
        <v>7.7</v>
      </c>
      <c r="J2791">
        <v>73</v>
      </c>
      <c r="K2791" t="s">
        <v>25</v>
      </c>
      <c r="L2791">
        <v>57</v>
      </c>
      <c r="M2791">
        <v>2.39</v>
      </c>
      <c r="N2791">
        <v>2</v>
      </c>
      <c r="O2791" t="s">
        <v>17</v>
      </c>
      <c r="P2791" cm="1">
        <f t="array" ref="P2791">_xlfn.SWITCH(Table2[[#This Row],[mood]], "Tired", 3, "Neutral", 2, "Happy", 1)</f>
        <v>3</v>
      </c>
    </row>
    <row r="2792" spans="1:16" x14ac:dyDescent="0.3">
      <c r="A2792">
        <v>1177</v>
      </c>
      <c r="B2792" s="1">
        <v>44795</v>
      </c>
      <c r="C2792">
        <v>54</v>
      </c>
      <c r="D2792" t="s">
        <v>15</v>
      </c>
      <c r="E2792">
        <v>156.1</v>
      </c>
      <c r="F2792">
        <v>46.3</v>
      </c>
      <c r="G2792">
        <v>13965</v>
      </c>
      <c r="H2792">
        <v>745.2</v>
      </c>
      <c r="I2792">
        <v>5.6</v>
      </c>
      <c r="J2792">
        <v>65</v>
      </c>
      <c r="K2792" t="s">
        <v>23</v>
      </c>
      <c r="L2792">
        <v>42</v>
      </c>
      <c r="M2792">
        <v>2.78</v>
      </c>
      <c r="N2792">
        <v>10</v>
      </c>
      <c r="O2792" t="s">
        <v>17</v>
      </c>
      <c r="P2792" cm="1">
        <f t="array" ref="P2792">_xlfn.SWITCH(Table2[[#This Row],[mood]], "Tired", 3, "Neutral", 2, "Happy", 1)</f>
        <v>3</v>
      </c>
    </row>
    <row r="2793" spans="1:16" x14ac:dyDescent="0.3">
      <c r="A2793">
        <v>1918</v>
      </c>
      <c r="B2793" s="1">
        <v>44796</v>
      </c>
      <c r="C2793">
        <v>38</v>
      </c>
      <c r="D2793" t="s">
        <v>20</v>
      </c>
      <c r="E2793">
        <v>168.8</v>
      </c>
      <c r="F2793">
        <v>64</v>
      </c>
      <c r="G2793">
        <v>13228</v>
      </c>
      <c r="H2793">
        <v>810.5</v>
      </c>
      <c r="I2793">
        <v>9.6999999999999993</v>
      </c>
      <c r="J2793">
        <v>63</v>
      </c>
      <c r="K2793" t="s">
        <v>23</v>
      </c>
      <c r="L2793">
        <v>25</v>
      </c>
      <c r="M2793">
        <v>2.75</v>
      </c>
      <c r="N2793">
        <v>10</v>
      </c>
      <c r="O2793" t="s">
        <v>17</v>
      </c>
      <c r="P2793" cm="1">
        <f t="array" ref="P2793">_xlfn.SWITCH(Table2[[#This Row],[mood]], "Tired", 3, "Neutral", 2, "Happy", 1)</f>
        <v>3</v>
      </c>
    </row>
    <row r="2794" spans="1:16" x14ac:dyDescent="0.3">
      <c r="A2794">
        <v>1427</v>
      </c>
      <c r="B2794" s="1">
        <v>44797</v>
      </c>
      <c r="C2794">
        <v>35</v>
      </c>
      <c r="D2794" t="s">
        <v>15</v>
      </c>
      <c r="E2794">
        <v>176.2</v>
      </c>
      <c r="F2794">
        <v>51.7</v>
      </c>
      <c r="G2794">
        <v>16651</v>
      </c>
      <c r="H2794">
        <v>840.9</v>
      </c>
      <c r="I2794">
        <v>6.6</v>
      </c>
      <c r="J2794">
        <v>68</v>
      </c>
      <c r="K2794" t="s">
        <v>18</v>
      </c>
      <c r="L2794">
        <v>62</v>
      </c>
      <c r="M2794">
        <v>2.14</v>
      </c>
      <c r="N2794">
        <v>6</v>
      </c>
      <c r="O2794" t="s">
        <v>19</v>
      </c>
      <c r="P2794" cm="1">
        <f t="array" ref="P2794">_xlfn.SWITCH(Table2[[#This Row],[mood]], "Tired", 3, "Neutral", 2, "Happy", 1)</f>
        <v>2</v>
      </c>
    </row>
    <row r="2795" spans="1:16" x14ac:dyDescent="0.3">
      <c r="A2795">
        <v>1293</v>
      </c>
      <c r="B2795" s="1">
        <v>44798</v>
      </c>
      <c r="C2795">
        <v>50</v>
      </c>
      <c r="D2795" t="s">
        <v>20</v>
      </c>
      <c r="E2795">
        <v>158.9</v>
      </c>
      <c r="F2795">
        <v>50.9</v>
      </c>
      <c r="G2795">
        <v>17461</v>
      </c>
      <c r="H2795">
        <v>864.4</v>
      </c>
      <c r="I2795">
        <v>5.6</v>
      </c>
      <c r="J2795">
        <v>67</v>
      </c>
      <c r="K2795" t="s">
        <v>23</v>
      </c>
      <c r="L2795">
        <v>63</v>
      </c>
      <c r="M2795">
        <v>2.25</v>
      </c>
      <c r="N2795">
        <v>1</v>
      </c>
      <c r="O2795" t="s">
        <v>19</v>
      </c>
      <c r="P2795" cm="1">
        <f t="array" ref="P2795">_xlfn.SWITCH(Table2[[#This Row],[mood]], "Tired", 3, "Neutral", 2, "Happy", 1)</f>
        <v>2</v>
      </c>
    </row>
    <row r="2796" spans="1:16" x14ac:dyDescent="0.3">
      <c r="A2796">
        <v>1851</v>
      </c>
      <c r="B2796" s="1">
        <v>44799</v>
      </c>
      <c r="C2796">
        <v>25</v>
      </c>
      <c r="D2796" t="s">
        <v>20</v>
      </c>
      <c r="E2796">
        <v>168.1</v>
      </c>
      <c r="F2796">
        <v>49</v>
      </c>
      <c r="G2796">
        <v>3159</v>
      </c>
      <c r="H2796">
        <v>295.5</v>
      </c>
      <c r="I2796">
        <v>5.8</v>
      </c>
      <c r="J2796">
        <v>73</v>
      </c>
      <c r="K2796" t="s">
        <v>16</v>
      </c>
      <c r="L2796">
        <v>0</v>
      </c>
      <c r="M2796">
        <v>2.92</v>
      </c>
      <c r="N2796">
        <v>6</v>
      </c>
      <c r="O2796" t="s">
        <v>19</v>
      </c>
      <c r="P2796" cm="1">
        <f t="array" ref="P2796">_xlfn.SWITCH(Table2[[#This Row],[mood]], "Tired", 3, "Neutral", 2, "Happy", 1)</f>
        <v>2</v>
      </c>
    </row>
    <row r="2797" spans="1:16" x14ac:dyDescent="0.3">
      <c r="A2797">
        <v>1150</v>
      </c>
      <c r="B2797" s="1">
        <v>44800</v>
      </c>
      <c r="C2797">
        <v>34</v>
      </c>
      <c r="D2797" t="s">
        <v>15</v>
      </c>
      <c r="E2797">
        <v>178</v>
      </c>
      <c r="F2797">
        <v>67.099999999999994</v>
      </c>
      <c r="G2797">
        <v>13822</v>
      </c>
      <c r="H2797">
        <v>743.4</v>
      </c>
      <c r="I2797">
        <v>5</v>
      </c>
      <c r="J2797">
        <v>71</v>
      </c>
      <c r="K2797" t="s">
        <v>18</v>
      </c>
      <c r="L2797">
        <v>35</v>
      </c>
      <c r="M2797">
        <v>3.77</v>
      </c>
      <c r="N2797">
        <v>6</v>
      </c>
      <c r="O2797" t="s">
        <v>21</v>
      </c>
      <c r="P2797" cm="1">
        <f t="array" ref="P2797">_xlfn.SWITCH(Table2[[#This Row],[mood]], "Tired", 3, "Neutral", 2, "Happy", 1)</f>
        <v>1</v>
      </c>
    </row>
    <row r="2798" spans="1:16" x14ac:dyDescent="0.3">
      <c r="A2798">
        <v>1383</v>
      </c>
      <c r="B2798" s="1">
        <v>44801</v>
      </c>
      <c r="C2798">
        <v>48</v>
      </c>
      <c r="D2798" t="s">
        <v>20</v>
      </c>
      <c r="E2798">
        <v>175.9</v>
      </c>
      <c r="F2798">
        <v>63.8</v>
      </c>
      <c r="G2798">
        <v>4187</v>
      </c>
      <c r="H2798">
        <v>457.1</v>
      </c>
      <c r="I2798">
        <v>3.6</v>
      </c>
      <c r="J2798">
        <v>79</v>
      </c>
      <c r="K2798" t="s">
        <v>23</v>
      </c>
      <c r="L2798">
        <v>28</v>
      </c>
      <c r="M2798">
        <v>3.34</v>
      </c>
      <c r="N2798">
        <v>6</v>
      </c>
      <c r="O2798" t="s">
        <v>19</v>
      </c>
      <c r="P2798" cm="1">
        <f t="array" ref="P2798">_xlfn.SWITCH(Table2[[#This Row],[mood]], "Tired", 3, "Neutral", 2, "Happy", 1)</f>
        <v>2</v>
      </c>
    </row>
    <row r="2799" spans="1:16" x14ac:dyDescent="0.3">
      <c r="A2799">
        <v>1637</v>
      </c>
      <c r="B2799" s="1">
        <v>44802</v>
      </c>
      <c r="C2799">
        <v>51</v>
      </c>
      <c r="D2799" t="s">
        <v>20</v>
      </c>
      <c r="E2799">
        <v>158.4</v>
      </c>
      <c r="F2799">
        <v>75.599999999999994</v>
      </c>
      <c r="G2799">
        <v>8135</v>
      </c>
      <c r="H2799">
        <v>595.70000000000005</v>
      </c>
      <c r="I2799">
        <v>6.8</v>
      </c>
      <c r="J2799">
        <v>83</v>
      </c>
      <c r="K2799" t="s">
        <v>25</v>
      </c>
      <c r="L2799">
        <v>28</v>
      </c>
      <c r="M2799">
        <v>1.71</v>
      </c>
      <c r="N2799">
        <v>9</v>
      </c>
      <c r="O2799" t="s">
        <v>17</v>
      </c>
      <c r="P2799" cm="1">
        <f t="array" ref="P2799">_xlfn.SWITCH(Table2[[#This Row],[mood]], "Tired", 3, "Neutral", 2, "Happy", 1)</f>
        <v>3</v>
      </c>
    </row>
    <row r="2800" spans="1:16" x14ac:dyDescent="0.3">
      <c r="A2800">
        <v>1812</v>
      </c>
      <c r="B2800" s="1">
        <v>44803</v>
      </c>
      <c r="C2800">
        <v>23</v>
      </c>
      <c r="D2800" t="s">
        <v>15</v>
      </c>
      <c r="E2800">
        <v>173.7</v>
      </c>
      <c r="F2800">
        <v>61.6</v>
      </c>
      <c r="G2800">
        <v>14508</v>
      </c>
      <c r="H2800">
        <v>773.1</v>
      </c>
      <c r="I2800">
        <v>4.7</v>
      </c>
      <c r="J2800">
        <v>60</v>
      </c>
      <c r="K2800" t="s">
        <v>24</v>
      </c>
      <c r="L2800">
        <v>77</v>
      </c>
      <c r="M2800">
        <v>1.71</v>
      </c>
      <c r="N2800">
        <v>4</v>
      </c>
      <c r="O2800" t="s">
        <v>19</v>
      </c>
      <c r="P2800" cm="1">
        <f t="array" ref="P2800">_xlfn.SWITCH(Table2[[#This Row],[mood]], "Tired", 3, "Neutral", 2, "Happy", 1)</f>
        <v>2</v>
      </c>
    </row>
    <row r="2801" spans="1:16" x14ac:dyDescent="0.3">
      <c r="A2801">
        <v>1307</v>
      </c>
      <c r="B2801" s="1">
        <v>44804</v>
      </c>
      <c r="C2801">
        <v>39</v>
      </c>
      <c r="D2801" t="s">
        <v>15</v>
      </c>
      <c r="E2801">
        <v>175.6</v>
      </c>
      <c r="F2801">
        <v>51.8</v>
      </c>
      <c r="G2801">
        <v>1789</v>
      </c>
      <c r="H2801">
        <v>239.4</v>
      </c>
      <c r="I2801">
        <v>7.5</v>
      </c>
      <c r="J2801">
        <v>72</v>
      </c>
      <c r="K2801" t="s">
        <v>25</v>
      </c>
      <c r="L2801">
        <v>84</v>
      </c>
      <c r="M2801">
        <v>2.13</v>
      </c>
      <c r="N2801">
        <v>7</v>
      </c>
      <c r="O2801" t="s">
        <v>17</v>
      </c>
      <c r="P2801" cm="1">
        <f t="array" ref="P2801">_xlfn.SWITCH(Table2[[#This Row],[mood]], "Tired", 3, "Neutral", 2, "Happy", 1)</f>
        <v>3</v>
      </c>
    </row>
    <row r="2802" spans="1:16" x14ac:dyDescent="0.3">
      <c r="A2802">
        <v>1335</v>
      </c>
      <c r="B2802" s="1">
        <v>44805</v>
      </c>
      <c r="C2802">
        <v>31</v>
      </c>
      <c r="D2802" t="s">
        <v>15</v>
      </c>
      <c r="E2802">
        <v>171.1</v>
      </c>
      <c r="F2802">
        <v>69.7</v>
      </c>
      <c r="G2802">
        <v>18947</v>
      </c>
      <c r="H2802">
        <v>869.8</v>
      </c>
      <c r="I2802">
        <v>8.5</v>
      </c>
      <c r="J2802">
        <v>66</v>
      </c>
      <c r="K2802" t="s">
        <v>22</v>
      </c>
      <c r="L2802">
        <v>78</v>
      </c>
      <c r="M2802">
        <v>2.57</v>
      </c>
      <c r="N2802">
        <v>3</v>
      </c>
      <c r="O2802" t="s">
        <v>19</v>
      </c>
      <c r="P2802" cm="1">
        <f t="array" ref="P2802">_xlfn.SWITCH(Table2[[#This Row],[mood]], "Tired", 3, "Neutral", 2, "Happy", 1)</f>
        <v>2</v>
      </c>
    </row>
    <row r="2803" spans="1:16" x14ac:dyDescent="0.3">
      <c r="A2803">
        <v>1945</v>
      </c>
      <c r="B2803" s="1">
        <v>44806</v>
      </c>
      <c r="C2803">
        <v>20</v>
      </c>
      <c r="D2803" t="s">
        <v>20</v>
      </c>
      <c r="E2803">
        <v>180.9</v>
      </c>
      <c r="F2803">
        <v>54.1</v>
      </c>
      <c r="G2803">
        <v>2322</v>
      </c>
      <c r="H2803">
        <v>247.3</v>
      </c>
      <c r="I2803">
        <v>7.6</v>
      </c>
      <c r="J2803">
        <v>64</v>
      </c>
      <c r="K2803" t="s">
        <v>18</v>
      </c>
      <c r="L2803">
        <v>42</v>
      </c>
      <c r="M2803">
        <v>2.5299999999999998</v>
      </c>
      <c r="N2803">
        <v>8</v>
      </c>
      <c r="O2803" t="s">
        <v>19</v>
      </c>
      <c r="P2803" cm="1">
        <f t="array" ref="P2803">_xlfn.SWITCH(Table2[[#This Row],[mood]], "Tired", 3, "Neutral", 2, "Happy", 1)</f>
        <v>2</v>
      </c>
    </row>
    <row r="2804" spans="1:16" x14ac:dyDescent="0.3">
      <c r="A2804">
        <v>1745</v>
      </c>
      <c r="B2804" s="1">
        <v>44807</v>
      </c>
      <c r="C2804">
        <v>29</v>
      </c>
      <c r="D2804" t="s">
        <v>20</v>
      </c>
      <c r="E2804">
        <v>164.1</v>
      </c>
      <c r="F2804">
        <v>77.7</v>
      </c>
      <c r="G2804">
        <v>14387</v>
      </c>
      <c r="H2804">
        <v>676.8</v>
      </c>
      <c r="I2804">
        <v>7.1</v>
      </c>
      <c r="J2804">
        <v>59</v>
      </c>
      <c r="K2804" t="s">
        <v>24</v>
      </c>
      <c r="L2804">
        <v>88</v>
      </c>
      <c r="M2804">
        <v>3.37</v>
      </c>
      <c r="N2804">
        <v>2</v>
      </c>
      <c r="O2804" t="s">
        <v>17</v>
      </c>
      <c r="P2804" cm="1">
        <f t="array" ref="P2804">_xlfn.SWITCH(Table2[[#This Row],[mood]], "Tired", 3, "Neutral", 2, "Happy", 1)</f>
        <v>3</v>
      </c>
    </row>
    <row r="2805" spans="1:16" x14ac:dyDescent="0.3">
      <c r="A2805">
        <v>1891</v>
      </c>
      <c r="B2805" s="1">
        <v>44808</v>
      </c>
      <c r="C2805">
        <v>53</v>
      </c>
      <c r="D2805" t="s">
        <v>20</v>
      </c>
      <c r="E2805">
        <v>174.1</v>
      </c>
      <c r="F2805">
        <v>45</v>
      </c>
      <c r="G2805">
        <v>7673</v>
      </c>
      <c r="H2805">
        <v>543.9</v>
      </c>
      <c r="I2805">
        <v>4.7</v>
      </c>
      <c r="J2805">
        <v>59</v>
      </c>
      <c r="K2805" t="s">
        <v>23</v>
      </c>
      <c r="L2805">
        <v>38</v>
      </c>
      <c r="M2805">
        <v>3.41</v>
      </c>
      <c r="N2805">
        <v>2</v>
      </c>
      <c r="O2805" t="s">
        <v>19</v>
      </c>
      <c r="P2805" cm="1">
        <f t="array" ref="P2805">_xlfn.SWITCH(Table2[[#This Row],[mood]], "Tired", 3, "Neutral", 2, "Happy", 1)</f>
        <v>2</v>
      </c>
    </row>
    <row r="2806" spans="1:16" x14ac:dyDescent="0.3">
      <c r="A2806">
        <v>1374</v>
      </c>
      <c r="B2806" s="1">
        <v>44809</v>
      </c>
      <c r="C2806">
        <v>29</v>
      </c>
      <c r="D2806" t="s">
        <v>15</v>
      </c>
      <c r="E2806">
        <v>158.30000000000001</v>
      </c>
      <c r="F2806">
        <v>45</v>
      </c>
      <c r="G2806">
        <v>18886</v>
      </c>
      <c r="H2806">
        <v>900</v>
      </c>
      <c r="I2806">
        <v>8.3000000000000007</v>
      </c>
      <c r="J2806">
        <v>70</v>
      </c>
      <c r="K2806" t="s">
        <v>25</v>
      </c>
      <c r="L2806">
        <v>54</v>
      </c>
      <c r="M2806">
        <v>2.5</v>
      </c>
      <c r="N2806">
        <v>5</v>
      </c>
      <c r="O2806" t="s">
        <v>21</v>
      </c>
      <c r="P2806" cm="1">
        <f t="array" ref="P2806">_xlfn.SWITCH(Table2[[#This Row],[mood]], "Tired", 3, "Neutral", 2, "Happy", 1)</f>
        <v>1</v>
      </c>
    </row>
    <row r="2807" spans="1:16" x14ac:dyDescent="0.3">
      <c r="A2807">
        <v>1007</v>
      </c>
      <c r="B2807" s="1">
        <v>44810</v>
      </c>
      <c r="C2807">
        <v>19</v>
      </c>
      <c r="D2807" t="s">
        <v>20</v>
      </c>
      <c r="E2807">
        <v>154</v>
      </c>
      <c r="F2807">
        <v>45.9</v>
      </c>
      <c r="G2807">
        <v>8116</v>
      </c>
      <c r="H2807">
        <v>505.9</v>
      </c>
      <c r="I2807">
        <v>9.9</v>
      </c>
      <c r="J2807">
        <v>79</v>
      </c>
      <c r="K2807" t="s">
        <v>18</v>
      </c>
      <c r="L2807">
        <v>74</v>
      </c>
      <c r="M2807">
        <v>2.34</v>
      </c>
      <c r="N2807">
        <v>1</v>
      </c>
      <c r="O2807" t="s">
        <v>21</v>
      </c>
      <c r="P2807" cm="1">
        <f t="array" ref="P2807">_xlfn.SWITCH(Table2[[#This Row],[mood]], "Tired", 3, "Neutral", 2, "Happy", 1)</f>
        <v>1</v>
      </c>
    </row>
    <row r="2808" spans="1:16" x14ac:dyDescent="0.3">
      <c r="A2808">
        <v>1340</v>
      </c>
      <c r="B2808" s="1">
        <v>44811</v>
      </c>
      <c r="C2808">
        <v>19</v>
      </c>
      <c r="D2808" t="s">
        <v>20</v>
      </c>
      <c r="E2808">
        <v>177.8</v>
      </c>
      <c r="F2808">
        <v>63.7</v>
      </c>
      <c r="G2808">
        <v>19043</v>
      </c>
      <c r="H2808">
        <v>900</v>
      </c>
      <c r="I2808">
        <v>9.1</v>
      </c>
      <c r="J2808">
        <v>79</v>
      </c>
      <c r="K2808" t="s">
        <v>18</v>
      </c>
      <c r="L2808">
        <v>59</v>
      </c>
      <c r="M2808">
        <v>2.86</v>
      </c>
      <c r="N2808">
        <v>1</v>
      </c>
      <c r="O2808" t="s">
        <v>17</v>
      </c>
      <c r="P2808" cm="1">
        <f t="array" ref="P2808">_xlfn.SWITCH(Table2[[#This Row],[mood]], "Tired", 3, "Neutral", 2, "Happy", 1)</f>
        <v>3</v>
      </c>
    </row>
    <row r="2809" spans="1:16" x14ac:dyDescent="0.3">
      <c r="A2809">
        <v>1128</v>
      </c>
      <c r="B2809" s="1">
        <v>44812</v>
      </c>
      <c r="C2809">
        <v>32</v>
      </c>
      <c r="D2809" t="s">
        <v>20</v>
      </c>
      <c r="E2809">
        <v>170.2</v>
      </c>
      <c r="F2809">
        <v>65.7</v>
      </c>
      <c r="G2809">
        <v>10507</v>
      </c>
      <c r="H2809">
        <v>565.79999999999995</v>
      </c>
      <c r="I2809">
        <v>5</v>
      </c>
      <c r="J2809">
        <v>64</v>
      </c>
      <c r="K2809" t="s">
        <v>23</v>
      </c>
      <c r="L2809">
        <v>33</v>
      </c>
      <c r="M2809">
        <v>3.24</v>
      </c>
      <c r="N2809">
        <v>3</v>
      </c>
      <c r="O2809" t="s">
        <v>17</v>
      </c>
      <c r="P2809" cm="1">
        <f t="array" ref="P2809">_xlfn.SWITCH(Table2[[#This Row],[mood]], "Tired", 3, "Neutral", 2, "Happy", 1)</f>
        <v>3</v>
      </c>
    </row>
    <row r="2810" spans="1:16" x14ac:dyDescent="0.3">
      <c r="A2810">
        <v>1775</v>
      </c>
      <c r="B2810" s="1">
        <v>44813</v>
      </c>
      <c r="C2810">
        <v>40</v>
      </c>
      <c r="D2810" t="s">
        <v>20</v>
      </c>
      <c r="E2810">
        <v>165.4</v>
      </c>
      <c r="F2810">
        <v>72.099999999999994</v>
      </c>
      <c r="G2810">
        <v>4062</v>
      </c>
      <c r="H2810">
        <v>265.5</v>
      </c>
      <c r="I2810">
        <v>6.9</v>
      </c>
      <c r="J2810">
        <v>63</v>
      </c>
      <c r="K2810" t="s">
        <v>18</v>
      </c>
      <c r="L2810">
        <v>32</v>
      </c>
      <c r="M2810">
        <v>2.89</v>
      </c>
      <c r="N2810">
        <v>6</v>
      </c>
      <c r="O2810" t="s">
        <v>17</v>
      </c>
      <c r="P2810" cm="1">
        <f t="array" ref="P2810">_xlfn.SWITCH(Table2[[#This Row],[mood]], "Tired", 3, "Neutral", 2, "Happy", 1)</f>
        <v>3</v>
      </c>
    </row>
    <row r="2811" spans="1:16" x14ac:dyDescent="0.3">
      <c r="A2811">
        <v>1668</v>
      </c>
      <c r="B2811" s="1">
        <v>44814</v>
      </c>
      <c r="C2811">
        <v>46</v>
      </c>
      <c r="D2811" t="s">
        <v>20</v>
      </c>
      <c r="E2811">
        <v>159.30000000000001</v>
      </c>
      <c r="F2811">
        <v>61.5</v>
      </c>
      <c r="G2811">
        <v>19454</v>
      </c>
      <c r="H2811">
        <v>900</v>
      </c>
      <c r="I2811">
        <v>6.6</v>
      </c>
      <c r="J2811">
        <v>77</v>
      </c>
      <c r="K2811" t="s">
        <v>23</v>
      </c>
      <c r="L2811">
        <v>72</v>
      </c>
      <c r="M2811">
        <v>2.2000000000000002</v>
      </c>
      <c r="N2811">
        <v>10</v>
      </c>
      <c r="O2811" t="s">
        <v>21</v>
      </c>
      <c r="P2811" cm="1">
        <f t="array" ref="P2811">_xlfn.SWITCH(Table2[[#This Row],[mood]], "Tired", 3, "Neutral", 2, "Happy", 1)</f>
        <v>1</v>
      </c>
    </row>
    <row r="2812" spans="1:16" x14ac:dyDescent="0.3">
      <c r="A2812">
        <v>1351</v>
      </c>
      <c r="B2812" s="1">
        <v>44815</v>
      </c>
      <c r="C2812">
        <v>34</v>
      </c>
      <c r="D2812" t="s">
        <v>20</v>
      </c>
      <c r="E2812">
        <v>178.3</v>
      </c>
      <c r="F2812">
        <v>57.3</v>
      </c>
      <c r="G2812">
        <v>11868</v>
      </c>
      <c r="H2812">
        <v>693.9</v>
      </c>
      <c r="I2812">
        <v>6.4</v>
      </c>
      <c r="J2812">
        <v>71</v>
      </c>
      <c r="K2812" t="s">
        <v>23</v>
      </c>
      <c r="L2812">
        <v>58</v>
      </c>
      <c r="M2812">
        <v>2.0699999999999998</v>
      </c>
      <c r="N2812">
        <v>6</v>
      </c>
      <c r="O2812" t="s">
        <v>17</v>
      </c>
      <c r="P2812" cm="1">
        <f t="array" ref="P2812">_xlfn.SWITCH(Table2[[#This Row],[mood]], "Tired", 3, "Neutral", 2, "Happy", 1)</f>
        <v>3</v>
      </c>
    </row>
    <row r="2813" spans="1:16" x14ac:dyDescent="0.3">
      <c r="A2813">
        <v>1357</v>
      </c>
      <c r="B2813" s="1">
        <v>44816</v>
      </c>
      <c r="C2813">
        <v>49</v>
      </c>
      <c r="D2813" t="s">
        <v>20</v>
      </c>
      <c r="E2813">
        <v>154.9</v>
      </c>
      <c r="F2813">
        <v>91.5</v>
      </c>
      <c r="G2813">
        <v>3553</v>
      </c>
      <c r="H2813">
        <v>427.3</v>
      </c>
      <c r="I2813">
        <v>7</v>
      </c>
      <c r="J2813">
        <v>84</v>
      </c>
      <c r="K2813" t="s">
        <v>25</v>
      </c>
      <c r="L2813">
        <v>84</v>
      </c>
      <c r="M2813">
        <v>1.72</v>
      </c>
      <c r="N2813">
        <v>8</v>
      </c>
      <c r="O2813" t="s">
        <v>17</v>
      </c>
      <c r="P2813" cm="1">
        <f t="array" ref="P2813">_xlfn.SWITCH(Table2[[#This Row],[mood]], "Tired", 3, "Neutral", 2, "Happy", 1)</f>
        <v>3</v>
      </c>
    </row>
    <row r="2814" spans="1:16" x14ac:dyDescent="0.3">
      <c r="A2814">
        <v>1516</v>
      </c>
      <c r="B2814" s="1">
        <v>44817</v>
      </c>
      <c r="C2814">
        <v>24</v>
      </c>
      <c r="D2814" t="s">
        <v>15</v>
      </c>
      <c r="E2814">
        <v>179.9</v>
      </c>
      <c r="F2814">
        <v>87.5</v>
      </c>
      <c r="G2814">
        <v>18428</v>
      </c>
      <c r="H2814">
        <v>900</v>
      </c>
      <c r="I2814">
        <v>10</v>
      </c>
      <c r="J2814">
        <v>64</v>
      </c>
      <c r="K2814" t="s">
        <v>18</v>
      </c>
      <c r="L2814">
        <v>75</v>
      </c>
      <c r="M2814">
        <v>2.64</v>
      </c>
      <c r="N2814">
        <v>7</v>
      </c>
      <c r="O2814" t="s">
        <v>21</v>
      </c>
      <c r="P2814" cm="1">
        <f t="array" ref="P2814">_xlfn.SWITCH(Table2[[#This Row],[mood]], "Tired", 3, "Neutral", 2, "Happy", 1)</f>
        <v>1</v>
      </c>
    </row>
    <row r="2815" spans="1:16" x14ac:dyDescent="0.3">
      <c r="A2815">
        <v>1494</v>
      </c>
      <c r="B2815" s="1">
        <v>44818</v>
      </c>
      <c r="C2815">
        <v>47</v>
      </c>
      <c r="D2815" t="s">
        <v>15</v>
      </c>
      <c r="E2815">
        <v>174.5</v>
      </c>
      <c r="F2815">
        <v>84.8</v>
      </c>
      <c r="G2815">
        <v>10979</v>
      </c>
      <c r="H2815">
        <v>625.20000000000005</v>
      </c>
      <c r="I2815">
        <v>7.2</v>
      </c>
      <c r="J2815">
        <v>56</v>
      </c>
      <c r="K2815" t="s">
        <v>22</v>
      </c>
      <c r="L2815">
        <v>59</v>
      </c>
      <c r="M2815">
        <v>2.94</v>
      </c>
      <c r="N2815">
        <v>1</v>
      </c>
      <c r="O2815" t="s">
        <v>17</v>
      </c>
      <c r="P2815" cm="1">
        <f t="array" ref="P2815">_xlfn.SWITCH(Table2[[#This Row],[mood]], "Tired", 3, "Neutral", 2, "Happy", 1)</f>
        <v>3</v>
      </c>
    </row>
    <row r="2816" spans="1:16" x14ac:dyDescent="0.3">
      <c r="A2816">
        <v>1085</v>
      </c>
      <c r="B2816" s="1">
        <v>44819</v>
      </c>
      <c r="C2816">
        <v>45</v>
      </c>
      <c r="D2816" t="s">
        <v>15</v>
      </c>
      <c r="E2816">
        <v>155.4</v>
      </c>
      <c r="F2816">
        <v>74.599999999999994</v>
      </c>
      <c r="G2816">
        <v>6957</v>
      </c>
      <c r="H2816">
        <v>523.9</v>
      </c>
      <c r="I2816">
        <v>6.3</v>
      </c>
      <c r="J2816">
        <v>81</v>
      </c>
      <c r="K2816" t="s">
        <v>22</v>
      </c>
      <c r="L2816">
        <v>65</v>
      </c>
      <c r="M2816">
        <v>3.01</v>
      </c>
      <c r="N2816">
        <v>1</v>
      </c>
      <c r="O2816" t="s">
        <v>19</v>
      </c>
      <c r="P2816" cm="1">
        <f t="array" ref="P2816">_xlfn.SWITCH(Table2[[#This Row],[mood]], "Tired", 3, "Neutral", 2, "Happy", 1)</f>
        <v>2</v>
      </c>
    </row>
    <row r="2817" spans="1:16" x14ac:dyDescent="0.3">
      <c r="A2817">
        <v>1174</v>
      </c>
      <c r="B2817" s="1">
        <v>44820</v>
      </c>
      <c r="C2817">
        <v>31</v>
      </c>
      <c r="D2817" t="s">
        <v>20</v>
      </c>
      <c r="E2817">
        <v>171.3</v>
      </c>
      <c r="F2817">
        <v>75.8</v>
      </c>
      <c r="G2817">
        <v>12727</v>
      </c>
      <c r="H2817">
        <v>724.8</v>
      </c>
      <c r="I2817">
        <v>7.4</v>
      </c>
      <c r="J2817">
        <v>56</v>
      </c>
      <c r="K2817" t="s">
        <v>25</v>
      </c>
      <c r="L2817">
        <v>26</v>
      </c>
      <c r="M2817">
        <v>3.31</v>
      </c>
      <c r="N2817">
        <v>4</v>
      </c>
      <c r="O2817" t="s">
        <v>19</v>
      </c>
      <c r="P2817" cm="1">
        <f t="array" ref="P2817">_xlfn.SWITCH(Table2[[#This Row],[mood]], "Tired", 3, "Neutral", 2, "Happy", 1)</f>
        <v>2</v>
      </c>
    </row>
    <row r="2818" spans="1:16" x14ac:dyDescent="0.3">
      <c r="A2818">
        <v>1801</v>
      </c>
      <c r="B2818" s="1">
        <v>44821</v>
      </c>
      <c r="C2818">
        <v>47</v>
      </c>
      <c r="D2818" t="s">
        <v>20</v>
      </c>
      <c r="E2818">
        <v>196.5</v>
      </c>
      <c r="F2818">
        <v>57.9</v>
      </c>
      <c r="G2818">
        <v>5578</v>
      </c>
      <c r="H2818">
        <v>423.2</v>
      </c>
      <c r="I2818">
        <v>5</v>
      </c>
      <c r="J2818">
        <v>61</v>
      </c>
      <c r="K2818" t="s">
        <v>25</v>
      </c>
      <c r="L2818">
        <v>64</v>
      </c>
      <c r="M2818">
        <v>3.54</v>
      </c>
      <c r="N2818">
        <v>1</v>
      </c>
      <c r="O2818" t="s">
        <v>19</v>
      </c>
      <c r="P2818" cm="1">
        <f t="array" ref="P2818">_xlfn.SWITCH(Table2[[#This Row],[mood]], "Tired", 3, "Neutral", 2, "Happy", 1)</f>
        <v>2</v>
      </c>
    </row>
    <row r="2819" spans="1:16" x14ac:dyDescent="0.3">
      <c r="A2819">
        <v>1192</v>
      </c>
      <c r="B2819" s="1">
        <v>44822</v>
      </c>
      <c r="C2819">
        <v>34</v>
      </c>
      <c r="D2819" t="s">
        <v>15</v>
      </c>
      <c r="E2819">
        <v>181.9</v>
      </c>
      <c r="F2819">
        <v>72.2</v>
      </c>
      <c r="G2819">
        <v>6621</v>
      </c>
      <c r="H2819">
        <v>463</v>
      </c>
      <c r="I2819">
        <v>5.9</v>
      </c>
      <c r="J2819">
        <v>68</v>
      </c>
      <c r="K2819" t="s">
        <v>23</v>
      </c>
      <c r="L2819">
        <v>41</v>
      </c>
      <c r="M2819">
        <v>1.54</v>
      </c>
      <c r="N2819">
        <v>1</v>
      </c>
      <c r="O2819" t="s">
        <v>19</v>
      </c>
      <c r="P2819" cm="1">
        <f t="array" ref="P2819">_xlfn.SWITCH(Table2[[#This Row],[mood]], "Tired", 3, "Neutral", 2, "Happy", 1)</f>
        <v>2</v>
      </c>
    </row>
    <row r="2820" spans="1:16" x14ac:dyDescent="0.3">
      <c r="A2820">
        <v>1310</v>
      </c>
      <c r="B2820" s="1">
        <v>44823</v>
      </c>
      <c r="C2820">
        <v>49</v>
      </c>
      <c r="D2820" t="s">
        <v>20</v>
      </c>
      <c r="E2820">
        <v>161.69999999999999</v>
      </c>
      <c r="F2820">
        <v>55.9</v>
      </c>
      <c r="G2820">
        <v>2966</v>
      </c>
      <c r="H2820">
        <v>311.39999999999998</v>
      </c>
      <c r="I2820">
        <v>8.5</v>
      </c>
      <c r="J2820">
        <v>72</v>
      </c>
      <c r="K2820" t="s">
        <v>22</v>
      </c>
      <c r="L2820">
        <v>26</v>
      </c>
      <c r="M2820">
        <v>2.78</v>
      </c>
      <c r="N2820">
        <v>10</v>
      </c>
      <c r="O2820" t="s">
        <v>21</v>
      </c>
      <c r="P2820" cm="1">
        <f t="array" ref="P2820">_xlfn.SWITCH(Table2[[#This Row],[mood]], "Tired", 3, "Neutral", 2, "Happy", 1)</f>
        <v>1</v>
      </c>
    </row>
    <row r="2821" spans="1:16" x14ac:dyDescent="0.3">
      <c r="A2821">
        <v>1118</v>
      </c>
      <c r="B2821" s="1">
        <v>44824</v>
      </c>
      <c r="C2821">
        <v>23</v>
      </c>
      <c r="D2821" t="s">
        <v>15</v>
      </c>
      <c r="E2821">
        <v>177.2</v>
      </c>
      <c r="F2821">
        <v>54.2</v>
      </c>
      <c r="G2821">
        <v>11548</v>
      </c>
      <c r="H2821">
        <v>656.8</v>
      </c>
      <c r="I2821">
        <v>7.3</v>
      </c>
      <c r="J2821">
        <v>81</v>
      </c>
      <c r="K2821" t="s">
        <v>18</v>
      </c>
      <c r="L2821">
        <v>71</v>
      </c>
      <c r="M2821">
        <v>2.81</v>
      </c>
      <c r="N2821">
        <v>1</v>
      </c>
      <c r="O2821" t="s">
        <v>19</v>
      </c>
      <c r="P2821" cm="1">
        <f t="array" ref="P2821">_xlfn.SWITCH(Table2[[#This Row],[mood]], "Tired", 3, "Neutral", 2, "Happy", 1)</f>
        <v>2</v>
      </c>
    </row>
    <row r="2822" spans="1:16" x14ac:dyDescent="0.3">
      <c r="A2822">
        <v>1217</v>
      </c>
      <c r="B2822" s="1">
        <v>44825</v>
      </c>
      <c r="C2822">
        <v>41</v>
      </c>
      <c r="D2822" t="s">
        <v>20</v>
      </c>
      <c r="E2822">
        <v>155.80000000000001</v>
      </c>
      <c r="F2822">
        <v>45.7</v>
      </c>
      <c r="G2822">
        <v>14864</v>
      </c>
      <c r="H2822">
        <v>877.4</v>
      </c>
      <c r="I2822">
        <v>10</v>
      </c>
      <c r="J2822">
        <v>65</v>
      </c>
      <c r="K2822" t="s">
        <v>22</v>
      </c>
      <c r="L2822">
        <v>87</v>
      </c>
      <c r="M2822">
        <v>2.4500000000000002</v>
      </c>
      <c r="N2822">
        <v>3</v>
      </c>
      <c r="O2822" t="s">
        <v>19</v>
      </c>
      <c r="P2822" cm="1">
        <f t="array" ref="P2822">_xlfn.SWITCH(Table2[[#This Row],[mood]], "Tired", 3, "Neutral", 2, "Happy", 1)</f>
        <v>2</v>
      </c>
    </row>
    <row r="2823" spans="1:16" x14ac:dyDescent="0.3">
      <c r="A2823">
        <v>1426</v>
      </c>
      <c r="B2823" s="1">
        <v>44826</v>
      </c>
      <c r="C2823">
        <v>23</v>
      </c>
      <c r="D2823" t="s">
        <v>20</v>
      </c>
      <c r="E2823">
        <v>156.30000000000001</v>
      </c>
      <c r="F2823">
        <v>76.099999999999994</v>
      </c>
      <c r="G2823">
        <v>19634</v>
      </c>
      <c r="H2823">
        <v>900</v>
      </c>
      <c r="I2823">
        <v>7.4</v>
      </c>
      <c r="J2823">
        <v>88</v>
      </c>
      <c r="K2823" t="s">
        <v>25</v>
      </c>
      <c r="L2823">
        <v>89</v>
      </c>
      <c r="M2823">
        <v>1.92</v>
      </c>
      <c r="N2823">
        <v>10</v>
      </c>
      <c r="O2823" t="s">
        <v>21</v>
      </c>
      <c r="P2823" cm="1">
        <f t="array" ref="P2823">_xlfn.SWITCH(Table2[[#This Row],[mood]], "Tired", 3, "Neutral", 2, "Happy", 1)</f>
        <v>1</v>
      </c>
    </row>
    <row r="2824" spans="1:16" x14ac:dyDescent="0.3">
      <c r="A2824">
        <v>1969</v>
      </c>
      <c r="B2824" s="1">
        <v>44827</v>
      </c>
      <c r="C2824">
        <v>44</v>
      </c>
      <c r="D2824" t="s">
        <v>15</v>
      </c>
      <c r="E2824">
        <v>169.3</v>
      </c>
      <c r="F2824">
        <v>72.5</v>
      </c>
      <c r="G2824">
        <v>12679</v>
      </c>
      <c r="H2824">
        <v>794.3</v>
      </c>
      <c r="I2824">
        <v>5.0999999999999996</v>
      </c>
      <c r="J2824">
        <v>60</v>
      </c>
      <c r="K2824" t="s">
        <v>25</v>
      </c>
      <c r="L2824">
        <v>86</v>
      </c>
      <c r="M2824">
        <v>3.51</v>
      </c>
      <c r="N2824">
        <v>2</v>
      </c>
      <c r="O2824" t="s">
        <v>21</v>
      </c>
      <c r="P2824" cm="1">
        <f t="array" ref="P2824">_xlfn.SWITCH(Table2[[#This Row],[mood]], "Tired", 3, "Neutral", 2, "Happy", 1)</f>
        <v>1</v>
      </c>
    </row>
    <row r="2825" spans="1:16" x14ac:dyDescent="0.3">
      <c r="A2825">
        <v>1413</v>
      </c>
      <c r="B2825" s="1">
        <v>44828</v>
      </c>
      <c r="C2825">
        <v>35</v>
      </c>
      <c r="D2825" t="s">
        <v>15</v>
      </c>
      <c r="E2825">
        <v>175.5</v>
      </c>
      <c r="F2825">
        <v>65.5</v>
      </c>
      <c r="G2825">
        <v>15975</v>
      </c>
      <c r="H2825">
        <v>794.1</v>
      </c>
      <c r="I2825">
        <v>4.5999999999999996</v>
      </c>
      <c r="J2825">
        <v>71</v>
      </c>
      <c r="K2825" t="s">
        <v>23</v>
      </c>
      <c r="L2825">
        <v>22</v>
      </c>
      <c r="M2825">
        <v>2.09</v>
      </c>
      <c r="N2825">
        <v>10</v>
      </c>
      <c r="O2825" t="s">
        <v>21</v>
      </c>
      <c r="P2825" cm="1">
        <f t="array" ref="P2825">_xlfn.SWITCH(Table2[[#This Row],[mood]], "Tired", 3, "Neutral", 2, "Happy", 1)</f>
        <v>1</v>
      </c>
    </row>
    <row r="2826" spans="1:16" x14ac:dyDescent="0.3">
      <c r="A2826">
        <v>1113</v>
      </c>
      <c r="B2826" s="1">
        <v>44829</v>
      </c>
      <c r="C2826">
        <v>41</v>
      </c>
      <c r="D2826" t="s">
        <v>15</v>
      </c>
      <c r="E2826">
        <v>178.1</v>
      </c>
      <c r="F2826">
        <v>63.5</v>
      </c>
      <c r="G2826">
        <v>15167</v>
      </c>
      <c r="H2826">
        <v>665</v>
      </c>
      <c r="I2826">
        <v>8.5</v>
      </c>
      <c r="J2826">
        <v>83</v>
      </c>
      <c r="K2826" t="s">
        <v>18</v>
      </c>
      <c r="L2826">
        <v>77</v>
      </c>
      <c r="M2826">
        <v>0.97</v>
      </c>
      <c r="N2826">
        <v>8</v>
      </c>
      <c r="O2826" t="s">
        <v>19</v>
      </c>
      <c r="P2826" cm="1">
        <f t="array" ref="P2826">_xlfn.SWITCH(Table2[[#This Row],[mood]], "Tired", 3, "Neutral", 2, "Happy", 1)</f>
        <v>2</v>
      </c>
    </row>
    <row r="2827" spans="1:16" x14ac:dyDescent="0.3">
      <c r="A2827">
        <v>1977</v>
      </c>
      <c r="B2827" s="1">
        <v>44830</v>
      </c>
      <c r="C2827">
        <v>54</v>
      </c>
      <c r="D2827" t="s">
        <v>15</v>
      </c>
      <c r="E2827">
        <v>178.3</v>
      </c>
      <c r="F2827">
        <v>45</v>
      </c>
      <c r="G2827">
        <v>3014</v>
      </c>
      <c r="H2827">
        <v>297.39999999999998</v>
      </c>
      <c r="I2827">
        <v>5.4</v>
      </c>
      <c r="J2827">
        <v>84</v>
      </c>
      <c r="K2827" t="s">
        <v>25</v>
      </c>
      <c r="L2827">
        <v>86</v>
      </c>
      <c r="M2827">
        <v>2.5099999999999998</v>
      </c>
      <c r="N2827">
        <v>7</v>
      </c>
      <c r="O2827" t="s">
        <v>17</v>
      </c>
      <c r="P2827" cm="1">
        <f t="array" ref="P2827">_xlfn.SWITCH(Table2[[#This Row],[mood]], "Tired", 3, "Neutral", 2, "Happy", 1)</f>
        <v>3</v>
      </c>
    </row>
    <row r="2828" spans="1:16" x14ac:dyDescent="0.3">
      <c r="A2828">
        <v>1144</v>
      </c>
      <c r="B2828" s="1">
        <v>44831</v>
      </c>
      <c r="C2828">
        <v>41</v>
      </c>
      <c r="D2828" t="s">
        <v>15</v>
      </c>
      <c r="E2828">
        <v>174.9</v>
      </c>
      <c r="F2828">
        <v>73.8</v>
      </c>
      <c r="G2828">
        <v>5624</v>
      </c>
      <c r="H2828">
        <v>383.2</v>
      </c>
      <c r="I2828">
        <v>5.3</v>
      </c>
      <c r="J2828">
        <v>50</v>
      </c>
      <c r="K2828" t="s">
        <v>16</v>
      </c>
      <c r="L2828">
        <v>0</v>
      </c>
      <c r="M2828">
        <v>2.33</v>
      </c>
      <c r="N2828">
        <v>10</v>
      </c>
      <c r="O2828" t="s">
        <v>17</v>
      </c>
      <c r="P2828" cm="1">
        <f t="array" ref="P2828">_xlfn.SWITCH(Table2[[#This Row],[mood]], "Tired", 3, "Neutral", 2, "Happy", 1)</f>
        <v>3</v>
      </c>
    </row>
    <row r="2829" spans="1:16" x14ac:dyDescent="0.3">
      <c r="A2829">
        <v>1537</v>
      </c>
      <c r="B2829" s="1">
        <v>44832</v>
      </c>
      <c r="C2829">
        <v>55</v>
      </c>
      <c r="D2829" t="s">
        <v>20</v>
      </c>
      <c r="E2829">
        <v>153.9</v>
      </c>
      <c r="F2829">
        <v>65.3</v>
      </c>
      <c r="G2829">
        <v>6868</v>
      </c>
      <c r="H2829">
        <v>400</v>
      </c>
      <c r="I2829">
        <v>6.2</v>
      </c>
      <c r="J2829">
        <v>102</v>
      </c>
      <c r="K2829" t="s">
        <v>18</v>
      </c>
      <c r="L2829">
        <v>28</v>
      </c>
      <c r="M2829">
        <v>3.8</v>
      </c>
      <c r="N2829">
        <v>8</v>
      </c>
      <c r="O2829" t="s">
        <v>19</v>
      </c>
      <c r="P2829" cm="1">
        <f t="array" ref="P2829">_xlfn.SWITCH(Table2[[#This Row],[mood]], "Tired", 3, "Neutral", 2, "Happy", 1)</f>
        <v>2</v>
      </c>
    </row>
    <row r="2830" spans="1:16" x14ac:dyDescent="0.3">
      <c r="A2830">
        <v>1647</v>
      </c>
      <c r="B2830" s="1">
        <v>44833</v>
      </c>
      <c r="C2830">
        <v>51</v>
      </c>
      <c r="D2830" t="s">
        <v>20</v>
      </c>
      <c r="E2830">
        <v>169.4</v>
      </c>
      <c r="F2830">
        <v>83.4</v>
      </c>
      <c r="G2830">
        <v>15626</v>
      </c>
      <c r="H2830">
        <v>890.1</v>
      </c>
      <c r="I2830">
        <v>8.5</v>
      </c>
      <c r="J2830">
        <v>72</v>
      </c>
      <c r="K2830" t="s">
        <v>22</v>
      </c>
      <c r="L2830">
        <v>73</v>
      </c>
      <c r="M2830">
        <v>2.84</v>
      </c>
      <c r="N2830">
        <v>4</v>
      </c>
      <c r="O2830" t="s">
        <v>17</v>
      </c>
      <c r="P2830" cm="1">
        <f t="array" ref="P2830">_xlfn.SWITCH(Table2[[#This Row],[mood]], "Tired", 3, "Neutral", 2, "Happy", 1)</f>
        <v>3</v>
      </c>
    </row>
    <row r="2831" spans="1:16" x14ac:dyDescent="0.3">
      <c r="A2831">
        <v>1302</v>
      </c>
      <c r="B2831" s="1">
        <v>44834</v>
      </c>
      <c r="C2831">
        <v>57</v>
      </c>
      <c r="D2831" t="s">
        <v>20</v>
      </c>
      <c r="E2831">
        <v>179.7</v>
      </c>
      <c r="F2831">
        <v>72.2</v>
      </c>
      <c r="G2831">
        <v>1804</v>
      </c>
      <c r="H2831">
        <v>205.3</v>
      </c>
      <c r="I2831">
        <v>6.4</v>
      </c>
      <c r="J2831">
        <v>78</v>
      </c>
      <c r="K2831" t="s">
        <v>23</v>
      </c>
      <c r="L2831">
        <v>70</v>
      </c>
      <c r="M2831">
        <v>2.29</v>
      </c>
      <c r="N2831">
        <v>9</v>
      </c>
      <c r="O2831" t="s">
        <v>17</v>
      </c>
      <c r="P2831" cm="1">
        <f t="array" ref="P2831">_xlfn.SWITCH(Table2[[#This Row],[mood]], "Tired", 3, "Neutral", 2, "Happy", 1)</f>
        <v>3</v>
      </c>
    </row>
    <row r="2832" spans="1:16" x14ac:dyDescent="0.3">
      <c r="A2832">
        <v>1743</v>
      </c>
      <c r="B2832" s="1">
        <v>44835</v>
      </c>
      <c r="C2832">
        <v>32</v>
      </c>
      <c r="D2832" t="s">
        <v>15</v>
      </c>
      <c r="E2832">
        <v>174.4</v>
      </c>
      <c r="F2832">
        <v>80.599999999999994</v>
      </c>
      <c r="G2832">
        <v>18718</v>
      </c>
      <c r="H2832">
        <v>900</v>
      </c>
      <c r="I2832">
        <v>5.7</v>
      </c>
      <c r="J2832">
        <v>72</v>
      </c>
      <c r="K2832" t="s">
        <v>22</v>
      </c>
      <c r="L2832">
        <v>35</v>
      </c>
      <c r="M2832">
        <v>2.36</v>
      </c>
      <c r="N2832">
        <v>5</v>
      </c>
      <c r="O2832" t="s">
        <v>21</v>
      </c>
      <c r="P2832" cm="1">
        <f t="array" ref="P2832">_xlfn.SWITCH(Table2[[#This Row],[mood]], "Tired", 3, "Neutral", 2, "Happy", 1)</f>
        <v>1</v>
      </c>
    </row>
    <row r="2833" spans="1:16" x14ac:dyDescent="0.3">
      <c r="A2833">
        <v>1880</v>
      </c>
      <c r="B2833" s="1">
        <v>44836</v>
      </c>
      <c r="C2833">
        <v>28</v>
      </c>
      <c r="D2833" t="s">
        <v>15</v>
      </c>
      <c r="E2833">
        <v>171.8</v>
      </c>
      <c r="F2833">
        <v>69.900000000000006</v>
      </c>
      <c r="G2833">
        <v>1667</v>
      </c>
      <c r="H2833">
        <v>367.4</v>
      </c>
      <c r="I2833">
        <v>8.8000000000000007</v>
      </c>
      <c r="J2833">
        <v>96</v>
      </c>
      <c r="K2833" t="s">
        <v>16</v>
      </c>
      <c r="L2833">
        <v>0</v>
      </c>
      <c r="M2833">
        <v>2.35</v>
      </c>
      <c r="N2833">
        <v>7</v>
      </c>
      <c r="O2833" t="s">
        <v>19</v>
      </c>
      <c r="P2833" cm="1">
        <f t="array" ref="P2833">_xlfn.SWITCH(Table2[[#This Row],[mood]], "Tired", 3, "Neutral", 2, "Happy", 1)</f>
        <v>2</v>
      </c>
    </row>
    <row r="2834" spans="1:16" x14ac:dyDescent="0.3">
      <c r="A2834">
        <v>1587</v>
      </c>
      <c r="B2834" s="1">
        <v>44837</v>
      </c>
      <c r="C2834">
        <v>39</v>
      </c>
      <c r="D2834" t="s">
        <v>15</v>
      </c>
      <c r="E2834">
        <v>173.3</v>
      </c>
      <c r="F2834">
        <v>72.7</v>
      </c>
      <c r="G2834">
        <v>1384</v>
      </c>
      <c r="H2834">
        <v>197.9</v>
      </c>
      <c r="I2834">
        <v>8.6</v>
      </c>
      <c r="J2834">
        <v>88</v>
      </c>
      <c r="K2834" t="s">
        <v>25</v>
      </c>
      <c r="L2834">
        <v>39</v>
      </c>
      <c r="M2834">
        <v>4.05</v>
      </c>
      <c r="N2834">
        <v>4</v>
      </c>
      <c r="O2834" t="s">
        <v>19</v>
      </c>
      <c r="P2834" cm="1">
        <f t="array" ref="P2834">_xlfn.SWITCH(Table2[[#This Row],[mood]], "Tired", 3, "Neutral", 2, "Happy", 1)</f>
        <v>2</v>
      </c>
    </row>
    <row r="2835" spans="1:16" x14ac:dyDescent="0.3">
      <c r="A2835">
        <v>1986</v>
      </c>
      <c r="B2835" s="1">
        <v>44838</v>
      </c>
      <c r="C2835">
        <v>41</v>
      </c>
      <c r="D2835" t="s">
        <v>15</v>
      </c>
      <c r="E2835">
        <v>173.1</v>
      </c>
      <c r="F2835">
        <v>84</v>
      </c>
      <c r="G2835">
        <v>12316</v>
      </c>
      <c r="H2835">
        <v>681.1</v>
      </c>
      <c r="I2835">
        <v>9.5</v>
      </c>
      <c r="J2835">
        <v>96</v>
      </c>
      <c r="K2835" t="s">
        <v>25</v>
      </c>
      <c r="L2835">
        <v>72</v>
      </c>
      <c r="M2835">
        <v>2.97</v>
      </c>
      <c r="N2835">
        <v>1</v>
      </c>
      <c r="O2835" t="s">
        <v>17</v>
      </c>
      <c r="P2835" cm="1">
        <f t="array" ref="P2835">_xlfn.SWITCH(Table2[[#This Row],[mood]], "Tired", 3, "Neutral", 2, "Happy", 1)</f>
        <v>3</v>
      </c>
    </row>
    <row r="2836" spans="1:16" x14ac:dyDescent="0.3">
      <c r="A2836">
        <v>1839</v>
      </c>
      <c r="B2836" s="1">
        <v>44839</v>
      </c>
      <c r="C2836">
        <v>18</v>
      </c>
      <c r="D2836" t="s">
        <v>15</v>
      </c>
      <c r="E2836">
        <v>150.4</v>
      </c>
      <c r="F2836">
        <v>67.099999999999994</v>
      </c>
      <c r="G2836">
        <v>4440</v>
      </c>
      <c r="H2836">
        <v>445.2</v>
      </c>
      <c r="I2836">
        <v>9</v>
      </c>
      <c r="J2836">
        <v>80</v>
      </c>
      <c r="K2836" t="s">
        <v>18</v>
      </c>
      <c r="L2836">
        <v>50</v>
      </c>
      <c r="M2836">
        <v>1.51</v>
      </c>
      <c r="N2836">
        <v>8</v>
      </c>
      <c r="O2836" t="s">
        <v>19</v>
      </c>
      <c r="P2836" cm="1">
        <f t="array" ref="P2836">_xlfn.SWITCH(Table2[[#This Row],[mood]], "Tired", 3, "Neutral", 2, "Happy", 1)</f>
        <v>2</v>
      </c>
    </row>
    <row r="2837" spans="1:16" x14ac:dyDescent="0.3">
      <c r="A2837">
        <v>1344</v>
      </c>
      <c r="B2837" s="1">
        <v>44840</v>
      </c>
      <c r="C2837">
        <v>35</v>
      </c>
      <c r="D2837" t="s">
        <v>15</v>
      </c>
      <c r="E2837">
        <v>181.5</v>
      </c>
      <c r="F2837">
        <v>77.099999999999994</v>
      </c>
      <c r="G2837">
        <v>17396</v>
      </c>
      <c r="H2837">
        <v>875.1</v>
      </c>
      <c r="I2837">
        <v>8.6</v>
      </c>
      <c r="J2837">
        <v>84</v>
      </c>
      <c r="K2837" t="s">
        <v>25</v>
      </c>
      <c r="L2837">
        <v>40</v>
      </c>
      <c r="M2837">
        <v>2.33</v>
      </c>
      <c r="N2837">
        <v>9</v>
      </c>
      <c r="O2837" t="s">
        <v>21</v>
      </c>
      <c r="P2837" cm="1">
        <f t="array" ref="P2837">_xlfn.SWITCH(Table2[[#This Row],[mood]], "Tired", 3, "Neutral", 2, "Happy", 1)</f>
        <v>1</v>
      </c>
    </row>
    <row r="2838" spans="1:16" x14ac:dyDescent="0.3">
      <c r="A2838">
        <v>1813</v>
      </c>
      <c r="B2838" s="1">
        <v>44841</v>
      </c>
      <c r="C2838">
        <v>29</v>
      </c>
      <c r="D2838" t="s">
        <v>20</v>
      </c>
      <c r="E2838">
        <v>168.9</v>
      </c>
      <c r="F2838">
        <v>63.3</v>
      </c>
      <c r="G2838">
        <v>8726</v>
      </c>
      <c r="H2838">
        <v>565.70000000000005</v>
      </c>
      <c r="I2838">
        <v>5.9</v>
      </c>
      <c r="J2838">
        <v>65</v>
      </c>
      <c r="K2838" t="s">
        <v>16</v>
      </c>
      <c r="L2838">
        <v>0</v>
      </c>
      <c r="M2838">
        <v>2.48</v>
      </c>
      <c r="N2838">
        <v>9</v>
      </c>
      <c r="O2838" t="s">
        <v>17</v>
      </c>
      <c r="P2838" cm="1">
        <f t="array" ref="P2838">_xlfn.SWITCH(Table2[[#This Row],[mood]], "Tired", 3, "Neutral", 2, "Happy", 1)</f>
        <v>3</v>
      </c>
    </row>
    <row r="2839" spans="1:16" x14ac:dyDescent="0.3">
      <c r="A2839">
        <v>1963</v>
      </c>
      <c r="B2839" s="1">
        <v>44842</v>
      </c>
      <c r="C2839">
        <v>45</v>
      </c>
      <c r="D2839" t="s">
        <v>20</v>
      </c>
      <c r="E2839">
        <v>177.1</v>
      </c>
      <c r="F2839">
        <v>68</v>
      </c>
      <c r="G2839">
        <v>12199</v>
      </c>
      <c r="H2839">
        <v>719.9</v>
      </c>
      <c r="I2839">
        <v>8</v>
      </c>
      <c r="J2839">
        <v>72</v>
      </c>
      <c r="K2839" t="s">
        <v>18</v>
      </c>
      <c r="L2839">
        <v>40</v>
      </c>
      <c r="M2839">
        <v>1.72</v>
      </c>
      <c r="N2839">
        <v>10</v>
      </c>
      <c r="O2839" t="s">
        <v>21</v>
      </c>
      <c r="P2839" cm="1">
        <f t="array" ref="P2839">_xlfn.SWITCH(Table2[[#This Row],[mood]], "Tired", 3, "Neutral", 2, "Happy", 1)</f>
        <v>1</v>
      </c>
    </row>
    <row r="2840" spans="1:16" x14ac:dyDescent="0.3">
      <c r="A2840">
        <v>1800</v>
      </c>
      <c r="B2840" s="1">
        <v>44843</v>
      </c>
      <c r="C2840">
        <v>57</v>
      </c>
      <c r="D2840" t="s">
        <v>20</v>
      </c>
      <c r="E2840">
        <v>150</v>
      </c>
      <c r="F2840">
        <v>93.9</v>
      </c>
      <c r="G2840">
        <v>6403</v>
      </c>
      <c r="H2840">
        <v>464.8</v>
      </c>
      <c r="I2840">
        <v>8.8000000000000007</v>
      </c>
      <c r="J2840">
        <v>84</v>
      </c>
      <c r="K2840" t="s">
        <v>16</v>
      </c>
      <c r="L2840">
        <v>0</v>
      </c>
      <c r="M2840">
        <v>1.25</v>
      </c>
      <c r="N2840">
        <v>8</v>
      </c>
      <c r="O2840" t="s">
        <v>17</v>
      </c>
      <c r="P2840" cm="1">
        <f t="array" ref="P2840">_xlfn.SWITCH(Table2[[#This Row],[mood]], "Tired", 3, "Neutral", 2, "Happy", 1)</f>
        <v>3</v>
      </c>
    </row>
    <row r="2841" spans="1:16" x14ac:dyDescent="0.3">
      <c r="A2841">
        <v>1000</v>
      </c>
      <c r="B2841" s="1">
        <v>44844</v>
      </c>
      <c r="C2841">
        <v>24</v>
      </c>
      <c r="D2841" t="s">
        <v>20</v>
      </c>
      <c r="E2841">
        <v>186.6</v>
      </c>
      <c r="F2841">
        <v>79.599999999999994</v>
      </c>
      <c r="G2841">
        <v>7151</v>
      </c>
      <c r="H2841">
        <v>463.6</v>
      </c>
      <c r="I2841">
        <v>9.8000000000000007</v>
      </c>
      <c r="J2841">
        <v>78</v>
      </c>
      <c r="K2841" t="s">
        <v>24</v>
      </c>
      <c r="L2841">
        <v>24</v>
      </c>
      <c r="M2841">
        <v>2.92</v>
      </c>
      <c r="N2841">
        <v>1</v>
      </c>
      <c r="O2841" t="s">
        <v>19</v>
      </c>
      <c r="P2841" cm="1">
        <f t="array" ref="P2841">_xlfn.SWITCH(Table2[[#This Row],[mood]], "Tired", 3, "Neutral", 2, "Happy", 1)</f>
        <v>2</v>
      </c>
    </row>
    <row r="2842" spans="1:16" x14ac:dyDescent="0.3">
      <c r="A2842">
        <v>1146</v>
      </c>
      <c r="B2842" s="1">
        <v>44845</v>
      </c>
      <c r="C2842">
        <v>40</v>
      </c>
      <c r="D2842" t="s">
        <v>20</v>
      </c>
      <c r="E2842">
        <v>158.4</v>
      </c>
      <c r="F2842">
        <v>61.9</v>
      </c>
      <c r="G2842">
        <v>13359</v>
      </c>
      <c r="H2842">
        <v>695.3</v>
      </c>
      <c r="I2842">
        <v>7.3</v>
      </c>
      <c r="J2842">
        <v>76</v>
      </c>
      <c r="K2842" t="s">
        <v>25</v>
      </c>
      <c r="L2842">
        <v>88</v>
      </c>
      <c r="M2842">
        <v>1.94</v>
      </c>
      <c r="N2842">
        <v>3</v>
      </c>
      <c r="O2842" t="s">
        <v>21</v>
      </c>
      <c r="P2842" cm="1">
        <f t="array" ref="P2842">_xlfn.SWITCH(Table2[[#This Row],[mood]], "Tired", 3, "Neutral", 2, "Happy", 1)</f>
        <v>1</v>
      </c>
    </row>
    <row r="2843" spans="1:16" x14ac:dyDescent="0.3">
      <c r="A2843">
        <v>1286</v>
      </c>
      <c r="B2843" s="1">
        <v>44846</v>
      </c>
      <c r="C2843">
        <v>38</v>
      </c>
      <c r="D2843" t="s">
        <v>15</v>
      </c>
      <c r="E2843">
        <v>195.4</v>
      </c>
      <c r="F2843">
        <v>76.3</v>
      </c>
      <c r="G2843">
        <v>16227</v>
      </c>
      <c r="H2843">
        <v>794.3</v>
      </c>
      <c r="I2843">
        <v>6.3</v>
      </c>
      <c r="J2843">
        <v>67</v>
      </c>
      <c r="K2843" t="s">
        <v>22</v>
      </c>
      <c r="L2843">
        <v>66</v>
      </c>
      <c r="M2843">
        <v>3.37</v>
      </c>
      <c r="N2843">
        <v>5</v>
      </c>
      <c r="O2843" t="s">
        <v>21</v>
      </c>
      <c r="P2843" cm="1">
        <f t="array" ref="P2843">_xlfn.SWITCH(Table2[[#This Row],[mood]], "Tired", 3, "Neutral", 2, "Happy", 1)</f>
        <v>1</v>
      </c>
    </row>
    <row r="2844" spans="1:16" x14ac:dyDescent="0.3">
      <c r="A2844">
        <v>1975</v>
      </c>
      <c r="B2844" s="1">
        <v>44847</v>
      </c>
      <c r="C2844">
        <v>51</v>
      </c>
      <c r="D2844" t="s">
        <v>15</v>
      </c>
      <c r="E2844">
        <v>191.2</v>
      </c>
      <c r="F2844">
        <v>50.8</v>
      </c>
      <c r="G2844">
        <v>11057</v>
      </c>
      <c r="H2844">
        <v>672.1</v>
      </c>
      <c r="I2844">
        <v>5.7</v>
      </c>
      <c r="J2844">
        <v>87</v>
      </c>
      <c r="K2844" t="s">
        <v>22</v>
      </c>
      <c r="L2844">
        <v>39</v>
      </c>
      <c r="M2844">
        <v>2.5099999999999998</v>
      </c>
      <c r="N2844">
        <v>7</v>
      </c>
      <c r="O2844" t="s">
        <v>21</v>
      </c>
      <c r="P2844" cm="1">
        <f t="array" ref="P2844">_xlfn.SWITCH(Table2[[#This Row],[mood]], "Tired", 3, "Neutral", 2, "Happy", 1)</f>
        <v>1</v>
      </c>
    </row>
    <row r="2845" spans="1:16" x14ac:dyDescent="0.3">
      <c r="A2845">
        <v>1653</v>
      </c>
      <c r="B2845" s="1">
        <v>44848</v>
      </c>
      <c r="C2845">
        <v>28</v>
      </c>
      <c r="D2845" t="s">
        <v>15</v>
      </c>
      <c r="E2845">
        <v>156.80000000000001</v>
      </c>
      <c r="F2845">
        <v>66.7</v>
      </c>
      <c r="G2845">
        <v>1100</v>
      </c>
      <c r="H2845">
        <v>211.1</v>
      </c>
      <c r="I2845">
        <v>8.5</v>
      </c>
      <c r="J2845">
        <v>87</v>
      </c>
      <c r="K2845" t="s">
        <v>18</v>
      </c>
      <c r="L2845">
        <v>57</v>
      </c>
      <c r="M2845">
        <v>2.17</v>
      </c>
      <c r="N2845">
        <v>8</v>
      </c>
      <c r="O2845" t="s">
        <v>17</v>
      </c>
      <c r="P2845" cm="1">
        <f t="array" ref="P2845">_xlfn.SWITCH(Table2[[#This Row],[mood]], "Tired", 3, "Neutral", 2, "Happy", 1)</f>
        <v>3</v>
      </c>
    </row>
    <row r="2846" spans="1:16" x14ac:dyDescent="0.3">
      <c r="A2846">
        <v>1052</v>
      </c>
      <c r="B2846" s="1">
        <v>44849</v>
      </c>
      <c r="C2846">
        <v>39</v>
      </c>
      <c r="D2846" t="s">
        <v>15</v>
      </c>
      <c r="E2846">
        <v>178.2</v>
      </c>
      <c r="F2846">
        <v>55.7</v>
      </c>
      <c r="G2846">
        <v>5978</v>
      </c>
      <c r="H2846">
        <v>498.9</v>
      </c>
      <c r="I2846">
        <v>6</v>
      </c>
      <c r="J2846">
        <v>85</v>
      </c>
      <c r="K2846" t="s">
        <v>16</v>
      </c>
      <c r="L2846">
        <v>0</v>
      </c>
      <c r="M2846">
        <v>0.81</v>
      </c>
      <c r="N2846">
        <v>1</v>
      </c>
      <c r="O2846" t="s">
        <v>17</v>
      </c>
      <c r="P2846" cm="1">
        <f t="array" ref="P2846">_xlfn.SWITCH(Table2[[#This Row],[mood]], "Tired", 3, "Neutral", 2, "Happy", 1)</f>
        <v>3</v>
      </c>
    </row>
    <row r="2847" spans="1:16" x14ac:dyDescent="0.3">
      <c r="A2847">
        <v>1303</v>
      </c>
      <c r="B2847" s="1">
        <v>44850</v>
      </c>
      <c r="C2847">
        <v>59</v>
      </c>
      <c r="D2847" t="s">
        <v>15</v>
      </c>
      <c r="E2847">
        <v>159.80000000000001</v>
      </c>
      <c r="F2847">
        <v>76.8</v>
      </c>
      <c r="G2847">
        <v>10504</v>
      </c>
      <c r="H2847">
        <v>699.6</v>
      </c>
      <c r="I2847">
        <v>7.2</v>
      </c>
      <c r="J2847">
        <v>78</v>
      </c>
      <c r="K2847" t="s">
        <v>16</v>
      </c>
      <c r="L2847">
        <v>0</v>
      </c>
      <c r="M2847">
        <v>3.36</v>
      </c>
      <c r="N2847">
        <v>5</v>
      </c>
      <c r="O2847" t="s">
        <v>21</v>
      </c>
      <c r="P2847" cm="1">
        <f t="array" ref="P2847">_xlfn.SWITCH(Table2[[#This Row],[mood]], "Tired", 3, "Neutral", 2, "Happy", 1)</f>
        <v>1</v>
      </c>
    </row>
    <row r="2848" spans="1:16" x14ac:dyDescent="0.3">
      <c r="A2848">
        <v>1068</v>
      </c>
      <c r="B2848" s="1">
        <v>44851</v>
      </c>
      <c r="C2848">
        <v>52</v>
      </c>
      <c r="D2848" t="s">
        <v>15</v>
      </c>
      <c r="E2848">
        <v>163.6</v>
      </c>
      <c r="F2848">
        <v>67.2</v>
      </c>
      <c r="G2848">
        <v>11988</v>
      </c>
      <c r="H2848">
        <v>621.70000000000005</v>
      </c>
      <c r="I2848">
        <v>5.7</v>
      </c>
      <c r="J2848">
        <v>75</v>
      </c>
      <c r="K2848" t="s">
        <v>16</v>
      </c>
      <c r="L2848">
        <v>0</v>
      </c>
      <c r="M2848">
        <v>2.71</v>
      </c>
      <c r="N2848">
        <v>3</v>
      </c>
      <c r="O2848" t="s">
        <v>21</v>
      </c>
      <c r="P2848" cm="1">
        <f t="array" ref="P2848">_xlfn.SWITCH(Table2[[#This Row],[mood]], "Tired", 3, "Neutral", 2, "Happy", 1)</f>
        <v>1</v>
      </c>
    </row>
    <row r="2849" spans="1:16" x14ac:dyDescent="0.3">
      <c r="A2849">
        <v>1360</v>
      </c>
      <c r="B2849" s="1">
        <v>44852</v>
      </c>
      <c r="C2849">
        <v>46</v>
      </c>
      <c r="D2849" t="s">
        <v>20</v>
      </c>
      <c r="E2849">
        <v>163.80000000000001</v>
      </c>
      <c r="F2849">
        <v>74.3</v>
      </c>
      <c r="G2849">
        <v>15531</v>
      </c>
      <c r="H2849">
        <v>858.1</v>
      </c>
      <c r="I2849">
        <v>6.8</v>
      </c>
      <c r="J2849">
        <v>86</v>
      </c>
      <c r="K2849" t="s">
        <v>16</v>
      </c>
      <c r="L2849">
        <v>0</v>
      </c>
      <c r="M2849">
        <v>2.19</v>
      </c>
      <c r="N2849">
        <v>7</v>
      </c>
      <c r="O2849" t="s">
        <v>17</v>
      </c>
      <c r="P2849" cm="1">
        <f t="array" ref="P2849">_xlfn.SWITCH(Table2[[#This Row],[mood]], "Tired", 3, "Neutral", 2, "Happy", 1)</f>
        <v>3</v>
      </c>
    </row>
    <row r="2850" spans="1:16" x14ac:dyDescent="0.3">
      <c r="A2850">
        <v>1601</v>
      </c>
      <c r="B2850" s="1">
        <v>44853</v>
      </c>
      <c r="C2850">
        <v>59</v>
      </c>
      <c r="D2850" t="s">
        <v>15</v>
      </c>
      <c r="E2850">
        <v>174.5</v>
      </c>
      <c r="F2850">
        <v>81.599999999999994</v>
      </c>
      <c r="G2850">
        <v>7534</v>
      </c>
      <c r="H2850">
        <v>604.29999999999995</v>
      </c>
      <c r="I2850">
        <v>7.7</v>
      </c>
      <c r="J2850">
        <v>84</v>
      </c>
      <c r="K2850" t="s">
        <v>24</v>
      </c>
      <c r="L2850">
        <v>51</v>
      </c>
      <c r="M2850">
        <v>1.88</v>
      </c>
      <c r="N2850">
        <v>6</v>
      </c>
      <c r="O2850" t="s">
        <v>19</v>
      </c>
      <c r="P2850" cm="1">
        <f t="array" ref="P2850">_xlfn.SWITCH(Table2[[#This Row],[mood]], "Tired", 3, "Neutral", 2, "Happy", 1)</f>
        <v>2</v>
      </c>
    </row>
    <row r="2851" spans="1:16" x14ac:dyDescent="0.3">
      <c r="A2851">
        <v>1957</v>
      </c>
      <c r="B2851" s="1">
        <v>44854</v>
      </c>
      <c r="C2851">
        <v>45</v>
      </c>
      <c r="D2851" t="s">
        <v>15</v>
      </c>
      <c r="E2851">
        <v>173.2</v>
      </c>
      <c r="F2851">
        <v>63.1</v>
      </c>
      <c r="G2851">
        <v>17833</v>
      </c>
      <c r="H2851">
        <v>870.6</v>
      </c>
      <c r="I2851">
        <v>7.4</v>
      </c>
      <c r="J2851">
        <v>66</v>
      </c>
      <c r="K2851" t="s">
        <v>25</v>
      </c>
      <c r="L2851">
        <v>81</v>
      </c>
      <c r="M2851">
        <v>3.62</v>
      </c>
      <c r="N2851">
        <v>1</v>
      </c>
      <c r="O2851" t="s">
        <v>19</v>
      </c>
      <c r="P2851" cm="1">
        <f t="array" ref="P2851">_xlfn.SWITCH(Table2[[#This Row],[mood]], "Tired", 3, "Neutral", 2, "Happy", 1)</f>
        <v>2</v>
      </c>
    </row>
    <row r="2852" spans="1:16" x14ac:dyDescent="0.3">
      <c r="A2852">
        <v>1219</v>
      </c>
      <c r="B2852" s="1">
        <v>44855</v>
      </c>
      <c r="C2852">
        <v>35</v>
      </c>
      <c r="D2852" t="s">
        <v>15</v>
      </c>
      <c r="E2852">
        <v>158</v>
      </c>
      <c r="F2852">
        <v>63.6</v>
      </c>
      <c r="G2852">
        <v>12631</v>
      </c>
      <c r="H2852">
        <v>765.3</v>
      </c>
      <c r="I2852">
        <v>8.1</v>
      </c>
      <c r="J2852">
        <v>78</v>
      </c>
      <c r="K2852" t="s">
        <v>16</v>
      </c>
      <c r="L2852">
        <v>0</v>
      </c>
      <c r="M2852">
        <v>1.76</v>
      </c>
      <c r="N2852">
        <v>2</v>
      </c>
      <c r="O2852" t="s">
        <v>21</v>
      </c>
      <c r="P2852" cm="1">
        <f t="array" ref="P2852">_xlfn.SWITCH(Table2[[#This Row],[mood]], "Tired", 3, "Neutral", 2, "Happy", 1)</f>
        <v>1</v>
      </c>
    </row>
    <row r="2853" spans="1:16" x14ac:dyDescent="0.3">
      <c r="A2853">
        <v>1961</v>
      </c>
      <c r="B2853" s="1">
        <v>44856</v>
      </c>
      <c r="C2853">
        <v>31</v>
      </c>
      <c r="D2853" t="s">
        <v>15</v>
      </c>
      <c r="E2853">
        <v>174.4</v>
      </c>
      <c r="F2853">
        <v>69.400000000000006</v>
      </c>
      <c r="G2853">
        <v>12693</v>
      </c>
      <c r="H2853">
        <v>735.8</v>
      </c>
      <c r="I2853">
        <v>4.9000000000000004</v>
      </c>
      <c r="J2853">
        <v>82</v>
      </c>
      <c r="K2853" t="s">
        <v>23</v>
      </c>
      <c r="L2853">
        <v>52</v>
      </c>
      <c r="M2853">
        <v>2.2400000000000002</v>
      </c>
      <c r="N2853">
        <v>5</v>
      </c>
      <c r="O2853" t="s">
        <v>19</v>
      </c>
      <c r="P2853" cm="1">
        <f t="array" ref="P2853">_xlfn.SWITCH(Table2[[#This Row],[mood]], "Tired", 3, "Neutral", 2, "Happy", 1)</f>
        <v>2</v>
      </c>
    </row>
    <row r="2854" spans="1:16" x14ac:dyDescent="0.3">
      <c r="A2854">
        <v>1703</v>
      </c>
      <c r="B2854" s="1">
        <v>44857</v>
      </c>
      <c r="C2854">
        <v>35</v>
      </c>
      <c r="D2854" t="s">
        <v>20</v>
      </c>
      <c r="E2854">
        <v>168</v>
      </c>
      <c r="F2854">
        <v>57.1</v>
      </c>
      <c r="G2854">
        <v>4167</v>
      </c>
      <c r="H2854">
        <v>414.7</v>
      </c>
      <c r="I2854">
        <v>6.8</v>
      </c>
      <c r="J2854">
        <v>68</v>
      </c>
      <c r="K2854" t="s">
        <v>23</v>
      </c>
      <c r="L2854">
        <v>86</v>
      </c>
      <c r="M2854">
        <v>2.9</v>
      </c>
      <c r="N2854">
        <v>5</v>
      </c>
      <c r="O2854" t="s">
        <v>17</v>
      </c>
      <c r="P2854" cm="1">
        <f t="array" ref="P2854">_xlfn.SWITCH(Table2[[#This Row],[mood]], "Tired", 3, "Neutral", 2, "Happy", 1)</f>
        <v>3</v>
      </c>
    </row>
    <row r="2855" spans="1:16" x14ac:dyDescent="0.3">
      <c r="A2855">
        <v>1965</v>
      </c>
      <c r="B2855" s="1">
        <v>44858</v>
      </c>
      <c r="C2855">
        <v>45</v>
      </c>
      <c r="D2855" t="s">
        <v>20</v>
      </c>
      <c r="E2855">
        <v>151.80000000000001</v>
      </c>
      <c r="F2855">
        <v>69.8</v>
      </c>
      <c r="G2855">
        <v>6380</v>
      </c>
      <c r="H2855">
        <v>417.4</v>
      </c>
      <c r="I2855">
        <v>6.3</v>
      </c>
      <c r="J2855">
        <v>84</v>
      </c>
      <c r="K2855" t="s">
        <v>22</v>
      </c>
      <c r="L2855">
        <v>25</v>
      </c>
      <c r="M2855">
        <v>3.52</v>
      </c>
      <c r="N2855">
        <v>1</v>
      </c>
      <c r="O2855" t="s">
        <v>19</v>
      </c>
      <c r="P2855" cm="1">
        <f t="array" ref="P2855">_xlfn.SWITCH(Table2[[#This Row],[mood]], "Tired", 3, "Neutral", 2, "Happy", 1)</f>
        <v>2</v>
      </c>
    </row>
    <row r="2856" spans="1:16" x14ac:dyDescent="0.3">
      <c r="A2856">
        <v>1574</v>
      </c>
      <c r="B2856" s="1">
        <v>44859</v>
      </c>
      <c r="C2856">
        <v>41</v>
      </c>
      <c r="D2856" t="s">
        <v>15</v>
      </c>
      <c r="E2856">
        <v>165.7</v>
      </c>
      <c r="F2856">
        <v>70.599999999999994</v>
      </c>
      <c r="G2856">
        <v>14823</v>
      </c>
      <c r="H2856">
        <v>888.2</v>
      </c>
      <c r="I2856">
        <v>5.5</v>
      </c>
      <c r="J2856">
        <v>82</v>
      </c>
      <c r="K2856" t="s">
        <v>25</v>
      </c>
      <c r="L2856">
        <v>85</v>
      </c>
      <c r="M2856">
        <v>2.35</v>
      </c>
      <c r="N2856">
        <v>4</v>
      </c>
      <c r="O2856" t="s">
        <v>17</v>
      </c>
      <c r="P2856" cm="1">
        <f t="array" ref="P2856">_xlfn.SWITCH(Table2[[#This Row],[mood]], "Tired", 3, "Neutral", 2, "Happy", 1)</f>
        <v>3</v>
      </c>
    </row>
    <row r="2857" spans="1:16" x14ac:dyDescent="0.3">
      <c r="A2857">
        <v>1584</v>
      </c>
      <c r="B2857" s="1">
        <v>44860</v>
      </c>
      <c r="C2857">
        <v>25</v>
      </c>
      <c r="D2857" t="s">
        <v>20</v>
      </c>
      <c r="E2857">
        <v>186.6</v>
      </c>
      <c r="F2857">
        <v>73.400000000000006</v>
      </c>
      <c r="G2857">
        <v>12629</v>
      </c>
      <c r="H2857">
        <v>671.7</v>
      </c>
      <c r="I2857">
        <v>5.9</v>
      </c>
      <c r="J2857">
        <v>71</v>
      </c>
      <c r="K2857" t="s">
        <v>23</v>
      </c>
      <c r="L2857">
        <v>51</v>
      </c>
      <c r="M2857">
        <v>1.99</v>
      </c>
      <c r="N2857">
        <v>9</v>
      </c>
      <c r="O2857" t="s">
        <v>21</v>
      </c>
      <c r="P2857" cm="1">
        <f t="array" ref="P2857">_xlfn.SWITCH(Table2[[#This Row],[mood]], "Tired", 3, "Neutral", 2, "Happy", 1)</f>
        <v>1</v>
      </c>
    </row>
    <row r="2858" spans="1:16" x14ac:dyDescent="0.3">
      <c r="A2858">
        <v>1160</v>
      </c>
      <c r="B2858" s="1">
        <v>44861</v>
      </c>
      <c r="C2858">
        <v>59</v>
      </c>
      <c r="D2858" t="s">
        <v>20</v>
      </c>
      <c r="E2858">
        <v>166</v>
      </c>
      <c r="F2858">
        <v>76.3</v>
      </c>
      <c r="G2858">
        <v>4856</v>
      </c>
      <c r="H2858">
        <v>426.3</v>
      </c>
      <c r="I2858">
        <v>5.7</v>
      </c>
      <c r="J2858">
        <v>61</v>
      </c>
      <c r="K2858" t="s">
        <v>18</v>
      </c>
      <c r="L2858">
        <v>83</v>
      </c>
      <c r="M2858">
        <v>2.4300000000000002</v>
      </c>
      <c r="N2858">
        <v>9</v>
      </c>
      <c r="O2858" t="s">
        <v>19</v>
      </c>
      <c r="P2858" cm="1">
        <f t="array" ref="P2858">_xlfn.SWITCH(Table2[[#This Row],[mood]], "Tired", 3, "Neutral", 2, "Happy", 1)</f>
        <v>2</v>
      </c>
    </row>
    <row r="2859" spans="1:16" x14ac:dyDescent="0.3">
      <c r="A2859">
        <v>1680</v>
      </c>
      <c r="B2859" s="1">
        <v>44862</v>
      </c>
      <c r="C2859">
        <v>25</v>
      </c>
      <c r="D2859" t="s">
        <v>15</v>
      </c>
      <c r="E2859">
        <v>151.6</v>
      </c>
      <c r="F2859">
        <v>46</v>
      </c>
      <c r="G2859">
        <v>2075</v>
      </c>
      <c r="H2859">
        <v>279.8</v>
      </c>
      <c r="I2859">
        <v>7.5</v>
      </c>
      <c r="J2859">
        <v>81</v>
      </c>
      <c r="K2859" t="s">
        <v>25</v>
      </c>
      <c r="L2859">
        <v>45</v>
      </c>
      <c r="M2859">
        <v>3.13</v>
      </c>
      <c r="N2859">
        <v>5</v>
      </c>
      <c r="O2859" t="s">
        <v>19</v>
      </c>
      <c r="P2859" cm="1">
        <f t="array" ref="P2859">_xlfn.SWITCH(Table2[[#This Row],[mood]], "Tired", 3, "Neutral", 2, "Happy", 1)</f>
        <v>2</v>
      </c>
    </row>
    <row r="2860" spans="1:16" x14ac:dyDescent="0.3">
      <c r="A2860">
        <v>1088</v>
      </c>
      <c r="B2860" s="1">
        <v>44863</v>
      </c>
      <c r="C2860">
        <v>21</v>
      </c>
      <c r="D2860" t="s">
        <v>15</v>
      </c>
      <c r="E2860">
        <v>178.1</v>
      </c>
      <c r="F2860">
        <v>50.7</v>
      </c>
      <c r="G2860">
        <v>16755</v>
      </c>
      <c r="H2860">
        <v>897</v>
      </c>
      <c r="I2860">
        <v>7.6</v>
      </c>
      <c r="J2860">
        <v>95</v>
      </c>
      <c r="K2860" t="s">
        <v>22</v>
      </c>
      <c r="L2860">
        <v>81</v>
      </c>
      <c r="M2860">
        <v>3.29</v>
      </c>
      <c r="N2860">
        <v>7</v>
      </c>
      <c r="O2860" t="s">
        <v>17</v>
      </c>
      <c r="P2860" cm="1">
        <f t="array" ref="P2860">_xlfn.SWITCH(Table2[[#This Row],[mood]], "Tired", 3, "Neutral", 2, "Happy", 1)</f>
        <v>3</v>
      </c>
    </row>
    <row r="2861" spans="1:16" x14ac:dyDescent="0.3">
      <c r="A2861">
        <v>1687</v>
      </c>
      <c r="B2861" s="1">
        <v>44864</v>
      </c>
      <c r="C2861">
        <v>44</v>
      </c>
      <c r="D2861" t="s">
        <v>15</v>
      </c>
      <c r="E2861">
        <v>160.69999999999999</v>
      </c>
      <c r="F2861">
        <v>52.5</v>
      </c>
      <c r="G2861">
        <v>11914</v>
      </c>
      <c r="H2861">
        <v>627.4</v>
      </c>
      <c r="I2861">
        <v>8.3000000000000007</v>
      </c>
      <c r="J2861">
        <v>78</v>
      </c>
      <c r="K2861" t="s">
        <v>24</v>
      </c>
      <c r="L2861">
        <v>24</v>
      </c>
      <c r="M2861">
        <v>1.54</v>
      </c>
      <c r="N2861">
        <v>2</v>
      </c>
      <c r="O2861" t="s">
        <v>17</v>
      </c>
      <c r="P2861" cm="1">
        <f t="array" ref="P2861">_xlfn.SWITCH(Table2[[#This Row],[mood]], "Tired", 3, "Neutral", 2, "Happy", 1)</f>
        <v>3</v>
      </c>
    </row>
    <row r="2862" spans="1:16" x14ac:dyDescent="0.3">
      <c r="A2862">
        <v>1780</v>
      </c>
      <c r="B2862" s="1">
        <v>44865</v>
      </c>
      <c r="C2862">
        <v>53</v>
      </c>
      <c r="D2862" t="s">
        <v>15</v>
      </c>
      <c r="E2862">
        <v>172.1</v>
      </c>
      <c r="F2862">
        <v>71.400000000000006</v>
      </c>
      <c r="G2862">
        <v>1701</v>
      </c>
      <c r="H2862">
        <v>206.7</v>
      </c>
      <c r="I2862">
        <v>7.5</v>
      </c>
      <c r="J2862">
        <v>81</v>
      </c>
      <c r="K2862" t="s">
        <v>18</v>
      </c>
      <c r="L2862">
        <v>30</v>
      </c>
      <c r="M2862">
        <v>2.58</v>
      </c>
      <c r="N2862">
        <v>1</v>
      </c>
      <c r="O2862" t="s">
        <v>21</v>
      </c>
      <c r="P2862" cm="1">
        <f t="array" ref="P2862">_xlfn.SWITCH(Table2[[#This Row],[mood]], "Tired", 3, "Neutral", 2, "Happy", 1)</f>
        <v>1</v>
      </c>
    </row>
    <row r="2863" spans="1:16" x14ac:dyDescent="0.3">
      <c r="A2863">
        <v>1584</v>
      </c>
      <c r="B2863" s="1">
        <v>44866</v>
      </c>
      <c r="C2863">
        <v>22</v>
      </c>
      <c r="D2863" t="s">
        <v>15</v>
      </c>
      <c r="E2863">
        <v>168.3</v>
      </c>
      <c r="F2863">
        <v>65.7</v>
      </c>
      <c r="G2863">
        <v>4348</v>
      </c>
      <c r="H2863">
        <v>388.3</v>
      </c>
      <c r="I2863">
        <v>7.2</v>
      </c>
      <c r="J2863">
        <v>63</v>
      </c>
      <c r="K2863" t="s">
        <v>18</v>
      </c>
      <c r="L2863">
        <v>68</v>
      </c>
      <c r="M2863">
        <v>1.5</v>
      </c>
      <c r="N2863">
        <v>2</v>
      </c>
      <c r="O2863" t="s">
        <v>21</v>
      </c>
      <c r="P2863" cm="1">
        <f t="array" ref="P2863">_xlfn.SWITCH(Table2[[#This Row],[mood]], "Tired", 3, "Neutral", 2, "Happy", 1)</f>
        <v>1</v>
      </c>
    </row>
    <row r="2864" spans="1:16" x14ac:dyDescent="0.3">
      <c r="A2864">
        <v>1756</v>
      </c>
      <c r="B2864" s="1">
        <v>44867</v>
      </c>
      <c r="C2864">
        <v>50</v>
      </c>
      <c r="D2864" t="s">
        <v>20</v>
      </c>
      <c r="E2864">
        <v>187.6</v>
      </c>
      <c r="F2864">
        <v>45</v>
      </c>
      <c r="G2864">
        <v>9185</v>
      </c>
      <c r="H2864">
        <v>549</v>
      </c>
      <c r="I2864">
        <v>7.1</v>
      </c>
      <c r="J2864">
        <v>75</v>
      </c>
      <c r="K2864" t="s">
        <v>16</v>
      </c>
      <c r="L2864">
        <v>0</v>
      </c>
      <c r="M2864">
        <v>3.12</v>
      </c>
      <c r="N2864">
        <v>4</v>
      </c>
      <c r="O2864" t="s">
        <v>17</v>
      </c>
      <c r="P2864" cm="1">
        <f t="array" ref="P2864">_xlfn.SWITCH(Table2[[#This Row],[mood]], "Tired", 3, "Neutral", 2, "Happy", 1)</f>
        <v>3</v>
      </c>
    </row>
    <row r="2865" spans="1:16" x14ac:dyDescent="0.3">
      <c r="A2865">
        <v>1588</v>
      </c>
      <c r="B2865" s="1">
        <v>44868</v>
      </c>
      <c r="C2865">
        <v>51</v>
      </c>
      <c r="D2865" t="s">
        <v>15</v>
      </c>
      <c r="E2865">
        <v>168.3</v>
      </c>
      <c r="F2865">
        <v>99.2</v>
      </c>
      <c r="G2865">
        <v>7836</v>
      </c>
      <c r="H2865">
        <v>493.4</v>
      </c>
      <c r="I2865">
        <v>8</v>
      </c>
      <c r="J2865">
        <v>74</v>
      </c>
      <c r="K2865" t="s">
        <v>25</v>
      </c>
      <c r="L2865">
        <v>79</v>
      </c>
      <c r="M2865">
        <v>2.8</v>
      </c>
      <c r="N2865">
        <v>6</v>
      </c>
      <c r="O2865" t="s">
        <v>17</v>
      </c>
      <c r="P2865" cm="1">
        <f t="array" ref="P2865">_xlfn.SWITCH(Table2[[#This Row],[mood]], "Tired", 3, "Neutral", 2, "Happy", 1)</f>
        <v>3</v>
      </c>
    </row>
    <row r="2866" spans="1:16" x14ac:dyDescent="0.3">
      <c r="A2866">
        <v>1158</v>
      </c>
      <c r="B2866" s="1">
        <v>44869</v>
      </c>
      <c r="C2866">
        <v>47</v>
      </c>
      <c r="D2866" t="s">
        <v>15</v>
      </c>
      <c r="E2866">
        <v>158.6</v>
      </c>
      <c r="F2866">
        <v>45</v>
      </c>
      <c r="G2866">
        <v>14304</v>
      </c>
      <c r="H2866">
        <v>799.4</v>
      </c>
      <c r="I2866">
        <v>3.8</v>
      </c>
      <c r="J2866">
        <v>66</v>
      </c>
      <c r="K2866" t="s">
        <v>24</v>
      </c>
      <c r="L2866">
        <v>21</v>
      </c>
      <c r="M2866">
        <v>1.86</v>
      </c>
      <c r="N2866">
        <v>3</v>
      </c>
      <c r="O2866" t="s">
        <v>21</v>
      </c>
      <c r="P2866" cm="1">
        <f t="array" ref="P2866">_xlfn.SWITCH(Table2[[#This Row],[mood]], "Tired", 3, "Neutral", 2, "Happy", 1)</f>
        <v>1</v>
      </c>
    </row>
    <row r="2867" spans="1:16" x14ac:dyDescent="0.3">
      <c r="A2867">
        <v>1488</v>
      </c>
      <c r="B2867" s="1">
        <v>44870</v>
      </c>
      <c r="C2867">
        <v>25</v>
      </c>
      <c r="D2867" t="s">
        <v>15</v>
      </c>
      <c r="E2867">
        <v>165.3</v>
      </c>
      <c r="F2867">
        <v>70.5</v>
      </c>
      <c r="G2867">
        <v>11638</v>
      </c>
      <c r="H2867">
        <v>590.79999999999995</v>
      </c>
      <c r="I2867">
        <v>6.9</v>
      </c>
      <c r="J2867">
        <v>79</v>
      </c>
      <c r="K2867" t="s">
        <v>18</v>
      </c>
      <c r="L2867">
        <v>78</v>
      </c>
      <c r="M2867">
        <v>3.57</v>
      </c>
      <c r="N2867">
        <v>2</v>
      </c>
      <c r="O2867" t="s">
        <v>17</v>
      </c>
      <c r="P2867" cm="1">
        <f t="array" ref="P2867">_xlfn.SWITCH(Table2[[#This Row],[mood]], "Tired", 3, "Neutral", 2, "Happy", 1)</f>
        <v>3</v>
      </c>
    </row>
    <row r="2868" spans="1:16" x14ac:dyDescent="0.3">
      <c r="A2868">
        <v>1970</v>
      </c>
      <c r="B2868" s="1">
        <v>44871</v>
      </c>
      <c r="C2868">
        <v>56</v>
      </c>
      <c r="D2868" t="s">
        <v>20</v>
      </c>
      <c r="E2868">
        <v>157.69999999999999</v>
      </c>
      <c r="F2868">
        <v>78.5</v>
      </c>
      <c r="G2868">
        <v>3249</v>
      </c>
      <c r="H2868">
        <v>390.3</v>
      </c>
      <c r="I2868">
        <v>7.5</v>
      </c>
      <c r="J2868">
        <v>79</v>
      </c>
      <c r="K2868" t="s">
        <v>24</v>
      </c>
      <c r="L2868">
        <v>44</v>
      </c>
      <c r="M2868">
        <v>2.73</v>
      </c>
      <c r="N2868">
        <v>7</v>
      </c>
      <c r="O2868" t="s">
        <v>19</v>
      </c>
      <c r="P2868" cm="1">
        <f t="array" ref="P2868">_xlfn.SWITCH(Table2[[#This Row],[mood]], "Tired", 3, "Neutral", 2, "Happy", 1)</f>
        <v>2</v>
      </c>
    </row>
    <row r="2869" spans="1:16" x14ac:dyDescent="0.3">
      <c r="A2869">
        <v>1323</v>
      </c>
      <c r="B2869" s="1">
        <v>44872</v>
      </c>
      <c r="C2869">
        <v>43</v>
      </c>
      <c r="D2869" t="s">
        <v>15</v>
      </c>
      <c r="E2869">
        <v>167.9</v>
      </c>
      <c r="F2869">
        <v>59.2</v>
      </c>
      <c r="G2869">
        <v>11705</v>
      </c>
      <c r="H2869">
        <v>674.2</v>
      </c>
      <c r="I2869">
        <v>9.6999999999999993</v>
      </c>
      <c r="J2869">
        <v>72</v>
      </c>
      <c r="K2869" t="s">
        <v>22</v>
      </c>
      <c r="L2869">
        <v>87</v>
      </c>
      <c r="M2869">
        <v>2.66</v>
      </c>
      <c r="N2869">
        <v>8</v>
      </c>
      <c r="O2869" t="s">
        <v>21</v>
      </c>
      <c r="P2869" cm="1">
        <f t="array" ref="P2869">_xlfn.SWITCH(Table2[[#This Row],[mood]], "Tired", 3, "Neutral", 2, "Happy", 1)</f>
        <v>1</v>
      </c>
    </row>
    <row r="2870" spans="1:16" x14ac:dyDescent="0.3">
      <c r="A2870">
        <v>1609</v>
      </c>
      <c r="B2870" s="1">
        <v>44873</v>
      </c>
      <c r="C2870">
        <v>54</v>
      </c>
      <c r="D2870" t="s">
        <v>15</v>
      </c>
      <c r="E2870">
        <v>187.7</v>
      </c>
      <c r="F2870">
        <v>79.599999999999994</v>
      </c>
      <c r="G2870">
        <v>10374</v>
      </c>
      <c r="H2870">
        <v>653.1</v>
      </c>
      <c r="I2870">
        <v>5.3</v>
      </c>
      <c r="J2870">
        <v>75</v>
      </c>
      <c r="K2870" t="s">
        <v>18</v>
      </c>
      <c r="L2870">
        <v>61</v>
      </c>
      <c r="M2870">
        <v>2.37</v>
      </c>
      <c r="N2870">
        <v>9</v>
      </c>
      <c r="O2870" t="s">
        <v>19</v>
      </c>
      <c r="P2870" cm="1">
        <f t="array" ref="P2870">_xlfn.SWITCH(Table2[[#This Row],[mood]], "Tired", 3, "Neutral", 2, "Happy", 1)</f>
        <v>2</v>
      </c>
    </row>
    <row r="2871" spans="1:16" x14ac:dyDescent="0.3">
      <c r="A2871">
        <v>1380</v>
      </c>
      <c r="B2871" s="1">
        <v>44874</v>
      </c>
      <c r="C2871">
        <v>51</v>
      </c>
      <c r="D2871" t="s">
        <v>15</v>
      </c>
      <c r="E2871">
        <v>182.5</v>
      </c>
      <c r="F2871">
        <v>54.9</v>
      </c>
      <c r="G2871">
        <v>9118</v>
      </c>
      <c r="H2871">
        <v>591.1</v>
      </c>
      <c r="I2871">
        <v>5.3</v>
      </c>
      <c r="J2871">
        <v>96</v>
      </c>
      <c r="K2871" t="s">
        <v>23</v>
      </c>
      <c r="L2871">
        <v>74</v>
      </c>
      <c r="M2871">
        <v>2.4900000000000002</v>
      </c>
      <c r="N2871">
        <v>10</v>
      </c>
      <c r="O2871" t="s">
        <v>17</v>
      </c>
      <c r="P2871" cm="1">
        <f t="array" ref="P2871">_xlfn.SWITCH(Table2[[#This Row],[mood]], "Tired", 3, "Neutral", 2, "Happy", 1)</f>
        <v>3</v>
      </c>
    </row>
    <row r="2872" spans="1:16" x14ac:dyDescent="0.3">
      <c r="A2872">
        <v>1101</v>
      </c>
      <c r="B2872" s="1">
        <v>44875</v>
      </c>
      <c r="C2872">
        <v>24</v>
      </c>
      <c r="D2872" t="s">
        <v>20</v>
      </c>
      <c r="E2872">
        <v>190.4</v>
      </c>
      <c r="F2872">
        <v>72.599999999999994</v>
      </c>
      <c r="G2872">
        <v>3551</v>
      </c>
      <c r="H2872">
        <v>371.2</v>
      </c>
      <c r="I2872">
        <v>3.6</v>
      </c>
      <c r="J2872">
        <v>69</v>
      </c>
      <c r="K2872" t="s">
        <v>22</v>
      </c>
      <c r="L2872">
        <v>57</v>
      </c>
      <c r="M2872">
        <v>2.23</v>
      </c>
      <c r="N2872">
        <v>8</v>
      </c>
      <c r="O2872" t="s">
        <v>21</v>
      </c>
      <c r="P2872" cm="1">
        <f t="array" ref="P2872">_xlfn.SWITCH(Table2[[#This Row],[mood]], "Tired", 3, "Neutral", 2, "Happy", 1)</f>
        <v>1</v>
      </c>
    </row>
    <row r="2873" spans="1:16" x14ac:dyDescent="0.3">
      <c r="A2873">
        <v>1493</v>
      </c>
      <c r="B2873" s="1">
        <v>44876</v>
      </c>
      <c r="C2873">
        <v>57</v>
      </c>
      <c r="D2873" t="s">
        <v>15</v>
      </c>
      <c r="E2873">
        <v>174.8</v>
      </c>
      <c r="F2873">
        <v>45</v>
      </c>
      <c r="G2873">
        <v>13550</v>
      </c>
      <c r="H2873">
        <v>682.1</v>
      </c>
      <c r="I2873">
        <v>4.9000000000000004</v>
      </c>
      <c r="J2873">
        <v>64</v>
      </c>
      <c r="K2873" t="s">
        <v>22</v>
      </c>
      <c r="L2873">
        <v>62</v>
      </c>
      <c r="M2873">
        <v>1.98</v>
      </c>
      <c r="N2873">
        <v>2</v>
      </c>
      <c r="O2873" t="s">
        <v>21</v>
      </c>
      <c r="P2873" cm="1">
        <f t="array" ref="P2873">_xlfn.SWITCH(Table2[[#This Row],[mood]], "Tired", 3, "Neutral", 2, "Happy", 1)</f>
        <v>1</v>
      </c>
    </row>
    <row r="2874" spans="1:16" x14ac:dyDescent="0.3">
      <c r="A2874">
        <v>1643</v>
      </c>
      <c r="B2874" s="1">
        <v>44877</v>
      </c>
      <c r="C2874">
        <v>45</v>
      </c>
      <c r="D2874" t="s">
        <v>15</v>
      </c>
      <c r="E2874">
        <v>171.4</v>
      </c>
      <c r="F2874">
        <v>87.6</v>
      </c>
      <c r="G2874">
        <v>3214</v>
      </c>
      <c r="H2874">
        <v>386.8</v>
      </c>
      <c r="I2874">
        <v>6.8</v>
      </c>
      <c r="J2874">
        <v>63</v>
      </c>
      <c r="K2874" t="s">
        <v>16</v>
      </c>
      <c r="L2874">
        <v>0</v>
      </c>
      <c r="M2874">
        <v>3.36</v>
      </c>
      <c r="N2874">
        <v>3</v>
      </c>
      <c r="O2874" t="s">
        <v>21</v>
      </c>
      <c r="P2874" cm="1">
        <f t="array" ref="P2874">_xlfn.SWITCH(Table2[[#This Row],[mood]], "Tired", 3, "Neutral", 2, "Happy", 1)</f>
        <v>1</v>
      </c>
    </row>
    <row r="2875" spans="1:16" x14ac:dyDescent="0.3">
      <c r="A2875">
        <v>1613</v>
      </c>
      <c r="B2875" s="1">
        <v>44878</v>
      </c>
      <c r="C2875">
        <v>56</v>
      </c>
      <c r="D2875" t="s">
        <v>15</v>
      </c>
      <c r="E2875">
        <v>160</v>
      </c>
      <c r="F2875">
        <v>70</v>
      </c>
      <c r="G2875">
        <v>9534</v>
      </c>
      <c r="H2875">
        <v>595</v>
      </c>
      <c r="I2875">
        <v>5.9</v>
      </c>
      <c r="J2875">
        <v>77</v>
      </c>
      <c r="K2875" t="s">
        <v>18</v>
      </c>
      <c r="L2875">
        <v>72</v>
      </c>
      <c r="M2875">
        <v>2.16</v>
      </c>
      <c r="N2875">
        <v>1</v>
      </c>
      <c r="O2875" t="s">
        <v>17</v>
      </c>
      <c r="P2875" cm="1">
        <f t="array" ref="P2875">_xlfn.SWITCH(Table2[[#This Row],[mood]], "Tired", 3, "Neutral", 2, "Happy", 1)</f>
        <v>3</v>
      </c>
    </row>
    <row r="2876" spans="1:16" x14ac:dyDescent="0.3">
      <c r="A2876">
        <v>1018</v>
      </c>
      <c r="B2876" s="1">
        <v>44879</v>
      </c>
      <c r="C2876">
        <v>56</v>
      </c>
      <c r="D2876" t="s">
        <v>20</v>
      </c>
      <c r="E2876">
        <v>172.7</v>
      </c>
      <c r="F2876">
        <v>46.1</v>
      </c>
      <c r="G2876">
        <v>18101</v>
      </c>
      <c r="H2876">
        <v>900</v>
      </c>
      <c r="I2876">
        <v>5.9</v>
      </c>
      <c r="J2876">
        <v>50</v>
      </c>
      <c r="K2876" t="s">
        <v>23</v>
      </c>
      <c r="L2876">
        <v>40</v>
      </c>
      <c r="M2876">
        <v>2.13</v>
      </c>
      <c r="N2876">
        <v>1</v>
      </c>
      <c r="O2876" t="s">
        <v>21</v>
      </c>
      <c r="P2876" cm="1">
        <f t="array" ref="P2876">_xlfn.SWITCH(Table2[[#This Row],[mood]], "Tired", 3, "Neutral", 2, "Happy", 1)</f>
        <v>1</v>
      </c>
    </row>
    <row r="2877" spans="1:16" x14ac:dyDescent="0.3">
      <c r="A2877">
        <v>1453</v>
      </c>
      <c r="B2877" s="1">
        <v>44880</v>
      </c>
      <c r="C2877">
        <v>45</v>
      </c>
      <c r="D2877" t="s">
        <v>15</v>
      </c>
      <c r="E2877">
        <v>168.7</v>
      </c>
      <c r="F2877">
        <v>79.400000000000006</v>
      </c>
      <c r="G2877">
        <v>3460</v>
      </c>
      <c r="H2877">
        <v>332.1</v>
      </c>
      <c r="I2877">
        <v>7</v>
      </c>
      <c r="J2877">
        <v>70</v>
      </c>
      <c r="K2877" t="s">
        <v>24</v>
      </c>
      <c r="L2877">
        <v>39</v>
      </c>
      <c r="M2877">
        <v>2.41</v>
      </c>
      <c r="N2877">
        <v>6</v>
      </c>
      <c r="O2877" t="s">
        <v>21</v>
      </c>
      <c r="P2877" cm="1">
        <f t="array" ref="P2877">_xlfn.SWITCH(Table2[[#This Row],[mood]], "Tired", 3, "Neutral", 2, "Happy", 1)</f>
        <v>1</v>
      </c>
    </row>
    <row r="2878" spans="1:16" x14ac:dyDescent="0.3">
      <c r="A2878">
        <v>1481</v>
      </c>
      <c r="B2878" s="1">
        <v>44881</v>
      </c>
      <c r="C2878">
        <v>31</v>
      </c>
      <c r="D2878" t="s">
        <v>15</v>
      </c>
      <c r="E2878">
        <v>177.8</v>
      </c>
      <c r="F2878">
        <v>94.5</v>
      </c>
      <c r="G2878">
        <v>12928</v>
      </c>
      <c r="H2878">
        <v>735.2</v>
      </c>
      <c r="I2878">
        <v>7.9</v>
      </c>
      <c r="J2878">
        <v>65</v>
      </c>
      <c r="K2878" t="s">
        <v>23</v>
      </c>
      <c r="L2878">
        <v>38</v>
      </c>
      <c r="M2878">
        <v>3.5</v>
      </c>
      <c r="N2878">
        <v>3</v>
      </c>
      <c r="O2878" t="s">
        <v>21</v>
      </c>
      <c r="P2878" cm="1">
        <f t="array" ref="P2878">_xlfn.SWITCH(Table2[[#This Row],[mood]], "Tired", 3, "Neutral", 2, "Happy", 1)</f>
        <v>1</v>
      </c>
    </row>
    <row r="2879" spans="1:16" x14ac:dyDescent="0.3">
      <c r="A2879">
        <v>1593</v>
      </c>
      <c r="B2879" s="1">
        <v>44882</v>
      </c>
      <c r="C2879">
        <v>55</v>
      </c>
      <c r="D2879" t="s">
        <v>15</v>
      </c>
      <c r="E2879">
        <v>158.80000000000001</v>
      </c>
      <c r="F2879">
        <v>56.1</v>
      </c>
      <c r="G2879">
        <v>4255</v>
      </c>
      <c r="H2879">
        <v>379.2</v>
      </c>
      <c r="I2879">
        <v>7</v>
      </c>
      <c r="J2879">
        <v>74</v>
      </c>
      <c r="K2879" t="s">
        <v>22</v>
      </c>
      <c r="L2879">
        <v>52</v>
      </c>
      <c r="M2879">
        <v>3.29</v>
      </c>
      <c r="N2879">
        <v>4</v>
      </c>
      <c r="O2879" t="s">
        <v>21</v>
      </c>
      <c r="P2879" cm="1">
        <f t="array" ref="P2879">_xlfn.SWITCH(Table2[[#This Row],[mood]], "Tired", 3, "Neutral", 2, "Happy", 1)</f>
        <v>1</v>
      </c>
    </row>
    <row r="2880" spans="1:16" x14ac:dyDescent="0.3">
      <c r="A2880">
        <v>1396</v>
      </c>
      <c r="B2880" s="1">
        <v>44883</v>
      </c>
      <c r="C2880">
        <v>21</v>
      </c>
      <c r="D2880" t="s">
        <v>20</v>
      </c>
      <c r="E2880">
        <v>170.5</v>
      </c>
      <c r="F2880">
        <v>66.8</v>
      </c>
      <c r="G2880">
        <v>6334</v>
      </c>
      <c r="H2880">
        <v>483.2</v>
      </c>
      <c r="I2880">
        <v>7</v>
      </c>
      <c r="J2880">
        <v>74</v>
      </c>
      <c r="K2880" t="s">
        <v>18</v>
      </c>
      <c r="L2880">
        <v>82</v>
      </c>
      <c r="M2880">
        <v>2.2200000000000002</v>
      </c>
      <c r="N2880">
        <v>10</v>
      </c>
      <c r="O2880" t="s">
        <v>17</v>
      </c>
      <c r="P2880" cm="1">
        <f t="array" ref="P2880">_xlfn.SWITCH(Table2[[#This Row],[mood]], "Tired", 3, "Neutral", 2, "Happy", 1)</f>
        <v>3</v>
      </c>
    </row>
    <row r="2881" spans="1:16" x14ac:dyDescent="0.3">
      <c r="A2881">
        <v>1278</v>
      </c>
      <c r="B2881" s="1">
        <v>44884</v>
      </c>
      <c r="C2881">
        <v>59</v>
      </c>
      <c r="D2881" t="s">
        <v>15</v>
      </c>
      <c r="E2881">
        <v>154.30000000000001</v>
      </c>
      <c r="F2881">
        <v>62.3</v>
      </c>
      <c r="G2881">
        <v>13281</v>
      </c>
      <c r="H2881">
        <v>813.9</v>
      </c>
      <c r="I2881">
        <v>7.6</v>
      </c>
      <c r="J2881">
        <v>78</v>
      </c>
      <c r="K2881" t="s">
        <v>23</v>
      </c>
      <c r="L2881">
        <v>87</v>
      </c>
      <c r="M2881">
        <v>3.36</v>
      </c>
      <c r="N2881">
        <v>8</v>
      </c>
      <c r="O2881" t="s">
        <v>21</v>
      </c>
      <c r="P2881" cm="1">
        <f t="array" ref="P2881">_xlfn.SWITCH(Table2[[#This Row],[mood]], "Tired", 3, "Neutral", 2, "Happy", 1)</f>
        <v>1</v>
      </c>
    </row>
    <row r="2882" spans="1:16" x14ac:dyDescent="0.3">
      <c r="A2882">
        <v>1850</v>
      </c>
      <c r="B2882" s="1">
        <v>44885</v>
      </c>
      <c r="C2882">
        <v>35</v>
      </c>
      <c r="D2882" t="s">
        <v>15</v>
      </c>
      <c r="E2882">
        <v>173.4</v>
      </c>
      <c r="F2882">
        <v>58.4</v>
      </c>
      <c r="G2882">
        <v>7830</v>
      </c>
      <c r="H2882">
        <v>461.4</v>
      </c>
      <c r="I2882">
        <v>4.3</v>
      </c>
      <c r="J2882">
        <v>81</v>
      </c>
      <c r="K2882" t="s">
        <v>23</v>
      </c>
      <c r="L2882">
        <v>79</v>
      </c>
      <c r="M2882">
        <v>2.58</v>
      </c>
      <c r="N2882">
        <v>5</v>
      </c>
      <c r="O2882" t="s">
        <v>21</v>
      </c>
      <c r="P2882" cm="1">
        <f t="array" ref="P2882">_xlfn.SWITCH(Table2[[#This Row],[mood]], "Tired", 3, "Neutral", 2, "Happy", 1)</f>
        <v>1</v>
      </c>
    </row>
    <row r="2883" spans="1:16" x14ac:dyDescent="0.3">
      <c r="A2883">
        <v>1364</v>
      </c>
      <c r="B2883" s="1">
        <v>44886</v>
      </c>
      <c r="C2883">
        <v>42</v>
      </c>
      <c r="D2883" t="s">
        <v>15</v>
      </c>
      <c r="E2883">
        <v>176.8</v>
      </c>
      <c r="F2883">
        <v>56.9</v>
      </c>
      <c r="G2883">
        <v>8754</v>
      </c>
      <c r="H2883">
        <v>587.70000000000005</v>
      </c>
      <c r="I2883">
        <v>7.2</v>
      </c>
      <c r="J2883">
        <v>86</v>
      </c>
      <c r="K2883" t="s">
        <v>22</v>
      </c>
      <c r="L2883">
        <v>38</v>
      </c>
      <c r="M2883">
        <v>1.91</v>
      </c>
      <c r="N2883">
        <v>6</v>
      </c>
      <c r="O2883" t="s">
        <v>17</v>
      </c>
      <c r="P2883" cm="1">
        <f t="array" ref="P2883">_xlfn.SWITCH(Table2[[#This Row],[mood]], "Tired", 3, "Neutral", 2, "Happy", 1)</f>
        <v>3</v>
      </c>
    </row>
    <row r="2884" spans="1:16" x14ac:dyDescent="0.3">
      <c r="A2884">
        <v>1330</v>
      </c>
      <c r="B2884" s="1">
        <v>44887</v>
      </c>
      <c r="C2884">
        <v>24</v>
      </c>
      <c r="D2884" t="s">
        <v>20</v>
      </c>
      <c r="E2884">
        <v>153.80000000000001</v>
      </c>
      <c r="F2884">
        <v>60.3</v>
      </c>
      <c r="G2884">
        <v>7940</v>
      </c>
      <c r="H2884">
        <v>512.20000000000005</v>
      </c>
      <c r="I2884">
        <v>6.9</v>
      </c>
      <c r="J2884">
        <v>71</v>
      </c>
      <c r="K2884" t="s">
        <v>24</v>
      </c>
      <c r="L2884">
        <v>47</v>
      </c>
      <c r="M2884">
        <v>2.17</v>
      </c>
      <c r="N2884">
        <v>9</v>
      </c>
      <c r="O2884" t="s">
        <v>21</v>
      </c>
      <c r="P2884" cm="1">
        <f t="array" ref="P2884">_xlfn.SWITCH(Table2[[#This Row],[mood]], "Tired", 3, "Neutral", 2, "Happy", 1)</f>
        <v>1</v>
      </c>
    </row>
    <row r="2885" spans="1:16" x14ac:dyDescent="0.3">
      <c r="A2885">
        <v>1640</v>
      </c>
      <c r="B2885" s="1">
        <v>44888</v>
      </c>
      <c r="C2885">
        <v>55</v>
      </c>
      <c r="D2885" t="s">
        <v>20</v>
      </c>
      <c r="E2885">
        <v>156.6</v>
      </c>
      <c r="F2885">
        <v>61.1</v>
      </c>
      <c r="G2885">
        <v>11722</v>
      </c>
      <c r="H2885">
        <v>726</v>
      </c>
      <c r="I2885">
        <v>7</v>
      </c>
      <c r="J2885">
        <v>68</v>
      </c>
      <c r="K2885" t="s">
        <v>23</v>
      </c>
      <c r="L2885">
        <v>41</v>
      </c>
      <c r="M2885">
        <v>3.46</v>
      </c>
      <c r="N2885">
        <v>2</v>
      </c>
      <c r="O2885" t="s">
        <v>19</v>
      </c>
      <c r="P2885" cm="1">
        <f t="array" ref="P2885">_xlfn.SWITCH(Table2[[#This Row],[mood]], "Tired", 3, "Neutral", 2, "Happy", 1)</f>
        <v>2</v>
      </c>
    </row>
    <row r="2886" spans="1:16" x14ac:dyDescent="0.3">
      <c r="A2886">
        <v>1343</v>
      </c>
      <c r="B2886" s="1">
        <v>44889</v>
      </c>
      <c r="C2886">
        <v>45</v>
      </c>
      <c r="D2886" t="s">
        <v>15</v>
      </c>
      <c r="E2886">
        <v>157</v>
      </c>
      <c r="F2886">
        <v>64.7</v>
      </c>
      <c r="G2886">
        <v>4632</v>
      </c>
      <c r="H2886">
        <v>466.6</v>
      </c>
      <c r="I2886">
        <v>6.1</v>
      </c>
      <c r="J2886">
        <v>84</v>
      </c>
      <c r="K2886" t="s">
        <v>16</v>
      </c>
      <c r="L2886">
        <v>0</v>
      </c>
      <c r="M2886">
        <v>3.96</v>
      </c>
      <c r="N2886">
        <v>3</v>
      </c>
      <c r="O2886" t="s">
        <v>21</v>
      </c>
      <c r="P2886" cm="1">
        <f t="array" ref="P2886">_xlfn.SWITCH(Table2[[#This Row],[mood]], "Tired", 3, "Neutral", 2, "Happy", 1)</f>
        <v>1</v>
      </c>
    </row>
    <row r="2887" spans="1:16" x14ac:dyDescent="0.3">
      <c r="A2887">
        <v>1821</v>
      </c>
      <c r="B2887" s="1">
        <v>44890</v>
      </c>
      <c r="C2887">
        <v>22</v>
      </c>
      <c r="D2887" t="s">
        <v>20</v>
      </c>
      <c r="E2887">
        <v>168.2</v>
      </c>
      <c r="F2887">
        <v>63.6</v>
      </c>
      <c r="G2887">
        <v>17029</v>
      </c>
      <c r="H2887">
        <v>891</v>
      </c>
      <c r="I2887">
        <v>6.7</v>
      </c>
      <c r="J2887">
        <v>58</v>
      </c>
      <c r="K2887" t="s">
        <v>23</v>
      </c>
      <c r="L2887">
        <v>82</v>
      </c>
      <c r="M2887">
        <v>2.72</v>
      </c>
      <c r="N2887">
        <v>5</v>
      </c>
      <c r="O2887" t="s">
        <v>21</v>
      </c>
      <c r="P2887" cm="1">
        <f t="array" ref="P2887">_xlfn.SWITCH(Table2[[#This Row],[mood]], "Tired", 3, "Neutral", 2, "Happy", 1)</f>
        <v>1</v>
      </c>
    </row>
    <row r="2888" spans="1:16" x14ac:dyDescent="0.3">
      <c r="A2888">
        <v>1454</v>
      </c>
      <c r="B2888" s="1">
        <v>44891</v>
      </c>
      <c r="C2888">
        <v>20</v>
      </c>
      <c r="D2888" t="s">
        <v>20</v>
      </c>
      <c r="E2888">
        <v>156</v>
      </c>
      <c r="F2888">
        <v>81.400000000000006</v>
      </c>
      <c r="G2888">
        <v>1014</v>
      </c>
      <c r="H2888">
        <v>271.60000000000002</v>
      </c>
      <c r="I2888">
        <v>7.6</v>
      </c>
      <c r="J2888">
        <v>83</v>
      </c>
      <c r="K2888" t="s">
        <v>25</v>
      </c>
      <c r="L2888">
        <v>81</v>
      </c>
      <c r="M2888">
        <v>2.1</v>
      </c>
      <c r="N2888">
        <v>2</v>
      </c>
      <c r="O2888" t="s">
        <v>19</v>
      </c>
      <c r="P2888" cm="1">
        <f t="array" ref="P2888">_xlfn.SWITCH(Table2[[#This Row],[mood]], "Tired", 3, "Neutral", 2, "Happy", 1)</f>
        <v>2</v>
      </c>
    </row>
    <row r="2889" spans="1:16" x14ac:dyDescent="0.3">
      <c r="A2889">
        <v>1600</v>
      </c>
      <c r="B2889" s="1">
        <v>44892</v>
      </c>
      <c r="C2889">
        <v>48</v>
      </c>
      <c r="D2889" t="s">
        <v>20</v>
      </c>
      <c r="E2889">
        <v>183.8</v>
      </c>
      <c r="F2889">
        <v>80.099999999999994</v>
      </c>
      <c r="G2889">
        <v>12581</v>
      </c>
      <c r="H2889">
        <v>764</v>
      </c>
      <c r="I2889">
        <v>9.4</v>
      </c>
      <c r="J2889">
        <v>76</v>
      </c>
      <c r="K2889" t="s">
        <v>22</v>
      </c>
      <c r="L2889">
        <v>48</v>
      </c>
      <c r="M2889">
        <v>2.41</v>
      </c>
      <c r="N2889">
        <v>8</v>
      </c>
      <c r="O2889" t="s">
        <v>17</v>
      </c>
      <c r="P2889" cm="1">
        <f t="array" ref="P2889">_xlfn.SWITCH(Table2[[#This Row],[mood]], "Tired", 3, "Neutral", 2, "Happy", 1)</f>
        <v>3</v>
      </c>
    </row>
    <row r="2890" spans="1:16" x14ac:dyDescent="0.3">
      <c r="A2890">
        <v>1724</v>
      </c>
      <c r="B2890" s="1">
        <v>44893</v>
      </c>
      <c r="C2890">
        <v>59</v>
      </c>
      <c r="D2890" t="s">
        <v>15</v>
      </c>
      <c r="E2890">
        <v>174.4</v>
      </c>
      <c r="F2890">
        <v>47</v>
      </c>
      <c r="G2890">
        <v>15157</v>
      </c>
      <c r="H2890">
        <v>856.2</v>
      </c>
      <c r="I2890">
        <v>4.5</v>
      </c>
      <c r="J2890">
        <v>79</v>
      </c>
      <c r="K2890" t="s">
        <v>25</v>
      </c>
      <c r="L2890">
        <v>51</v>
      </c>
      <c r="M2890">
        <v>1.97</v>
      </c>
      <c r="N2890">
        <v>2</v>
      </c>
      <c r="O2890" t="s">
        <v>21</v>
      </c>
      <c r="P2890" cm="1">
        <f t="array" ref="P2890">_xlfn.SWITCH(Table2[[#This Row],[mood]], "Tired", 3, "Neutral", 2, "Happy", 1)</f>
        <v>1</v>
      </c>
    </row>
    <row r="2891" spans="1:16" x14ac:dyDescent="0.3">
      <c r="A2891">
        <v>1654</v>
      </c>
      <c r="B2891" s="1">
        <v>44894</v>
      </c>
      <c r="C2891">
        <v>37</v>
      </c>
      <c r="D2891" t="s">
        <v>15</v>
      </c>
      <c r="E2891">
        <v>176</v>
      </c>
      <c r="F2891">
        <v>61.1</v>
      </c>
      <c r="G2891">
        <v>12506</v>
      </c>
      <c r="H2891">
        <v>763.1</v>
      </c>
      <c r="I2891">
        <v>7.9</v>
      </c>
      <c r="J2891">
        <v>79</v>
      </c>
      <c r="K2891" t="s">
        <v>22</v>
      </c>
      <c r="L2891">
        <v>44</v>
      </c>
      <c r="M2891">
        <v>2.0699999999999998</v>
      </c>
      <c r="N2891">
        <v>4</v>
      </c>
      <c r="O2891" t="s">
        <v>19</v>
      </c>
      <c r="P2891" cm="1">
        <f t="array" ref="P2891">_xlfn.SWITCH(Table2[[#This Row],[mood]], "Tired", 3, "Neutral", 2, "Happy", 1)</f>
        <v>2</v>
      </c>
    </row>
    <row r="2892" spans="1:16" x14ac:dyDescent="0.3">
      <c r="A2892">
        <v>1064</v>
      </c>
      <c r="B2892" s="1">
        <v>44895</v>
      </c>
      <c r="C2892">
        <v>36</v>
      </c>
      <c r="D2892" t="s">
        <v>20</v>
      </c>
      <c r="E2892">
        <v>154.1</v>
      </c>
      <c r="F2892">
        <v>88.8</v>
      </c>
      <c r="G2892">
        <v>9208</v>
      </c>
      <c r="H2892">
        <v>553.4</v>
      </c>
      <c r="I2892">
        <v>8.8000000000000007</v>
      </c>
      <c r="J2892">
        <v>76</v>
      </c>
      <c r="K2892" t="s">
        <v>22</v>
      </c>
      <c r="L2892">
        <v>35</v>
      </c>
      <c r="M2892">
        <v>2</v>
      </c>
      <c r="N2892">
        <v>3</v>
      </c>
      <c r="O2892" t="s">
        <v>17</v>
      </c>
      <c r="P2892" cm="1">
        <f t="array" ref="P2892">_xlfn.SWITCH(Table2[[#This Row],[mood]], "Tired", 3, "Neutral", 2, "Happy", 1)</f>
        <v>3</v>
      </c>
    </row>
    <row r="2893" spans="1:16" x14ac:dyDescent="0.3">
      <c r="A2893">
        <v>1075</v>
      </c>
      <c r="B2893" s="1">
        <v>44896</v>
      </c>
      <c r="C2893">
        <v>28</v>
      </c>
      <c r="D2893" t="s">
        <v>20</v>
      </c>
      <c r="E2893">
        <v>182.9</v>
      </c>
      <c r="F2893">
        <v>74.400000000000006</v>
      </c>
      <c r="G2893">
        <v>10971</v>
      </c>
      <c r="H2893">
        <v>613</v>
      </c>
      <c r="I2893">
        <v>5.0999999999999996</v>
      </c>
      <c r="J2893">
        <v>77</v>
      </c>
      <c r="K2893" t="s">
        <v>25</v>
      </c>
      <c r="L2893">
        <v>34</v>
      </c>
      <c r="M2893">
        <v>2.44</v>
      </c>
      <c r="N2893">
        <v>4</v>
      </c>
      <c r="O2893" t="s">
        <v>17</v>
      </c>
      <c r="P2893" cm="1">
        <f t="array" ref="P2893">_xlfn.SWITCH(Table2[[#This Row],[mood]], "Tired", 3, "Neutral", 2, "Happy", 1)</f>
        <v>3</v>
      </c>
    </row>
    <row r="2894" spans="1:16" x14ac:dyDescent="0.3">
      <c r="A2894">
        <v>1710</v>
      </c>
      <c r="B2894" s="1">
        <v>44897</v>
      </c>
      <c r="C2894">
        <v>57</v>
      </c>
      <c r="D2894" t="s">
        <v>20</v>
      </c>
      <c r="E2894">
        <v>176.5</v>
      </c>
      <c r="F2894">
        <v>75</v>
      </c>
      <c r="G2894">
        <v>19333</v>
      </c>
      <c r="H2894">
        <v>900</v>
      </c>
      <c r="I2894">
        <v>6.7</v>
      </c>
      <c r="J2894">
        <v>64</v>
      </c>
      <c r="K2894" t="s">
        <v>24</v>
      </c>
      <c r="L2894">
        <v>78</v>
      </c>
      <c r="M2894">
        <v>2.58</v>
      </c>
      <c r="N2894">
        <v>4</v>
      </c>
      <c r="O2894" t="s">
        <v>19</v>
      </c>
      <c r="P2894" cm="1">
        <f t="array" ref="P2894">_xlfn.SWITCH(Table2[[#This Row],[mood]], "Tired", 3, "Neutral", 2, "Happy", 1)</f>
        <v>2</v>
      </c>
    </row>
    <row r="2895" spans="1:16" x14ac:dyDescent="0.3">
      <c r="A2895">
        <v>1142</v>
      </c>
      <c r="B2895" s="1">
        <v>44898</v>
      </c>
      <c r="C2895">
        <v>20</v>
      </c>
      <c r="D2895" t="s">
        <v>15</v>
      </c>
      <c r="E2895">
        <v>163.19999999999999</v>
      </c>
      <c r="F2895">
        <v>73.599999999999994</v>
      </c>
      <c r="G2895">
        <v>9272</v>
      </c>
      <c r="H2895">
        <v>561.1</v>
      </c>
      <c r="I2895">
        <v>7.4</v>
      </c>
      <c r="J2895">
        <v>68</v>
      </c>
      <c r="K2895" t="s">
        <v>24</v>
      </c>
      <c r="L2895">
        <v>67</v>
      </c>
      <c r="M2895">
        <v>2.4</v>
      </c>
      <c r="N2895">
        <v>6</v>
      </c>
      <c r="O2895" t="s">
        <v>17</v>
      </c>
      <c r="P2895" cm="1">
        <f t="array" ref="P2895">_xlfn.SWITCH(Table2[[#This Row],[mood]], "Tired", 3, "Neutral", 2, "Happy", 1)</f>
        <v>3</v>
      </c>
    </row>
    <row r="2896" spans="1:16" x14ac:dyDescent="0.3">
      <c r="A2896">
        <v>1916</v>
      </c>
      <c r="B2896" s="1">
        <v>44899</v>
      </c>
      <c r="C2896">
        <v>40</v>
      </c>
      <c r="D2896" t="s">
        <v>15</v>
      </c>
      <c r="E2896">
        <v>154.6</v>
      </c>
      <c r="F2896">
        <v>66.099999999999994</v>
      </c>
      <c r="G2896">
        <v>4079</v>
      </c>
      <c r="H2896">
        <v>359</v>
      </c>
      <c r="I2896">
        <v>10</v>
      </c>
      <c r="J2896">
        <v>93</v>
      </c>
      <c r="K2896" t="s">
        <v>22</v>
      </c>
      <c r="L2896">
        <v>37</v>
      </c>
      <c r="M2896">
        <v>2.35</v>
      </c>
      <c r="N2896">
        <v>10</v>
      </c>
      <c r="O2896" t="s">
        <v>17</v>
      </c>
      <c r="P2896" cm="1">
        <f t="array" ref="P2896">_xlfn.SWITCH(Table2[[#This Row],[mood]], "Tired", 3, "Neutral", 2, "Happy", 1)</f>
        <v>3</v>
      </c>
    </row>
    <row r="2897" spans="1:16" x14ac:dyDescent="0.3">
      <c r="A2897">
        <v>1914</v>
      </c>
      <c r="B2897" s="1">
        <v>44900</v>
      </c>
      <c r="C2897">
        <v>24</v>
      </c>
      <c r="D2897" t="s">
        <v>20</v>
      </c>
      <c r="E2897">
        <v>169.2</v>
      </c>
      <c r="F2897">
        <v>69.400000000000006</v>
      </c>
      <c r="G2897">
        <v>9127</v>
      </c>
      <c r="H2897">
        <v>557.9</v>
      </c>
      <c r="I2897">
        <v>10</v>
      </c>
      <c r="J2897">
        <v>82</v>
      </c>
      <c r="K2897" t="s">
        <v>25</v>
      </c>
      <c r="L2897">
        <v>42</v>
      </c>
      <c r="M2897">
        <v>3.03</v>
      </c>
      <c r="N2897">
        <v>10</v>
      </c>
      <c r="O2897" t="s">
        <v>19</v>
      </c>
      <c r="P2897" cm="1">
        <f t="array" ref="P2897">_xlfn.SWITCH(Table2[[#This Row],[mood]], "Tired", 3, "Neutral", 2, "Happy", 1)</f>
        <v>2</v>
      </c>
    </row>
    <row r="2898" spans="1:16" x14ac:dyDescent="0.3">
      <c r="A2898">
        <v>1827</v>
      </c>
      <c r="B2898" s="1">
        <v>44901</v>
      </c>
      <c r="C2898">
        <v>40</v>
      </c>
      <c r="D2898" t="s">
        <v>20</v>
      </c>
      <c r="E2898">
        <v>165.3</v>
      </c>
      <c r="F2898">
        <v>63.9</v>
      </c>
      <c r="G2898">
        <v>10210</v>
      </c>
      <c r="H2898">
        <v>633</v>
      </c>
      <c r="I2898">
        <v>5.0999999999999996</v>
      </c>
      <c r="J2898">
        <v>86</v>
      </c>
      <c r="K2898" t="s">
        <v>23</v>
      </c>
      <c r="L2898">
        <v>74</v>
      </c>
      <c r="M2898">
        <v>2.34</v>
      </c>
      <c r="N2898">
        <v>10</v>
      </c>
      <c r="O2898" t="s">
        <v>17</v>
      </c>
      <c r="P2898" cm="1">
        <f t="array" ref="P2898">_xlfn.SWITCH(Table2[[#This Row],[mood]], "Tired", 3, "Neutral", 2, "Happy", 1)</f>
        <v>3</v>
      </c>
    </row>
    <row r="2899" spans="1:16" x14ac:dyDescent="0.3">
      <c r="A2899">
        <v>1604</v>
      </c>
      <c r="B2899" s="1">
        <v>44902</v>
      </c>
      <c r="C2899">
        <v>24</v>
      </c>
      <c r="D2899" t="s">
        <v>20</v>
      </c>
      <c r="E2899">
        <v>165.8</v>
      </c>
      <c r="F2899">
        <v>82.8</v>
      </c>
      <c r="G2899">
        <v>16014</v>
      </c>
      <c r="H2899">
        <v>866.5</v>
      </c>
      <c r="I2899">
        <v>6.5</v>
      </c>
      <c r="J2899">
        <v>72</v>
      </c>
      <c r="K2899" t="s">
        <v>22</v>
      </c>
      <c r="L2899">
        <v>61</v>
      </c>
      <c r="M2899">
        <v>2.38</v>
      </c>
      <c r="N2899">
        <v>9</v>
      </c>
      <c r="O2899" t="s">
        <v>19</v>
      </c>
      <c r="P2899" cm="1">
        <f t="array" ref="P2899">_xlfn.SWITCH(Table2[[#This Row],[mood]], "Tired", 3, "Neutral", 2, "Happy", 1)</f>
        <v>2</v>
      </c>
    </row>
    <row r="2900" spans="1:16" x14ac:dyDescent="0.3">
      <c r="A2900">
        <v>1472</v>
      </c>
      <c r="B2900" s="1">
        <v>44903</v>
      </c>
      <c r="C2900">
        <v>51</v>
      </c>
      <c r="D2900" t="s">
        <v>20</v>
      </c>
      <c r="E2900">
        <v>162.9</v>
      </c>
      <c r="F2900">
        <v>64.099999999999994</v>
      </c>
      <c r="G2900">
        <v>16646</v>
      </c>
      <c r="H2900">
        <v>862.6</v>
      </c>
      <c r="I2900">
        <v>7.3</v>
      </c>
      <c r="J2900">
        <v>76</v>
      </c>
      <c r="K2900" t="s">
        <v>16</v>
      </c>
      <c r="L2900">
        <v>0</v>
      </c>
      <c r="M2900">
        <v>2.38</v>
      </c>
      <c r="N2900">
        <v>3</v>
      </c>
      <c r="O2900" t="s">
        <v>17</v>
      </c>
      <c r="P2900" cm="1">
        <f t="array" ref="P2900">_xlfn.SWITCH(Table2[[#This Row],[mood]], "Tired", 3, "Neutral", 2, "Happy", 1)</f>
        <v>3</v>
      </c>
    </row>
    <row r="2901" spans="1:16" x14ac:dyDescent="0.3">
      <c r="A2901">
        <v>1416</v>
      </c>
      <c r="B2901" s="1">
        <v>44904</v>
      </c>
      <c r="C2901">
        <v>59</v>
      </c>
      <c r="D2901" t="s">
        <v>15</v>
      </c>
      <c r="E2901">
        <v>177.2</v>
      </c>
      <c r="F2901">
        <v>68.3</v>
      </c>
      <c r="G2901">
        <v>19208</v>
      </c>
      <c r="H2901">
        <v>900</v>
      </c>
      <c r="I2901">
        <v>7.8</v>
      </c>
      <c r="J2901">
        <v>80</v>
      </c>
      <c r="K2901" t="s">
        <v>22</v>
      </c>
      <c r="L2901">
        <v>71</v>
      </c>
      <c r="M2901">
        <v>3.58</v>
      </c>
      <c r="N2901">
        <v>1</v>
      </c>
      <c r="O2901" t="s">
        <v>19</v>
      </c>
      <c r="P2901" cm="1">
        <f t="array" ref="P2901">_xlfn.SWITCH(Table2[[#This Row],[mood]], "Tired", 3, "Neutral", 2, "Happy", 1)</f>
        <v>2</v>
      </c>
    </row>
    <row r="2902" spans="1:16" x14ac:dyDescent="0.3">
      <c r="A2902">
        <v>1304</v>
      </c>
      <c r="B2902" s="1">
        <v>44905</v>
      </c>
      <c r="C2902">
        <v>36</v>
      </c>
      <c r="D2902" t="s">
        <v>20</v>
      </c>
      <c r="E2902">
        <v>150</v>
      </c>
      <c r="F2902">
        <v>81</v>
      </c>
      <c r="G2902">
        <v>4864</v>
      </c>
      <c r="H2902">
        <v>435.9</v>
      </c>
      <c r="I2902">
        <v>7.3</v>
      </c>
      <c r="J2902">
        <v>87</v>
      </c>
      <c r="K2902" t="s">
        <v>18</v>
      </c>
      <c r="L2902">
        <v>30</v>
      </c>
      <c r="M2902">
        <v>2.16</v>
      </c>
      <c r="N2902">
        <v>8</v>
      </c>
      <c r="O2902" t="s">
        <v>17</v>
      </c>
      <c r="P2902" cm="1">
        <f t="array" ref="P2902">_xlfn.SWITCH(Table2[[#This Row],[mood]], "Tired", 3, "Neutral", 2, "Happy", 1)</f>
        <v>3</v>
      </c>
    </row>
    <row r="2903" spans="1:16" x14ac:dyDescent="0.3">
      <c r="A2903">
        <v>1735</v>
      </c>
      <c r="B2903" s="1">
        <v>44906</v>
      </c>
      <c r="C2903">
        <v>26</v>
      </c>
      <c r="D2903" t="s">
        <v>15</v>
      </c>
      <c r="E2903">
        <v>184.3</v>
      </c>
      <c r="F2903">
        <v>65.099999999999994</v>
      </c>
      <c r="G2903">
        <v>11661</v>
      </c>
      <c r="H2903">
        <v>626.5</v>
      </c>
      <c r="I2903">
        <v>5.6</v>
      </c>
      <c r="J2903">
        <v>73</v>
      </c>
      <c r="K2903" t="s">
        <v>24</v>
      </c>
      <c r="L2903">
        <v>74</v>
      </c>
      <c r="M2903">
        <v>2.92</v>
      </c>
      <c r="N2903">
        <v>7</v>
      </c>
      <c r="O2903" t="s">
        <v>19</v>
      </c>
      <c r="P2903" cm="1">
        <f t="array" ref="P2903">_xlfn.SWITCH(Table2[[#This Row],[mood]], "Tired", 3, "Neutral", 2, "Happy", 1)</f>
        <v>2</v>
      </c>
    </row>
    <row r="2904" spans="1:16" x14ac:dyDescent="0.3">
      <c r="A2904">
        <v>1496</v>
      </c>
      <c r="B2904" s="1">
        <v>44907</v>
      </c>
      <c r="C2904">
        <v>35</v>
      </c>
      <c r="D2904" t="s">
        <v>20</v>
      </c>
      <c r="E2904">
        <v>180</v>
      </c>
      <c r="F2904">
        <v>68.900000000000006</v>
      </c>
      <c r="G2904">
        <v>19897</v>
      </c>
      <c r="H2904">
        <v>900</v>
      </c>
      <c r="I2904">
        <v>5.5</v>
      </c>
      <c r="J2904">
        <v>80</v>
      </c>
      <c r="K2904" t="s">
        <v>25</v>
      </c>
      <c r="L2904">
        <v>44</v>
      </c>
      <c r="M2904">
        <v>1.98</v>
      </c>
      <c r="N2904">
        <v>2</v>
      </c>
      <c r="O2904" t="s">
        <v>21</v>
      </c>
      <c r="P2904" cm="1">
        <f t="array" ref="P2904">_xlfn.SWITCH(Table2[[#This Row],[mood]], "Tired", 3, "Neutral", 2, "Happy", 1)</f>
        <v>1</v>
      </c>
    </row>
    <row r="2905" spans="1:16" x14ac:dyDescent="0.3">
      <c r="A2905">
        <v>1290</v>
      </c>
      <c r="B2905" s="1">
        <v>44908</v>
      </c>
      <c r="C2905">
        <v>58</v>
      </c>
      <c r="D2905" t="s">
        <v>20</v>
      </c>
      <c r="E2905">
        <v>172.1</v>
      </c>
      <c r="F2905">
        <v>64.599999999999994</v>
      </c>
      <c r="G2905">
        <v>11322</v>
      </c>
      <c r="H2905">
        <v>622.29999999999995</v>
      </c>
      <c r="I2905">
        <v>4.7</v>
      </c>
      <c r="J2905">
        <v>82</v>
      </c>
      <c r="K2905" t="s">
        <v>23</v>
      </c>
      <c r="L2905">
        <v>60</v>
      </c>
      <c r="M2905">
        <v>2.74</v>
      </c>
      <c r="N2905">
        <v>5</v>
      </c>
      <c r="O2905" t="s">
        <v>17</v>
      </c>
      <c r="P2905" cm="1">
        <f t="array" ref="P2905">_xlfn.SWITCH(Table2[[#This Row],[mood]], "Tired", 3, "Neutral", 2, "Happy", 1)</f>
        <v>3</v>
      </c>
    </row>
    <row r="2906" spans="1:16" x14ac:dyDescent="0.3">
      <c r="A2906">
        <v>1939</v>
      </c>
      <c r="B2906" s="1">
        <v>44909</v>
      </c>
      <c r="C2906">
        <v>59</v>
      </c>
      <c r="D2906" t="s">
        <v>20</v>
      </c>
      <c r="E2906">
        <v>168.6</v>
      </c>
      <c r="F2906">
        <v>68.7</v>
      </c>
      <c r="G2906">
        <v>7710</v>
      </c>
      <c r="H2906">
        <v>580.4</v>
      </c>
      <c r="I2906">
        <v>4</v>
      </c>
      <c r="J2906">
        <v>84</v>
      </c>
      <c r="K2906" t="s">
        <v>16</v>
      </c>
      <c r="L2906">
        <v>0</v>
      </c>
      <c r="M2906">
        <v>2.88</v>
      </c>
      <c r="N2906">
        <v>10</v>
      </c>
      <c r="O2906" t="s">
        <v>19</v>
      </c>
      <c r="P2906" cm="1">
        <f t="array" ref="P2906">_xlfn.SWITCH(Table2[[#This Row],[mood]], "Tired", 3, "Neutral", 2, "Happy", 1)</f>
        <v>2</v>
      </c>
    </row>
    <row r="2907" spans="1:16" x14ac:dyDescent="0.3">
      <c r="A2907">
        <v>1101</v>
      </c>
      <c r="B2907" s="1">
        <v>44910</v>
      </c>
      <c r="C2907">
        <v>42</v>
      </c>
      <c r="D2907" t="s">
        <v>20</v>
      </c>
      <c r="E2907">
        <v>180.8</v>
      </c>
      <c r="F2907">
        <v>65.099999999999994</v>
      </c>
      <c r="G2907">
        <v>9516</v>
      </c>
      <c r="H2907">
        <v>589</v>
      </c>
      <c r="I2907">
        <v>4.7</v>
      </c>
      <c r="J2907">
        <v>73</v>
      </c>
      <c r="K2907" t="s">
        <v>23</v>
      </c>
      <c r="L2907">
        <v>74</v>
      </c>
      <c r="M2907">
        <v>3.26</v>
      </c>
      <c r="N2907">
        <v>4</v>
      </c>
      <c r="O2907" t="s">
        <v>17</v>
      </c>
      <c r="P2907" cm="1">
        <f t="array" ref="P2907">_xlfn.SWITCH(Table2[[#This Row],[mood]], "Tired", 3, "Neutral", 2, "Happy", 1)</f>
        <v>3</v>
      </c>
    </row>
    <row r="2908" spans="1:16" x14ac:dyDescent="0.3">
      <c r="A2908">
        <v>1985</v>
      </c>
      <c r="B2908" s="1">
        <v>44911</v>
      </c>
      <c r="C2908">
        <v>31</v>
      </c>
      <c r="D2908" t="s">
        <v>20</v>
      </c>
      <c r="E2908">
        <v>169.6</v>
      </c>
      <c r="F2908">
        <v>62</v>
      </c>
      <c r="G2908">
        <v>15386</v>
      </c>
      <c r="H2908">
        <v>818.6</v>
      </c>
      <c r="I2908">
        <v>8.6999999999999993</v>
      </c>
      <c r="J2908">
        <v>88</v>
      </c>
      <c r="K2908" t="s">
        <v>16</v>
      </c>
      <c r="L2908">
        <v>0</v>
      </c>
      <c r="M2908">
        <v>2.23</v>
      </c>
      <c r="N2908">
        <v>9</v>
      </c>
      <c r="O2908" t="s">
        <v>17</v>
      </c>
      <c r="P2908" cm="1">
        <f t="array" ref="P2908">_xlfn.SWITCH(Table2[[#This Row],[mood]], "Tired", 3, "Neutral", 2, "Happy", 1)</f>
        <v>3</v>
      </c>
    </row>
    <row r="2909" spans="1:16" x14ac:dyDescent="0.3">
      <c r="A2909">
        <v>1266</v>
      </c>
      <c r="B2909" s="1">
        <v>44912</v>
      </c>
      <c r="C2909">
        <v>42</v>
      </c>
      <c r="D2909" t="s">
        <v>15</v>
      </c>
      <c r="E2909">
        <v>167.2</v>
      </c>
      <c r="F2909">
        <v>59.4</v>
      </c>
      <c r="G2909">
        <v>14338</v>
      </c>
      <c r="H2909">
        <v>684</v>
      </c>
      <c r="I2909">
        <v>8.1</v>
      </c>
      <c r="J2909">
        <v>61</v>
      </c>
      <c r="K2909" t="s">
        <v>22</v>
      </c>
      <c r="L2909">
        <v>55</v>
      </c>
      <c r="M2909">
        <v>1.72</v>
      </c>
      <c r="N2909">
        <v>4</v>
      </c>
      <c r="O2909" t="s">
        <v>21</v>
      </c>
      <c r="P2909" cm="1">
        <f t="array" ref="P2909">_xlfn.SWITCH(Table2[[#This Row],[mood]], "Tired", 3, "Neutral", 2, "Happy", 1)</f>
        <v>1</v>
      </c>
    </row>
    <row r="2910" spans="1:16" x14ac:dyDescent="0.3">
      <c r="A2910">
        <v>1866</v>
      </c>
      <c r="B2910" s="1">
        <v>44913</v>
      </c>
      <c r="C2910">
        <v>36</v>
      </c>
      <c r="D2910" t="s">
        <v>20</v>
      </c>
      <c r="E2910">
        <v>181.4</v>
      </c>
      <c r="F2910">
        <v>67.400000000000006</v>
      </c>
      <c r="G2910">
        <v>16316</v>
      </c>
      <c r="H2910">
        <v>885.5</v>
      </c>
      <c r="I2910">
        <v>7.8</v>
      </c>
      <c r="J2910">
        <v>64</v>
      </c>
      <c r="K2910" t="s">
        <v>23</v>
      </c>
      <c r="L2910">
        <v>76</v>
      </c>
      <c r="M2910">
        <v>1.95</v>
      </c>
      <c r="N2910">
        <v>5</v>
      </c>
      <c r="O2910" t="s">
        <v>17</v>
      </c>
      <c r="P2910" cm="1">
        <f t="array" ref="P2910">_xlfn.SWITCH(Table2[[#This Row],[mood]], "Tired", 3, "Neutral", 2, "Happy", 1)</f>
        <v>3</v>
      </c>
    </row>
    <row r="2911" spans="1:16" x14ac:dyDescent="0.3">
      <c r="A2911">
        <v>1967</v>
      </c>
      <c r="B2911" s="1">
        <v>44914</v>
      </c>
      <c r="C2911">
        <v>56</v>
      </c>
      <c r="D2911" t="s">
        <v>20</v>
      </c>
      <c r="E2911">
        <v>190.9</v>
      </c>
      <c r="F2911">
        <v>85.3</v>
      </c>
      <c r="G2911">
        <v>11203</v>
      </c>
      <c r="H2911">
        <v>652.9</v>
      </c>
      <c r="I2911">
        <v>6.7</v>
      </c>
      <c r="J2911">
        <v>80</v>
      </c>
      <c r="K2911" t="s">
        <v>23</v>
      </c>
      <c r="L2911">
        <v>82</v>
      </c>
      <c r="M2911">
        <v>3.18</v>
      </c>
      <c r="N2911">
        <v>8</v>
      </c>
      <c r="O2911" t="s">
        <v>17</v>
      </c>
      <c r="P2911" cm="1">
        <f t="array" ref="P2911">_xlfn.SWITCH(Table2[[#This Row],[mood]], "Tired", 3, "Neutral", 2, "Happy", 1)</f>
        <v>3</v>
      </c>
    </row>
    <row r="2912" spans="1:16" x14ac:dyDescent="0.3">
      <c r="A2912">
        <v>1621</v>
      </c>
      <c r="B2912" s="1">
        <v>44915</v>
      </c>
      <c r="C2912">
        <v>32</v>
      </c>
      <c r="D2912" t="s">
        <v>20</v>
      </c>
      <c r="E2912">
        <v>160.30000000000001</v>
      </c>
      <c r="F2912">
        <v>79.400000000000006</v>
      </c>
      <c r="G2912">
        <v>5888</v>
      </c>
      <c r="H2912">
        <v>444.2</v>
      </c>
      <c r="I2912">
        <v>6.9</v>
      </c>
      <c r="J2912">
        <v>80</v>
      </c>
      <c r="K2912" t="s">
        <v>22</v>
      </c>
      <c r="L2912">
        <v>39</v>
      </c>
      <c r="M2912">
        <v>3.96</v>
      </c>
      <c r="N2912">
        <v>3</v>
      </c>
      <c r="O2912" t="s">
        <v>21</v>
      </c>
      <c r="P2912" cm="1">
        <f t="array" ref="P2912">_xlfn.SWITCH(Table2[[#This Row],[mood]], "Tired", 3, "Neutral", 2, "Happy", 1)</f>
        <v>1</v>
      </c>
    </row>
    <row r="2913" spans="1:16" x14ac:dyDescent="0.3">
      <c r="A2913">
        <v>1973</v>
      </c>
      <c r="B2913" s="1">
        <v>44916</v>
      </c>
      <c r="C2913">
        <v>33</v>
      </c>
      <c r="D2913" t="s">
        <v>15</v>
      </c>
      <c r="E2913">
        <v>174.2</v>
      </c>
      <c r="F2913">
        <v>46.3</v>
      </c>
      <c r="G2913">
        <v>12325</v>
      </c>
      <c r="H2913">
        <v>688.3</v>
      </c>
      <c r="I2913">
        <v>6.6</v>
      </c>
      <c r="J2913">
        <v>73</v>
      </c>
      <c r="K2913" t="s">
        <v>24</v>
      </c>
      <c r="L2913">
        <v>66</v>
      </c>
      <c r="M2913">
        <v>3.08</v>
      </c>
      <c r="N2913">
        <v>6</v>
      </c>
      <c r="O2913" t="s">
        <v>19</v>
      </c>
      <c r="P2913" cm="1">
        <f t="array" ref="P2913">_xlfn.SWITCH(Table2[[#This Row],[mood]], "Tired", 3, "Neutral", 2, "Happy", 1)</f>
        <v>2</v>
      </c>
    </row>
    <row r="2914" spans="1:16" x14ac:dyDescent="0.3">
      <c r="A2914">
        <v>1841</v>
      </c>
      <c r="B2914" s="1">
        <v>44917</v>
      </c>
      <c r="C2914">
        <v>44</v>
      </c>
      <c r="D2914" t="s">
        <v>15</v>
      </c>
      <c r="E2914">
        <v>159.1</v>
      </c>
      <c r="F2914">
        <v>63.6</v>
      </c>
      <c r="G2914">
        <v>10386</v>
      </c>
      <c r="H2914">
        <v>646.70000000000005</v>
      </c>
      <c r="I2914">
        <v>4.5999999999999996</v>
      </c>
      <c r="J2914">
        <v>71</v>
      </c>
      <c r="K2914" t="s">
        <v>18</v>
      </c>
      <c r="L2914">
        <v>39</v>
      </c>
      <c r="M2914">
        <v>1.62</v>
      </c>
      <c r="N2914">
        <v>6</v>
      </c>
      <c r="O2914" t="s">
        <v>19</v>
      </c>
      <c r="P2914" cm="1">
        <f t="array" ref="P2914">_xlfn.SWITCH(Table2[[#This Row],[mood]], "Tired", 3, "Neutral", 2, "Happy", 1)</f>
        <v>2</v>
      </c>
    </row>
    <row r="2915" spans="1:16" x14ac:dyDescent="0.3">
      <c r="A2915">
        <v>1961</v>
      </c>
      <c r="B2915" s="1">
        <v>44918</v>
      </c>
      <c r="C2915">
        <v>57</v>
      </c>
      <c r="D2915" t="s">
        <v>15</v>
      </c>
      <c r="E2915">
        <v>175</v>
      </c>
      <c r="F2915">
        <v>60.4</v>
      </c>
      <c r="G2915">
        <v>16645</v>
      </c>
      <c r="H2915">
        <v>900</v>
      </c>
      <c r="I2915">
        <v>8</v>
      </c>
      <c r="J2915">
        <v>71</v>
      </c>
      <c r="K2915" t="s">
        <v>24</v>
      </c>
      <c r="L2915">
        <v>25</v>
      </c>
      <c r="M2915">
        <v>3.06</v>
      </c>
      <c r="N2915">
        <v>7</v>
      </c>
      <c r="O2915" t="s">
        <v>19</v>
      </c>
      <c r="P2915" cm="1">
        <f t="array" ref="P2915">_xlfn.SWITCH(Table2[[#This Row],[mood]], "Tired", 3, "Neutral", 2, "Happy", 1)</f>
        <v>2</v>
      </c>
    </row>
    <row r="2916" spans="1:16" x14ac:dyDescent="0.3">
      <c r="A2916">
        <v>1941</v>
      </c>
      <c r="B2916" s="1">
        <v>44919</v>
      </c>
      <c r="C2916">
        <v>27</v>
      </c>
      <c r="D2916" t="s">
        <v>15</v>
      </c>
      <c r="E2916">
        <v>162.19999999999999</v>
      </c>
      <c r="F2916">
        <v>46.6</v>
      </c>
      <c r="G2916">
        <v>7260</v>
      </c>
      <c r="H2916">
        <v>514.6</v>
      </c>
      <c r="I2916">
        <v>8.3000000000000007</v>
      </c>
      <c r="J2916">
        <v>66</v>
      </c>
      <c r="K2916" t="s">
        <v>24</v>
      </c>
      <c r="L2916">
        <v>48</v>
      </c>
      <c r="M2916">
        <v>1.84</v>
      </c>
      <c r="N2916">
        <v>9</v>
      </c>
      <c r="O2916" t="s">
        <v>19</v>
      </c>
      <c r="P2916" cm="1">
        <f t="array" ref="P2916">_xlfn.SWITCH(Table2[[#This Row],[mood]], "Tired", 3, "Neutral", 2, "Happy", 1)</f>
        <v>2</v>
      </c>
    </row>
    <row r="2917" spans="1:16" x14ac:dyDescent="0.3">
      <c r="A2917">
        <v>1776</v>
      </c>
      <c r="B2917" s="1">
        <v>44920</v>
      </c>
      <c r="C2917">
        <v>21</v>
      </c>
      <c r="D2917" t="s">
        <v>20</v>
      </c>
      <c r="E2917">
        <v>182.1</v>
      </c>
      <c r="F2917">
        <v>74.099999999999994</v>
      </c>
      <c r="G2917">
        <v>12267</v>
      </c>
      <c r="H2917">
        <v>756.5</v>
      </c>
      <c r="I2917">
        <v>5.3</v>
      </c>
      <c r="J2917">
        <v>75</v>
      </c>
      <c r="K2917" t="s">
        <v>18</v>
      </c>
      <c r="L2917">
        <v>68</v>
      </c>
      <c r="M2917">
        <v>2.2599999999999998</v>
      </c>
      <c r="N2917">
        <v>3</v>
      </c>
      <c r="O2917" t="s">
        <v>19</v>
      </c>
      <c r="P2917" cm="1">
        <f t="array" ref="P2917">_xlfn.SWITCH(Table2[[#This Row],[mood]], "Tired", 3, "Neutral", 2, "Happy", 1)</f>
        <v>2</v>
      </c>
    </row>
    <row r="2918" spans="1:16" x14ac:dyDescent="0.3">
      <c r="A2918">
        <v>1002</v>
      </c>
      <c r="B2918" s="1">
        <v>44921</v>
      </c>
      <c r="C2918">
        <v>36</v>
      </c>
      <c r="D2918" t="s">
        <v>20</v>
      </c>
      <c r="E2918">
        <v>169</v>
      </c>
      <c r="F2918">
        <v>68.599999999999994</v>
      </c>
      <c r="G2918">
        <v>16419</v>
      </c>
      <c r="H2918">
        <v>820.8</v>
      </c>
      <c r="I2918">
        <v>5.3</v>
      </c>
      <c r="J2918">
        <v>59</v>
      </c>
      <c r="K2918" t="s">
        <v>22</v>
      </c>
      <c r="L2918">
        <v>25</v>
      </c>
      <c r="M2918">
        <v>2.63</v>
      </c>
      <c r="N2918">
        <v>5</v>
      </c>
      <c r="O2918" t="s">
        <v>19</v>
      </c>
      <c r="P2918" cm="1">
        <f t="array" ref="P2918">_xlfn.SWITCH(Table2[[#This Row],[mood]], "Tired", 3, "Neutral", 2, "Happy", 1)</f>
        <v>2</v>
      </c>
    </row>
    <row r="2919" spans="1:16" x14ac:dyDescent="0.3">
      <c r="A2919">
        <v>1084</v>
      </c>
      <c r="B2919" s="1">
        <v>44922</v>
      </c>
      <c r="C2919">
        <v>45</v>
      </c>
      <c r="D2919" t="s">
        <v>20</v>
      </c>
      <c r="E2919">
        <v>170.5</v>
      </c>
      <c r="F2919">
        <v>100.3</v>
      </c>
      <c r="G2919">
        <v>14086</v>
      </c>
      <c r="H2919">
        <v>733.8</v>
      </c>
      <c r="I2919">
        <v>7.5</v>
      </c>
      <c r="J2919">
        <v>86</v>
      </c>
      <c r="K2919" t="s">
        <v>24</v>
      </c>
      <c r="L2919">
        <v>58</v>
      </c>
      <c r="M2919">
        <v>2.75</v>
      </c>
      <c r="N2919">
        <v>5</v>
      </c>
      <c r="O2919" t="s">
        <v>21</v>
      </c>
      <c r="P2919" cm="1">
        <f t="array" ref="P2919">_xlfn.SWITCH(Table2[[#This Row],[mood]], "Tired", 3, "Neutral", 2, "Happy", 1)</f>
        <v>1</v>
      </c>
    </row>
    <row r="2920" spans="1:16" x14ac:dyDescent="0.3">
      <c r="A2920">
        <v>1793</v>
      </c>
      <c r="B2920" s="1">
        <v>44923</v>
      </c>
      <c r="C2920">
        <v>38</v>
      </c>
      <c r="D2920" t="s">
        <v>15</v>
      </c>
      <c r="E2920">
        <v>186.3</v>
      </c>
      <c r="F2920">
        <v>65</v>
      </c>
      <c r="G2920">
        <v>3904</v>
      </c>
      <c r="H2920">
        <v>376.5</v>
      </c>
      <c r="I2920">
        <v>7.5</v>
      </c>
      <c r="J2920">
        <v>79</v>
      </c>
      <c r="K2920" t="s">
        <v>25</v>
      </c>
      <c r="L2920">
        <v>51</v>
      </c>
      <c r="M2920">
        <v>2.5499999999999998</v>
      </c>
      <c r="N2920">
        <v>5</v>
      </c>
      <c r="O2920" t="s">
        <v>19</v>
      </c>
      <c r="P2920" cm="1">
        <f t="array" ref="P2920">_xlfn.SWITCH(Table2[[#This Row],[mood]], "Tired", 3, "Neutral", 2, "Happy", 1)</f>
        <v>2</v>
      </c>
    </row>
    <row r="2921" spans="1:16" x14ac:dyDescent="0.3">
      <c r="A2921">
        <v>1327</v>
      </c>
      <c r="B2921" s="1">
        <v>44924</v>
      </c>
      <c r="C2921">
        <v>31</v>
      </c>
      <c r="D2921" t="s">
        <v>20</v>
      </c>
      <c r="E2921">
        <v>162.69999999999999</v>
      </c>
      <c r="F2921">
        <v>58.4</v>
      </c>
      <c r="G2921">
        <v>12492</v>
      </c>
      <c r="H2921">
        <v>732.8</v>
      </c>
      <c r="I2921">
        <v>8.1</v>
      </c>
      <c r="J2921">
        <v>88</v>
      </c>
      <c r="K2921" t="s">
        <v>25</v>
      </c>
      <c r="L2921">
        <v>68</v>
      </c>
      <c r="M2921">
        <v>2.08</v>
      </c>
      <c r="N2921">
        <v>6</v>
      </c>
      <c r="O2921" t="s">
        <v>21</v>
      </c>
      <c r="P2921" cm="1">
        <f t="array" ref="P2921">_xlfn.SWITCH(Table2[[#This Row],[mood]], "Tired", 3, "Neutral", 2, "Happy", 1)</f>
        <v>1</v>
      </c>
    </row>
    <row r="2922" spans="1:16" x14ac:dyDescent="0.3">
      <c r="A2922">
        <v>1815</v>
      </c>
      <c r="B2922" s="1">
        <v>44925</v>
      </c>
      <c r="C2922">
        <v>50</v>
      </c>
      <c r="D2922" t="s">
        <v>20</v>
      </c>
      <c r="E2922">
        <v>176.8</v>
      </c>
      <c r="F2922">
        <v>56.9</v>
      </c>
      <c r="G2922">
        <v>2123</v>
      </c>
      <c r="H2922">
        <v>310.8</v>
      </c>
      <c r="I2922">
        <v>9.1</v>
      </c>
      <c r="J2922">
        <v>77</v>
      </c>
      <c r="K2922" t="s">
        <v>18</v>
      </c>
      <c r="L2922">
        <v>62</v>
      </c>
      <c r="M2922">
        <v>3.24</v>
      </c>
      <c r="N2922">
        <v>1</v>
      </c>
      <c r="O2922" t="s">
        <v>17</v>
      </c>
      <c r="P2922" cm="1">
        <f t="array" ref="P2922">_xlfn.SWITCH(Table2[[#This Row],[mood]], "Tired", 3, "Neutral", 2, "Happy", 1)</f>
        <v>3</v>
      </c>
    </row>
    <row r="2923" spans="1:16" x14ac:dyDescent="0.3">
      <c r="A2923">
        <v>1449</v>
      </c>
      <c r="B2923" s="1">
        <v>44926</v>
      </c>
      <c r="C2923">
        <v>27</v>
      </c>
      <c r="D2923" t="s">
        <v>15</v>
      </c>
      <c r="E2923">
        <v>163.69999999999999</v>
      </c>
      <c r="F2923">
        <v>63.2</v>
      </c>
      <c r="G2923">
        <v>14430</v>
      </c>
      <c r="H2923">
        <v>712.8</v>
      </c>
      <c r="I2923">
        <v>5.4</v>
      </c>
      <c r="J2923">
        <v>75</v>
      </c>
      <c r="K2923" t="s">
        <v>25</v>
      </c>
      <c r="L2923">
        <v>47</v>
      </c>
      <c r="M2923">
        <v>2.13</v>
      </c>
      <c r="N2923">
        <v>9</v>
      </c>
      <c r="O2923" t="s">
        <v>21</v>
      </c>
      <c r="P2923" cm="1">
        <f t="array" ref="P2923">_xlfn.SWITCH(Table2[[#This Row],[mood]], "Tired", 3, "Neutral", 2, "Happy", 1)</f>
        <v>1</v>
      </c>
    </row>
    <row r="2924" spans="1:16" x14ac:dyDescent="0.3">
      <c r="A2924">
        <v>1453</v>
      </c>
      <c r="B2924" s="1">
        <v>44927</v>
      </c>
      <c r="C2924">
        <v>36</v>
      </c>
      <c r="D2924" t="s">
        <v>15</v>
      </c>
      <c r="E2924">
        <v>182</v>
      </c>
      <c r="F2924">
        <v>78.900000000000006</v>
      </c>
      <c r="G2924">
        <v>15999</v>
      </c>
      <c r="H2924">
        <v>779.8</v>
      </c>
      <c r="I2924">
        <v>6.9</v>
      </c>
      <c r="J2924">
        <v>76</v>
      </c>
      <c r="K2924" t="s">
        <v>22</v>
      </c>
      <c r="L2924">
        <v>64</v>
      </c>
      <c r="M2924">
        <v>3.38</v>
      </c>
      <c r="N2924">
        <v>3</v>
      </c>
      <c r="O2924" t="s">
        <v>21</v>
      </c>
      <c r="P2924" cm="1">
        <f t="array" ref="P2924">_xlfn.SWITCH(Table2[[#This Row],[mood]], "Tired", 3, "Neutral", 2, "Happy", 1)</f>
        <v>1</v>
      </c>
    </row>
    <row r="2925" spans="1:16" x14ac:dyDescent="0.3">
      <c r="A2925">
        <v>1923</v>
      </c>
      <c r="B2925" s="1">
        <v>44928</v>
      </c>
      <c r="C2925">
        <v>47</v>
      </c>
      <c r="D2925" t="s">
        <v>15</v>
      </c>
      <c r="E2925">
        <v>187.9</v>
      </c>
      <c r="F2925">
        <v>80.599999999999994</v>
      </c>
      <c r="G2925">
        <v>19654</v>
      </c>
      <c r="H2925">
        <v>900</v>
      </c>
      <c r="I2925">
        <v>5.5</v>
      </c>
      <c r="J2925">
        <v>68</v>
      </c>
      <c r="K2925" t="s">
        <v>23</v>
      </c>
      <c r="L2925">
        <v>84</v>
      </c>
      <c r="M2925">
        <v>1.55</v>
      </c>
      <c r="N2925">
        <v>6</v>
      </c>
      <c r="O2925" t="s">
        <v>21</v>
      </c>
      <c r="P2925" cm="1">
        <f t="array" ref="P2925">_xlfn.SWITCH(Table2[[#This Row],[mood]], "Tired", 3, "Neutral", 2, "Happy", 1)</f>
        <v>1</v>
      </c>
    </row>
    <row r="2926" spans="1:16" x14ac:dyDescent="0.3">
      <c r="A2926">
        <v>1628</v>
      </c>
      <c r="B2926" s="1">
        <v>44929</v>
      </c>
      <c r="C2926">
        <v>39</v>
      </c>
      <c r="D2926" t="s">
        <v>20</v>
      </c>
      <c r="E2926">
        <v>167.4</v>
      </c>
      <c r="F2926">
        <v>113.9</v>
      </c>
      <c r="G2926">
        <v>9121</v>
      </c>
      <c r="H2926">
        <v>475.4</v>
      </c>
      <c r="I2926">
        <v>5.6</v>
      </c>
      <c r="J2926">
        <v>63</v>
      </c>
      <c r="K2926" t="s">
        <v>22</v>
      </c>
      <c r="L2926">
        <v>69</v>
      </c>
      <c r="M2926">
        <v>2.65</v>
      </c>
      <c r="N2926">
        <v>4</v>
      </c>
      <c r="O2926" t="s">
        <v>21</v>
      </c>
      <c r="P2926" cm="1">
        <f t="array" ref="P2926">_xlfn.SWITCH(Table2[[#This Row],[mood]], "Tired", 3, "Neutral", 2, "Happy", 1)</f>
        <v>1</v>
      </c>
    </row>
    <row r="2927" spans="1:16" x14ac:dyDescent="0.3">
      <c r="A2927">
        <v>1220</v>
      </c>
      <c r="B2927" s="1">
        <v>44930</v>
      </c>
      <c r="C2927">
        <v>20</v>
      </c>
      <c r="D2927" t="s">
        <v>20</v>
      </c>
      <c r="E2927">
        <v>150</v>
      </c>
      <c r="F2927">
        <v>51.9</v>
      </c>
      <c r="G2927">
        <v>19642</v>
      </c>
      <c r="H2927">
        <v>900</v>
      </c>
      <c r="I2927">
        <v>6.4</v>
      </c>
      <c r="J2927">
        <v>65</v>
      </c>
      <c r="K2927" t="s">
        <v>18</v>
      </c>
      <c r="L2927">
        <v>73</v>
      </c>
      <c r="M2927">
        <v>1.64</v>
      </c>
      <c r="N2927">
        <v>7</v>
      </c>
      <c r="O2927" t="s">
        <v>19</v>
      </c>
      <c r="P2927" cm="1">
        <f t="array" ref="P2927">_xlfn.SWITCH(Table2[[#This Row],[mood]], "Tired", 3, "Neutral", 2, "Happy", 1)</f>
        <v>2</v>
      </c>
    </row>
    <row r="2928" spans="1:16" x14ac:dyDescent="0.3">
      <c r="A2928">
        <v>1153</v>
      </c>
      <c r="B2928" s="1">
        <v>44931</v>
      </c>
      <c r="C2928">
        <v>54</v>
      </c>
      <c r="D2928" t="s">
        <v>15</v>
      </c>
      <c r="E2928">
        <v>163.1</v>
      </c>
      <c r="F2928">
        <v>71.3</v>
      </c>
      <c r="G2928">
        <v>4646</v>
      </c>
      <c r="H2928">
        <v>382.1</v>
      </c>
      <c r="I2928">
        <v>9.1999999999999993</v>
      </c>
      <c r="J2928">
        <v>71</v>
      </c>
      <c r="K2928" t="s">
        <v>23</v>
      </c>
      <c r="L2928">
        <v>70</v>
      </c>
      <c r="M2928">
        <v>1.92</v>
      </c>
      <c r="N2928">
        <v>8</v>
      </c>
      <c r="O2928" t="s">
        <v>17</v>
      </c>
      <c r="P2928" cm="1">
        <f t="array" ref="P2928">_xlfn.SWITCH(Table2[[#This Row],[mood]], "Tired", 3, "Neutral", 2, "Happy", 1)</f>
        <v>3</v>
      </c>
    </row>
    <row r="2929" spans="1:16" x14ac:dyDescent="0.3">
      <c r="A2929">
        <v>1664</v>
      </c>
      <c r="B2929" s="1">
        <v>44932</v>
      </c>
      <c r="C2929">
        <v>58</v>
      </c>
      <c r="D2929" t="s">
        <v>20</v>
      </c>
      <c r="E2929">
        <v>194.3</v>
      </c>
      <c r="F2929">
        <v>59.7</v>
      </c>
      <c r="G2929">
        <v>14173</v>
      </c>
      <c r="H2929">
        <v>721.2</v>
      </c>
      <c r="I2929">
        <v>8.6999999999999993</v>
      </c>
      <c r="J2929">
        <v>66</v>
      </c>
      <c r="K2929" t="s">
        <v>25</v>
      </c>
      <c r="L2929">
        <v>62</v>
      </c>
      <c r="M2929">
        <v>2.14</v>
      </c>
      <c r="N2929">
        <v>4</v>
      </c>
      <c r="O2929" t="s">
        <v>17</v>
      </c>
      <c r="P2929" cm="1">
        <f t="array" ref="P2929">_xlfn.SWITCH(Table2[[#This Row],[mood]], "Tired", 3, "Neutral", 2, "Happy", 1)</f>
        <v>3</v>
      </c>
    </row>
    <row r="2930" spans="1:16" x14ac:dyDescent="0.3">
      <c r="A2930">
        <v>1011</v>
      </c>
      <c r="B2930" s="1">
        <v>44933</v>
      </c>
      <c r="C2930">
        <v>35</v>
      </c>
      <c r="D2930" t="s">
        <v>15</v>
      </c>
      <c r="E2930">
        <v>164.1</v>
      </c>
      <c r="F2930">
        <v>75.3</v>
      </c>
      <c r="G2930">
        <v>8025</v>
      </c>
      <c r="H2930">
        <v>493.4</v>
      </c>
      <c r="I2930">
        <v>6.9</v>
      </c>
      <c r="J2930">
        <v>88</v>
      </c>
      <c r="K2930" t="s">
        <v>24</v>
      </c>
      <c r="L2930">
        <v>83</v>
      </c>
      <c r="M2930">
        <v>3.56</v>
      </c>
      <c r="N2930">
        <v>10</v>
      </c>
      <c r="O2930" t="s">
        <v>17</v>
      </c>
      <c r="P2930" cm="1">
        <f t="array" ref="P2930">_xlfn.SWITCH(Table2[[#This Row],[mood]], "Tired", 3, "Neutral", 2, "Happy", 1)</f>
        <v>3</v>
      </c>
    </row>
    <row r="2931" spans="1:16" x14ac:dyDescent="0.3">
      <c r="A2931">
        <v>1132</v>
      </c>
      <c r="B2931" s="1">
        <v>44934</v>
      </c>
      <c r="C2931">
        <v>28</v>
      </c>
      <c r="D2931" t="s">
        <v>15</v>
      </c>
      <c r="E2931">
        <v>187.7</v>
      </c>
      <c r="F2931">
        <v>90.7</v>
      </c>
      <c r="G2931">
        <v>13549</v>
      </c>
      <c r="H2931">
        <v>747.4</v>
      </c>
      <c r="I2931">
        <v>3.8</v>
      </c>
      <c r="J2931">
        <v>68</v>
      </c>
      <c r="K2931" t="s">
        <v>25</v>
      </c>
      <c r="L2931">
        <v>49</v>
      </c>
      <c r="M2931">
        <v>3.42</v>
      </c>
      <c r="N2931">
        <v>6</v>
      </c>
      <c r="O2931" t="s">
        <v>21</v>
      </c>
      <c r="P2931" cm="1">
        <f t="array" ref="P2931">_xlfn.SWITCH(Table2[[#This Row],[mood]], "Tired", 3, "Neutral", 2, "Happy", 1)</f>
        <v>1</v>
      </c>
    </row>
    <row r="2932" spans="1:16" x14ac:dyDescent="0.3">
      <c r="A2932">
        <v>1993</v>
      </c>
      <c r="B2932" s="1">
        <v>44935</v>
      </c>
      <c r="C2932">
        <v>19</v>
      </c>
      <c r="D2932" t="s">
        <v>20</v>
      </c>
      <c r="E2932">
        <v>163.9</v>
      </c>
      <c r="F2932">
        <v>82.9</v>
      </c>
      <c r="G2932">
        <v>15853</v>
      </c>
      <c r="H2932">
        <v>759.4</v>
      </c>
      <c r="I2932">
        <v>7.6</v>
      </c>
      <c r="J2932">
        <v>79</v>
      </c>
      <c r="K2932" t="s">
        <v>22</v>
      </c>
      <c r="L2932">
        <v>61</v>
      </c>
      <c r="M2932">
        <v>3.11</v>
      </c>
      <c r="N2932">
        <v>10</v>
      </c>
      <c r="O2932" t="s">
        <v>21</v>
      </c>
      <c r="P2932" cm="1">
        <f t="array" ref="P2932">_xlfn.SWITCH(Table2[[#This Row],[mood]], "Tired", 3, "Neutral", 2, "Happy", 1)</f>
        <v>1</v>
      </c>
    </row>
    <row r="2933" spans="1:16" x14ac:dyDescent="0.3">
      <c r="A2933">
        <v>1303</v>
      </c>
      <c r="B2933" s="1">
        <v>44936</v>
      </c>
      <c r="C2933">
        <v>29</v>
      </c>
      <c r="D2933" t="s">
        <v>15</v>
      </c>
      <c r="E2933">
        <v>163.69999999999999</v>
      </c>
      <c r="F2933">
        <v>51.9</v>
      </c>
      <c r="G2933">
        <v>18655</v>
      </c>
      <c r="H2933">
        <v>900</v>
      </c>
      <c r="I2933">
        <v>7.6</v>
      </c>
      <c r="J2933">
        <v>81</v>
      </c>
      <c r="K2933" t="s">
        <v>22</v>
      </c>
      <c r="L2933">
        <v>57</v>
      </c>
      <c r="M2933">
        <v>2.52</v>
      </c>
      <c r="N2933">
        <v>7</v>
      </c>
      <c r="O2933" t="s">
        <v>19</v>
      </c>
      <c r="P2933" cm="1">
        <f t="array" ref="P2933">_xlfn.SWITCH(Table2[[#This Row],[mood]], "Tired", 3, "Neutral", 2, "Happy", 1)</f>
        <v>2</v>
      </c>
    </row>
    <row r="2934" spans="1:16" x14ac:dyDescent="0.3">
      <c r="A2934">
        <v>1292</v>
      </c>
      <c r="B2934" s="1">
        <v>44937</v>
      </c>
      <c r="C2934">
        <v>23</v>
      </c>
      <c r="D2934" t="s">
        <v>15</v>
      </c>
      <c r="E2934">
        <v>177.8</v>
      </c>
      <c r="F2934">
        <v>80.3</v>
      </c>
      <c r="G2934">
        <v>9989</v>
      </c>
      <c r="H2934">
        <v>586.4</v>
      </c>
      <c r="I2934">
        <v>5.6</v>
      </c>
      <c r="J2934">
        <v>87</v>
      </c>
      <c r="K2934" t="s">
        <v>18</v>
      </c>
      <c r="L2934">
        <v>85</v>
      </c>
      <c r="M2934">
        <v>2.63</v>
      </c>
      <c r="N2934">
        <v>10</v>
      </c>
      <c r="O2934" t="s">
        <v>19</v>
      </c>
      <c r="P2934" cm="1">
        <f t="array" ref="P2934">_xlfn.SWITCH(Table2[[#This Row],[mood]], "Tired", 3, "Neutral", 2, "Happy", 1)</f>
        <v>2</v>
      </c>
    </row>
    <row r="2935" spans="1:16" x14ac:dyDescent="0.3">
      <c r="A2935">
        <v>1974</v>
      </c>
      <c r="B2935" s="1">
        <v>44938</v>
      </c>
      <c r="C2935">
        <v>57</v>
      </c>
      <c r="D2935" t="s">
        <v>15</v>
      </c>
      <c r="E2935">
        <v>176.6</v>
      </c>
      <c r="F2935">
        <v>45</v>
      </c>
      <c r="G2935">
        <v>12326</v>
      </c>
      <c r="H2935">
        <v>678</v>
      </c>
      <c r="I2935">
        <v>8.1999999999999993</v>
      </c>
      <c r="J2935">
        <v>82</v>
      </c>
      <c r="K2935" t="s">
        <v>24</v>
      </c>
      <c r="L2935">
        <v>88</v>
      </c>
      <c r="M2935">
        <v>3.39</v>
      </c>
      <c r="N2935">
        <v>7</v>
      </c>
      <c r="O2935" t="s">
        <v>17</v>
      </c>
      <c r="P2935" cm="1">
        <f t="array" ref="P2935">_xlfn.SWITCH(Table2[[#This Row],[mood]], "Tired", 3, "Neutral", 2, "Happy", 1)</f>
        <v>3</v>
      </c>
    </row>
    <row r="2936" spans="1:16" x14ac:dyDescent="0.3">
      <c r="A2936">
        <v>1299</v>
      </c>
      <c r="B2936" s="1">
        <v>44939</v>
      </c>
      <c r="C2936">
        <v>46</v>
      </c>
      <c r="D2936" t="s">
        <v>20</v>
      </c>
      <c r="E2936">
        <v>178.5</v>
      </c>
      <c r="F2936">
        <v>45</v>
      </c>
      <c r="G2936">
        <v>4463</v>
      </c>
      <c r="H2936">
        <v>365</v>
      </c>
      <c r="I2936">
        <v>5.6</v>
      </c>
      <c r="J2936">
        <v>73</v>
      </c>
      <c r="K2936" t="s">
        <v>24</v>
      </c>
      <c r="L2936">
        <v>34</v>
      </c>
      <c r="M2936">
        <v>2.99</v>
      </c>
      <c r="N2936">
        <v>9</v>
      </c>
      <c r="O2936" t="s">
        <v>21</v>
      </c>
      <c r="P2936" cm="1">
        <f t="array" ref="P2936">_xlfn.SWITCH(Table2[[#This Row],[mood]], "Tired", 3, "Neutral", 2, "Happy", 1)</f>
        <v>1</v>
      </c>
    </row>
    <row r="2937" spans="1:16" x14ac:dyDescent="0.3">
      <c r="A2937">
        <v>1739</v>
      </c>
      <c r="B2937" s="1">
        <v>44940</v>
      </c>
      <c r="C2937">
        <v>47</v>
      </c>
      <c r="D2937" t="s">
        <v>15</v>
      </c>
      <c r="E2937">
        <v>170</v>
      </c>
      <c r="F2937">
        <v>66.3</v>
      </c>
      <c r="G2937">
        <v>15388</v>
      </c>
      <c r="H2937">
        <v>883.5</v>
      </c>
      <c r="I2937">
        <v>8.1999999999999993</v>
      </c>
      <c r="J2937">
        <v>92</v>
      </c>
      <c r="K2937" t="s">
        <v>23</v>
      </c>
      <c r="L2937">
        <v>80</v>
      </c>
      <c r="M2937">
        <v>2.5099999999999998</v>
      </c>
      <c r="N2937">
        <v>8</v>
      </c>
      <c r="O2937" t="s">
        <v>21</v>
      </c>
      <c r="P2937" cm="1">
        <f t="array" ref="P2937">_xlfn.SWITCH(Table2[[#This Row],[mood]], "Tired", 3, "Neutral", 2, "Happy", 1)</f>
        <v>1</v>
      </c>
    </row>
    <row r="2938" spans="1:16" x14ac:dyDescent="0.3">
      <c r="A2938">
        <v>1782</v>
      </c>
      <c r="B2938" s="1">
        <v>44941</v>
      </c>
      <c r="C2938">
        <v>19</v>
      </c>
      <c r="D2938" t="s">
        <v>15</v>
      </c>
      <c r="E2938">
        <v>180.3</v>
      </c>
      <c r="F2938">
        <v>79.2</v>
      </c>
      <c r="G2938">
        <v>15075</v>
      </c>
      <c r="H2938">
        <v>850.4</v>
      </c>
      <c r="I2938">
        <v>7.4</v>
      </c>
      <c r="J2938">
        <v>63</v>
      </c>
      <c r="K2938" t="s">
        <v>23</v>
      </c>
      <c r="L2938">
        <v>25</v>
      </c>
      <c r="M2938">
        <v>3.54</v>
      </c>
      <c r="N2938">
        <v>3</v>
      </c>
      <c r="O2938" t="s">
        <v>21</v>
      </c>
      <c r="P2938" cm="1">
        <f t="array" ref="P2938">_xlfn.SWITCH(Table2[[#This Row],[mood]], "Tired", 3, "Neutral", 2, "Happy", 1)</f>
        <v>1</v>
      </c>
    </row>
    <row r="2939" spans="1:16" x14ac:dyDescent="0.3">
      <c r="A2939">
        <v>1042</v>
      </c>
      <c r="B2939" s="1">
        <v>44942</v>
      </c>
      <c r="C2939">
        <v>26</v>
      </c>
      <c r="D2939" t="s">
        <v>15</v>
      </c>
      <c r="E2939">
        <v>179.6</v>
      </c>
      <c r="F2939">
        <v>75.2</v>
      </c>
      <c r="G2939">
        <v>11547</v>
      </c>
      <c r="H2939">
        <v>629.70000000000005</v>
      </c>
      <c r="I2939">
        <v>4.8</v>
      </c>
      <c r="J2939">
        <v>66</v>
      </c>
      <c r="K2939" t="s">
        <v>22</v>
      </c>
      <c r="L2939">
        <v>43</v>
      </c>
      <c r="M2939">
        <v>3.07</v>
      </c>
      <c r="N2939">
        <v>4</v>
      </c>
      <c r="O2939" t="s">
        <v>17</v>
      </c>
      <c r="P2939" cm="1">
        <f t="array" ref="P2939">_xlfn.SWITCH(Table2[[#This Row],[mood]], "Tired", 3, "Neutral", 2, "Happy", 1)</f>
        <v>3</v>
      </c>
    </row>
    <row r="2940" spans="1:16" x14ac:dyDescent="0.3">
      <c r="A2940">
        <v>1943</v>
      </c>
      <c r="B2940" s="1">
        <v>44943</v>
      </c>
      <c r="C2940">
        <v>19</v>
      </c>
      <c r="D2940" t="s">
        <v>15</v>
      </c>
      <c r="E2940">
        <v>181.5</v>
      </c>
      <c r="F2940">
        <v>98.6</v>
      </c>
      <c r="G2940">
        <v>5941</v>
      </c>
      <c r="H2940">
        <v>385.8</v>
      </c>
      <c r="I2940">
        <v>6.5</v>
      </c>
      <c r="J2940">
        <v>77</v>
      </c>
      <c r="K2940" t="s">
        <v>18</v>
      </c>
      <c r="L2940">
        <v>33</v>
      </c>
      <c r="M2940">
        <v>2.67</v>
      </c>
      <c r="N2940">
        <v>9</v>
      </c>
      <c r="O2940" t="s">
        <v>17</v>
      </c>
      <c r="P2940" cm="1">
        <f t="array" ref="P2940">_xlfn.SWITCH(Table2[[#This Row],[mood]], "Tired", 3, "Neutral", 2, "Happy", 1)</f>
        <v>3</v>
      </c>
    </row>
    <row r="2941" spans="1:16" x14ac:dyDescent="0.3">
      <c r="A2941">
        <v>1342</v>
      </c>
      <c r="B2941" s="1">
        <v>44944</v>
      </c>
      <c r="C2941">
        <v>46</v>
      </c>
      <c r="D2941" t="s">
        <v>15</v>
      </c>
      <c r="E2941">
        <v>163.80000000000001</v>
      </c>
      <c r="F2941">
        <v>71.599999999999994</v>
      </c>
      <c r="G2941">
        <v>17010</v>
      </c>
      <c r="H2941">
        <v>859.7</v>
      </c>
      <c r="I2941">
        <v>7.2</v>
      </c>
      <c r="J2941">
        <v>76</v>
      </c>
      <c r="K2941" t="s">
        <v>22</v>
      </c>
      <c r="L2941">
        <v>31</v>
      </c>
      <c r="M2941">
        <v>2.1800000000000002</v>
      </c>
      <c r="N2941">
        <v>7</v>
      </c>
      <c r="O2941" t="s">
        <v>21</v>
      </c>
      <c r="P2941" cm="1">
        <f t="array" ref="P2941">_xlfn.SWITCH(Table2[[#This Row],[mood]], "Tired", 3, "Neutral", 2, "Happy", 1)</f>
        <v>1</v>
      </c>
    </row>
    <row r="2942" spans="1:16" x14ac:dyDescent="0.3">
      <c r="A2942">
        <v>1325</v>
      </c>
      <c r="B2942" s="1">
        <v>44945</v>
      </c>
      <c r="C2942">
        <v>50</v>
      </c>
      <c r="D2942" t="s">
        <v>15</v>
      </c>
      <c r="E2942">
        <v>180.3</v>
      </c>
      <c r="F2942">
        <v>68.400000000000006</v>
      </c>
      <c r="G2942">
        <v>1897</v>
      </c>
      <c r="H2942">
        <v>337.2</v>
      </c>
      <c r="I2942">
        <v>7.5</v>
      </c>
      <c r="J2942">
        <v>83</v>
      </c>
      <c r="K2942" t="s">
        <v>16</v>
      </c>
      <c r="L2942">
        <v>0</v>
      </c>
      <c r="M2942">
        <v>2.12</v>
      </c>
      <c r="N2942">
        <v>7</v>
      </c>
      <c r="O2942" t="s">
        <v>21</v>
      </c>
      <c r="P2942" cm="1">
        <f t="array" ref="P2942">_xlfn.SWITCH(Table2[[#This Row],[mood]], "Tired", 3, "Neutral", 2, "Happy", 1)</f>
        <v>1</v>
      </c>
    </row>
    <row r="2943" spans="1:16" x14ac:dyDescent="0.3">
      <c r="A2943">
        <v>1813</v>
      </c>
      <c r="B2943" s="1">
        <v>44946</v>
      </c>
      <c r="C2943">
        <v>27</v>
      </c>
      <c r="D2943" t="s">
        <v>15</v>
      </c>
      <c r="E2943">
        <v>164.8</v>
      </c>
      <c r="F2943">
        <v>87.3</v>
      </c>
      <c r="G2943">
        <v>9244</v>
      </c>
      <c r="H2943">
        <v>463.4</v>
      </c>
      <c r="I2943">
        <v>8.5</v>
      </c>
      <c r="J2943">
        <v>77</v>
      </c>
      <c r="K2943" t="s">
        <v>24</v>
      </c>
      <c r="L2943">
        <v>87</v>
      </c>
      <c r="M2943">
        <v>2.2599999999999998</v>
      </c>
      <c r="N2943">
        <v>1</v>
      </c>
      <c r="O2943" t="s">
        <v>17</v>
      </c>
      <c r="P2943" cm="1">
        <f t="array" ref="P2943">_xlfn.SWITCH(Table2[[#This Row],[mood]], "Tired", 3, "Neutral", 2, "Happy", 1)</f>
        <v>3</v>
      </c>
    </row>
    <row r="2944" spans="1:16" x14ac:dyDescent="0.3">
      <c r="A2944">
        <v>1497</v>
      </c>
      <c r="B2944" s="1">
        <v>44947</v>
      </c>
      <c r="C2944">
        <v>51</v>
      </c>
      <c r="D2944" t="s">
        <v>20</v>
      </c>
      <c r="E2944">
        <v>168.4</v>
      </c>
      <c r="F2944">
        <v>64.400000000000006</v>
      </c>
      <c r="G2944">
        <v>1605</v>
      </c>
      <c r="H2944">
        <v>268.39999999999998</v>
      </c>
      <c r="I2944">
        <v>8.6999999999999993</v>
      </c>
      <c r="J2944">
        <v>79</v>
      </c>
      <c r="K2944" t="s">
        <v>24</v>
      </c>
      <c r="L2944">
        <v>63</v>
      </c>
      <c r="M2944">
        <v>2.82</v>
      </c>
      <c r="N2944">
        <v>2</v>
      </c>
      <c r="O2944" t="s">
        <v>17</v>
      </c>
      <c r="P2944" cm="1">
        <f t="array" ref="P2944">_xlfn.SWITCH(Table2[[#This Row],[mood]], "Tired", 3, "Neutral", 2, "Happy", 1)</f>
        <v>3</v>
      </c>
    </row>
    <row r="2945" spans="1:16" x14ac:dyDescent="0.3">
      <c r="A2945">
        <v>1363</v>
      </c>
      <c r="B2945" s="1">
        <v>44948</v>
      </c>
      <c r="C2945">
        <v>25</v>
      </c>
      <c r="D2945" t="s">
        <v>20</v>
      </c>
      <c r="E2945">
        <v>168.2</v>
      </c>
      <c r="F2945">
        <v>75.8</v>
      </c>
      <c r="G2945">
        <v>4677</v>
      </c>
      <c r="H2945">
        <v>371.7</v>
      </c>
      <c r="I2945">
        <v>6.6</v>
      </c>
      <c r="J2945">
        <v>85</v>
      </c>
      <c r="K2945" t="s">
        <v>22</v>
      </c>
      <c r="L2945">
        <v>70</v>
      </c>
      <c r="M2945">
        <v>3.09</v>
      </c>
      <c r="N2945">
        <v>1</v>
      </c>
      <c r="O2945" t="s">
        <v>19</v>
      </c>
      <c r="P2945" cm="1">
        <f t="array" ref="P2945">_xlfn.SWITCH(Table2[[#This Row],[mood]], "Tired", 3, "Neutral", 2, "Happy", 1)</f>
        <v>2</v>
      </c>
    </row>
    <row r="2946" spans="1:16" x14ac:dyDescent="0.3">
      <c r="A2946">
        <v>1890</v>
      </c>
      <c r="B2946" s="1">
        <v>44949</v>
      </c>
      <c r="C2946">
        <v>54</v>
      </c>
      <c r="D2946" t="s">
        <v>15</v>
      </c>
      <c r="E2946">
        <v>160</v>
      </c>
      <c r="F2946">
        <v>76.7</v>
      </c>
      <c r="G2946">
        <v>5547</v>
      </c>
      <c r="H2946">
        <v>481.8</v>
      </c>
      <c r="I2946">
        <v>7.8</v>
      </c>
      <c r="J2946">
        <v>76</v>
      </c>
      <c r="K2946" t="s">
        <v>24</v>
      </c>
      <c r="L2946">
        <v>57</v>
      </c>
      <c r="M2946">
        <v>1.49</v>
      </c>
      <c r="N2946">
        <v>4</v>
      </c>
      <c r="O2946" t="s">
        <v>19</v>
      </c>
      <c r="P2946" cm="1">
        <f t="array" ref="P2946">_xlfn.SWITCH(Table2[[#This Row],[mood]], "Tired", 3, "Neutral", 2, "Happy", 1)</f>
        <v>2</v>
      </c>
    </row>
    <row r="2947" spans="1:16" x14ac:dyDescent="0.3">
      <c r="A2947">
        <v>1426</v>
      </c>
      <c r="B2947" s="1">
        <v>44950</v>
      </c>
      <c r="C2947">
        <v>50</v>
      </c>
      <c r="D2947" t="s">
        <v>20</v>
      </c>
      <c r="E2947">
        <v>152.6</v>
      </c>
      <c r="F2947">
        <v>55.4</v>
      </c>
      <c r="G2947">
        <v>9652</v>
      </c>
      <c r="H2947">
        <v>635.1</v>
      </c>
      <c r="I2947">
        <v>9.4</v>
      </c>
      <c r="J2947">
        <v>82</v>
      </c>
      <c r="K2947" t="s">
        <v>23</v>
      </c>
      <c r="L2947">
        <v>60</v>
      </c>
      <c r="M2947">
        <v>1.1399999999999999</v>
      </c>
      <c r="N2947">
        <v>4</v>
      </c>
      <c r="O2947" t="s">
        <v>19</v>
      </c>
      <c r="P2947" cm="1">
        <f t="array" ref="P2947">_xlfn.SWITCH(Table2[[#This Row],[mood]], "Tired", 3, "Neutral", 2, "Happy", 1)</f>
        <v>2</v>
      </c>
    </row>
    <row r="2948" spans="1:16" x14ac:dyDescent="0.3">
      <c r="A2948">
        <v>1020</v>
      </c>
      <c r="B2948" s="1">
        <v>44951</v>
      </c>
      <c r="C2948">
        <v>23</v>
      </c>
      <c r="D2948" t="s">
        <v>20</v>
      </c>
      <c r="E2948">
        <v>182.2</v>
      </c>
      <c r="F2948">
        <v>75.8</v>
      </c>
      <c r="G2948">
        <v>18158</v>
      </c>
      <c r="H2948">
        <v>852.9</v>
      </c>
      <c r="I2948">
        <v>5.5</v>
      </c>
      <c r="J2948">
        <v>67</v>
      </c>
      <c r="K2948" t="s">
        <v>24</v>
      </c>
      <c r="L2948">
        <v>63</v>
      </c>
      <c r="M2948">
        <v>1.83</v>
      </c>
      <c r="N2948">
        <v>5</v>
      </c>
      <c r="O2948" t="s">
        <v>21</v>
      </c>
      <c r="P2948" cm="1">
        <f t="array" ref="P2948">_xlfn.SWITCH(Table2[[#This Row],[mood]], "Tired", 3, "Neutral", 2, "Happy", 1)</f>
        <v>1</v>
      </c>
    </row>
    <row r="2949" spans="1:16" x14ac:dyDescent="0.3">
      <c r="A2949">
        <v>1406</v>
      </c>
      <c r="B2949" s="1">
        <v>44952</v>
      </c>
      <c r="C2949">
        <v>57</v>
      </c>
      <c r="D2949" t="s">
        <v>15</v>
      </c>
      <c r="E2949">
        <v>163</v>
      </c>
      <c r="F2949">
        <v>102.8</v>
      </c>
      <c r="G2949">
        <v>6256</v>
      </c>
      <c r="H2949">
        <v>510.1</v>
      </c>
      <c r="I2949">
        <v>6.1</v>
      </c>
      <c r="J2949">
        <v>68</v>
      </c>
      <c r="K2949" t="s">
        <v>23</v>
      </c>
      <c r="L2949">
        <v>35</v>
      </c>
      <c r="M2949">
        <v>2.21</v>
      </c>
      <c r="N2949">
        <v>5</v>
      </c>
      <c r="O2949" t="s">
        <v>21</v>
      </c>
      <c r="P2949" cm="1">
        <f t="array" ref="P2949">_xlfn.SWITCH(Table2[[#This Row],[mood]], "Tired", 3, "Neutral", 2, "Happy", 1)</f>
        <v>1</v>
      </c>
    </row>
    <row r="2950" spans="1:16" x14ac:dyDescent="0.3">
      <c r="A2950">
        <v>1618</v>
      </c>
      <c r="B2950" s="1">
        <v>44953</v>
      </c>
      <c r="C2950">
        <v>36</v>
      </c>
      <c r="D2950" t="s">
        <v>20</v>
      </c>
      <c r="E2950">
        <v>167.3</v>
      </c>
      <c r="F2950">
        <v>87</v>
      </c>
      <c r="G2950">
        <v>17333</v>
      </c>
      <c r="H2950">
        <v>776.6</v>
      </c>
      <c r="I2950">
        <v>4.5</v>
      </c>
      <c r="J2950">
        <v>84</v>
      </c>
      <c r="K2950" t="s">
        <v>25</v>
      </c>
      <c r="L2950">
        <v>69</v>
      </c>
      <c r="M2950">
        <v>3.34</v>
      </c>
      <c r="N2950">
        <v>1</v>
      </c>
      <c r="O2950" t="s">
        <v>21</v>
      </c>
      <c r="P2950" cm="1">
        <f t="array" ref="P2950">_xlfn.SWITCH(Table2[[#This Row],[mood]], "Tired", 3, "Neutral", 2, "Happy", 1)</f>
        <v>1</v>
      </c>
    </row>
    <row r="2951" spans="1:16" x14ac:dyDescent="0.3">
      <c r="A2951">
        <v>1335</v>
      </c>
      <c r="B2951" s="1">
        <v>44954</v>
      </c>
      <c r="C2951">
        <v>49</v>
      </c>
      <c r="D2951" t="s">
        <v>15</v>
      </c>
      <c r="E2951">
        <v>162.69999999999999</v>
      </c>
      <c r="F2951">
        <v>57.4</v>
      </c>
      <c r="G2951">
        <v>15730</v>
      </c>
      <c r="H2951">
        <v>859.8</v>
      </c>
      <c r="I2951">
        <v>6.1</v>
      </c>
      <c r="J2951">
        <v>76</v>
      </c>
      <c r="K2951" t="s">
        <v>18</v>
      </c>
      <c r="L2951">
        <v>57</v>
      </c>
      <c r="M2951">
        <v>2.2999999999999998</v>
      </c>
      <c r="N2951">
        <v>7</v>
      </c>
      <c r="O2951" t="s">
        <v>17</v>
      </c>
      <c r="P2951" cm="1">
        <f t="array" ref="P2951">_xlfn.SWITCH(Table2[[#This Row],[mood]], "Tired", 3, "Neutral", 2, "Happy", 1)</f>
        <v>3</v>
      </c>
    </row>
    <row r="2952" spans="1:16" x14ac:dyDescent="0.3">
      <c r="A2952">
        <v>1814</v>
      </c>
      <c r="B2952" s="1">
        <v>44955</v>
      </c>
      <c r="C2952">
        <v>44</v>
      </c>
      <c r="D2952" t="s">
        <v>15</v>
      </c>
      <c r="E2952">
        <v>167.4</v>
      </c>
      <c r="F2952">
        <v>105.1</v>
      </c>
      <c r="G2952">
        <v>6156</v>
      </c>
      <c r="H2952">
        <v>481.3</v>
      </c>
      <c r="I2952">
        <v>7.3</v>
      </c>
      <c r="J2952">
        <v>77</v>
      </c>
      <c r="K2952" t="s">
        <v>18</v>
      </c>
      <c r="L2952">
        <v>24</v>
      </c>
      <c r="M2952">
        <v>2.68</v>
      </c>
      <c r="N2952">
        <v>6</v>
      </c>
      <c r="O2952" t="s">
        <v>19</v>
      </c>
      <c r="P2952" cm="1">
        <f t="array" ref="P2952">_xlfn.SWITCH(Table2[[#This Row],[mood]], "Tired", 3, "Neutral", 2, "Happy", 1)</f>
        <v>2</v>
      </c>
    </row>
    <row r="2953" spans="1:16" x14ac:dyDescent="0.3">
      <c r="A2953">
        <v>1116</v>
      </c>
      <c r="B2953" s="1">
        <v>44956</v>
      </c>
      <c r="C2953">
        <v>18</v>
      </c>
      <c r="D2953" t="s">
        <v>15</v>
      </c>
      <c r="E2953">
        <v>164.9</v>
      </c>
      <c r="F2953">
        <v>80.3</v>
      </c>
      <c r="G2953">
        <v>6773</v>
      </c>
      <c r="H2953">
        <v>555.20000000000005</v>
      </c>
      <c r="I2953">
        <v>3.8</v>
      </c>
      <c r="J2953">
        <v>68</v>
      </c>
      <c r="K2953" t="s">
        <v>24</v>
      </c>
      <c r="L2953">
        <v>28</v>
      </c>
      <c r="M2953">
        <v>2.79</v>
      </c>
      <c r="N2953">
        <v>8</v>
      </c>
      <c r="O2953" t="s">
        <v>17</v>
      </c>
      <c r="P2953" cm="1">
        <f t="array" ref="P2953">_xlfn.SWITCH(Table2[[#This Row],[mood]], "Tired", 3, "Neutral", 2, "Happy", 1)</f>
        <v>3</v>
      </c>
    </row>
    <row r="2954" spans="1:16" x14ac:dyDescent="0.3">
      <c r="A2954">
        <v>1123</v>
      </c>
      <c r="B2954" s="1">
        <v>44957</v>
      </c>
      <c r="C2954">
        <v>50</v>
      </c>
      <c r="D2954" t="s">
        <v>15</v>
      </c>
      <c r="E2954">
        <v>182.8</v>
      </c>
      <c r="F2954">
        <v>76.400000000000006</v>
      </c>
      <c r="G2954">
        <v>11886</v>
      </c>
      <c r="H2954">
        <v>686.8</v>
      </c>
      <c r="I2954">
        <v>7.7</v>
      </c>
      <c r="J2954">
        <v>71</v>
      </c>
      <c r="K2954" t="s">
        <v>18</v>
      </c>
      <c r="L2954">
        <v>58</v>
      </c>
      <c r="M2954">
        <v>1.78</v>
      </c>
      <c r="N2954">
        <v>4</v>
      </c>
      <c r="O2954" t="s">
        <v>17</v>
      </c>
      <c r="P2954" cm="1">
        <f t="array" ref="P2954">_xlfn.SWITCH(Table2[[#This Row],[mood]], "Tired", 3, "Neutral", 2, "Happy", 1)</f>
        <v>3</v>
      </c>
    </row>
    <row r="2955" spans="1:16" x14ac:dyDescent="0.3">
      <c r="A2955">
        <v>1398</v>
      </c>
      <c r="B2955" s="1">
        <v>44958</v>
      </c>
      <c r="C2955">
        <v>57</v>
      </c>
      <c r="D2955" t="s">
        <v>15</v>
      </c>
      <c r="E2955">
        <v>164.1</v>
      </c>
      <c r="F2955">
        <v>68.5</v>
      </c>
      <c r="G2955">
        <v>16930</v>
      </c>
      <c r="H2955">
        <v>844</v>
      </c>
      <c r="I2955">
        <v>6.3</v>
      </c>
      <c r="J2955">
        <v>78</v>
      </c>
      <c r="K2955" t="s">
        <v>16</v>
      </c>
      <c r="L2955">
        <v>0</v>
      </c>
      <c r="M2955">
        <v>3.52</v>
      </c>
      <c r="N2955">
        <v>1</v>
      </c>
      <c r="O2955" t="s">
        <v>17</v>
      </c>
      <c r="P2955" cm="1">
        <f t="array" ref="P2955">_xlfn.SWITCH(Table2[[#This Row],[mood]], "Tired", 3, "Neutral", 2, "Happy", 1)</f>
        <v>3</v>
      </c>
    </row>
    <row r="2956" spans="1:16" x14ac:dyDescent="0.3">
      <c r="A2956">
        <v>1792</v>
      </c>
      <c r="B2956" s="1">
        <v>44959</v>
      </c>
      <c r="C2956">
        <v>49</v>
      </c>
      <c r="D2956" t="s">
        <v>20</v>
      </c>
      <c r="E2956">
        <v>187.1</v>
      </c>
      <c r="F2956">
        <v>80.2</v>
      </c>
      <c r="G2956">
        <v>4518</v>
      </c>
      <c r="H2956">
        <v>330.3</v>
      </c>
      <c r="I2956">
        <v>6.9</v>
      </c>
      <c r="J2956">
        <v>72</v>
      </c>
      <c r="K2956" t="s">
        <v>25</v>
      </c>
      <c r="L2956">
        <v>51</v>
      </c>
      <c r="M2956">
        <v>2.0299999999999998</v>
      </c>
      <c r="N2956">
        <v>3</v>
      </c>
      <c r="O2956" t="s">
        <v>21</v>
      </c>
      <c r="P2956" cm="1">
        <f t="array" ref="P2956">_xlfn.SWITCH(Table2[[#This Row],[mood]], "Tired", 3, "Neutral", 2, "Happy", 1)</f>
        <v>1</v>
      </c>
    </row>
    <row r="2957" spans="1:16" x14ac:dyDescent="0.3">
      <c r="A2957">
        <v>1803</v>
      </c>
      <c r="B2957" s="1">
        <v>44960</v>
      </c>
      <c r="C2957">
        <v>22</v>
      </c>
      <c r="D2957" t="s">
        <v>15</v>
      </c>
      <c r="E2957">
        <v>181.4</v>
      </c>
      <c r="F2957">
        <v>71.7</v>
      </c>
      <c r="G2957">
        <v>7775</v>
      </c>
      <c r="H2957">
        <v>584</v>
      </c>
      <c r="I2957">
        <v>5.2</v>
      </c>
      <c r="J2957">
        <v>66</v>
      </c>
      <c r="K2957" t="s">
        <v>24</v>
      </c>
      <c r="L2957">
        <v>83</v>
      </c>
      <c r="M2957">
        <v>3.59</v>
      </c>
      <c r="N2957">
        <v>9</v>
      </c>
      <c r="O2957" t="s">
        <v>21</v>
      </c>
      <c r="P2957" cm="1">
        <f t="array" ref="P2957">_xlfn.SWITCH(Table2[[#This Row],[mood]], "Tired", 3, "Neutral", 2, "Happy", 1)</f>
        <v>1</v>
      </c>
    </row>
    <row r="2958" spans="1:16" x14ac:dyDescent="0.3">
      <c r="A2958">
        <v>1714</v>
      </c>
      <c r="B2958" s="1">
        <v>44961</v>
      </c>
      <c r="C2958">
        <v>34</v>
      </c>
      <c r="D2958" t="s">
        <v>20</v>
      </c>
      <c r="E2958">
        <v>165.3</v>
      </c>
      <c r="F2958">
        <v>70.3</v>
      </c>
      <c r="G2958">
        <v>6378</v>
      </c>
      <c r="H2958">
        <v>540</v>
      </c>
      <c r="I2958">
        <v>6.8</v>
      </c>
      <c r="J2958">
        <v>66</v>
      </c>
      <c r="K2958" t="s">
        <v>23</v>
      </c>
      <c r="L2958">
        <v>52</v>
      </c>
      <c r="M2958">
        <v>2.41</v>
      </c>
      <c r="N2958">
        <v>10</v>
      </c>
      <c r="O2958" t="s">
        <v>17</v>
      </c>
      <c r="P2958" cm="1">
        <f t="array" ref="P2958">_xlfn.SWITCH(Table2[[#This Row],[mood]], "Tired", 3, "Neutral", 2, "Happy", 1)</f>
        <v>3</v>
      </c>
    </row>
    <row r="2959" spans="1:16" x14ac:dyDescent="0.3">
      <c r="A2959">
        <v>1050</v>
      </c>
      <c r="B2959" s="1">
        <v>44962</v>
      </c>
      <c r="C2959">
        <v>25</v>
      </c>
      <c r="D2959" t="s">
        <v>15</v>
      </c>
      <c r="E2959">
        <v>173.2</v>
      </c>
      <c r="F2959">
        <v>68</v>
      </c>
      <c r="G2959">
        <v>14634</v>
      </c>
      <c r="H2959">
        <v>762.9</v>
      </c>
      <c r="I2959">
        <v>9.5</v>
      </c>
      <c r="J2959">
        <v>69</v>
      </c>
      <c r="K2959" t="s">
        <v>25</v>
      </c>
      <c r="L2959">
        <v>37</v>
      </c>
      <c r="M2959">
        <v>2.2599999999999998</v>
      </c>
      <c r="N2959">
        <v>7</v>
      </c>
      <c r="O2959" t="s">
        <v>19</v>
      </c>
      <c r="P2959" cm="1">
        <f t="array" ref="P2959">_xlfn.SWITCH(Table2[[#This Row],[mood]], "Tired", 3, "Neutral", 2, "Happy", 1)</f>
        <v>2</v>
      </c>
    </row>
    <row r="2960" spans="1:16" x14ac:dyDescent="0.3">
      <c r="A2960">
        <v>1782</v>
      </c>
      <c r="B2960" s="1">
        <v>44963</v>
      </c>
      <c r="C2960">
        <v>59</v>
      </c>
      <c r="D2960" t="s">
        <v>15</v>
      </c>
      <c r="E2960">
        <v>175.2</v>
      </c>
      <c r="F2960">
        <v>84.6</v>
      </c>
      <c r="G2960">
        <v>7673</v>
      </c>
      <c r="H2960">
        <v>508</v>
      </c>
      <c r="I2960">
        <v>6.4</v>
      </c>
      <c r="J2960">
        <v>72</v>
      </c>
      <c r="K2960" t="s">
        <v>16</v>
      </c>
      <c r="L2960">
        <v>0</v>
      </c>
      <c r="M2960">
        <v>1.72</v>
      </c>
      <c r="N2960">
        <v>2</v>
      </c>
      <c r="O2960" t="s">
        <v>21</v>
      </c>
      <c r="P2960" cm="1">
        <f t="array" ref="P2960">_xlfn.SWITCH(Table2[[#This Row],[mood]], "Tired", 3, "Neutral", 2, "Happy", 1)</f>
        <v>1</v>
      </c>
    </row>
    <row r="2961" spans="1:16" x14ac:dyDescent="0.3">
      <c r="A2961">
        <v>1323</v>
      </c>
      <c r="B2961" s="1">
        <v>44964</v>
      </c>
      <c r="C2961">
        <v>51</v>
      </c>
      <c r="D2961" t="s">
        <v>15</v>
      </c>
      <c r="E2961">
        <v>178.4</v>
      </c>
      <c r="F2961">
        <v>82.9</v>
      </c>
      <c r="G2961">
        <v>7444</v>
      </c>
      <c r="H2961">
        <v>565.9</v>
      </c>
      <c r="I2961">
        <v>3.7</v>
      </c>
      <c r="J2961">
        <v>72</v>
      </c>
      <c r="K2961" t="s">
        <v>25</v>
      </c>
      <c r="L2961">
        <v>24</v>
      </c>
      <c r="M2961">
        <v>2.64</v>
      </c>
      <c r="N2961">
        <v>3</v>
      </c>
      <c r="O2961" t="s">
        <v>21</v>
      </c>
      <c r="P2961" cm="1">
        <f t="array" ref="P2961">_xlfn.SWITCH(Table2[[#This Row],[mood]], "Tired", 3, "Neutral", 2, "Happy", 1)</f>
        <v>1</v>
      </c>
    </row>
    <row r="2962" spans="1:16" x14ac:dyDescent="0.3">
      <c r="A2962">
        <v>1788</v>
      </c>
      <c r="B2962" s="1">
        <v>44965</v>
      </c>
      <c r="C2962">
        <v>26</v>
      </c>
      <c r="D2962" t="s">
        <v>20</v>
      </c>
      <c r="E2962">
        <v>179.4</v>
      </c>
      <c r="F2962">
        <v>67.8</v>
      </c>
      <c r="G2962">
        <v>15176</v>
      </c>
      <c r="H2962">
        <v>845.5</v>
      </c>
      <c r="I2962">
        <v>8.8000000000000007</v>
      </c>
      <c r="J2962">
        <v>91</v>
      </c>
      <c r="K2962" t="s">
        <v>18</v>
      </c>
      <c r="L2962">
        <v>78</v>
      </c>
      <c r="M2962">
        <v>4.08</v>
      </c>
      <c r="N2962">
        <v>2</v>
      </c>
      <c r="O2962" t="s">
        <v>17</v>
      </c>
      <c r="P2962" cm="1">
        <f t="array" ref="P2962">_xlfn.SWITCH(Table2[[#This Row],[mood]], "Tired", 3, "Neutral", 2, "Happy", 1)</f>
        <v>3</v>
      </c>
    </row>
    <row r="2963" spans="1:16" x14ac:dyDescent="0.3">
      <c r="A2963">
        <v>1140</v>
      </c>
      <c r="B2963" s="1">
        <v>44966</v>
      </c>
      <c r="C2963">
        <v>40</v>
      </c>
      <c r="D2963" t="s">
        <v>15</v>
      </c>
      <c r="E2963">
        <v>171.9</v>
      </c>
      <c r="F2963">
        <v>47.2</v>
      </c>
      <c r="G2963">
        <v>10379</v>
      </c>
      <c r="H2963">
        <v>605.79999999999995</v>
      </c>
      <c r="I2963">
        <v>7.8</v>
      </c>
      <c r="J2963">
        <v>84</v>
      </c>
      <c r="K2963" t="s">
        <v>16</v>
      </c>
      <c r="L2963">
        <v>0</v>
      </c>
      <c r="M2963">
        <v>2.79</v>
      </c>
      <c r="N2963">
        <v>4</v>
      </c>
      <c r="O2963" t="s">
        <v>21</v>
      </c>
      <c r="P2963" cm="1">
        <f t="array" ref="P2963">_xlfn.SWITCH(Table2[[#This Row],[mood]], "Tired", 3, "Neutral", 2, "Happy", 1)</f>
        <v>1</v>
      </c>
    </row>
    <row r="2964" spans="1:16" x14ac:dyDescent="0.3">
      <c r="A2964">
        <v>1469</v>
      </c>
      <c r="B2964" s="1">
        <v>44967</v>
      </c>
      <c r="C2964">
        <v>52</v>
      </c>
      <c r="D2964" t="s">
        <v>15</v>
      </c>
      <c r="E2964">
        <v>160.5</v>
      </c>
      <c r="F2964">
        <v>70.5</v>
      </c>
      <c r="G2964">
        <v>4727</v>
      </c>
      <c r="H2964">
        <v>351.1</v>
      </c>
      <c r="I2964">
        <v>7.1</v>
      </c>
      <c r="J2964">
        <v>78</v>
      </c>
      <c r="K2964" t="s">
        <v>23</v>
      </c>
      <c r="L2964">
        <v>35</v>
      </c>
      <c r="M2964">
        <v>2.69</v>
      </c>
      <c r="N2964">
        <v>2</v>
      </c>
      <c r="O2964" t="s">
        <v>19</v>
      </c>
      <c r="P2964" cm="1">
        <f t="array" ref="P2964">_xlfn.SWITCH(Table2[[#This Row],[mood]], "Tired", 3, "Neutral", 2, "Happy", 1)</f>
        <v>2</v>
      </c>
    </row>
    <row r="2965" spans="1:16" x14ac:dyDescent="0.3">
      <c r="A2965">
        <v>1786</v>
      </c>
      <c r="B2965" s="1">
        <v>44968</v>
      </c>
      <c r="C2965">
        <v>24</v>
      </c>
      <c r="D2965" t="s">
        <v>15</v>
      </c>
      <c r="E2965">
        <v>176.4</v>
      </c>
      <c r="F2965">
        <v>59.2</v>
      </c>
      <c r="G2965">
        <v>15225</v>
      </c>
      <c r="H2965">
        <v>766.9</v>
      </c>
      <c r="I2965">
        <v>7.9</v>
      </c>
      <c r="J2965">
        <v>94</v>
      </c>
      <c r="K2965" t="s">
        <v>22</v>
      </c>
      <c r="L2965">
        <v>67</v>
      </c>
      <c r="M2965">
        <v>2.0299999999999998</v>
      </c>
      <c r="N2965">
        <v>4</v>
      </c>
      <c r="O2965" t="s">
        <v>17</v>
      </c>
      <c r="P2965" cm="1">
        <f t="array" ref="P2965">_xlfn.SWITCH(Table2[[#This Row],[mood]], "Tired", 3, "Neutral", 2, "Happy", 1)</f>
        <v>3</v>
      </c>
    </row>
    <row r="2966" spans="1:16" x14ac:dyDescent="0.3">
      <c r="A2966">
        <v>1801</v>
      </c>
      <c r="B2966" s="1">
        <v>44969</v>
      </c>
      <c r="C2966">
        <v>32</v>
      </c>
      <c r="D2966" t="s">
        <v>15</v>
      </c>
      <c r="E2966">
        <v>167.6</v>
      </c>
      <c r="F2966">
        <v>62.9</v>
      </c>
      <c r="G2966">
        <v>19373</v>
      </c>
      <c r="H2966">
        <v>900</v>
      </c>
      <c r="I2966">
        <v>7.1</v>
      </c>
      <c r="J2966">
        <v>74</v>
      </c>
      <c r="K2966" t="s">
        <v>25</v>
      </c>
      <c r="L2966">
        <v>85</v>
      </c>
      <c r="M2966">
        <v>2.91</v>
      </c>
      <c r="N2966">
        <v>7</v>
      </c>
      <c r="O2966" t="s">
        <v>21</v>
      </c>
      <c r="P2966" cm="1">
        <f t="array" ref="P2966">_xlfn.SWITCH(Table2[[#This Row],[mood]], "Tired", 3, "Neutral", 2, "Happy", 1)</f>
        <v>1</v>
      </c>
    </row>
    <row r="2967" spans="1:16" x14ac:dyDescent="0.3">
      <c r="A2967">
        <v>1333</v>
      </c>
      <c r="B2967" s="1">
        <v>44970</v>
      </c>
      <c r="C2967">
        <v>37</v>
      </c>
      <c r="D2967" t="s">
        <v>20</v>
      </c>
      <c r="E2967">
        <v>150</v>
      </c>
      <c r="F2967">
        <v>68.099999999999994</v>
      </c>
      <c r="G2967">
        <v>16468</v>
      </c>
      <c r="H2967">
        <v>840.4</v>
      </c>
      <c r="I2967">
        <v>9.5</v>
      </c>
      <c r="J2967">
        <v>80</v>
      </c>
      <c r="K2967" t="s">
        <v>18</v>
      </c>
      <c r="L2967">
        <v>27</v>
      </c>
      <c r="M2967">
        <v>2.61</v>
      </c>
      <c r="N2967">
        <v>8</v>
      </c>
      <c r="O2967" t="s">
        <v>17</v>
      </c>
      <c r="P2967" cm="1">
        <f t="array" ref="P2967">_xlfn.SWITCH(Table2[[#This Row],[mood]], "Tired", 3, "Neutral", 2, "Happy", 1)</f>
        <v>3</v>
      </c>
    </row>
    <row r="2968" spans="1:16" x14ac:dyDescent="0.3">
      <c r="A2968">
        <v>1892</v>
      </c>
      <c r="B2968" s="1">
        <v>44971</v>
      </c>
      <c r="C2968">
        <v>42</v>
      </c>
      <c r="D2968" t="s">
        <v>15</v>
      </c>
      <c r="E2968">
        <v>173.9</v>
      </c>
      <c r="F2968">
        <v>54.1</v>
      </c>
      <c r="G2968">
        <v>5345</v>
      </c>
      <c r="H2968">
        <v>393.5</v>
      </c>
      <c r="I2968">
        <v>8.1</v>
      </c>
      <c r="J2968">
        <v>78</v>
      </c>
      <c r="K2968" t="s">
        <v>25</v>
      </c>
      <c r="L2968">
        <v>63</v>
      </c>
      <c r="M2968">
        <v>2.46</v>
      </c>
      <c r="N2968">
        <v>10</v>
      </c>
      <c r="O2968" t="s">
        <v>17</v>
      </c>
      <c r="P2968" cm="1">
        <f t="array" ref="P2968">_xlfn.SWITCH(Table2[[#This Row],[mood]], "Tired", 3, "Neutral", 2, "Happy", 1)</f>
        <v>3</v>
      </c>
    </row>
    <row r="2969" spans="1:16" x14ac:dyDescent="0.3">
      <c r="A2969">
        <v>1963</v>
      </c>
      <c r="B2969" s="1">
        <v>44972</v>
      </c>
      <c r="C2969">
        <v>20</v>
      </c>
      <c r="D2969" t="s">
        <v>20</v>
      </c>
      <c r="E2969">
        <v>162.69999999999999</v>
      </c>
      <c r="F2969">
        <v>45.8</v>
      </c>
      <c r="G2969">
        <v>9174</v>
      </c>
      <c r="H2969">
        <v>597.6</v>
      </c>
      <c r="I2969">
        <v>6.3</v>
      </c>
      <c r="J2969">
        <v>80</v>
      </c>
      <c r="K2969" t="s">
        <v>23</v>
      </c>
      <c r="L2969">
        <v>40</v>
      </c>
      <c r="M2969">
        <v>2.85</v>
      </c>
      <c r="N2969">
        <v>6</v>
      </c>
      <c r="O2969" t="s">
        <v>19</v>
      </c>
      <c r="P2969" cm="1">
        <f t="array" ref="P2969">_xlfn.SWITCH(Table2[[#This Row],[mood]], "Tired", 3, "Neutral", 2, "Happy", 1)</f>
        <v>2</v>
      </c>
    </row>
    <row r="2970" spans="1:16" x14ac:dyDescent="0.3">
      <c r="A2970">
        <v>1372</v>
      </c>
      <c r="B2970" s="1">
        <v>44973</v>
      </c>
      <c r="C2970">
        <v>41</v>
      </c>
      <c r="D2970" t="s">
        <v>15</v>
      </c>
      <c r="E2970">
        <v>165.4</v>
      </c>
      <c r="F2970">
        <v>74.400000000000006</v>
      </c>
      <c r="G2970">
        <v>14052</v>
      </c>
      <c r="H2970">
        <v>766.1</v>
      </c>
      <c r="I2970">
        <v>9.1999999999999993</v>
      </c>
      <c r="J2970">
        <v>68</v>
      </c>
      <c r="K2970" t="s">
        <v>23</v>
      </c>
      <c r="L2970">
        <v>45</v>
      </c>
      <c r="M2970">
        <v>1.23</v>
      </c>
      <c r="N2970">
        <v>9</v>
      </c>
      <c r="O2970" t="s">
        <v>19</v>
      </c>
      <c r="P2970" cm="1">
        <f t="array" ref="P2970">_xlfn.SWITCH(Table2[[#This Row],[mood]], "Tired", 3, "Neutral", 2, "Happy", 1)</f>
        <v>2</v>
      </c>
    </row>
    <row r="2971" spans="1:16" x14ac:dyDescent="0.3">
      <c r="A2971">
        <v>1563</v>
      </c>
      <c r="B2971" s="1">
        <v>44974</v>
      </c>
      <c r="C2971">
        <v>51</v>
      </c>
      <c r="D2971" t="s">
        <v>20</v>
      </c>
      <c r="E2971">
        <v>170.1</v>
      </c>
      <c r="F2971">
        <v>70.400000000000006</v>
      </c>
      <c r="G2971">
        <v>8046</v>
      </c>
      <c r="H2971">
        <v>541.29999999999995</v>
      </c>
      <c r="I2971">
        <v>9.6999999999999993</v>
      </c>
      <c r="J2971">
        <v>72</v>
      </c>
      <c r="K2971" t="s">
        <v>24</v>
      </c>
      <c r="L2971">
        <v>54</v>
      </c>
      <c r="M2971">
        <v>2.4300000000000002</v>
      </c>
      <c r="N2971">
        <v>6</v>
      </c>
      <c r="O2971" t="s">
        <v>21</v>
      </c>
      <c r="P2971" cm="1">
        <f t="array" ref="P2971">_xlfn.SWITCH(Table2[[#This Row],[mood]], "Tired", 3, "Neutral", 2, "Happy", 1)</f>
        <v>1</v>
      </c>
    </row>
    <row r="2972" spans="1:16" x14ac:dyDescent="0.3">
      <c r="A2972">
        <v>1493</v>
      </c>
      <c r="B2972" s="1">
        <v>44975</v>
      </c>
      <c r="C2972">
        <v>39</v>
      </c>
      <c r="D2972" t="s">
        <v>20</v>
      </c>
      <c r="E2972">
        <v>154.5</v>
      </c>
      <c r="F2972">
        <v>69.8</v>
      </c>
      <c r="G2972">
        <v>5186</v>
      </c>
      <c r="H2972">
        <v>391.2</v>
      </c>
      <c r="I2972">
        <v>8.4</v>
      </c>
      <c r="J2972">
        <v>67</v>
      </c>
      <c r="K2972" t="s">
        <v>22</v>
      </c>
      <c r="L2972">
        <v>34</v>
      </c>
      <c r="M2972">
        <v>1.66</v>
      </c>
      <c r="N2972">
        <v>3</v>
      </c>
      <c r="O2972" t="s">
        <v>17</v>
      </c>
      <c r="P2972" cm="1">
        <f t="array" ref="P2972">_xlfn.SWITCH(Table2[[#This Row],[mood]], "Tired", 3, "Neutral", 2, "Happy", 1)</f>
        <v>3</v>
      </c>
    </row>
    <row r="2973" spans="1:16" x14ac:dyDescent="0.3">
      <c r="A2973">
        <v>1538</v>
      </c>
      <c r="B2973" s="1">
        <v>44976</v>
      </c>
      <c r="C2973">
        <v>28</v>
      </c>
      <c r="D2973" t="s">
        <v>15</v>
      </c>
      <c r="E2973">
        <v>171.4</v>
      </c>
      <c r="F2973">
        <v>77.7</v>
      </c>
      <c r="G2973">
        <v>17722</v>
      </c>
      <c r="H2973">
        <v>890.6</v>
      </c>
      <c r="I2973">
        <v>7.6</v>
      </c>
      <c r="J2973">
        <v>79</v>
      </c>
      <c r="K2973" t="s">
        <v>22</v>
      </c>
      <c r="L2973">
        <v>59</v>
      </c>
      <c r="M2973">
        <v>2.52</v>
      </c>
      <c r="N2973">
        <v>1</v>
      </c>
      <c r="O2973" t="s">
        <v>21</v>
      </c>
      <c r="P2973" cm="1">
        <f t="array" ref="P2973">_xlfn.SWITCH(Table2[[#This Row],[mood]], "Tired", 3, "Neutral", 2, "Happy", 1)</f>
        <v>1</v>
      </c>
    </row>
    <row r="2974" spans="1:16" x14ac:dyDescent="0.3">
      <c r="A2974">
        <v>1668</v>
      </c>
      <c r="B2974" s="1">
        <v>44977</v>
      </c>
      <c r="C2974">
        <v>25</v>
      </c>
      <c r="D2974" t="s">
        <v>15</v>
      </c>
      <c r="E2974">
        <v>166.8</v>
      </c>
      <c r="F2974">
        <v>60.1</v>
      </c>
      <c r="G2974">
        <v>10853</v>
      </c>
      <c r="H2974">
        <v>597.4</v>
      </c>
      <c r="I2974">
        <v>5.7</v>
      </c>
      <c r="J2974">
        <v>75</v>
      </c>
      <c r="K2974" t="s">
        <v>18</v>
      </c>
      <c r="L2974">
        <v>49</v>
      </c>
      <c r="M2974">
        <v>1.99</v>
      </c>
      <c r="N2974">
        <v>9</v>
      </c>
      <c r="O2974" t="s">
        <v>21</v>
      </c>
      <c r="P2974" cm="1">
        <f t="array" ref="P2974">_xlfn.SWITCH(Table2[[#This Row],[mood]], "Tired", 3, "Neutral", 2, "Happy", 1)</f>
        <v>1</v>
      </c>
    </row>
    <row r="2975" spans="1:16" x14ac:dyDescent="0.3">
      <c r="A2975">
        <v>1750</v>
      </c>
      <c r="B2975" s="1">
        <v>44978</v>
      </c>
      <c r="C2975">
        <v>56</v>
      </c>
      <c r="D2975" t="s">
        <v>20</v>
      </c>
      <c r="E2975">
        <v>161.19999999999999</v>
      </c>
      <c r="F2975">
        <v>75</v>
      </c>
      <c r="G2975">
        <v>6968</v>
      </c>
      <c r="H2975">
        <v>514.20000000000005</v>
      </c>
      <c r="I2975">
        <v>8</v>
      </c>
      <c r="J2975">
        <v>56</v>
      </c>
      <c r="K2975" t="s">
        <v>22</v>
      </c>
      <c r="L2975">
        <v>85</v>
      </c>
      <c r="M2975">
        <v>2.04</v>
      </c>
      <c r="N2975">
        <v>3</v>
      </c>
      <c r="O2975" t="s">
        <v>21</v>
      </c>
      <c r="P2975" cm="1">
        <f t="array" ref="P2975">_xlfn.SWITCH(Table2[[#This Row],[mood]], "Tired", 3, "Neutral", 2, "Happy", 1)</f>
        <v>1</v>
      </c>
    </row>
    <row r="2976" spans="1:16" x14ac:dyDescent="0.3">
      <c r="A2976">
        <v>1155</v>
      </c>
      <c r="B2976" s="1">
        <v>44979</v>
      </c>
      <c r="C2976">
        <v>52</v>
      </c>
      <c r="D2976" t="s">
        <v>15</v>
      </c>
      <c r="E2976">
        <v>170.5</v>
      </c>
      <c r="F2976">
        <v>90.1</v>
      </c>
      <c r="G2976">
        <v>13456</v>
      </c>
      <c r="H2976">
        <v>742.5</v>
      </c>
      <c r="I2976">
        <v>7.6</v>
      </c>
      <c r="J2976">
        <v>80</v>
      </c>
      <c r="K2976" t="s">
        <v>23</v>
      </c>
      <c r="L2976">
        <v>32</v>
      </c>
      <c r="M2976">
        <v>1.57</v>
      </c>
      <c r="N2976">
        <v>1</v>
      </c>
      <c r="O2976" t="s">
        <v>19</v>
      </c>
      <c r="P2976" cm="1">
        <f t="array" ref="P2976">_xlfn.SWITCH(Table2[[#This Row],[mood]], "Tired", 3, "Neutral", 2, "Happy", 1)</f>
        <v>2</v>
      </c>
    </row>
    <row r="2977" spans="1:16" x14ac:dyDescent="0.3">
      <c r="A2977">
        <v>1290</v>
      </c>
      <c r="B2977" s="1">
        <v>44980</v>
      </c>
      <c r="C2977">
        <v>55</v>
      </c>
      <c r="D2977" t="s">
        <v>15</v>
      </c>
      <c r="E2977">
        <v>153.1</v>
      </c>
      <c r="F2977">
        <v>66.2</v>
      </c>
      <c r="G2977">
        <v>16498</v>
      </c>
      <c r="H2977">
        <v>874.6</v>
      </c>
      <c r="I2977">
        <v>7</v>
      </c>
      <c r="J2977">
        <v>77</v>
      </c>
      <c r="K2977" t="s">
        <v>22</v>
      </c>
      <c r="L2977">
        <v>20</v>
      </c>
      <c r="M2977">
        <v>3.28</v>
      </c>
      <c r="N2977">
        <v>2</v>
      </c>
      <c r="O2977" t="s">
        <v>17</v>
      </c>
      <c r="P2977" cm="1">
        <f t="array" ref="P2977">_xlfn.SWITCH(Table2[[#This Row],[mood]], "Tired", 3, "Neutral", 2, "Happy", 1)</f>
        <v>3</v>
      </c>
    </row>
    <row r="2978" spans="1:16" x14ac:dyDescent="0.3">
      <c r="A2978">
        <v>1647</v>
      </c>
      <c r="B2978" s="1">
        <v>44981</v>
      </c>
      <c r="C2978">
        <v>25</v>
      </c>
      <c r="D2978" t="s">
        <v>15</v>
      </c>
      <c r="E2978">
        <v>170.8</v>
      </c>
      <c r="F2978">
        <v>98.5</v>
      </c>
      <c r="G2978">
        <v>8684</v>
      </c>
      <c r="H2978">
        <v>496.4</v>
      </c>
      <c r="I2978">
        <v>8</v>
      </c>
      <c r="J2978">
        <v>92</v>
      </c>
      <c r="K2978" t="s">
        <v>18</v>
      </c>
      <c r="L2978">
        <v>62</v>
      </c>
      <c r="M2978">
        <v>2.0299999999999998</v>
      </c>
      <c r="N2978">
        <v>3</v>
      </c>
      <c r="O2978" t="s">
        <v>17</v>
      </c>
      <c r="P2978" cm="1">
        <f t="array" ref="P2978">_xlfn.SWITCH(Table2[[#This Row],[mood]], "Tired", 3, "Neutral", 2, "Happy", 1)</f>
        <v>3</v>
      </c>
    </row>
    <row r="2979" spans="1:16" x14ac:dyDescent="0.3">
      <c r="A2979">
        <v>1143</v>
      </c>
      <c r="B2979" s="1">
        <v>44982</v>
      </c>
      <c r="C2979">
        <v>54</v>
      </c>
      <c r="D2979" t="s">
        <v>20</v>
      </c>
      <c r="E2979">
        <v>174.7</v>
      </c>
      <c r="F2979">
        <v>70.7</v>
      </c>
      <c r="G2979">
        <v>16543</v>
      </c>
      <c r="H2979">
        <v>896.5</v>
      </c>
      <c r="I2979">
        <v>7.1</v>
      </c>
      <c r="J2979">
        <v>84</v>
      </c>
      <c r="K2979" t="s">
        <v>25</v>
      </c>
      <c r="L2979">
        <v>47</v>
      </c>
      <c r="M2979">
        <v>2.06</v>
      </c>
      <c r="N2979">
        <v>8</v>
      </c>
      <c r="O2979" t="s">
        <v>19</v>
      </c>
      <c r="P2979" cm="1">
        <f t="array" ref="P2979">_xlfn.SWITCH(Table2[[#This Row],[mood]], "Tired", 3, "Neutral", 2, "Happy", 1)</f>
        <v>2</v>
      </c>
    </row>
    <row r="2980" spans="1:16" x14ac:dyDescent="0.3">
      <c r="A2980">
        <v>1105</v>
      </c>
      <c r="B2980" s="1">
        <v>44983</v>
      </c>
      <c r="C2980">
        <v>44</v>
      </c>
      <c r="D2980" t="s">
        <v>15</v>
      </c>
      <c r="E2980">
        <v>173.1</v>
      </c>
      <c r="F2980">
        <v>57.2</v>
      </c>
      <c r="G2980">
        <v>9361</v>
      </c>
      <c r="H2980">
        <v>590</v>
      </c>
      <c r="I2980">
        <v>7.8</v>
      </c>
      <c r="J2980">
        <v>86</v>
      </c>
      <c r="K2980" t="s">
        <v>22</v>
      </c>
      <c r="L2980">
        <v>20</v>
      </c>
      <c r="M2980">
        <v>3.57</v>
      </c>
      <c r="N2980">
        <v>8</v>
      </c>
      <c r="O2980" t="s">
        <v>19</v>
      </c>
      <c r="P2980" cm="1">
        <f t="array" ref="P2980">_xlfn.SWITCH(Table2[[#This Row],[mood]], "Tired", 3, "Neutral", 2, "Happy", 1)</f>
        <v>2</v>
      </c>
    </row>
    <row r="2981" spans="1:16" x14ac:dyDescent="0.3">
      <c r="A2981">
        <v>1419</v>
      </c>
      <c r="B2981" s="1">
        <v>44984</v>
      </c>
      <c r="C2981">
        <v>45</v>
      </c>
      <c r="D2981" t="s">
        <v>15</v>
      </c>
      <c r="E2981">
        <v>177.9</v>
      </c>
      <c r="F2981">
        <v>82.7</v>
      </c>
      <c r="G2981">
        <v>7505</v>
      </c>
      <c r="H2981">
        <v>536.70000000000005</v>
      </c>
      <c r="I2981">
        <v>8.6</v>
      </c>
      <c r="J2981">
        <v>64</v>
      </c>
      <c r="K2981" t="s">
        <v>22</v>
      </c>
      <c r="L2981">
        <v>59</v>
      </c>
      <c r="M2981">
        <v>2.9</v>
      </c>
      <c r="N2981">
        <v>2</v>
      </c>
      <c r="O2981" t="s">
        <v>21</v>
      </c>
      <c r="P2981" cm="1">
        <f t="array" ref="P2981">_xlfn.SWITCH(Table2[[#This Row],[mood]], "Tired", 3, "Neutral", 2, "Happy", 1)</f>
        <v>1</v>
      </c>
    </row>
    <row r="2982" spans="1:16" x14ac:dyDescent="0.3">
      <c r="A2982">
        <v>1669</v>
      </c>
      <c r="B2982" s="1">
        <v>44985</v>
      </c>
      <c r="C2982">
        <v>57</v>
      </c>
      <c r="D2982" t="s">
        <v>15</v>
      </c>
      <c r="E2982">
        <v>181.7</v>
      </c>
      <c r="F2982">
        <v>68.3</v>
      </c>
      <c r="G2982">
        <v>7387</v>
      </c>
      <c r="H2982">
        <v>512.70000000000005</v>
      </c>
      <c r="I2982">
        <v>5</v>
      </c>
      <c r="J2982">
        <v>86</v>
      </c>
      <c r="K2982" t="s">
        <v>23</v>
      </c>
      <c r="L2982">
        <v>53</v>
      </c>
      <c r="M2982">
        <v>1.08</v>
      </c>
      <c r="N2982">
        <v>6</v>
      </c>
      <c r="O2982" t="s">
        <v>21</v>
      </c>
      <c r="P2982" cm="1">
        <f t="array" ref="P2982">_xlfn.SWITCH(Table2[[#This Row],[mood]], "Tired", 3, "Neutral", 2, "Happy", 1)</f>
        <v>1</v>
      </c>
    </row>
    <row r="2983" spans="1:16" x14ac:dyDescent="0.3">
      <c r="A2983">
        <v>1657</v>
      </c>
      <c r="B2983" s="1">
        <v>44986</v>
      </c>
      <c r="C2983">
        <v>51</v>
      </c>
      <c r="D2983" t="s">
        <v>20</v>
      </c>
      <c r="E2983">
        <v>169.2</v>
      </c>
      <c r="F2983">
        <v>85.8</v>
      </c>
      <c r="G2983">
        <v>12291</v>
      </c>
      <c r="H2983">
        <v>705.9</v>
      </c>
      <c r="I2983">
        <v>5.5</v>
      </c>
      <c r="J2983">
        <v>73</v>
      </c>
      <c r="K2983" t="s">
        <v>23</v>
      </c>
      <c r="L2983">
        <v>32</v>
      </c>
      <c r="M2983">
        <v>3.47</v>
      </c>
      <c r="N2983">
        <v>2</v>
      </c>
      <c r="O2983" t="s">
        <v>19</v>
      </c>
      <c r="P2983" cm="1">
        <f t="array" ref="P2983">_xlfn.SWITCH(Table2[[#This Row],[mood]], "Tired", 3, "Neutral", 2, "Happy", 1)</f>
        <v>2</v>
      </c>
    </row>
    <row r="2984" spans="1:16" x14ac:dyDescent="0.3">
      <c r="A2984">
        <v>1001</v>
      </c>
      <c r="B2984" s="1">
        <v>44987</v>
      </c>
      <c r="C2984">
        <v>49</v>
      </c>
      <c r="D2984" t="s">
        <v>15</v>
      </c>
      <c r="E2984">
        <v>181</v>
      </c>
      <c r="F2984">
        <v>76.2</v>
      </c>
      <c r="G2984">
        <v>13806</v>
      </c>
      <c r="H2984">
        <v>661.2</v>
      </c>
      <c r="I2984">
        <v>5.6</v>
      </c>
      <c r="J2984">
        <v>68</v>
      </c>
      <c r="K2984" t="s">
        <v>25</v>
      </c>
      <c r="L2984">
        <v>80</v>
      </c>
      <c r="M2984">
        <v>3.65</v>
      </c>
      <c r="N2984">
        <v>7</v>
      </c>
      <c r="O2984" t="s">
        <v>19</v>
      </c>
      <c r="P2984" cm="1">
        <f t="array" ref="P2984">_xlfn.SWITCH(Table2[[#This Row],[mood]], "Tired", 3, "Neutral", 2, "Happy", 1)</f>
        <v>2</v>
      </c>
    </row>
    <row r="2985" spans="1:16" x14ac:dyDescent="0.3">
      <c r="A2985">
        <v>1944</v>
      </c>
      <c r="B2985" s="1">
        <v>44988</v>
      </c>
      <c r="C2985">
        <v>32</v>
      </c>
      <c r="D2985" t="s">
        <v>20</v>
      </c>
      <c r="E2985">
        <v>169.1</v>
      </c>
      <c r="F2985">
        <v>65.099999999999994</v>
      </c>
      <c r="G2985">
        <v>3610</v>
      </c>
      <c r="H2985">
        <v>401.3</v>
      </c>
      <c r="I2985">
        <v>9.9</v>
      </c>
      <c r="J2985">
        <v>52</v>
      </c>
      <c r="K2985" t="s">
        <v>16</v>
      </c>
      <c r="L2985">
        <v>0</v>
      </c>
      <c r="M2985">
        <v>3.59</v>
      </c>
      <c r="N2985">
        <v>10</v>
      </c>
      <c r="O2985" t="s">
        <v>17</v>
      </c>
      <c r="P2985" cm="1">
        <f t="array" ref="P2985">_xlfn.SWITCH(Table2[[#This Row],[mood]], "Tired", 3, "Neutral", 2, "Happy", 1)</f>
        <v>3</v>
      </c>
    </row>
    <row r="2986" spans="1:16" x14ac:dyDescent="0.3">
      <c r="A2986">
        <v>1588</v>
      </c>
      <c r="B2986" s="1">
        <v>44989</v>
      </c>
      <c r="C2986">
        <v>34</v>
      </c>
      <c r="D2986" t="s">
        <v>15</v>
      </c>
      <c r="E2986">
        <v>163</v>
      </c>
      <c r="F2986">
        <v>92.8</v>
      </c>
      <c r="G2986">
        <v>3473</v>
      </c>
      <c r="H2986">
        <v>272.89999999999998</v>
      </c>
      <c r="I2986">
        <v>8</v>
      </c>
      <c r="J2986">
        <v>88</v>
      </c>
      <c r="K2986" t="s">
        <v>16</v>
      </c>
      <c r="L2986">
        <v>0</v>
      </c>
      <c r="M2986">
        <v>2.97</v>
      </c>
      <c r="N2986">
        <v>3</v>
      </c>
      <c r="O2986" t="s">
        <v>17</v>
      </c>
      <c r="P2986" cm="1">
        <f t="array" ref="P2986">_xlfn.SWITCH(Table2[[#This Row],[mood]], "Tired", 3, "Neutral", 2, "Happy", 1)</f>
        <v>3</v>
      </c>
    </row>
    <row r="2987" spans="1:16" x14ac:dyDescent="0.3">
      <c r="A2987">
        <v>1643</v>
      </c>
      <c r="B2987" s="1">
        <v>44990</v>
      </c>
      <c r="C2987">
        <v>50</v>
      </c>
      <c r="D2987" t="s">
        <v>20</v>
      </c>
      <c r="E2987">
        <v>166.1</v>
      </c>
      <c r="F2987">
        <v>62.5</v>
      </c>
      <c r="G2987">
        <v>3688</v>
      </c>
      <c r="H2987">
        <v>399.4</v>
      </c>
      <c r="I2987">
        <v>8.1</v>
      </c>
      <c r="J2987">
        <v>72</v>
      </c>
      <c r="K2987" t="s">
        <v>24</v>
      </c>
      <c r="L2987">
        <v>32</v>
      </c>
      <c r="M2987">
        <v>1.73</v>
      </c>
      <c r="N2987">
        <v>8</v>
      </c>
      <c r="O2987" t="s">
        <v>17</v>
      </c>
      <c r="P2987" cm="1">
        <f t="array" ref="P2987">_xlfn.SWITCH(Table2[[#This Row],[mood]], "Tired", 3, "Neutral", 2, "Happy", 1)</f>
        <v>3</v>
      </c>
    </row>
    <row r="2988" spans="1:16" x14ac:dyDescent="0.3">
      <c r="A2988">
        <v>1089</v>
      </c>
      <c r="B2988" s="1">
        <v>44991</v>
      </c>
      <c r="C2988">
        <v>33</v>
      </c>
      <c r="D2988" t="s">
        <v>15</v>
      </c>
      <c r="E2988">
        <v>172.7</v>
      </c>
      <c r="F2988">
        <v>45</v>
      </c>
      <c r="G2988">
        <v>5804</v>
      </c>
      <c r="H2988">
        <v>428.5</v>
      </c>
      <c r="I2988">
        <v>8.6999999999999993</v>
      </c>
      <c r="J2988">
        <v>74</v>
      </c>
      <c r="K2988" t="s">
        <v>22</v>
      </c>
      <c r="L2988">
        <v>55</v>
      </c>
      <c r="M2988">
        <v>2.4700000000000002</v>
      </c>
      <c r="N2988">
        <v>3</v>
      </c>
      <c r="O2988" t="s">
        <v>19</v>
      </c>
      <c r="P2988" cm="1">
        <f t="array" ref="P2988">_xlfn.SWITCH(Table2[[#This Row],[mood]], "Tired", 3, "Neutral", 2, "Happy", 1)</f>
        <v>2</v>
      </c>
    </row>
    <row r="2989" spans="1:16" x14ac:dyDescent="0.3">
      <c r="A2989">
        <v>1344</v>
      </c>
      <c r="B2989" s="1">
        <v>44992</v>
      </c>
      <c r="C2989">
        <v>46</v>
      </c>
      <c r="D2989" t="s">
        <v>15</v>
      </c>
      <c r="E2989">
        <v>180.9</v>
      </c>
      <c r="F2989">
        <v>83.2</v>
      </c>
      <c r="G2989">
        <v>2290</v>
      </c>
      <c r="H2989">
        <v>211.3</v>
      </c>
      <c r="I2989">
        <v>5.4</v>
      </c>
      <c r="J2989">
        <v>78</v>
      </c>
      <c r="K2989" t="s">
        <v>23</v>
      </c>
      <c r="L2989">
        <v>80</v>
      </c>
      <c r="M2989">
        <v>1.49</v>
      </c>
      <c r="N2989">
        <v>10</v>
      </c>
      <c r="O2989" t="s">
        <v>21</v>
      </c>
      <c r="P2989" cm="1">
        <f t="array" ref="P2989">_xlfn.SWITCH(Table2[[#This Row],[mood]], "Tired", 3, "Neutral", 2, "Happy", 1)</f>
        <v>1</v>
      </c>
    </row>
    <row r="2990" spans="1:16" x14ac:dyDescent="0.3">
      <c r="A2990">
        <v>1349</v>
      </c>
      <c r="B2990" s="1">
        <v>44993</v>
      </c>
      <c r="C2990">
        <v>26</v>
      </c>
      <c r="D2990" t="s">
        <v>20</v>
      </c>
      <c r="E2990">
        <v>170</v>
      </c>
      <c r="F2990">
        <v>75.2</v>
      </c>
      <c r="G2990">
        <v>11227</v>
      </c>
      <c r="H2990">
        <v>644.79999999999995</v>
      </c>
      <c r="I2990">
        <v>3.9</v>
      </c>
      <c r="J2990">
        <v>94</v>
      </c>
      <c r="K2990" t="s">
        <v>24</v>
      </c>
      <c r="L2990">
        <v>77</v>
      </c>
      <c r="M2990">
        <v>1.89</v>
      </c>
      <c r="N2990">
        <v>6</v>
      </c>
      <c r="O2990" t="s">
        <v>17</v>
      </c>
      <c r="P2990" cm="1">
        <f t="array" ref="P2990">_xlfn.SWITCH(Table2[[#This Row],[mood]], "Tired", 3, "Neutral", 2, "Happy", 1)</f>
        <v>3</v>
      </c>
    </row>
    <row r="2991" spans="1:16" x14ac:dyDescent="0.3">
      <c r="A2991">
        <v>1458</v>
      </c>
      <c r="B2991" s="1">
        <v>44994</v>
      </c>
      <c r="C2991">
        <v>50</v>
      </c>
      <c r="D2991" t="s">
        <v>20</v>
      </c>
      <c r="E2991">
        <v>163.30000000000001</v>
      </c>
      <c r="F2991">
        <v>89.3</v>
      </c>
      <c r="G2991">
        <v>19991</v>
      </c>
      <c r="H2991">
        <v>900</v>
      </c>
      <c r="I2991">
        <v>6.9</v>
      </c>
      <c r="J2991">
        <v>73</v>
      </c>
      <c r="K2991" t="s">
        <v>22</v>
      </c>
      <c r="L2991">
        <v>34</v>
      </c>
      <c r="M2991">
        <v>1.72</v>
      </c>
      <c r="N2991">
        <v>1</v>
      </c>
      <c r="O2991" t="s">
        <v>19</v>
      </c>
      <c r="P2991" cm="1">
        <f t="array" ref="P2991">_xlfn.SWITCH(Table2[[#This Row],[mood]], "Tired", 3, "Neutral", 2, "Happy", 1)</f>
        <v>2</v>
      </c>
    </row>
    <row r="2992" spans="1:16" x14ac:dyDescent="0.3">
      <c r="A2992">
        <v>1262</v>
      </c>
      <c r="B2992" s="1">
        <v>44995</v>
      </c>
      <c r="C2992">
        <v>46</v>
      </c>
      <c r="D2992" t="s">
        <v>20</v>
      </c>
      <c r="E2992">
        <v>184.4</v>
      </c>
      <c r="F2992">
        <v>56.8</v>
      </c>
      <c r="G2992">
        <v>19072</v>
      </c>
      <c r="H2992">
        <v>900</v>
      </c>
      <c r="I2992">
        <v>8.3000000000000007</v>
      </c>
      <c r="J2992">
        <v>75</v>
      </c>
      <c r="K2992" t="s">
        <v>22</v>
      </c>
      <c r="L2992">
        <v>31</v>
      </c>
      <c r="M2992">
        <v>2.06</v>
      </c>
      <c r="N2992">
        <v>8</v>
      </c>
      <c r="O2992" t="s">
        <v>19</v>
      </c>
      <c r="P2992" cm="1">
        <f t="array" ref="P2992">_xlfn.SWITCH(Table2[[#This Row],[mood]], "Tired", 3, "Neutral", 2, "Happy", 1)</f>
        <v>2</v>
      </c>
    </row>
    <row r="2993" spans="1:16" x14ac:dyDescent="0.3">
      <c r="A2993">
        <v>1350</v>
      </c>
      <c r="B2993" s="1">
        <v>44996</v>
      </c>
      <c r="C2993">
        <v>30</v>
      </c>
      <c r="D2993" t="s">
        <v>15</v>
      </c>
      <c r="E2993">
        <v>155.69999999999999</v>
      </c>
      <c r="F2993">
        <v>66.3</v>
      </c>
      <c r="G2993">
        <v>7511</v>
      </c>
      <c r="H2993">
        <v>474.7</v>
      </c>
      <c r="I2993">
        <v>6.7</v>
      </c>
      <c r="J2993">
        <v>85</v>
      </c>
      <c r="K2993" t="s">
        <v>24</v>
      </c>
      <c r="L2993">
        <v>88</v>
      </c>
      <c r="M2993">
        <v>2.61</v>
      </c>
      <c r="N2993">
        <v>7</v>
      </c>
      <c r="O2993" t="s">
        <v>21</v>
      </c>
      <c r="P2993" cm="1">
        <f t="array" ref="P2993">_xlfn.SWITCH(Table2[[#This Row],[mood]], "Tired", 3, "Neutral", 2, "Happy", 1)</f>
        <v>1</v>
      </c>
    </row>
    <row r="2994" spans="1:16" x14ac:dyDescent="0.3">
      <c r="A2994">
        <v>1107</v>
      </c>
      <c r="B2994" s="1">
        <v>44997</v>
      </c>
      <c r="C2994">
        <v>38</v>
      </c>
      <c r="D2994" t="s">
        <v>15</v>
      </c>
      <c r="E2994">
        <v>163.30000000000001</v>
      </c>
      <c r="F2994">
        <v>64.599999999999994</v>
      </c>
      <c r="G2994">
        <v>9197</v>
      </c>
      <c r="H2994">
        <v>515.79999999999995</v>
      </c>
      <c r="I2994">
        <v>4.9000000000000004</v>
      </c>
      <c r="J2994">
        <v>72</v>
      </c>
      <c r="K2994" t="s">
        <v>23</v>
      </c>
      <c r="L2994">
        <v>80</v>
      </c>
      <c r="M2994">
        <v>2.19</v>
      </c>
      <c r="N2994">
        <v>1</v>
      </c>
      <c r="O2994" t="s">
        <v>17</v>
      </c>
      <c r="P2994" cm="1">
        <f t="array" ref="P2994">_xlfn.SWITCH(Table2[[#This Row],[mood]], "Tired", 3, "Neutral", 2, "Happy", 1)</f>
        <v>3</v>
      </c>
    </row>
    <row r="2995" spans="1:16" x14ac:dyDescent="0.3">
      <c r="A2995">
        <v>1585</v>
      </c>
      <c r="B2995" s="1">
        <v>44998</v>
      </c>
      <c r="C2995">
        <v>38</v>
      </c>
      <c r="D2995" t="s">
        <v>15</v>
      </c>
      <c r="E2995">
        <v>178.9</v>
      </c>
      <c r="F2995">
        <v>84</v>
      </c>
      <c r="G2995">
        <v>9714</v>
      </c>
      <c r="H2995">
        <v>621.6</v>
      </c>
      <c r="I2995">
        <v>5.6</v>
      </c>
      <c r="J2995">
        <v>67</v>
      </c>
      <c r="K2995" t="s">
        <v>25</v>
      </c>
      <c r="L2995">
        <v>61</v>
      </c>
      <c r="M2995">
        <v>2.16</v>
      </c>
      <c r="N2995">
        <v>7</v>
      </c>
      <c r="O2995" t="s">
        <v>17</v>
      </c>
      <c r="P2995" cm="1">
        <f t="array" ref="P2995">_xlfn.SWITCH(Table2[[#This Row],[mood]], "Tired", 3, "Neutral", 2, "Happy", 1)</f>
        <v>3</v>
      </c>
    </row>
    <row r="2996" spans="1:16" x14ac:dyDescent="0.3">
      <c r="A2996">
        <v>1038</v>
      </c>
      <c r="B2996" s="1">
        <v>44999</v>
      </c>
      <c r="C2996">
        <v>22</v>
      </c>
      <c r="D2996" t="s">
        <v>15</v>
      </c>
      <c r="E2996">
        <v>187.7</v>
      </c>
      <c r="F2996">
        <v>79.8</v>
      </c>
      <c r="G2996">
        <v>7672</v>
      </c>
      <c r="H2996">
        <v>504.8</v>
      </c>
      <c r="I2996">
        <v>5.2</v>
      </c>
      <c r="J2996">
        <v>53</v>
      </c>
      <c r="K2996" t="s">
        <v>16</v>
      </c>
      <c r="L2996">
        <v>0</v>
      </c>
      <c r="M2996">
        <v>2.2999999999999998</v>
      </c>
      <c r="N2996">
        <v>5</v>
      </c>
      <c r="O2996" t="s">
        <v>19</v>
      </c>
      <c r="P2996" cm="1">
        <f t="array" ref="P2996">_xlfn.SWITCH(Table2[[#This Row],[mood]], "Tired", 3, "Neutral", 2, "Happy", 1)</f>
        <v>2</v>
      </c>
    </row>
    <row r="2997" spans="1:16" x14ac:dyDescent="0.3">
      <c r="A2997">
        <v>1908</v>
      </c>
      <c r="B2997" s="1">
        <v>45000</v>
      </c>
      <c r="C2997">
        <v>27</v>
      </c>
      <c r="D2997" t="s">
        <v>20</v>
      </c>
      <c r="E2997">
        <v>174.8</v>
      </c>
      <c r="F2997">
        <v>73.2</v>
      </c>
      <c r="G2997">
        <v>17449</v>
      </c>
      <c r="H2997">
        <v>900</v>
      </c>
      <c r="I2997">
        <v>6.1</v>
      </c>
      <c r="J2997">
        <v>88</v>
      </c>
      <c r="K2997" t="s">
        <v>22</v>
      </c>
      <c r="L2997">
        <v>21</v>
      </c>
      <c r="M2997">
        <v>3.55</v>
      </c>
      <c r="N2997">
        <v>2</v>
      </c>
      <c r="O2997" t="s">
        <v>17</v>
      </c>
      <c r="P2997" cm="1">
        <f t="array" ref="P2997">_xlfn.SWITCH(Table2[[#This Row],[mood]], "Tired", 3, "Neutral", 2, "Happy", 1)</f>
        <v>3</v>
      </c>
    </row>
    <row r="2998" spans="1:16" x14ac:dyDescent="0.3">
      <c r="A2998">
        <v>1158</v>
      </c>
      <c r="B2998" s="1">
        <v>45001</v>
      </c>
      <c r="C2998">
        <v>23</v>
      </c>
      <c r="D2998" t="s">
        <v>15</v>
      </c>
      <c r="E2998">
        <v>172.5</v>
      </c>
      <c r="F2998">
        <v>73.3</v>
      </c>
      <c r="G2998">
        <v>3981</v>
      </c>
      <c r="H2998">
        <v>353.5</v>
      </c>
      <c r="I2998">
        <v>5.3</v>
      </c>
      <c r="J2998">
        <v>77</v>
      </c>
      <c r="K2998" t="s">
        <v>18</v>
      </c>
      <c r="L2998">
        <v>27</v>
      </c>
      <c r="M2998">
        <v>4.01</v>
      </c>
      <c r="N2998">
        <v>1</v>
      </c>
      <c r="O2998" t="s">
        <v>21</v>
      </c>
      <c r="P2998" cm="1">
        <f t="array" ref="P2998">_xlfn.SWITCH(Table2[[#This Row],[mood]], "Tired", 3, "Neutral", 2, "Happy", 1)</f>
        <v>1</v>
      </c>
    </row>
    <row r="2999" spans="1:16" x14ac:dyDescent="0.3">
      <c r="A2999">
        <v>1582</v>
      </c>
      <c r="B2999" s="1">
        <v>45002</v>
      </c>
      <c r="C2999">
        <v>30</v>
      </c>
      <c r="D2999" t="s">
        <v>15</v>
      </c>
      <c r="E2999">
        <v>167.1</v>
      </c>
      <c r="F2999">
        <v>52.7</v>
      </c>
      <c r="G2999">
        <v>13785</v>
      </c>
      <c r="H2999">
        <v>809.2</v>
      </c>
      <c r="I2999">
        <v>7.2</v>
      </c>
      <c r="J2999">
        <v>80</v>
      </c>
      <c r="K2999" t="s">
        <v>18</v>
      </c>
      <c r="L2999">
        <v>73</v>
      </c>
      <c r="M2999">
        <v>2.1800000000000002</v>
      </c>
      <c r="N2999">
        <v>2</v>
      </c>
      <c r="O2999" t="s">
        <v>17</v>
      </c>
      <c r="P2999" cm="1">
        <f t="array" ref="P2999">_xlfn.SWITCH(Table2[[#This Row],[mood]], "Tired", 3, "Neutral", 2, "Happy", 1)</f>
        <v>3</v>
      </c>
    </row>
    <row r="3000" spans="1:16" x14ac:dyDescent="0.3">
      <c r="A3000">
        <v>1958</v>
      </c>
      <c r="B3000" s="1">
        <v>45003</v>
      </c>
      <c r="C3000">
        <v>18</v>
      </c>
      <c r="D3000" t="s">
        <v>15</v>
      </c>
      <c r="E3000">
        <v>175.5</v>
      </c>
      <c r="F3000">
        <v>81.5</v>
      </c>
      <c r="G3000">
        <v>15666</v>
      </c>
      <c r="H3000">
        <v>806.6</v>
      </c>
      <c r="I3000">
        <v>6.2</v>
      </c>
      <c r="J3000">
        <v>70</v>
      </c>
      <c r="K3000" t="s">
        <v>18</v>
      </c>
      <c r="L3000">
        <v>27</v>
      </c>
      <c r="M3000">
        <v>2.74</v>
      </c>
      <c r="N3000">
        <v>6</v>
      </c>
      <c r="O3000" t="s">
        <v>21</v>
      </c>
      <c r="P3000" cm="1">
        <f t="array" ref="P3000">_xlfn.SWITCH(Table2[[#This Row],[mood]], "Tired", 3, "Neutral", 2, "Happy", 1)</f>
        <v>1</v>
      </c>
    </row>
    <row r="3001" spans="1:16" x14ac:dyDescent="0.3">
      <c r="A3001">
        <v>1311</v>
      </c>
      <c r="B3001" s="1">
        <v>45004</v>
      </c>
      <c r="C3001">
        <v>37</v>
      </c>
      <c r="D3001" t="s">
        <v>15</v>
      </c>
      <c r="E3001">
        <v>171.3</v>
      </c>
      <c r="F3001">
        <v>81.8</v>
      </c>
      <c r="G3001">
        <v>3815</v>
      </c>
      <c r="H3001">
        <v>273.8</v>
      </c>
      <c r="I3001">
        <v>8</v>
      </c>
      <c r="J3001">
        <v>82</v>
      </c>
      <c r="K3001" t="s">
        <v>25</v>
      </c>
      <c r="L3001">
        <v>32</v>
      </c>
      <c r="M3001">
        <v>1.91</v>
      </c>
      <c r="N3001">
        <v>2</v>
      </c>
      <c r="O3001" t="s">
        <v>19</v>
      </c>
      <c r="P3001" cm="1">
        <f t="array" ref="P3001">_xlfn.SWITCH(Table2[[#This Row],[mood]], "Tired", 3, "Neutral", 2, "Happy", 1)</f>
        <v>2</v>
      </c>
    </row>
    <row r="3002" spans="1:16" x14ac:dyDescent="0.3">
      <c r="A3002">
        <v>1240</v>
      </c>
      <c r="B3002" s="1">
        <v>45005</v>
      </c>
      <c r="C3002">
        <v>25</v>
      </c>
      <c r="D3002" t="s">
        <v>15</v>
      </c>
      <c r="E3002">
        <v>162.5</v>
      </c>
      <c r="F3002">
        <v>104.4</v>
      </c>
      <c r="G3002">
        <v>6096</v>
      </c>
      <c r="H3002">
        <v>389.1</v>
      </c>
      <c r="I3002">
        <v>5.5</v>
      </c>
      <c r="J3002">
        <v>69</v>
      </c>
      <c r="K3002" t="s">
        <v>16</v>
      </c>
      <c r="L3002">
        <v>0</v>
      </c>
      <c r="M3002">
        <v>3.04</v>
      </c>
      <c r="N3002">
        <v>6</v>
      </c>
      <c r="O3002" t="s">
        <v>21</v>
      </c>
      <c r="P3002" cm="1">
        <f t="array" ref="P3002">_xlfn.SWITCH(Table2[[#This Row],[mood]], "Tired", 3, "Neutral", 2, "Happy", 1)</f>
        <v>1</v>
      </c>
    </row>
    <row r="3003" spans="1:16" x14ac:dyDescent="0.3">
      <c r="A3003">
        <v>1937</v>
      </c>
      <c r="B3003" s="1">
        <v>45006</v>
      </c>
      <c r="C3003">
        <v>27</v>
      </c>
      <c r="D3003" t="s">
        <v>15</v>
      </c>
      <c r="E3003">
        <v>166.9</v>
      </c>
      <c r="F3003">
        <v>77.099999999999994</v>
      </c>
      <c r="G3003">
        <v>14950</v>
      </c>
      <c r="H3003">
        <v>819.8</v>
      </c>
      <c r="I3003">
        <v>7.4</v>
      </c>
      <c r="J3003">
        <v>77</v>
      </c>
      <c r="K3003" t="s">
        <v>22</v>
      </c>
      <c r="L3003">
        <v>32</v>
      </c>
      <c r="M3003">
        <v>2.17</v>
      </c>
      <c r="N3003">
        <v>8</v>
      </c>
      <c r="O3003" t="s">
        <v>21</v>
      </c>
      <c r="P3003" cm="1">
        <f t="array" ref="P3003">_xlfn.SWITCH(Table2[[#This Row],[mood]], "Tired", 3, "Neutral", 2, "Happy", 1)</f>
        <v>1</v>
      </c>
    </row>
    <row r="3004" spans="1:16" x14ac:dyDescent="0.3">
      <c r="A3004">
        <v>1444</v>
      </c>
      <c r="B3004" s="1">
        <v>45007</v>
      </c>
      <c r="C3004">
        <v>26</v>
      </c>
      <c r="D3004" t="s">
        <v>15</v>
      </c>
      <c r="E3004">
        <v>161.30000000000001</v>
      </c>
      <c r="F3004">
        <v>79.5</v>
      </c>
      <c r="G3004">
        <v>19401</v>
      </c>
      <c r="H3004">
        <v>900</v>
      </c>
      <c r="I3004">
        <v>6.9</v>
      </c>
      <c r="J3004">
        <v>76</v>
      </c>
      <c r="K3004" t="s">
        <v>23</v>
      </c>
      <c r="L3004">
        <v>77</v>
      </c>
      <c r="M3004">
        <v>2</v>
      </c>
      <c r="N3004">
        <v>8</v>
      </c>
      <c r="O3004" t="s">
        <v>21</v>
      </c>
      <c r="P3004" cm="1">
        <f t="array" ref="P3004">_xlfn.SWITCH(Table2[[#This Row],[mood]], "Tired", 3, "Neutral", 2, "Happy", 1)</f>
        <v>1</v>
      </c>
    </row>
    <row r="3005" spans="1:16" x14ac:dyDescent="0.3">
      <c r="A3005">
        <v>1297</v>
      </c>
      <c r="B3005" s="1">
        <v>45008</v>
      </c>
      <c r="C3005">
        <v>58</v>
      </c>
      <c r="D3005" t="s">
        <v>20</v>
      </c>
      <c r="E3005">
        <v>170.1</v>
      </c>
      <c r="F3005">
        <v>77.2</v>
      </c>
      <c r="G3005">
        <v>7673</v>
      </c>
      <c r="H3005">
        <v>571.1</v>
      </c>
      <c r="I3005">
        <v>7.6</v>
      </c>
      <c r="J3005">
        <v>86</v>
      </c>
      <c r="K3005" t="s">
        <v>23</v>
      </c>
      <c r="L3005">
        <v>82</v>
      </c>
      <c r="M3005">
        <v>3.9</v>
      </c>
      <c r="N3005">
        <v>6</v>
      </c>
      <c r="O3005" t="s">
        <v>21</v>
      </c>
      <c r="P3005" cm="1">
        <f t="array" ref="P3005">_xlfn.SWITCH(Table2[[#This Row],[mood]], "Tired", 3, "Neutral", 2, "Happy", 1)</f>
        <v>1</v>
      </c>
    </row>
    <row r="3006" spans="1:16" x14ac:dyDescent="0.3">
      <c r="A3006">
        <v>1951</v>
      </c>
      <c r="B3006" s="1">
        <v>45009</v>
      </c>
      <c r="C3006">
        <v>20</v>
      </c>
      <c r="D3006" t="s">
        <v>15</v>
      </c>
      <c r="E3006">
        <v>171.6</v>
      </c>
      <c r="F3006">
        <v>59.5</v>
      </c>
      <c r="G3006">
        <v>2742</v>
      </c>
      <c r="H3006">
        <v>251.1</v>
      </c>
      <c r="I3006">
        <v>7.8</v>
      </c>
      <c r="J3006">
        <v>81</v>
      </c>
      <c r="K3006" t="s">
        <v>16</v>
      </c>
      <c r="L3006">
        <v>0</v>
      </c>
      <c r="M3006">
        <v>1.55</v>
      </c>
      <c r="N3006">
        <v>5</v>
      </c>
      <c r="O3006" t="s">
        <v>19</v>
      </c>
      <c r="P3006" cm="1">
        <f t="array" ref="P3006">_xlfn.SWITCH(Table2[[#This Row],[mood]], "Tired", 3, "Neutral", 2, "Happy", 1)</f>
        <v>2</v>
      </c>
    </row>
    <row r="3007" spans="1:16" x14ac:dyDescent="0.3">
      <c r="A3007">
        <v>1035</v>
      </c>
      <c r="B3007" s="1">
        <v>45010</v>
      </c>
      <c r="C3007">
        <v>28</v>
      </c>
      <c r="D3007" t="s">
        <v>15</v>
      </c>
      <c r="E3007">
        <v>186.3</v>
      </c>
      <c r="F3007">
        <v>88.7</v>
      </c>
      <c r="G3007">
        <v>6720</v>
      </c>
      <c r="H3007">
        <v>519.70000000000005</v>
      </c>
      <c r="I3007">
        <v>8</v>
      </c>
      <c r="J3007">
        <v>69</v>
      </c>
      <c r="K3007" t="s">
        <v>25</v>
      </c>
      <c r="L3007">
        <v>57</v>
      </c>
      <c r="M3007">
        <v>0.78</v>
      </c>
      <c r="N3007">
        <v>4</v>
      </c>
      <c r="O3007" t="s">
        <v>21</v>
      </c>
      <c r="P3007" cm="1">
        <f t="array" ref="P3007">_xlfn.SWITCH(Table2[[#This Row],[mood]], "Tired", 3, "Neutral", 2, "Happy", 1)</f>
        <v>1</v>
      </c>
    </row>
    <row r="3008" spans="1:16" x14ac:dyDescent="0.3">
      <c r="A3008">
        <v>1083</v>
      </c>
      <c r="B3008" s="1">
        <v>45011</v>
      </c>
      <c r="C3008">
        <v>29</v>
      </c>
      <c r="D3008" t="s">
        <v>15</v>
      </c>
      <c r="E3008">
        <v>164</v>
      </c>
      <c r="F3008">
        <v>69.2</v>
      </c>
      <c r="G3008">
        <v>4509</v>
      </c>
      <c r="H3008">
        <v>358.7</v>
      </c>
      <c r="I3008">
        <v>8.1999999999999993</v>
      </c>
      <c r="J3008">
        <v>81</v>
      </c>
      <c r="K3008" t="s">
        <v>16</v>
      </c>
      <c r="L3008">
        <v>0</v>
      </c>
      <c r="M3008">
        <v>3.01</v>
      </c>
      <c r="N3008">
        <v>6</v>
      </c>
      <c r="O3008" t="s">
        <v>19</v>
      </c>
      <c r="P3008" cm="1">
        <f t="array" ref="P3008">_xlfn.SWITCH(Table2[[#This Row],[mood]], "Tired", 3, "Neutral", 2, "Happy", 1)</f>
        <v>2</v>
      </c>
    </row>
    <row r="3009" spans="1:16" x14ac:dyDescent="0.3">
      <c r="A3009">
        <v>1451</v>
      </c>
      <c r="B3009" s="1">
        <v>45012</v>
      </c>
      <c r="C3009">
        <v>27</v>
      </c>
      <c r="D3009" t="s">
        <v>15</v>
      </c>
      <c r="E3009">
        <v>168.2</v>
      </c>
      <c r="F3009">
        <v>67.099999999999994</v>
      </c>
      <c r="G3009">
        <v>13273</v>
      </c>
      <c r="H3009">
        <v>796.3</v>
      </c>
      <c r="I3009">
        <v>7.8</v>
      </c>
      <c r="J3009">
        <v>71</v>
      </c>
      <c r="K3009" t="s">
        <v>22</v>
      </c>
      <c r="L3009">
        <v>88</v>
      </c>
      <c r="M3009">
        <v>2.2400000000000002</v>
      </c>
      <c r="N3009">
        <v>5</v>
      </c>
      <c r="O3009" t="s">
        <v>17</v>
      </c>
      <c r="P3009" cm="1">
        <f t="array" ref="P3009">_xlfn.SWITCH(Table2[[#This Row],[mood]], "Tired", 3, "Neutral", 2, "Happy", 1)</f>
        <v>3</v>
      </c>
    </row>
    <row r="3010" spans="1:16" x14ac:dyDescent="0.3">
      <c r="A3010">
        <v>1885</v>
      </c>
      <c r="B3010" s="1">
        <v>45013</v>
      </c>
      <c r="C3010">
        <v>42</v>
      </c>
      <c r="D3010" t="s">
        <v>20</v>
      </c>
      <c r="E3010">
        <v>182.6</v>
      </c>
      <c r="F3010">
        <v>68</v>
      </c>
      <c r="G3010">
        <v>4534</v>
      </c>
      <c r="H3010">
        <v>406.6</v>
      </c>
      <c r="I3010">
        <v>7.4</v>
      </c>
      <c r="J3010">
        <v>67</v>
      </c>
      <c r="K3010" t="s">
        <v>24</v>
      </c>
      <c r="L3010">
        <v>59</v>
      </c>
      <c r="M3010">
        <v>2.0499999999999998</v>
      </c>
      <c r="N3010">
        <v>10</v>
      </c>
      <c r="O3010" t="s">
        <v>17</v>
      </c>
      <c r="P3010" cm="1">
        <f t="array" ref="P3010">_xlfn.SWITCH(Table2[[#This Row],[mood]], "Tired", 3, "Neutral", 2, "Happy", 1)</f>
        <v>3</v>
      </c>
    </row>
    <row r="3011" spans="1:16" x14ac:dyDescent="0.3">
      <c r="A3011">
        <v>1774</v>
      </c>
      <c r="B3011" s="1">
        <v>45014</v>
      </c>
      <c r="C3011">
        <v>42</v>
      </c>
      <c r="D3011" t="s">
        <v>20</v>
      </c>
      <c r="E3011">
        <v>188.1</v>
      </c>
      <c r="F3011">
        <v>69</v>
      </c>
      <c r="G3011">
        <v>15685</v>
      </c>
      <c r="H3011">
        <v>837</v>
      </c>
      <c r="I3011">
        <v>6</v>
      </c>
      <c r="J3011">
        <v>81</v>
      </c>
      <c r="K3011" t="s">
        <v>24</v>
      </c>
      <c r="L3011">
        <v>20</v>
      </c>
      <c r="M3011">
        <v>4.41</v>
      </c>
      <c r="N3011">
        <v>4</v>
      </c>
      <c r="O3011" t="s">
        <v>17</v>
      </c>
      <c r="P3011" cm="1">
        <f t="array" ref="P3011">_xlfn.SWITCH(Table2[[#This Row],[mood]], "Tired", 3, "Neutral", 2, "Happy", 1)</f>
        <v>3</v>
      </c>
    </row>
    <row r="3012" spans="1:16" x14ac:dyDescent="0.3">
      <c r="A3012">
        <v>1821</v>
      </c>
      <c r="B3012" s="1">
        <v>45015</v>
      </c>
      <c r="C3012">
        <v>28</v>
      </c>
      <c r="D3012" t="s">
        <v>20</v>
      </c>
      <c r="E3012">
        <v>174.7</v>
      </c>
      <c r="F3012">
        <v>62.7</v>
      </c>
      <c r="G3012">
        <v>6136</v>
      </c>
      <c r="H3012">
        <v>478.7</v>
      </c>
      <c r="I3012">
        <v>8.3000000000000007</v>
      </c>
      <c r="J3012">
        <v>77</v>
      </c>
      <c r="K3012" t="s">
        <v>22</v>
      </c>
      <c r="L3012">
        <v>21</v>
      </c>
      <c r="M3012">
        <v>3.01</v>
      </c>
      <c r="N3012">
        <v>6</v>
      </c>
      <c r="O3012" t="s">
        <v>17</v>
      </c>
      <c r="P3012" cm="1">
        <f t="array" ref="P3012">_xlfn.SWITCH(Table2[[#This Row],[mood]], "Tired", 3, "Neutral", 2, "Happy", 1)</f>
        <v>3</v>
      </c>
    </row>
    <row r="3013" spans="1:16" x14ac:dyDescent="0.3">
      <c r="A3013">
        <v>1384</v>
      </c>
      <c r="B3013" s="1">
        <v>45016</v>
      </c>
      <c r="C3013">
        <v>53</v>
      </c>
      <c r="D3013" t="s">
        <v>20</v>
      </c>
      <c r="E3013">
        <v>167.5</v>
      </c>
      <c r="F3013">
        <v>73.2</v>
      </c>
      <c r="G3013">
        <v>6585</v>
      </c>
      <c r="H3013">
        <v>524.70000000000005</v>
      </c>
      <c r="I3013">
        <v>6</v>
      </c>
      <c r="J3013">
        <v>63</v>
      </c>
      <c r="K3013" t="s">
        <v>22</v>
      </c>
      <c r="L3013">
        <v>48</v>
      </c>
      <c r="M3013">
        <v>2.46</v>
      </c>
      <c r="N3013">
        <v>9</v>
      </c>
      <c r="O3013" t="s">
        <v>19</v>
      </c>
      <c r="P3013" cm="1">
        <f t="array" ref="P3013">_xlfn.SWITCH(Table2[[#This Row],[mood]], "Tired", 3, "Neutral", 2, "Happy", 1)</f>
        <v>2</v>
      </c>
    </row>
    <row r="3014" spans="1:16" x14ac:dyDescent="0.3">
      <c r="A3014">
        <v>1171</v>
      </c>
      <c r="B3014" s="1">
        <v>45017</v>
      </c>
      <c r="C3014">
        <v>56</v>
      </c>
      <c r="D3014" t="s">
        <v>20</v>
      </c>
      <c r="E3014">
        <v>165.3</v>
      </c>
      <c r="F3014">
        <v>68.599999999999994</v>
      </c>
      <c r="G3014">
        <v>9554</v>
      </c>
      <c r="H3014">
        <v>579.6</v>
      </c>
      <c r="I3014">
        <v>6.6</v>
      </c>
      <c r="J3014">
        <v>70</v>
      </c>
      <c r="K3014" t="s">
        <v>23</v>
      </c>
      <c r="L3014">
        <v>26</v>
      </c>
      <c r="M3014">
        <v>2</v>
      </c>
      <c r="N3014">
        <v>9</v>
      </c>
      <c r="O3014" t="s">
        <v>19</v>
      </c>
      <c r="P3014" cm="1">
        <f t="array" ref="P3014">_xlfn.SWITCH(Table2[[#This Row],[mood]], "Tired", 3, "Neutral", 2, "Happy", 1)</f>
        <v>2</v>
      </c>
    </row>
    <row r="3015" spans="1:16" x14ac:dyDescent="0.3">
      <c r="A3015">
        <v>1375</v>
      </c>
      <c r="B3015" s="1">
        <v>45018</v>
      </c>
      <c r="C3015">
        <v>43</v>
      </c>
      <c r="D3015" t="s">
        <v>20</v>
      </c>
      <c r="E3015">
        <v>151.6</v>
      </c>
      <c r="F3015">
        <v>67.3</v>
      </c>
      <c r="G3015">
        <v>12473</v>
      </c>
      <c r="H3015">
        <v>605.1</v>
      </c>
      <c r="I3015">
        <v>5.7</v>
      </c>
      <c r="J3015">
        <v>82</v>
      </c>
      <c r="K3015" t="s">
        <v>25</v>
      </c>
      <c r="L3015">
        <v>76</v>
      </c>
      <c r="M3015">
        <v>2.81</v>
      </c>
      <c r="N3015">
        <v>8</v>
      </c>
      <c r="O3015" t="s">
        <v>17</v>
      </c>
      <c r="P3015" cm="1">
        <f t="array" ref="P3015">_xlfn.SWITCH(Table2[[#This Row],[mood]], "Tired", 3, "Neutral", 2, "Happy", 1)</f>
        <v>3</v>
      </c>
    </row>
    <row r="3016" spans="1:16" x14ac:dyDescent="0.3">
      <c r="A3016">
        <v>1684</v>
      </c>
      <c r="B3016" s="1">
        <v>45019</v>
      </c>
      <c r="C3016">
        <v>31</v>
      </c>
      <c r="D3016" t="s">
        <v>15</v>
      </c>
      <c r="E3016">
        <v>160.69999999999999</v>
      </c>
      <c r="F3016">
        <v>77.3</v>
      </c>
      <c r="G3016">
        <v>2634</v>
      </c>
      <c r="H3016">
        <v>365.4</v>
      </c>
      <c r="I3016">
        <v>5.7</v>
      </c>
      <c r="J3016">
        <v>79</v>
      </c>
      <c r="K3016" t="s">
        <v>25</v>
      </c>
      <c r="L3016">
        <v>74</v>
      </c>
      <c r="M3016">
        <v>1.29</v>
      </c>
      <c r="N3016">
        <v>10</v>
      </c>
      <c r="O3016" t="s">
        <v>21</v>
      </c>
      <c r="P3016" cm="1">
        <f t="array" ref="P3016">_xlfn.SWITCH(Table2[[#This Row],[mood]], "Tired", 3, "Neutral", 2, "Happy", 1)</f>
        <v>1</v>
      </c>
    </row>
    <row r="3017" spans="1:16" x14ac:dyDescent="0.3">
      <c r="A3017">
        <v>1361</v>
      </c>
      <c r="B3017" s="1">
        <v>45020</v>
      </c>
      <c r="C3017">
        <v>56</v>
      </c>
      <c r="D3017" t="s">
        <v>20</v>
      </c>
      <c r="E3017">
        <v>171</v>
      </c>
      <c r="F3017">
        <v>71.099999999999994</v>
      </c>
      <c r="G3017">
        <v>17908</v>
      </c>
      <c r="H3017">
        <v>900</v>
      </c>
      <c r="I3017">
        <v>6.5</v>
      </c>
      <c r="J3017">
        <v>79</v>
      </c>
      <c r="K3017" t="s">
        <v>16</v>
      </c>
      <c r="L3017">
        <v>0</v>
      </c>
      <c r="M3017">
        <v>2.14</v>
      </c>
      <c r="N3017">
        <v>1</v>
      </c>
      <c r="O3017" t="s">
        <v>17</v>
      </c>
      <c r="P3017" cm="1">
        <f t="array" ref="P3017">_xlfn.SWITCH(Table2[[#This Row],[mood]], "Tired", 3, "Neutral", 2, "Happy", 1)</f>
        <v>3</v>
      </c>
    </row>
    <row r="3018" spans="1:16" x14ac:dyDescent="0.3">
      <c r="A3018">
        <v>1558</v>
      </c>
      <c r="B3018" s="1">
        <v>45021</v>
      </c>
      <c r="C3018">
        <v>57</v>
      </c>
      <c r="D3018" t="s">
        <v>20</v>
      </c>
      <c r="E3018">
        <v>168.2</v>
      </c>
      <c r="F3018">
        <v>61.7</v>
      </c>
      <c r="G3018">
        <v>16117</v>
      </c>
      <c r="H3018">
        <v>900</v>
      </c>
      <c r="I3018">
        <v>6.7</v>
      </c>
      <c r="J3018">
        <v>93</v>
      </c>
      <c r="K3018" t="s">
        <v>23</v>
      </c>
      <c r="L3018">
        <v>26</v>
      </c>
      <c r="M3018">
        <v>2.4700000000000002</v>
      </c>
      <c r="N3018">
        <v>9</v>
      </c>
      <c r="O3018" t="s">
        <v>17</v>
      </c>
      <c r="P3018" cm="1">
        <f t="array" ref="P3018">_xlfn.SWITCH(Table2[[#This Row],[mood]], "Tired", 3, "Neutral", 2, "Happy", 1)</f>
        <v>3</v>
      </c>
    </row>
    <row r="3019" spans="1:16" x14ac:dyDescent="0.3">
      <c r="A3019">
        <v>1890</v>
      </c>
      <c r="B3019" s="1">
        <v>45022</v>
      </c>
      <c r="C3019">
        <v>18</v>
      </c>
      <c r="D3019" t="s">
        <v>15</v>
      </c>
      <c r="E3019">
        <v>176.2</v>
      </c>
      <c r="F3019">
        <v>58.5</v>
      </c>
      <c r="G3019">
        <v>2722</v>
      </c>
      <c r="H3019">
        <v>278.7</v>
      </c>
      <c r="I3019">
        <v>5.8</v>
      </c>
      <c r="J3019">
        <v>85</v>
      </c>
      <c r="K3019" t="s">
        <v>18</v>
      </c>
      <c r="L3019">
        <v>29</v>
      </c>
      <c r="M3019">
        <v>2.65</v>
      </c>
      <c r="N3019">
        <v>5</v>
      </c>
      <c r="O3019" t="s">
        <v>17</v>
      </c>
      <c r="P3019" cm="1">
        <f t="array" ref="P3019">_xlfn.SWITCH(Table2[[#This Row],[mood]], "Tired", 3, "Neutral", 2, "Happy", 1)</f>
        <v>3</v>
      </c>
    </row>
    <row r="3020" spans="1:16" x14ac:dyDescent="0.3">
      <c r="A3020">
        <v>1140</v>
      </c>
      <c r="B3020" s="1">
        <v>45023</v>
      </c>
      <c r="C3020">
        <v>21</v>
      </c>
      <c r="D3020" t="s">
        <v>20</v>
      </c>
      <c r="E3020">
        <v>168</v>
      </c>
      <c r="F3020">
        <v>71.5</v>
      </c>
      <c r="G3020">
        <v>9611</v>
      </c>
      <c r="H3020">
        <v>565.4</v>
      </c>
      <c r="I3020">
        <v>7</v>
      </c>
      <c r="J3020">
        <v>74</v>
      </c>
      <c r="K3020" t="s">
        <v>24</v>
      </c>
      <c r="L3020">
        <v>58</v>
      </c>
      <c r="M3020">
        <v>2.4</v>
      </c>
      <c r="N3020">
        <v>3</v>
      </c>
      <c r="O3020" t="s">
        <v>19</v>
      </c>
      <c r="P3020" cm="1">
        <f t="array" ref="P3020">_xlfn.SWITCH(Table2[[#This Row],[mood]], "Tired", 3, "Neutral", 2, "Happy", 1)</f>
        <v>2</v>
      </c>
    </row>
    <row r="3021" spans="1:16" x14ac:dyDescent="0.3">
      <c r="A3021">
        <v>1886</v>
      </c>
      <c r="B3021" s="1">
        <v>45024</v>
      </c>
      <c r="C3021">
        <v>47</v>
      </c>
      <c r="D3021" t="s">
        <v>15</v>
      </c>
      <c r="E3021">
        <v>162.69999999999999</v>
      </c>
      <c r="F3021">
        <v>58.8</v>
      </c>
      <c r="G3021">
        <v>4864</v>
      </c>
      <c r="H3021">
        <v>431.8</v>
      </c>
      <c r="I3021">
        <v>7.2</v>
      </c>
      <c r="J3021">
        <v>71</v>
      </c>
      <c r="K3021" t="s">
        <v>22</v>
      </c>
      <c r="L3021">
        <v>77</v>
      </c>
      <c r="M3021">
        <v>2.0099999999999998</v>
      </c>
      <c r="N3021">
        <v>8</v>
      </c>
      <c r="O3021" t="s">
        <v>17</v>
      </c>
      <c r="P3021" cm="1">
        <f t="array" ref="P3021">_xlfn.SWITCH(Table2[[#This Row],[mood]], "Tired", 3, "Neutral", 2, "Happy", 1)</f>
        <v>3</v>
      </c>
    </row>
    <row r="3022" spans="1:16" x14ac:dyDescent="0.3">
      <c r="A3022">
        <v>1917</v>
      </c>
      <c r="B3022" s="1">
        <v>45025</v>
      </c>
      <c r="C3022">
        <v>29</v>
      </c>
      <c r="D3022" t="s">
        <v>15</v>
      </c>
      <c r="E3022">
        <v>173.4</v>
      </c>
      <c r="F3022">
        <v>57.7</v>
      </c>
      <c r="G3022">
        <v>2067</v>
      </c>
      <c r="H3022">
        <v>320.8</v>
      </c>
      <c r="I3022">
        <v>6.2</v>
      </c>
      <c r="J3022">
        <v>68</v>
      </c>
      <c r="K3022" t="s">
        <v>16</v>
      </c>
      <c r="L3022">
        <v>0</v>
      </c>
      <c r="M3022">
        <v>3.14</v>
      </c>
      <c r="N3022">
        <v>8</v>
      </c>
      <c r="O3022" t="s">
        <v>17</v>
      </c>
      <c r="P3022" cm="1">
        <f t="array" ref="P3022">_xlfn.SWITCH(Table2[[#This Row],[mood]], "Tired", 3, "Neutral", 2, "Happy", 1)</f>
        <v>3</v>
      </c>
    </row>
    <row r="3023" spans="1:16" x14ac:dyDescent="0.3">
      <c r="A3023">
        <v>1117</v>
      </c>
      <c r="B3023" s="1">
        <v>45026</v>
      </c>
      <c r="C3023">
        <v>52</v>
      </c>
      <c r="D3023" t="s">
        <v>20</v>
      </c>
      <c r="E3023">
        <v>195.1</v>
      </c>
      <c r="F3023">
        <v>57.9</v>
      </c>
      <c r="G3023">
        <v>7438</v>
      </c>
      <c r="H3023">
        <v>518.70000000000005</v>
      </c>
      <c r="I3023">
        <v>10</v>
      </c>
      <c r="J3023">
        <v>70</v>
      </c>
      <c r="K3023" t="s">
        <v>24</v>
      </c>
      <c r="L3023">
        <v>33</v>
      </c>
      <c r="M3023">
        <v>1.34</v>
      </c>
      <c r="N3023">
        <v>9</v>
      </c>
      <c r="O3023" t="s">
        <v>17</v>
      </c>
      <c r="P3023" cm="1">
        <f t="array" ref="P3023">_xlfn.SWITCH(Table2[[#This Row],[mood]], "Tired", 3, "Neutral", 2, "Happy", 1)</f>
        <v>3</v>
      </c>
    </row>
    <row r="3024" spans="1:16" x14ac:dyDescent="0.3">
      <c r="A3024">
        <v>1276</v>
      </c>
      <c r="B3024" s="1">
        <v>45027</v>
      </c>
      <c r="C3024">
        <v>30</v>
      </c>
      <c r="D3024" t="s">
        <v>15</v>
      </c>
      <c r="E3024">
        <v>166.8</v>
      </c>
      <c r="F3024">
        <v>73.8</v>
      </c>
      <c r="G3024">
        <v>18803</v>
      </c>
      <c r="H3024">
        <v>900</v>
      </c>
      <c r="I3024">
        <v>7.5</v>
      </c>
      <c r="J3024">
        <v>59</v>
      </c>
      <c r="K3024" t="s">
        <v>24</v>
      </c>
      <c r="L3024">
        <v>20</v>
      </c>
      <c r="M3024">
        <v>2.31</v>
      </c>
      <c r="N3024">
        <v>2</v>
      </c>
      <c r="O3024" t="s">
        <v>19</v>
      </c>
      <c r="P3024" cm="1">
        <f t="array" ref="P3024">_xlfn.SWITCH(Table2[[#This Row],[mood]], "Tired", 3, "Neutral", 2, "Happy", 1)</f>
        <v>2</v>
      </c>
    </row>
    <row r="3025" spans="1:16" x14ac:dyDescent="0.3">
      <c r="A3025">
        <v>1725</v>
      </c>
      <c r="B3025" s="1">
        <v>45028</v>
      </c>
      <c r="C3025">
        <v>48</v>
      </c>
      <c r="D3025" t="s">
        <v>20</v>
      </c>
      <c r="E3025">
        <v>171.4</v>
      </c>
      <c r="F3025">
        <v>87.9</v>
      </c>
      <c r="G3025">
        <v>8271</v>
      </c>
      <c r="H3025">
        <v>472.8</v>
      </c>
      <c r="I3025">
        <v>7.2</v>
      </c>
      <c r="J3025">
        <v>63</v>
      </c>
      <c r="K3025" t="s">
        <v>16</v>
      </c>
      <c r="L3025">
        <v>0</v>
      </c>
      <c r="M3025">
        <v>2.14</v>
      </c>
      <c r="N3025">
        <v>10</v>
      </c>
      <c r="O3025" t="s">
        <v>17</v>
      </c>
      <c r="P3025" cm="1">
        <f t="array" ref="P3025">_xlfn.SWITCH(Table2[[#This Row],[mood]], "Tired", 3, "Neutral", 2, "Happy", 1)</f>
        <v>3</v>
      </c>
    </row>
    <row r="3026" spans="1:16" x14ac:dyDescent="0.3">
      <c r="A3026">
        <v>1219</v>
      </c>
      <c r="B3026" s="1">
        <v>45029</v>
      </c>
      <c r="C3026">
        <v>55</v>
      </c>
      <c r="D3026" t="s">
        <v>20</v>
      </c>
      <c r="E3026">
        <v>178.5</v>
      </c>
      <c r="F3026">
        <v>75.2</v>
      </c>
      <c r="G3026">
        <v>12325</v>
      </c>
      <c r="H3026">
        <v>659.1</v>
      </c>
      <c r="I3026">
        <v>6</v>
      </c>
      <c r="J3026">
        <v>82</v>
      </c>
      <c r="K3026" t="s">
        <v>25</v>
      </c>
      <c r="L3026">
        <v>68</v>
      </c>
      <c r="M3026">
        <v>3.21</v>
      </c>
      <c r="N3026">
        <v>4</v>
      </c>
      <c r="O3026" t="s">
        <v>17</v>
      </c>
      <c r="P3026" cm="1">
        <f t="array" ref="P3026">_xlfn.SWITCH(Table2[[#This Row],[mood]], "Tired", 3, "Neutral", 2, "Happy", 1)</f>
        <v>3</v>
      </c>
    </row>
    <row r="3027" spans="1:16" x14ac:dyDescent="0.3">
      <c r="A3027">
        <v>1904</v>
      </c>
      <c r="B3027" s="1">
        <v>45030</v>
      </c>
      <c r="C3027">
        <v>40</v>
      </c>
      <c r="D3027" t="s">
        <v>15</v>
      </c>
      <c r="E3027">
        <v>164.3</v>
      </c>
      <c r="F3027">
        <v>83.3</v>
      </c>
      <c r="G3027">
        <v>12828</v>
      </c>
      <c r="H3027">
        <v>637.29999999999995</v>
      </c>
      <c r="I3027">
        <v>7.2</v>
      </c>
      <c r="J3027">
        <v>90</v>
      </c>
      <c r="K3027" t="s">
        <v>23</v>
      </c>
      <c r="L3027">
        <v>35</v>
      </c>
      <c r="M3027">
        <v>2.1800000000000002</v>
      </c>
      <c r="N3027">
        <v>10</v>
      </c>
      <c r="O3027" t="s">
        <v>21</v>
      </c>
      <c r="P3027" cm="1">
        <f t="array" ref="P3027">_xlfn.SWITCH(Table2[[#This Row],[mood]], "Tired", 3, "Neutral", 2, "Happy", 1)</f>
        <v>1</v>
      </c>
    </row>
    <row r="3028" spans="1:16" x14ac:dyDescent="0.3">
      <c r="A3028">
        <v>1025</v>
      </c>
      <c r="B3028" s="1">
        <v>45031</v>
      </c>
      <c r="C3028">
        <v>21</v>
      </c>
      <c r="D3028" t="s">
        <v>15</v>
      </c>
      <c r="E3028">
        <v>182.7</v>
      </c>
      <c r="F3028">
        <v>69</v>
      </c>
      <c r="G3028">
        <v>15132</v>
      </c>
      <c r="H3028">
        <v>900</v>
      </c>
      <c r="I3028">
        <v>7.4</v>
      </c>
      <c r="J3028">
        <v>76</v>
      </c>
      <c r="K3028" t="s">
        <v>18</v>
      </c>
      <c r="L3028">
        <v>26</v>
      </c>
      <c r="M3028">
        <v>2.81</v>
      </c>
      <c r="N3028">
        <v>2</v>
      </c>
      <c r="O3028" t="s">
        <v>17</v>
      </c>
      <c r="P3028" cm="1">
        <f t="array" ref="P3028">_xlfn.SWITCH(Table2[[#This Row],[mood]], "Tired", 3, "Neutral", 2, "Happy", 1)</f>
        <v>3</v>
      </c>
    </row>
    <row r="3029" spans="1:16" x14ac:dyDescent="0.3">
      <c r="A3029">
        <v>1520</v>
      </c>
      <c r="B3029" s="1">
        <v>45032</v>
      </c>
      <c r="C3029">
        <v>33</v>
      </c>
      <c r="D3029" t="s">
        <v>20</v>
      </c>
      <c r="E3029">
        <v>154.19999999999999</v>
      </c>
      <c r="F3029">
        <v>72.099999999999994</v>
      </c>
      <c r="G3029">
        <v>18013</v>
      </c>
      <c r="H3029">
        <v>869.3</v>
      </c>
      <c r="I3029">
        <v>7</v>
      </c>
      <c r="J3029">
        <v>68</v>
      </c>
      <c r="K3029" t="s">
        <v>18</v>
      </c>
      <c r="L3029">
        <v>34</v>
      </c>
      <c r="M3029">
        <v>2.73</v>
      </c>
      <c r="N3029">
        <v>6</v>
      </c>
      <c r="O3029" t="s">
        <v>19</v>
      </c>
      <c r="P3029" cm="1">
        <f t="array" ref="P3029">_xlfn.SWITCH(Table2[[#This Row],[mood]], "Tired", 3, "Neutral", 2, "Happy", 1)</f>
        <v>2</v>
      </c>
    </row>
    <row r="3030" spans="1:16" x14ac:dyDescent="0.3">
      <c r="A3030">
        <v>1782</v>
      </c>
      <c r="B3030" s="1">
        <v>45033</v>
      </c>
      <c r="C3030">
        <v>24</v>
      </c>
      <c r="D3030" t="s">
        <v>15</v>
      </c>
      <c r="E3030">
        <v>165.9</v>
      </c>
      <c r="F3030">
        <v>94.8</v>
      </c>
      <c r="G3030">
        <v>14442</v>
      </c>
      <c r="H3030">
        <v>763</v>
      </c>
      <c r="I3030">
        <v>9.1</v>
      </c>
      <c r="J3030">
        <v>50</v>
      </c>
      <c r="K3030" t="s">
        <v>16</v>
      </c>
      <c r="L3030">
        <v>0</v>
      </c>
      <c r="M3030">
        <v>1.22</v>
      </c>
      <c r="N3030">
        <v>1</v>
      </c>
      <c r="O3030" t="s">
        <v>21</v>
      </c>
      <c r="P3030" cm="1">
        <f t="array" ref="P3030">_xlfn.SWITCH(Table2[[#This Row],[mood]], "Tired", 3, "Neutral", 2, "Happy", 1)</f>
        <v>1</v>
      </c>
    </row>
    <row r="3031" spans="1:16" x14ac:dyDescent="0.3">
      <c r="A3031">
        <v>1009</v>
      </c>
      <c r="B3031" s="1">
        <v>45034</v>
      </c>
      <c r="C3031">
        <v>39</v>
      </c>
      <c r="D3031" t="s">
        <v>15</v>
      </c>
      <c r="E3031">
        <v>166.9</v>
      </c>
      <c r="F3031">
        <v>82.4</v>
      </c>
      <c r="G3031">
        <v>2834</v>
      </c>
      <c r="H3031">
        <v>348</v>
      </c>
      <c r="I3031">
        <v>4.4000000000000004</v>
      </c>
      <c r="J3031">
        <v>92</v>
      </c>
      <c r="K3031" t="s">
        <v>16</v>
      </c>
      <c r="L3031">
        <v>0</v>
      </c>
      <c r="M3031">
        <v>2.4500000000000002</v>
      </c>
      <c r="N3031">
        <v>10</v>
      </c>
      <c r="O3031" t="s">
        <v>17</v>
      </c>
      <c r="P3031" cm="1">
        <f t="array" ref="P3031">_xlfn.SWITCH(Table2[[#This Row],[mood]], "Tired", 3, "Neutral", 2, "Happy", 1)</f>
        <v>3</v>
      </c>
    </row>
    <row r="3032" spans="1:16" x14ac:dyDescent="0.3">
      <c r="A3032">
        <v>1983</v>
      </c>
      <c r="B3032" s="1">
        <v>45035</v>
      </c>
      <c r="C3032">
        <v>46</v>
      </c>
      <c r="D3032" t="s">
        <v>20</v>
      </c>
      <c r="E3032">
        <v>171.5</v>
      </c>
      <c r="F3032">
        <v>84.1</v>
      </c>
      <c r="G3032">
        <v>16126</v>
      </c>
      <c r="H3032">
        <v>845.3</v>
      </c>
      <c r="I3032">
        <v>6.4</v>
      </c>
      <c r="J3032">
        <v>62</v>
      </c>
      <c r="K3032" t="s">
        <v>23</v>
      </c>
      <c r="L3032">
        <v>78</v>
      </c>
      <c r="M3032">
        <v>1.28</v>
      </c>
      <c r="N3032">
        <v>3</v>
      </c>
      <c r="O3032" t="s">
        <v>19</v>
      </c>
      <c r="P3032" cm="1">
        <f t="array" ref="P3032">_xlfn.SWITCH(Table2[[#This Row],[mood]], "Tired", 3, "Neutral", 2, "Happy", 1)</f>
        <v>2</v>
      </c>
    </row>
    <row r="3033" spans="1:16" x14ac:dyDescent="0.3">
      <c r="A3033">
        <v>1377</v>
      </c>
      <c r="B3033" s="1">
        <v>45036</v>
      </c>
      <c r="C3033">
        <v>28</v>
      </c>
      <c r="D3033" t="s">
        <v>20</v>
      </c>
      <c r="E3033">
        <v>150.30000000000001</v>
      </c>
      <c r="F3033">
        <v>66</v>
      </c>
      <c r="G3033">
        <v>3353</v>
      </c>
      <c r="H3033">
        <v>304.60000000000002</v>
      </c>
      <c r="I3033">
        <v>8.1</v>
      </c>
      <c r="J3033">
        <v>60</v>
      </c>
      <c r="K3033" t="s">
        <v>24</v>
      </c>
      <c r="L3033">
        <v>67</v>
      </c>
      <c r="M3033">
        <v>2.75</v>
      </c>
      <c r="N3033">
        <v>2</v>
      </c>
      <c r="O3033" t="s">
        <v>21</v>
      </c>
      <c r="P3033" cm="1">
        <f t="array" ref="P3033">_xlfn.SWITCH(Table2[[#This Row],[mood]], "Tired", 3, "Neutral", 2, "Happy", 1)</f>
        <v>1</v>
      </c>
    </row>
    <row r="3034" spans="1:16" x14ac:dyDescent="0.3">
      <c r="A3034">
        <v>1632</v>
      </c>
      <c r="B3034" s="1">
        <v>45037</v>
      </c>
      <c r="C3034">
        <v>50</v>
      </c>
      <c r="D3034" t="s">
        <v>15</v>
      </c>
      <c r="E3034">
        <v>183.5</v>
      </c>
      <c r="F3034">
        <v>69.900000000000006</v>
      </c>
      <c r="G3034">
        <v>14878</v>
      </c>
      <c r="H3034">
        <v>787.7</v>
      </c>
      <c r="I3034">
        <v>5.7</v>
      </c>
      <c r="J3034">
        <v>72</v>
      </c>
      <c r="K3034" t="s">
        <v>23</v>
      </c>
      <c r="L3034">
        <v>69</v>
      </c>
      <c r="M3034">
        <v>1.99</v>
      </c>
      <c r="N3034">
        <v>7</v>
      </c>
      <c r="O3034" t="s">
        <v>19</v>
      </c>
      <c r="P3034" cm="1">
        <f t="array" ref="P3034">_xlfn.SWITCH(Table2[[#This Row],[mood]], "Tired", 3, "Neutral", 2, "Happy", 1)</f>
        <v>2</v>
      </c>
    </row>
    <row r="3035" spans="1:16" x14ac:dyDescent="0.3">
      <c r="A3035">
        <v>1636</v>
      </c>
      <c r="B3035" s="1">
        <v>45038</v>
      </c>
      <c r="C3035">
        <v>46</v>
      </c>
      <c r="D3035" t="s">
        <v>20</v>
      </c>
      <c r="E3035">
        <v>174.1</v>
      </c>
      <c r="F3035">
        <v>76.099999999999994</v>
      </c>
      <c r="G3035">
        <v>12132</v>
      </c>
      <c r="H3035">
        <v>654.9</v>
      </c>
      <c r="I3035">
        <v>4.7</v>
      </c>
      <c r="J3035">
        <v>75</v>
      </c>
      <c r="K3035" t="s">
        <v>23</v>
      </c>
      <c r="L3035">
        <v>29</v>
      </c>
      <c r="M3035">
        <v>3.33</v>
      </c>
      <c r="N3035">
        <v>8</v>
      </c>
      <c r="O3035" t="s">
        <v>21</v>
      </c>
      <c r="P3035" cm="1">
        <f t="array" ref="P3035">_xlfn.SWITCH(Table2[[#This Row],[mood]], "Tired", 3, "Neutral", 2, "Happy", 1)</f>
        <v>1</v>
      </c>
    </row>
    <row r="3036" spans="1:16" x14ac:dyDescent="0.3">
      <c r="A3036">
        <v>1681</v>
      </c>
      <c r="B3036" s="1">
        <v>45039</v>
      </c>
      <c r="C3036">
        <v>56</v>
      </c>
      <c r="D3036" t="s">
        <v>20</v>
      </c>
      <c r="E3036">
        <v>181.2</v>
      </c>
      <c r="F3036">
        <v>60.9</v>
      </c>
      <c r="G3036">
        <v>9203</v>
      </c>
      <c r="H3036">
        <v>555.4</v>
      </c>
      <c r="I3036">
        <v>6.2</v>
      </c>
      <c r="J3036">
        <v>75</v>
      </c>
      <c r="K3036" t="s">
        <v>22</v>
      </c>
      <c r="L3036">
        <v>71</v>
      </c>
      <c r="M3036">
        <v>2.37</v>
      </c>
      <c r="N3036">
        <v>2</v>
      </c>
      <c r="O3036" t="s">
        <v>19</v>
      </c>
      <c r="P3036" cm="1">
        <f t="array" ref="P3036">_xlfn.SWITCH(Table2[[#This Row],[mood]], "Tired", 3, "Neutral", 2, "Happy", 1)</f>
        <v>2</v>
      </c>
    </row>
    <row r="3037" spans="1:16" x14ac:dyDescent="0.3">
      <c r="A3037">
        <v>1583</v>
      </c>
      <c r="B3037" s="1">
        <v>45040</v>
      </c>
      <c r="C3037">
        <v>29</v>
      </c>
      <c r="D3037" t="s">
        <v>20</v>
      </c>
      <c r="E3037">
        <v>186.1</v>
      </c>
      <c r="F3037">
        <v>45</v>
      </c>
      <c r="G3037">
        <v>11322</v>
      </c>
      <c r="H3037">
        <v>672.4</v>
      </c>
      <c r="I3037">
        <v>8.6</v>
      </c>
      <c r="J3037">
        <v>66</v>
      </c>
      <c r="K3037" t="s">
        <v>22</v>
      </c>
      <c r="L3037">
        <v>87</v>
      </c>
      <c r="M3037">
        <v>1.96</v>
      </c>
      <c r="N3037">
        <v>9</v>
      </c>
      <c r="O3037" t="s">
        <v>21</v>
      </c>
      <c r="P3037" cm="1">
        <f t="array" ref="P3037">_xlfn.SWITCH(Table2[[#This Row],[mood]], "Tired", 3, "Neutral", 2, "Happy", 1)</f>
        <v>1</v>
      </c>
    </row>
    <row r="3038" spans="1:16" x14ac:dyDescent="0.3">
      <c r="A3038">
        <v>1151</v>
      </c>
      <c r="B3038" s="1">
        <v>45041</v>
      </c>
      <c r="C3038">
        <v>24</v>
      </c>
      <c r="D3038" t="s">
        <v>20</v>
      </c>
      <c r="E3038">
        <v>162.6</v>
      </c>
      <c r="F3038">
        <v>75.900000000000006</v>
      </c>
      <c r="G3038">
        <v>12295</v>
      </c>
      <c r="H3038">
        <v>640</v>
      </c>
      <c r="I3038">
        <v>5.7</v>
      </c>
      <c r="J3038">
        <v>79</v>
      </c>
      <c r="K3038" t="s">
        <v>24</v>
      </c>
      <c r="L3038">
        <v>49</v>
      </c>
      <c r="M3038">
        <v>3.34</v>
      </c>
      <c r="N3038">
        <v>1</v>
      </c>
      <c r="O3038" t="s">
        <v>17</v>
      </c>
      <c r="P3038" cm="1">
        <f t="array" ref="P3038">_xlfn.SWITCH(Table2[[#This Row],[mood]], "Tired", 3, "Neutral", 2, "Happy", 1)</f>
        <v>3</v>
      </c>
    </row>
    <row r="3039" spans="1:16" x14ac:dyDescent="0.3">
      <c r="A3039">
        <v>1719</v>
      </c>
      <c r="B3039" s="1">
        <v>45042</v>
      </c>
      <c r="C3039">
        <v>56</v>
      </c>
      <c r="D3039" t="s">
        <v>20</v>
      </c>
      <c r="E3039">
        <v>150</v>
      </c>
      <c r="F3039">
        <v>84.4</v>
      </c>
      <c r="G3039">
        <v>4157</v>
      </c>
      <c r="H3039">
        <v>420.3</v>
      </c>
      <c r="I3039">
        <v>6.5</v>
      </c>
      <c r="J3039">
        <v>70</v>
      </c>
      <c r="K3039" t="s">
        <v>25</v>
      </c>
      <c r="L3039">
        <v>53</v>
      </c>
      <c r="M3039">
        <v>1.89</v>
      </c>
      <c r="N3039">
        <v>2</v>
      </c>
      <c r="O3039" t="s">
        <v>17</v>
      </c>
      <c r="P3039" cm="1">
        <f t="array" ref="P3039">_xlfn.SWITCH(Table2[[#This Row],[mood]], "Tired", 3, "Neutral", 2, "Happy", 1)</f>
        <v>3</v>
      </c>
    </row>
    <row r="3040" spans="1:16" x14ac:dyDescent="0.3">
      <c r="A3040">
        <v>1048</v>
      </c>
      <c r="B3040" s="1">
        <v>45043</v>
      </c>
      <c r="C3040">
        <v>59</v>
      </c>
      <c r="D3040" t="s">
        <v>20</v>
      </c>
      <c r="E3040">
        <v>181.5</v>
      </c>
      <c r="F3040">
        <v>70.8</v>
      </c>
      <c r="G3040">
        <v>10626</v>
      </c>
      <c r="H3040">
        <v>628.70000000000005</v>
      </c>
      <c r="I3040">
        <v>7.6</v>
      </c>
      <c r="J3040">
        <v>70</v>
      </c>
      <c r="K3040" t="s">
        <v>18</v>
      </c>
      <c r="L3040">
        <v>84</v>
      </c>
      <c r="M3040">
        <v>3.13</v>
      </c>
      <c r="N3040">
        <v>3</v>
      </c>
      <c r="O3040" t="s">
        <v>17</v>
      </c>
      <c r="P3040" cm="1">
        <f t="array" ref="P3040">_xlfn.SWITCH(Table2[[#This Row],[mood]], "Tired", 3, "Neutral", 2, "Happy", 1)</f>
        <v>3</v>
      </c>
    </row>
    <row r="3041" spans="1:16" x14ac:dyDescent="0.3">
      <c r="A3041">
        <v>1153</v>
      </c>
      <c r="B3041" s="1">
        <v>45044</v>
      </c>
      <c r="C3041">
        <v>43</v>
      </c>
      <c r="D3041" t="s">
        <v>20</v>
      </c>
      <c r="E3041">
        <v>167.1</v>
      </c>
      <c r="F3041">
        <v>61.1</v>
      </c>
      <c r="G3041">
        <v>18340</v>
      </c>
      <c r="H3041">
        <v>900</v>
      </c>
      <c r="I3041">
        <v>6.1</v>
      </c>
      <c r="J3041">
        <v>72</v>
      </c>
      <c r="K3041" t="s">
        <v>22</v>
      </c>
      <c r="L3041">
        <v>79</v>
      </c>
      <c r="M3041">
        <v>2.83</v>
      </c>
      <c r="N3041">
        <v>2</v>
      </c>
      <c r="O3041" t="s">
        <v>17</v>
      </c>
      <c r="P3041" cm="1">
        <f t="array" ref="P3041">_xlfn.SWITCH(Table2[[#This Row],[mood]], "Tired", 3, "Neutral", 2, "Happy", 1)</f>
        <v>3</v>
      </c>
    </row>
    <row r="3042" spans="1:16" x14ac:dyDescent="0.3">
      <c r="A3042">
        <v>1858</v>
      </c>
      <c r="B3042" s="1">
        <v>45045</v>
      </c>
      <c r="C3042">
        <v>57</v>
      </c>
      <c r="D3042" t="s">
        <v>15</v>
      </c>
      <c r="E3042">
        <v>158.69999999999999</v>
      </c>
      <c r="F3042">
        <v>65</v>
      </c>
      <c r="G3042">
        <v>12826</v>
      </c>
      <c r="H3042">
        <v>697.3</v>
      </c>
      <c r="I3042">
        <v>6.3</v>
      </c>
      <c r="J3042">
        <v>68</v>
      </c>
      <c r="K3042" t="s">
        <v>24</v>
      </c>
      <c r="L3042">
        <v>27</v>
      </c>
      <c r="M3042">
        <v>2.2400000000000002</v>
      </c>
      <c r="N3042">
        <v>1</v>
      </c>
      <c r="O3042" t="s">
        <v>21</v>
      </c>
      <c r="P3042" cm="1">
        <f t="array" ref="P3042">_xlfn.SWITCH(Table2[[#This Row],[mood]], "Tired", 3, "Neutral", 2, "Happy", 1)</f>
        <v>1</v>
      </c>
    </row>
    <row r="3043" spans="1:16" x14ac:dyDescent="0.3">
      <c r="A3043">
        <v>1292</v>
      </c>
      <c r="B3043" s="1">
        <v>45046</v>
      </c>
      <c r="C3043">
        <v>26</v>
      </c>
      <c r="D3043" t="s">
        <v>20</v>
      </c>
      <c r="E3043">
        <v>175.8</v>
      </c>
      <c r="F3043">
        <v>45</v>
      </c>
      <c r="G3043">
        <v>13095</v>
      </c>
      <c r="H3043">
        <v>782.2</v>
      </c>
      <c r="I3043">
        <v>6</v>
      </c>
      <c r="J3043">
        <v>62</v>
      </c>
      <c r="K3043" t="s">
        <v>16</v>
      </c>
      <c r="L3043">
        <v>0</v>
      </c>
      <c r="M3043">
        <v>1.56</v>
      </c>
      <c r="N3043">
        <v>8</v>
      </c>
      <c r="O3043" t="s">
        <v>21</v>
      </c>
      <c r="P3043" cm="1">
        <f t="array" ref="P3043">_xlfn.SWITCH(Table2[[#This Row],[mood]], "Tired", 3, "Neutral", 2, "Happy", 1)</f>
        <v>1</v>
      </c>
    </row>
    <row r="3044" spans="1:16" x14ac:dyDescent="0.3">
      <c r="A3044">
        <v>1579</v>
      </c>
      <c r="B3044" s="1">
        <v>45047</v>
      </c>
      <c r="C3044">
        <v>58</v>
      </c>
      <c r="D3044" t="s">
        <v>15</v>
      </c>
      <c r="E3044">
        <v>194.6</v>
      </c>
      <c r="F3044">
        <v>65</v>
      </c>
      <c r="G3044">
        <v>14567</v>
      </c>
      <c r="H3044">
        <v>823.6</v>
      </c>
      <c r="I3044">
        <v>6.1</v>
      </c>
      <c r="J3044">
        <v>63</v>
      </c>
      <c r="K3044" t="s">
        <v>23</v>
      </c>
      <c r="L3044">
        <v>88</v>
      </c>
      <c r="M3044">
        <v>3.37</v>
      </c>
      <c r="N3044">
        <v>1</v>
      </c>
      <c r="O3044" t="s">
        <v>21</v>
      </c>
      <c r="P3044" cm="1">
        <f t="array" ref="P3044">_xlfn.SWITCH(Table2[[#This Row],[mood]], "Tired", 3, "Neutral", 2, "Happy", 1)</f>
        <v>1</v>
      </c>
    </row>
    <row r="3045" spans="1:16" x14ac:dyDescent="0.3">
      <c r="A3045">
        <v>1049</v>
      </c>
      <c r="B3045" s="1">
        <v>45048</v>
      </c>
      <c r="C3045">
        <v>51</v>
      </c>
      <c r="D3045" t="s">
        <v>15</v>
      </c>
      <c r="E3045">
        <v>168.9</v>
      </c>
      <c r="F3045">
        <v>53.3</v>
      </c>
      <c r="G3045">
        <v>8884</v>
      </c>
      <c r="H3045">
        <v>567.4</v>
      </c>
      <c r="I3045">
        <v>5.3</v>
      </c>
      <c r="J3045">
        <v>64</v>
      </c>
      <c r="K3045" t="s">
        <v>22</v>
      </c>
      <c r="L3045">
        <v>76</v>
      </c>
      <c r="M3045">
        <v>2.85</v>
      </c>
      <c r="N3045">
        <v>5</v>
      </c>
      <c r="O3045" t="s">
        <v>21</v>
      </c>
      <c r="P3045" cm="1">
        <f t="array" ref="P3045">_xlfn.SWITCH(Table2[[#This Row],[mood]], "Tired", 3, "Neutral", 2, "Happy", 1)</f>
        <v>1</v>
      </c>
    </row>
    <row r="3046" spans="1:16" x14ac:dyDescent="0.3">
      <c r="A3046">
        <v>1663</v>
      </c>
      <c r="B3046" s="1">
        <v>45049</v>
      </c>
      <c r="C3046">
        <v>30</v>
      </c>
      <c r="D3046" t="s">
        <v>15</v>
      </c>
      <c r="E3046">
        <v>179.5</v>
      </c>
      <c r="F3046">
        <v>59.5</v>
      </c>
      <c r="G3046">
        <v>2955</v>
      </c>
      <c r="H3046">
        <v>288.2</v>
      </c>
      <c r="I3046">
        <v>6.6</v>
      </c>
      <c r="J3046">
        <v>80</v>
      </c>
      <c r="K3046" t="s">
        <v>23</v>
      </c>
      <c r="L3046">
        <v>64</v>
      </c>
      <c r="M3046">
        <v>1.96</v>
      </c>
      <c r="N3046">
        <v>6</v>
      </c>
      <c r="O3046" t="s">
        <v>21</v>
      </c>
      <c r="P3046" cm="1">
        <f t="array" ref="P3046">_xlfn.SWITCH(Table2[[#This Row],[mood]], "Tired", 3, "Neutral", 2, "Happy", 1)</f>
        <v>1</v>
      </c>
    </row>
    <row r="3047" spans="1:16" x14ac:dyDescent="0.3">
      <c r="A3047">
        <v>1530</v>
      </c>
      <c r="B3047" s="1">
        <v>45050</v>
      </c>
      <c r="C3047">
        <v>53</v>
      </c>
      <c r="D3047" t="s">
        <v>20</v>
      </c>
      <c r="E3047">
        <v>160.1</v>
      </c>
      <c r="F3047">
        <v>52.5</v>
      </c>
      <c r="G3047">
        <v>11204</v>
      </c>
      <c r="H3047">
        <v>676.6</v>
      </c>
      <c r="I3047">
        <v>8.6</v>
      </c>
      <c r="J3047">
        <v>79</v>
      </c>
      <c r="K3047" t="s">
        <v>23</v>
      </c>
      <c r="L3047">
        <v>68</v>
      </c>
      <c r="M3047">
        <v>2.67</v>
      </c>
      <c r="N3047">
        <v>7</v>
      </c>
      <c r="O3047" t="s">
        <v>21</v>
      </c>
      <c r="P3047" cm="1">
        <f t="array" ref="P3047">_xlfn.SWITCH(Table2[[#This Row],[mood]], "Tired", 3, "Neutral", 2, "Happy", 1)</f>
        <v>1</v>
      </c>
    </row>
    <row r="3048" spans="1:16" x14ac:dyDescent="0.3">
      <c r="A3048">
        <v>1611</v>
      </c>
      <c r="B3048" s="1">
        <v>45051</v>
      </c>
      <c r="C3048">
        <v>42</v>
      </c>
      <c r="D3048" t="s">
        <v>20</v>
      </c>
      <c r="E3048">
        <v>153.1</v>
      </c>
      <c r="F3048">
        <v>50.8</v>
      </c>
      <c r="G3048">
        <v>5991</v>
      </c>
      <c r="H3048">
        <v>440.3</v>
      </c>
      <c r="I3048">
        <v>9.4</v>
      </c>
      <c r="J3048">
        <v>72</v>
      </c>
      <c r="K3048" t="s">
        <v>22</v>
      </c>
      <c r="L3048">
        <v>81</v>
      </c>
      <c r="M3048">
        <v>3.2</v>
      </c>
      <c r="N3048">
        <v>3</v>
      </c>
      <c r="O3048" t="s">
        <v>17</v>
      </c>
      <c r="P3048" cm="1">
        <f t="array" ref="P3048">_xlfn.SWITCH(Table2[[#This Row],[mood]], "Tired", 3, "Neutral", 2, "Happy", 1)</f>
        <v>3</v>
      </c>
    </row>
    <row r="3049" spans="1:16" x14ac:dyDescent="0.3">
      <c r="A3049">
        <v>1059</v>
      </c>
      <c r="B3049" s="1">
        <v>45052</v>
      </c>
      <c r="C3049">
        <v>41</v>
      </c>
      <c r="D3049" t="s">
        <v>15</v>
      </c>
      <c r="E3049">
        <v>179.1</v>
      </c>
      <c r="F3049">
        <v>54.9</v>
      </c>
      <c r="G3049">
        <v>5065</v>
      </c>
      <c r="H3049">
        <v>489.9</v>
      </c>
      <c r="I3049">
        <v>8.9</v>
      </c>
      <c r="J3049">
        <v>73</v>
      </c>
      <c r="K3049" t="s">
        <v>24</v>
      </c>
      <c r="L3049">
        <v>58</v>
      </c>
      <c r="M3049">
        <v>2.58</v>
      </c>
      <c r="N3049">
        <v>7</v>
      </c>
      <c r="O3049" t="s">
        <v>21</v>
      </c>
      <c r="P3049" cm="1">
        <f t="array" ref="P3049">_xlfn.SWITCH(Table2[[#This Row],[mood]], "Tired", 3, "Neutral", 2, "Happy", 1)</f>
        <v>1</v>
      </c>
    </row>
    <row r="3050" spans="1:16" x14ac:dyDescent="0.3">
      <c r="A3050">
        <v>1166</v>
      </c>
      <c r="B3050" s="1">
        <v>45053</v>
      </c>
      <c r="C3050">
        <v>34</v>
      </c>
      <c r="D3050" t="s">
        <v>20</v>
      </c>
      <c r="E3050">
        <v>175.5</v>
      </c>
      <c r="F3050">
        <v>79.5</v>
      </c>
      <c r="G3050">
        <v>17067</v>
      </c>
      <c r="H3050">
        <v>880.8</v>
      </c>
      <c r="I3050">
        <v>7.2</v>
      </c>
      <c r="J3050">
        <v>87</v>
      </c>
      <c r="K3050" t="s">
        <v>16</v>
      </c>
      <c r="L3050">
        <v>0</v>
      </c>
      <c r="M3050">
        <v>2.67</v>
      </c>
      <c r="N3050">
        <v>8</v>
      </c>
      <c r="O3050" t="s">
        <v>19</v>
      </c>
      <c r="P3050" cm="1">
        <f t="array" ref="P3050">_xlfn.SWITCH(Table2[[#This Row],[mood]], "Tired", 3, "Neutral", 2, "Happy", 1)</f>
        <v>2</v>
      </c>
    </row>
    <row r="3051" spans="1:16" x14ac:dyDescent="0.3">
      <c r="A3051">
        <v>1201</v>
      </c>
      <c r="B3051" s="1">
        <v>45054</v>
      </c>
      <c r="C3051">
        <v>19</v>
      </c>
      <c r="D3051" t="s">
        <v>15</v>
      </c>
      <c r="E3051">
        <v>165.3</v>
      </c>
      <c r="F3051">
        <v>62.4</v>
      </c>
      <c r="G3051">
        <v>14763</v>
      </c>
      <c r="H3051">
        <v>874.7</v>
      </c>
      <c r="I3051">
        <v>9.5</v>
      </c>
      <c r="J3051">
        <v>80</v>
      </c>
      <c r="K3051" t="s">
        <v>18</v>
      </c>
      <c r="L3051">
        <v>72</v>
      </c>
      <c r="M3051">
        <v>3.22</v>
      </c>
      <c r="N3051">
        <v>10</v>
      </c>
      <c r="O3051" t="s">
        <v>19</v>
      </c>
      <c r="P3051" cm="1">
        <f t="array" ref="P3051">_xlfn.SWITCH(Table2[[#This Row],[mood]], "Tired", 3, "Neutral", 2, "Happy", 1)</f>
        <v>2</v>
      </c>
    </row>
    <row r="3052" spans="1:16" x14ac:dyDescent="0.3">
      <c r="A3052">
        <v>1856</v>
      </c>
      <c r="B3052" s="1">
        <v>45055</v>
      </c>
      <c r="C3052">
        <v>30</v>
      </c>
      <c r="D3052" t="s">
        <v>20</v>
      </c>
      <c r="E3052">
        <v>187.1</v>
      </c>
      <c r="F3052">
        <v>53.4</v>
      </c>
      <c r="G3052">
        <v>13095</v>
      </c>
      <c r="H3052">
        <v>733.5</v>
      </c>
      <c r="I3052">
        <v>10</v>
      </c>
      <c r="J3052">
        <v>91</v>
      </c>
      <c r="K3052" t="s">
        <v>24</v>
      </c>
      <c r="L3052">
        <v>64</v>
      </c>
      <c r="M3052">
        <v>3.58</v>
      </c>
      <c r="N3052">
        <v>3</v>
      </c>
      <c r="O3052" t="s">
        <v>19</v>
      </c>
      <c r="P3052" cm="1">
        <f t="array" ref="P3052">_xlfn.SWITCH(Table2[[#This Row],[mood]], "Tired", 3, "Neutral", 2, "Happy", 1)</f>
        <v>2</v>
      </c>
    </row>
    <row r="3053" spans="1:16" x14ac:dyDescent="0.3">
      <c r="A3053">
        <v>1145</v>
      </c>
      <c r="B3053" s="1">
        <v>45056</v>
      </c>
      <c r="C3053">
        <v>48</v>
      </c>
      <c r="D3053" t="s">
        <v>20</v>
      </c>
      <c r="E3053">
        <v>152.4</v>
      </c>
      <c r="F3053">
        <v>81.3</v>
      </c>
      <c r="G3053">
        <v>18408</v>
      </c>
      <c r="H3053">
        <v>884.5</v>
      </c>
      <c r="I3053">
        <v>7.3</v>
      </c>
      <c r="J3053">
        <v>69</v>
      </c>
      <c r="K3053" t="s">
        <v>25</v>
      </c>
      <c r="L3053">
        <v>47</v>
      </c>
      <c r="M3053">
        <v>2.42</v>
      </c>
      <c r="N3053">
        <v>5</v>
      </c>
      <c r="O3053" t="s">
        <v>21</v>
      </c>
      <c r="P3053" cm="1">
        <f t="array" ref="P3053">_xlfn.SWITCH(Table2[[#This Row],[mood]], "Tired", 3, "Neutral", 2, "Happy", 1)</f>
        <v>1</v>
      </c>
    </row>
    <row r="3054" spans="1:16" x14ac:dyDescent="0.3">
      <c r="A3054">
        <v>1914</v>
      </c>
      <c r="B3054" s="1">
        <v>45057</v>
      </c>
      <c r="C3054">
        <v>46</v>
      </c>
      <c r="D3054" t="s">
        <v>15</v>
      </c>
      <c r="E3054">
        <v>157.69999999999999</v>
      </c>
      <c r="F3054">
        <v>71.900000000000006</v>
      </c>
      <c r="G3054">
        <v>3329</v>
      </c>
      <c r="H3054">
        <v>498</v>
      </c>
      <c r="I3054">
        <v>5.5</v>
      </c>
      <c r="J3054">
        <v>63</v>
      </c>
      <c r="K3054" t="s">
        <v>25</v>
      </c>
      <c r="L3054">
        <v>72</v>
      </c>
      <c r="M3054">
        <v>1.56</v>
      </c>
      <c r="N3054">
        <v>1</v>
      </c>
      <c r="O3054" t="s">
        <v>17</v>
      </c>
      <c r="P3054" cm="1">
        <f t="array" ref="P3054">_xlfn.SWITCH(Table2[[#This Row],[mood]], "Tired", 3, "Neutral", 2, "Happy", 1)</f>
        <v>3</v>
      </c>
    </row>
    <row r="3055" spans="1:16" x14ac:dyDescent="0.3">
      <c r="A3055">
        <v>1675</v>
      </c>
      <c r="B3055" s="1">
        <v>45058</v>
      </c>
      <c r="C3055">
        <v>45</v>
      </c>
      <c r="D3055" t="s">
        <v>15</v>
      </c>
      <c r="E3055">
        <v>164.6</v>
      </c>
      <c r="F3055">
        <v>45</v>
      </c>
      <c r="G3055">
        <v>16873</v>
      </c>
      <c r="H3055">
        <v>802.6</v>
      </c>
      <c r="I3055">
        <v>9</v>
      </c>
      <c r="J3055">
        <v>85</v>
      </c>
      <c r="K3055" t="s">
        <v>18</v>
      </c>
      <c r="L3055">
        <v>28</v>
      </c>
      <c r="M3055">
        <v>1.59</v>
      </c>
      <c r="N3055">
        <v>9</v>
      </c>
      <c r="O3055" t="s">
        <v>19</v>
      </c>
      <c r="P3055" cm="1">
        <f t="array" ref="P3055">_xlfn.SWITCH(Table2[[#This Row],[mood]], "Tired", 3, "Neutral", 2, "Happy", 1)</f>
        <v>2</v>
      </c>
    </row>
    <row r="3056" spans="1:16" x14ac:dyDescent="0.3">
      <c r="A3056">
        <v>1969</v>
      </c>
      <c r="B3056" s="1">
        <v>45059</v>
      </c>
      <c r="C3056">
        <v>44</v>
      </c>
      <c r="D3056" t="s">
        <v>15</v>
      </c>
      <c r="E3056">
        <v>166.4</v>
      </c>
      <c r="F3056">
        <v>84.9</v>
      </c>
      <c r="G3056">
        <v>4026</v>
      </c>
      <c r="H3056">
        <v>262.2</v>
      </c>
      <c r="I3056">
        <v>5.2</v>
      </c>
      <c r="J3056">
        <v>75</v>
      </c>
      <c r="K3056" t="s">
        <v>16</v>
      </c>
      <c r="L3056">
        <v>0</v>
      </c>
      <c r="M3056">
        <v>2.02</v>
      </c>
      <c r="N3056">
        <v>8</v>
      </c>
      <c r="O3056" t="s">
        <v>21</v>
      </c>
      <c r="P3056" cm="1">
        <f t="array" ref="P3056">_xlfn.SWITCH(Table2[[#This Row],[mood]], "Tired", 3, "Neutral", 2, "Happy", 1)</f>
        <v>1</v>
      </c>
    </row>
    <row r="3057" spans="1:16" x14ac:dyDescent="0.3">
      <c r="A3057">
        <v>1992</v>
      </c>
      <c r="B3057" s="1">
        <v>45060</v>
      </c>
      <c r="C3057">
        <v>32</v>
      </c>
      <c r="D3057" t="s">
        <v>20</v>
      </c>
      <c r="E3057">
        <v>184.7</v>
      </c>
      <c r="F3057">
        <v>71.099999999999994</v>
      </c>
      <c r="G3057">
        <v>2011</v>
      </c>
      <c r="H3057">
        <v>176.7</v>
      </c>
      <c r="I3057">
        <v>5.7</v>
      </c>
      <c r="J3057">
        <v>67</v>
      </c>
      <c r="K3057" t="s">
        <v>25</v>
      </c>
      <c r="L3057">
        <v>46</v>
      </c>
      <c r="M3057">
        <v>1.85</v>
      </c>
      <c r="N3057">
        <v>3</v>
      </c>
      <c r="O3057" t="s">
        <v>21</v>
      </c>
      <c r="P3057" cm="1">
        <f t="array" ref="P3057">_xlfn.SWITCH(Table2[[#This Row],[mood]], "Tired", 3, "Neutral", 2, "Happy", 1)</f>
        <v>1</v>
      </c>
    </row>
    <row r="3058" spans="1:16" x14ac:dyDescent="0.3">
      <c r="A3058">
        <v>1438</v>
      </c>
      <c r="B3058" s="1">
        <v>45061</v>
      </c>
      <c r="C3058">
        <v>48</v>
      </c>
      <c r="D3058" t="s">
        <v>15</v>
      </c>
      <c r="E3058">
        <v>170.5</v>
      </c>
      <c r="F3058">
        <v>81.599999999999994</v>
      </c>
      <c r="G3058">
        <v>6624</v>
      </c>
      <c r="H3058">
        <v>601.9</v>
      </c>
      <c r="I3058">
        <v>3.9</v>
      </c>
      <c r="J3058">
        <v>80</v>
      </c>
      <c r="K3058" t="s">
        <v>23</v>
      </c>
      <c r="L3058">
        <v>41</v>
      </c>
      <c r="M3058">
        <v>1.32</v>
      </c>
      <c r="N3058">
        <v>4</v>
      </c>
      <c r="O3058" t="s">
        <v>17</v>
      </c>
      <c r="P3058" cm="1">
        <f t="array" ref="P3058">_xlfn.SWITCH(Table2[[#This Row],[mood]], "Tired", 3, "Neutral", 2, "Happy", 1)</f>
        <v>3</v>
      </c>
    </row>
    <row r="3059" spans="1:16" x14ac:dyDescent="0.3">
      <c r="A3059">
        <v>1241</v>
      </c>
      <c r="B3059" s="1">
        <v>45062</v>
      </c>
      <c r="C3059">
        <v>57</v>
      </c>
      <c r="D3059" t="s">
        <v>20</v>
      </c>
      <c r="E3059">
        <v>168.1</v>
      </c>
      <c r="F3059">
        <v>66.599999999999994</v>
      </c>
      <c r="G3059">
        <v>19084</v>
      </c>
      <c r="H3059">
        <v>900</v>
      </c>
      <c r="I3059">
        <v>8.1</v>
      </c>
      <c r="J3059">
        <v>68</v>
      </c>
      <c r="K3059" t="s">
        <v>25</v>
      </c>
      <c r="L3059">
        <v>49</v>
      </c>
      <c r="M3059">
        <v>3.79</v>
      </c>
      <c r="N3059">
        <v>1</v>
      </c>
      <c r="O3059" t="s">
        <v>21</v>
      </c>
      <c r="P3059" cm="1">
        <f t="array" ref="P3059">_xlfn.SWITCH(Table2[[#This Row],[mood]], "Tired", 3, "Neutral", 2, "Happy", 1)</f>
        <v>1</v>
      </c>
    </row>
    <row r="3060" spans="1:16" x14ac:dyDescent="0.3">
      <c r="A3060">
        <v>1580</v>
      </c>
      <c r="B3060" s="1">
        <v>45063</v>
      </c>
      <c r="C3060">
        <v>32</v>
      </c>
      <c r="D3060" t="s">
        <v>20</v>
      </c>
      <c r="E3060">
        <v>157.30000000000001</v>
      </c>
      <c r="F3060">
        <v>94.1</v>
      </c>
      <c r="G3060">
        <v>16229</v>
      </c>
      <c r="H3060">
        <v>856.4</v>
      </c>
      <c r="I3060">
        <v>3.5</v>
      </c>
      <c r="J3060">
        <v>82</v>
      </c>
      <c r="K3060" t="s">
        <v>22</v>
      </c>
      <c r="L3060">
        <v>34</v>
      </c>
      <c r="M3060">
        <v>2.87</v>
      </c>
      <c r="N3060">
        <v>1</v>
      </c>
      <c r="O3060" t="s">
        <v>21</v>
      </c>
      <c r="P3060" cm="1">
        <f t="array" ref="P3060">_xlfn.SWITCH(Table2[[#This Row],[mood]], "Tired", 3, "Neutral", 2, "Happy", 1)</f>
        <v>1</v>
      </c>
    </row>
    <row r="3061" spans="1:16" x14ac:dyDescent="0.3">
      <c r="A3061">
        <v>1686</v>
      </c>
      <c r="B3061" s="1">
        <v>45064</v>
      </c>
      <c r="C3061">
        <v>50</v>
      </c>
      <c r="D3061" t="s">
        <v>20</v>
      </c>
      <c r="E3061">
        <v>180.9</v>
      </c>
      <c r="F3061">
        <v>64.3</v>
      </c>
      <c r="G3061">
        <v>14244</v>
      </c>
      <c r="H3061">
        <v>791.5</v>
      </c>
      <c r="I3061">
        <v>8.5</v>
      </c>
      <c r="J3061">
        <v>80</v>
      </c>
      <c r="K3061" t="s">
        <v>23</v>
      </c>
      <c r="L3061">
        <v>34</v>
      </c>
      <c r="M3061">
        <v>2.13</v>
      </c>
      <c r="N3061">
        <v>6</v>
      </c>
      <c r="O3061" t="s">
        <v>19</v>
      </c>
      <c r="P3061" cm="1">
        <f t="array" ref="P3061">_xlfn.SWITCH(Table2[[#This Row],[mood]], "Tired", 3, "Neutral", 2, "Happy", 1)</f>
        <v>2</v>
      </c>
    </row>
    <row r="3062" spans="1:16" x14ac:dyDescent="0.3">
      <c r="A3062">
        <v>1560</v>
      </c>
      <c r="B3062" s="1">
        <v>45065</v>
      </c>
      <c r="C3062">
        <v>37</v>
      </c>
      <c r="D3062" t="s">
        <v>15</v>
      </c>
      <c r="E3062">
        <v>158.6</v>
      </c>
      <c r="F3062">
        <v>45</v>
      </c>
      <c r="G3062">
        <v>17602</v>
      </c>
      <c r="H3062">
        <v>900</v>
      </c>
      <c r="I3062">
        <v>9.6999999999999993</v>
      </c>
      <c r="J3062">
        <v>73</v>
      </c>
      <c r="K3062" t="s">
        <v>24</v>
      </c>
      <c r="L3062">
        <v>72</v>
      </c>
      <c r="M3062">
        <v>2.48</v>
      </c>
      <c r="N3062">
        <v>6</v>
      </c>
      <c r="O3062" t="s">
        <v>19</v>
      </c>
      <c r="P3062" cm="1">
        <f t="array" ref="P3062">_xlfn.SWITCH(Table2[[#This Row],[mood]], "Tired", 3, "Neutral", 2, "Happy", 1)</f>
        <v>2</v>
      </c>
    </row>
    <row r="3063" spans="1:16" x14ac:dyDescent="0.3">
      <c r="A3063">
        <v>1482</v>
      </c>
      <c r="B3063" s="1">
        <v>45066</v>
      </c>
      <c r="C3063">
        <v>59</v>
      </c>
      <c r="D3063" t="s">
        <v>15</v>
      </c>
      <c r="E3063">
        <v>157.30000000000001</v>
      </c>
      <c r="F3063">
        <v>56.7</v>
      </c>
      <c r="G3063">
        <v>12780</v>
      </c>
      <c r="H3063">
        <v>622.70000000000005</v>
      </c>
      <c r="I3063">
        <v>9.6</v>
      </c>
      <c r="J3063">
        <v>58</v>
      </c>
      <c r="K3063" t="s">
        <v>16</v>
      </c>
      <c r="L3063">
        <v>0</v>
      </c>
      <c r="M3063">
        <v>1.25</v>
      </c>
      <c r="N3063">
        <v>9</v>
      </c>
      <c r="O3063" t="s">
        <v>19</v>
      </c>
      <c r="P3063" cm="1">
        <f t="array" ref="P3063">_xlfn.SWITCH(Table2[[#This Row],[mood]], "Tired", 3, "Neutral", 2, "Happy", 1)</f>
        <v>2</v>
      </c>
    </row>
    <row r="3064" spans="1:16" x14ac:dyDescent="0.3">
      <c r="A3064">
        <v>1107</v>
      </c>
      <c r="B3064" s="1">
        <v>45067</v>
      </c>
      <c r="C3064">
        <v>29</v>
      </c>
      <c r="D3064" t="s">
        <v>15</v>
      </c>
      <c r="E3064">
        <v>166</v>
      </c>
      <c r="F3064">
        <v>77.5</v>
      </c>
      <c r="G3064">
        <v>6585</v>
      </c>
      <c r="H3064">
        <v>536.29999999999995</v>
      </c>
      <c r="I3064">
        <v>5.0999999999999996</v>
      </c>
      <c r="J3064">
        <v>66</v>
      </c>
      <c r="K3064" t="s">
        <v>18</v>
      </c>
      <c r="L3064">
        <v>89</v>
      </c>
      <c r="M3064">
        <v>3.31</v>
      </c>
      <c r="N3064">
        <v>5</v>
      </c>
      <c r="O3064" t="s">
        <v>19</v>
      </c>
      <c r="P3064" cm="1">
        <f t="array" ref="P3064">_xlfn.SWITCH(Table2[[#This Row],[mood]], "Tired", 3, "Neutral", 2, "Happy", 1)</f>
        <v>2</v>
      </c>
    </row>
    <row r="3065" spans="1:16" x14ac:dyDescent="0.3">
      <c r="A3065">
        <v>1225</v>
      </c>
      <c r="B3065" s="1">
        <v>45068</v>
      </c>
      <c r="C3065">
        <v>54</v>
      </c>
      <c r="D3065" t="s">
        <v>20</v>
      </c>
      <c r="E3065">
        <v>171.6</v>
      </c>
      <c r="F3065">
        <v>72.400000000000006</v>
      </c>
      <c r="G3065">
        <v>17362</v>
      </c>
      <c r="H3065">
        <v>900</v>
      </c>
      <c r="I3065">
        <v>4.2</v>
      </c>
      <c r="J3065">
        <v>90</v>
      </c>
      <c r="K3065" t="s">
        <v>22</v>
      </c>
      <c r="L3065">
        <v>35</v>
      </c>
      <c r="M3065">
        <v>1.1399999999999999</v>
      </c>
      <c r="N3065">
        <v>3</v>
      </c>
      <c r="O3065" t="s">
        <v>19</v>
      </c>
      <c r="P3065" cm="1">
        <f t="array" ref="P3065">_xlfn.SWITCH(Table2[[#This Row],[mood]], "Tired", 3, "Neutral", 2, "Happy", 1)</f>
        <v>2</v>
      </c>
    </row>
    <row r="3066" spans="1:16" x14ac:dyDescent="0.3">
      <c r="A3066">
        <v>1672</v>
      </c>
      <c r="B3066" s="1">
        <v>45069</v>
      </c>
      <c r="C3066">
        <v>26</v>
      </c>
      <c r="D3066" t="s">
        <v>20</v>
      </c>
      <c r="E3066">
        <v>162.80000000000001</v>
      </c>
      <c r="F3066">
        <v>68.2</v>
      </c>
      <c r="G3066">
        <v>15105</v>
      </c>
      <c r="H3066">
        <v>742.6</v>
      </c>
      <c r="I3066">
        <v>6</v>
      </c>
      <c r="J3066">
        <v>92</v>
      </c>
      <c r="K3066" t="s">
        <v>22</v>
      </c>
      <c r="L3066">
        <v>84</v>
      </c>
      <c r="M3066">
        <v>2.86</v>
      </c>
      <c r="N3066">
        <v>6</v>
      </c>
      <c r="O3066" t="s">
        <v>21</v>
      </c>
      <c r="P3066" cm="1">
        <f t="array" ref="P3066">_xlfn.SWITCH(Table2[[#This Row],[mood]], "Tired", 3, "Neutral", 2, "Happy", 1)</f>
        <v>1</v>
      </c>
    </row>
    <row r="3067" spans="1:16" x14ac:dyDescent="0.3">
      <c r="A3067">
        <v>1630</v>
      </c>
      <c r="B3067" s="1">
        <v>45070</v>
      </c>
      <c r="C3067">
        <v>40</v>
      </c>
      <c r="D3067" t="s">
        <v>15</v>
      </c>
      <c r="E3067">
        <v>177.1</v>
      </c>
      <c r="F3067">
        <v>55.2</v>
      </c>
      <c r="G3067">
        <v>18195</v>
      </c>
      <c r="H3067">
        <v>900</v>
      </c>
      <c r="I3067">
        <v>8.3000000000000007</v>
      </c>
      <c r="J3067">
        <v>101</v>
      </c>
      <c r="K3067" t="s">
        <v>18</v>
      </c>
      <c r="L3067">
        <v>64</v>
      </c>
      <c r="M3067">
        <v>1.21</v>
      </c>
      <c r="N3067">
        <v>8</v>
      </c>
      <c r="O3067" t="s">
        <v>21</v>
      </c>
      <c r="P3067" cm="1">
        <f t="array" ref="P3067">_xlfn.SWITCH(Table2[[#This Row],[mood]], "Tired", 3, "Neutral", 2, "Happy", 1)</f>
        <v>1</v>
      </c>
    </row>
    <row r="3068" spans="1:16" x14ac:dyDescent="0.3">
      <c r="A3068">
        <v>1660</v>
      </c>
      <c r="B3068" s="1">
        <v>45071</v>
      </c>
      <c r="C3068">
        <v>25</v>
      </c>
      <c r="D3068" t="s">
        <v>20</v>
      </c>
      <c r="E3068">
        <v>167.2</v>
      </c>
      <c r="F3068">
        <v>70.3</v>
      </c>
      <c r="G3068">
        <v>15837</v>
      </c>
      <c r="H3068">
        <v>829.8</v>
      </c>
      <c r="I3068">
        <v>8.8000000000000007</v>
      </c>
      <c r="J3068">
        <v>79</v>
      </c>
      <c r="K3068" t="s">
        <v>25</v>
      </c>
      <c r="L3068">
        <v>26</v>
      </c>
      <c r="M3068">
        <v>2.21</v>
      </c>
      <c r="N3068">
        <v>7</v>
      </c>
      <c r="O3068" t="s">
        <v>17</v>
      </c>
      <c r="P3068" cm="1">
        <f t="array" ref="P3068">_xlfn.SWITCH(Table2[[#This Row],[mood]], "Tired", 3, "Neutral", 2, "Happy", 1)</f>
        <v>3</v>
      </c>
    </row>
    <row r="3069" spans="1:16" x14ac:dyDescent="0.3">
      <c r="A3069">
        <v>1976</v>
      </c>
      <c r="B3069" s="1">
        <v>45072</v>
      </c>
      <c r="C3069">
        <v>49</v>
      </c>
      <c r="D3069" t="s">
        <v>20</v>
      </c>
      <c r="E3069">
        <v>180.5</v>
      </c>
      <c r="F3069">
        <v>69.8</v>
      </c>
      <c r="G3069">
        <v>15393</v>
      </c>
      <c r="H3069">
        <v>805.2</v>
      </c>
      <c r="I3069">
        <v>8</v>
      </c>
      <c r="J3069">
        <v>64</v>
      </c>
      <c r="K3069" t="s">
        <v>18</v>
      </c>
      <c r="L3069">
        <v>64</v>
      </c>
      <c r="M3069">
        <v>3.37</v>
      </c>
      <c r="N3069">
        <v>10</v>
      </c>
      <c r="O3069" t="s">
        <v>19</v>
      </c>
      <c r="P3069" cm="1">
        <f t="array" ref="P3069">_xlfn.SWITCH(Table2[[#This Row],[mood]], "Tired", 3, "Neutral", 2, "Happy", 1)</f>
        <v>2</v>
      </c>
    </row>
    <row r="3070" spans="1:16" x14ac:dyDescent="0.3">
      <c r="A3070">
        <v>1661</v>
      </c>
      <c r="B3070" s="1">
        <v>45073</v>
      </c>
      <c r="C3070">
        <v>31</v>
      </c>
      <c r="D3070" t="s">
        <v>15</v>
      </c>
      <c r="E3070">
        <v>175.1</v>
      </c>
      <c r="F3070">
        <v>69.599999999999994</v>
      </c>
      <c r="G3070">
        <v>6456</v>
      </c>
      <c r="H3070">
        <v>424.3</v>
      </c>
      <c r="I3070">
        <v>7.8</v>
      </c>
      <c r="J3070">
        <v>88</v>
      </c>
      <c r="K3070" t="s">
        <v>18</v>
      </c>
      <c r="L3070">
        <v>58</v>
      </c>
      <c r="M3070">
        <v>1.36</v>
      </c>
      <c r="N3070">
        <v>3</v>
      </c>
      <c r="O3070" t="s">
        <v>19</v>
      </c>
      <c r="P3070" cm="1">
        <f t="array" ref="P3070">_xlfn.SWITCH(Table2[[#This Row],[mood]], "Tired", 3, "Neutral", 2, "Happy", 1)</f>
        <v>2</v>
      </c>
    </row>
    <row r="3071" spans="1:16" x14ac:dyDescent="0.3">
      <c r="A3071">
        <v>1431</v>
      </c>
      <c r="B3071" s="1">
        <v>45074</v>
      </c>
      <c r="C3071">
        <v>44</v>
      </c>
      <c r="D3071" t="s">
        <v>15</v>
      </c>
      <c r="E3071">
        <v>187.9</v>
      </c>
      <c r="F3071">
        <v>78.099999999999994</v>
      </c>
      <c r="G3071">
        <v>5521</v>
      </c>
      <c r="H3071">
        <v>415.2</v>
      </c>
      <c r="I3071">
        <v>10</v>
      </c>
      <c r="J3071">
        <v>72</v>
      </c>
      <c r="K3071" t="s">
        <v>25</v>
      </c>
      <c r="L3071">
        <v>69</v>
      </c>
      <c r="M3071">
        <v>2.4</v>
      </c>
      <c r="N3071">
        <v>1</v>
      </c>
      <c r="O3071" t="s">
        <v>19</v>
      </c>
      <c r="P3071" cm="1">
        <f t="array" ref="P3071">_xlfn.SWITCH(Table2[[#This Row],[mood]], "Tired", 3, "Neutral", 2, "Happy", 1)</f>
        <v>2</v>
      </c>
    </row>
    <row r="3072" spans="1:16" x14ac:dyDescent="0.3">
      <c r="A3072">
        <v>1804</v>
      </c>
      <c r="B3072" s="1">
        <v>45075</v>
      </c>
      <c r="C3072">
        <v>42</v>
      </c>
      <c r="D3072" t="s">
        <v>15</v>
      </c>
      <c r="E3072">
        <v>165.6</v>
      </c>
      <c r="F3072">
        <v>72.7</v>
      </c>
      <c r="G3072">
        <v>10775</v>
      </c>
      <c r="H3072">
        <v>604.70000000000005</v>
      </c>
      <c r="I3072">
        <v>6.3</v>
      </c>
      <c r="J3072">
        <v>68</v>
      </c>
      <c r="K3072" t="s">
        <v>24</v>
      </c>
      <c r="L3072">
        <v>68</v>
      </c>
      <c r="M3072">
        <v>2.94</v>
      </c>
      <c r="N3072">
        <v>4</v>
      </c>
      <c r="O3072" t="s">
        <v>19</v>
      </c>
      <c r="P3072" cm="1">
        <f t="array" ref="P3072">_xlfn.SWITCH(Table2[[#This Row],[mood]], "Tired", 3, "Neutral", 2, "Happy", 1)</f>
        <v>2</v>
      </c>
    </row>
    <row r="3073" spans="1:16" x14ac:dyDescent="0.3">
      <c r="A3073">
        <v>1654</v>
      </c>
      <c r="B3073" s="1">
        <v>45076</v>
      </c>
      <c r="C3073">
        <v>30</v>
      </c>
      <c r="D3073" t="s">
        <v>20</v>
      </c>
      <c r="E3073">
        <v>178.4</v>
      </c>
      <c r="F3073">
        <v>66.2</v>
      </c>
      <c r="G3073">
        <v>15099</v>
      </c>
      <c r="H3073">
        <v>857.2</v>
      </c>
      <c r="I3073">
        <v>5.8</v>
      </c>
      <c r="J3073">
        <v>78</v>
      </c>
      <c r="K3073" t="s">
        <v>16</v>
      </c>
      <c r="L3073">
        <v>0</v>
      </c>
      <c r="M3073">
        <v>2.82</v>
      </c>
      <c r="N3073">
        <v>6</v>
      </c>
      <c r="O3073" t="s">
        <v>19</v>
      </c>
      <c r="P3073" cm="1">
        <f t="array" ref="P3073">_xlfn.SWITCH(Table2[[#This Row],[mood]], "Tired", 3, "Neutral", 2, "Happy", 1)</f>
        <v>2</v>
      </c>
    </row>
    <row r="3074" spans="1:16" x14ac:dyDescent="0.3">
      <c r="A3074">
        <v>1418</v>
      </c>
      <c r="B3074" s="1">
        <v>45077</v>
      </c>
      <c r="C3074">
        <v>38</v>
      </c>
      <c r="D3074" t="s">
        <v>20</v>
      </c>
      <c r="E3074">
        <v>152.1</v>
      </c>
      <c r="F3074">
        <v>55</v>
      </c>
      <c r="G3074">
        <v>5037</v>
      </c>
      <c r="H3074">
        <v>400.1</v>
      </c>
      <c r="I3074">
        <v>5.2</v>
      </c>
      <c r="J3074">
        <v>94</v>
      </c>
      <c r="K3074" t="s">
        <v>18</v>
      </c>
      <c r="L3074">
        <v>68</v>
      </c>
      <c r="M3074">
        <v>2.5499999999999998</v>
      </c>
      <c r="N3074">
        <v>4</v>
      </c>
      <c r="O3074" t="s">
        <v>21</v>
      </c>
      <c r="P3074" cm="1">
        <f t="array" ref="P3074">_xlfn.SWITCH(Table2[[#This Row],[mood]], "Tired", 3, "Neutral", 2, "Happy", 1)</f>
        <v>1</v>
      </c>
    </row>
    <row r="3075" spans="1:16" x14ac:dyDescent="0.3">
      <c r="A3075">
        <v>1987</v>
      </c>
      <c r="B3075" s="1">
        <v>45078</v>
      </c>
      <c r="C3075">
        <v>48</v>
      </c>
      <c r="D3075" t="s">
        <v>20</v>
      </c>
      <c r="E3075">
        <v>198.9</v>
      </c>
      <c r="F3075">
        <v>90.4</v>
      </c>
      <c r="G3075">
        <v>10074</v>
      </c>
      <c r="H3075">
        <v>568.29999999999995</v>
      </c>
      <c r="I3075">
        <v>7.6</v>
      </c>
      <c r="J3075">
        <v>74</v>
      </c>
      <c r="K3075" t="s">
        <v>25</v>
      </c>
      <c r="L3075">
        <v>59</v>
      </c>
      <c r="M3075">
        <v>2.85</v>
      </c>
      <c r="N3075">
        <v>5</v>
      </c>
      <c r="O3075" t="s">
        <v>21</v>
      </c>
      <c r="P3075" cm="1">
        <f t="array" ref="P3075">_xlfn.SWITCH(Table2[[#This Row],[mood]], "Tired", 3, "Neutral", 2, "Happy", 1)</f>
        <v>1</v>
      </c>
    </row>
    <row r="3076" spans="1:16" x14ac:dyDescent="0.3">
      <c r="A3076">
        <v>1454</v>
      </c>
      <c r="B3076" s="1">
        <v>45079</v>
      </c>
      <c r="C3076">
        <v>54</v>
      </c>
      <c r="D3076" t="s">
        <v>20</v>
      </c>
      <c r="E3076">
        <v>177.9</v>
      </c>
      <c r="F3076">
        <v>99.7</v>
      </c>
      <c r="G3076">
        <v>14986</v>
      </c>
      <c r="H3076">
        <v>798.2</v>
      </c>
      <c r="I3076">
        <v>6.7</v>
      </c>
      <c r="J3076">
        <v>75</v>
      </c>
      <c r="K3076" t="s">
        <v>22</v>
      </c>
      <c r="L3076">
        <v>58</v>
      </c>
      <c r="M3076">
        <v>2.0699999999999998</v>
      </c>
      <c r="N3076">
        <v>10</v>
      </c>
      <c r="O3076" t="s">
        <v>19</v>
      </c>
      <c r="P3076" cm="1">
        <f t="array" ref="P3076">_xlfn.SWITCH(Table2[[#This Row],[mood]], "Tired", 3, "Neutral", 2, "Happy", 1)</f>
        <v>2</v>
      </c>
    </row>
    <row r="3077" spans="1:16" x14ac:dyDescent="0.3">
      <c r="A3077">
        <v>1159</v>
      </c>
      <c r="B3077" s="1">
        <v>45080</v>
      </c>
      <c r="C3077">
        <v>22</v>
      </c>
      <c r="D3077" t="s">
        <v>20</v>
      </c>
      <c r="E3077">
        <v>167</v>
      </c>
      <c r="F3077">
        <v>96.2</v>
      </c>
      <c r="G3077">
        <v>17815</v>
      </c>
      <c r="H3077">
        <v>900</v>
      </c>
      <c r="I3077">
        <v>8.1999999999999993</v>
      </c>
      <c r="J3077">
        <v>60</v>
      </c>
      <c r="K3077" t="s">
        <v>18</v>
      </c>
      <c r="L3077">
        <v>76</v>
      </c>
      <c r="M3077">
        <v>3.85</v>
      </c>
      <c r="N3077">
        <v>7</v>
      </c>
      <c r="O3077" t="s">
        <v>21</v>
      </c>
      <c r="P3077" cm="1">
        <f t="array" ref="P3077">_xlfn.SWITCH(Table2[[#This Row],[mood]], "Tired", 3, "Neutral", 2, "Happy", 1)</f>
        <v>1</v>
      </c>
    </row>
    <row r="3078" spans="1:16" x14ac:dyDescent="0.3">
      <c r="A3078">
        <v>1522</v>
      </c>
      <c r="B3078" s="1">
        <v>45081</v>
      </c>
      <c r="C3078">
        <v>30</v>
      </c>
      <c r="D3078" t="s">
        <v>15</v>
      </c>
      <c r="E3078">
        <v>167.4</v>
      </c>
      <c r="F3078">
        <v>80.5</v>
      </c>
      <c r="G3078">
        <v>13226</v>
      </c>
      <c r="H3078">
        <v>719.9</v>
      </c>
      <c r="I3078">
        <v>6.3</v>
      </c>
      <c r="J3078">
        <v>76</v>
      </c>
      <c r="K3078" t="s">
        <v>16</v>
      </c>
      <c r="L3078">
        <v>0</v>
      </c>
      <c r="M3078">
        <v>1.37</v>
      </c>
      <c r="N3078">
        <v>5</v>
      </c>
      <c r="O3078" t="s">
        <v>19</v>
      </c>
      <c r="P3078" cm="1">
        <f t="array" ref="P3078">_xlfn.SWITCH(Table2[[#This Row],[mood]], "Tired", 3, "Neutral", 2, "Happy", 1)</f>
        <v>2</v>
      </c>
    </row>
    <row r="3079" spans="1:16" x14ac:dyDescent="0.3">
      <c r="A3079">
        <v>1649</v>
      </c>
      <c r="B3079" s="1">
        <v>45082</v>
      </c>
      <c r="C3079">
        <v>45</v>
      </c>
      <c r="D3079" t="s">
        <v>20</v>
      </c>
      <c r="E3079">
        <v>167.5</v>
      </c>
      <c r="F3079">
        <v>45</v>
      </c>
      <c r="G3079">
        <v>10139</v>
      </c>
      <c r="H3079">
        <v>639.4</v>
      </c>
      <c r="I3079">
        <v>7.9</v>
      </c>
      <c r="J3079">
        <v>82</v>
      </c>
      <c r="K3079" t="s">
        <v>18</v>
      </c>
      <c r="L3079">
        <v>75</v>
      </c>
      <c r="M3079">
        <v>3.31</v>
      </c>
      <c r="N3079">
        <v>5</v>
      </c>
      <c r="O3079" t="s">
        <v>17</v>
      </c>
      <c r="P3079" cm="1">
        <f t="array" ref="P3079">_xlfn.SWITCH(Table2[[#This Row],[mood]], "Tired", 3, "Neutral", 2, "Happy", 1)</f>
        <v>3</v>
      </c>
    </row>
    <row r="3080" spans="1:16" x14ac:dyDescent="0.3">
      <c r="A3080">
        <v>1968</v>
      </c>
      <c r="B3080" s="1">
        <v>45083</v>
      </c>
      <c r="C3080">
        <v>42</v>
      </c>
      <c r="D3080" t="s">
        <v>20</v>
      </c>
      <c r="E3080">
        <v>188.4</v>
      </c>
      <c r="F3080">
        <v>45</v>
      </c>
      <c r="G3080">
        <v>13099</v>
      </c>
      <c r="H3080">
        <v>710.1</v>
      </c>
      <c r="I3080">
        <v>6.4</v>
      </c>
      <c r="J3080">
        <v>74</v>
      </c>
      <c r="K3080" t="s">
        <v>24</v>
      </c>
      <c r="L3080">
        <v>21</v>
      </c>
      <c r="M3080">
        <v>2.63</v>
      </c>
      <c r="N3080">
        <v>2</v>
      </c>
      <c r="O3080" t="s">
        <v>19</v>
      </c>
      <c r="P3080" cm="1">
        <f t="array" ref="P3080">_xlfn.SWITCH(Table2[[#This Row],[mood]], "Tired", 3, "Neutral", 2, "Happy", 1)</f>
        <v>2</v>
      </c>
    </row>
    <row r="3081" spans="1:16" x14ac:dyDescent="0.3">
      <c r="A3081">
        <v>1589</v>
      </c>
      <c r="B3081" s="1">
        <v>45084</v>
      </c>
      <c r="C3081">
        <v>52</v>
      </c>
      <c r="D3081" t="s">
        <v>20</v>
      </c>
      <c r="E3081">
        <v>179</v>
      </c>
      <c r="F3081">
        <v>61.8</v>
      </c>
      <c r="G3081">
        <v>10859</v>
      </c>
      <c r="H3081">
        <v>605.79999999999995</v>
      </c>
      <c r="I3081">
        <v>6.8</v>
      </c>
      <c r="J3081">
        <v>75</v>
      </c>
      <c r="K3081" t="s">
        <v>24</v>
      </c>
      <c r="L3081">
        <v>45</v>
      </c>
      <c r="M3081">
        <v>2.93</v>
      </c>
      <c r="N3081">
        <v>1</v>
      </c>
      <c r="O3081" t="s">
        <v>17</v>
      </c>
      <c r="P3081" cm="1">
        <f t="array" ref="P3081">_xlfn.SWITCH(Table2[[#This Row],[mood]], "Tired", 3, "Neutral", 2, "Happy", 1)</f>
        <v>3</v>
      </c>
    </row>
    <row r="3082" spans="1:16" x14ac:dyDescent="0.3">
      <c r="A3082">
        <v>1076</v>
      </c>
      <c r="B3082" s="1">
        <v>45085</v>
      </c>
      <c r="C3082">
        <v>56</v>
      </c>
      <c r="D3082" t="s">
        <v>15</v>
      </c>
      <c r="E3082">
        <v>165.6</v>
      </c>
      <c r="F3082">
        <v>69.2</v>
      </c>
      <c r="G3082">
        <v>12174</v>
      </c>
      <c r="H3082">
        <v>619</v>
      </c>
      <c r="I3082">
        <v>6.9</v>
      </c>
      <c r="J3082">
        <v>77</v>
      </c>
      <c r="K3082" t="s">
        <v>22</v>
      </c>
      <c r="L3082">
        <v>42</v>
      </c>
      <c r="M3082">
        <v>3.06</v>
      </c>
      <c r="N3082">
        <v>4</v>
      </c>
      <c r="O3082" t="s">
        <v>17</v>
      </c>
      <c r="P3082" cm="1">
        <f t="array" ref="P3082">_xlfn.SWITCH(Table2[[#This Row],[mood]], "Tired", 3, "Neutral", 2, "Happy", 1)</f>
        <v>3</v>
      </c>
    </row>
    <row r="3083" spans="1:16" x14ac:dyDescent="0.3">
      <c r="A3083">
        <v>1508</v>
      </c>
      <c r="B3083" s="1">
        <v>45086</v>
      </c>
      <c r="C3083">
        <v>24</v>
      </c>
      <c r="D3083" t="s">
        <v>15</v>
      </c>
      <c r="E3083">
        <v>157.6</v>
      </c>
      <c r="F3083">
        <v>68.599999999999994</v>
      </c>
      <c r="G3083">
        <v>3539</v>
      </c>
      <c r="H3083">
        <v>341.1</v>
      </c>
      <c r="I3083">
        <v>4.4000000000000004</v>
      </c>
      <c r="J3083">
        <v>65</v>
      </c>
      <c r="K3083" t="s">
        <v>24</v>
      </c>
      <c r="L3083">
        <v>37</v>
      </c>
      <c r="M3083">
        <v>2.89</v>
      </c>
      <c r="N3083">
        <v>10</v>
      </c>
      <c r="O3083" t="s">
        <v>19</v>
      </c>
      <c r="P3083" cm="1">
        <f t="array" ref="P3083">_xlfn.SWITCH(Table2[[#This Row],[mood]], "Tired", 3, "Neutral", 2, "Happy", 1)</f>
        <v>2</v>
      </c>
    </row>
    <row r="3084" spans="1:16" x14ac:dyDescent="0.3">
      <c r="A3084">
        <v>1440</v>
      </c>
      <c r="B3084" s="1">
        <v>45087</v>
      </c>
      <c r="C3084">
        <v>55</v>
      </c>
      <c r="D3084" t="s">
        <v>15</v>
      </c>
      <c r="E3084">
        <v>182</v>
      </c>
      <c r="F3084">
        <v>72.900000000000006</v>
      </c>
      <c r="G3084">
        <v>11305</v>
      </c>
      <c r="H3084">
        <v>714.5</v>
      </c>
      <c r="I3084">
        <v>6.8</v>
      </c>
      <c r="J3084">
        <v>52</v>
      </c>
      <c r="K3084" t="s">
        <v>16</v>
      </c>
      <c r="L3084">
        <v>0</v>
      </c>
      <c r="M3084">
        <v>1.93</v>
      </c>
      <c r="N3084">
        <v>8</v>
      </c>
      <c r="O3084" t="s">
        <v>19</v>
      </c>
      <c r="P3084" cm="1">
        <f t="array" ref="P3084">_xlfn.SWITCH(Table2[[#This Row],[mood]], "Tired", 3, "Neutral", 2, "Happy", 1)</f>
        <v>2</v>
      </c>
    </row>
    <row r="3085" spans="1:16" x14ac:dyDescent="0.3">
      <c r="A3085">
        <v>1253</v>
      </c>
      <c r="B3085" s="1">
        <v>45088</v>
      </c>
      <c r="C3085">
        <v>49</v>
      </c>
      <c r="D3085" t="s">
        <v>20</v>
      </c>
      <c r="E3085">
        <v>178.4</v>
      </c>
      <c r="F3085">
        <v>49.1</v>
      </c>
      <c r="G3085">
        <v>14199</v>
      </c>
      <c r="H3085">
        <v>761.8</v>
      </c>
      <c r="I3085">
        <v>7.8</v>
      </c>
      <c r="J3085">
        <v>74</v>
      </c>
      <c r="K3085" t="s">
        <v>22</v>
      </c>
      <c r="L3085">
        <v>79</v>
      </c>
      <c r="M3085">
        <v>2.2999999999999998</v>
      </c>
      <c r="N3085">
        <v>3</v>
      </c>
      <c r="O3085" t="s">
        <v>19</v>
      </c>
      <c r="P3085" cm="1">
        <f t="array" ref="P3085">_xlfn.SWITCH(Table2[[#This Row],[mood]], "Tired", 3, "Neutral", 2, "Happy", 1)</f>
        <v>2</v>
      </c>
    </row>
    <row r="3086" spans="1:16" x14ac:dyDescent="0.3">
      <c r="A3086">
        <v>1920</v>
      </c>
      <c r="B3086" s="1">
        <v>45089</v>
      </c>
      <c r="C3086">
        <v>20</v>
      </c>
      <c r="D3086" t="s">
        <v>15</v>
      </c>
      <c r="E3086">
        <v>177.1</v>
      </c>
      <c r="F3086">
        <v>94.1</v>
      </c>
      <c r="G3086">
        <v>1390</v>
      </c>
      <c r="H3086">
        <v>230.5</v>
      </c>
      <c r="I3086">
        <v>5.5</v>
      </c>
      <c r="J3086">
        <v>73</v>
      </c>
      <c r="K3086" t="s">
        <v>18</v>
      </c>
      <c r="L3086">
        <v>21</v>
      </c>
      <c r="M3086">
        <v>1.48</v>
      </c>
      <c r="N3086">
        <v>6</v>
      </c>
      <c r="O3086" t="s">
        <v>19</v>
      </c>
      <c r="P3086" cm="1">
        <f t="array" ref="P3086">_xlfn.SWITCH(Table2[[#This Row],[mood]], "Tired", 3, "Neutral", 2, "Happy", 1)</f>
        <v>2</v>
      </c>
    </row>
    <row r="3087" spans="1:16" x14ac:dyDescent="0.3">
      <c r="A3087">
        <v>1769</v>
      </c>
      <c r="B3087" s="1">
        <v>45090</v>
      </c>
      <c r="C3087">
        <v>56</v>
      </c>
      <c r="D3087" t="s">
        <v>15</v>
      </c>
      <c r="E3087">
        <v>169.2</v>
      </c>
      <c r="F3087">
        <v>92.6</v>
      </c>
      <c r="G3087">
        <v>1082</v>
      </c>
      <c r="H3087">
        <v>205.4</v>
      </c>
      <c r="I3087">
        <v>9.9</v>
      </c>
      <c r="J3087">
        <v>81</v>
      </c>
      <c r="K3087" t="s">
        <v>25</v>
      </c>
      <c r="L3087">
        <v>68</v>
      </c>
      <c r="M3087">
        <v>2.29</v>
      </c>
      <c r="N3087">
        <v>10</v>
      </c>
      <c r="O3087" t="s">
        <v>21</v>
      </c>
      <c r="P3087" cm="1">
        <f t="array" ref="P3087">_xlfn.SWITCH(Table2[[#This Row],[mood]], "Tired", 3, "Neutral", 2, "Happy", 1)</f>
        <v>1</v>
      </c>
    </row>
    <row r="3088" spans="1:16" x14ac:dyDescent="0.3">
      <c r="A3088">
        <v>1319</v>
      </c>
      <c r="B3088" s="1">
        <v>45091</v>
      </c>
      <c r="C3088">
        <v>54</v>
      </c>
      <c r="D3088" t="s">
        <v>15</v>
      </c>
      <c r="E3088">
        <v>167</v>
      </c>
      <c r="F3088">
        <v>50.3</v>
      </c>
      <c r="G3088">
        <v>18386</v>
      </c>
      <c r="H3088">
        <v>849.2</v>
      </c>
      <c r="I3088">
        <v>7</v>
      </c>
      <c r="J3088">
        <v>99</v>
      </c>
      <c r="K3088" t="s">
        <v>24</v>
      </c>
      <c r="L3088">
        <v>57</v>
      </c>
      <c r="M3088">
        <v>2.73</v>
      </c>
      <c r="N3088">
        <v>2</v>
      </c>
      <c r="O3088" t="s">
        <v>21</v>
      </c>
      <c r="P3088" cm="1">
        <f t="array" ref="P3088">_xlfn.SWITCH(Table2[[#This Row],[mood]], "Tired", 3, "Neutral", 2, "Happy", 1)</f>
        <v>1</v>
      </c>
    </row>
    <row r="3089" spans="1:16" x14ac:dyDescent="0.3">
      <c r="A3089">
        <v>1802</v>
      </c>
      <c r="B3089" s="1">
        <v>45092</v>
      </c>
      <c r="C3089">
        <v>39</v>
      </c>
      <c r="D3089" t="s">
        <v>20</v>
      </c>
      <c r="E3089">
        <v>186.9</v>
      </c>
      <c r="F3089">
        <v>45</v>
      </c>
      <c r="G3089">
        <v>9968</v>
      </c>
      <c r="H3089">
        <v>657.5</v>
      </c>
      <c r="I3089">
        <v>6.1</v>
      </c>
      <c r="J3089">
        <v>88</v>
      </c>
      <c r="K3089" t="s">
        <v>22</v>
      </c>
      <c r="L3089">
        <v>50</v>
      </c>
      <c r="M3089">
        <v>2.92</v>
      </c>
      <c r="N3089">
        <v>9</v>
      </c>
      <c r="O3089" t="s">
        <v>17</v>
      </c>
      <c r="P3089" cm="1">
        <f t="array" ref="P3089">_xlfn.SWITCH(Table2[[#This Row],[mood]], "Tired", 3, "Neutral", 2, "Happy", 1)</f>
        <v>3</v>
      </c>
    </row>
    <row r="3090" spans="1:16" x14ac:dyDescent="0.3">
      <c r="A3090">
        <v>1262</v>
      </c>
      <c r="B3090" s="1">
        <v>45093</v>
      </c>
      <c r="C3090">
        <v>25</v>
      </c>
      <c r="D3090" t="s">
        <v>15</v>
      </c>
      <c r="E3090">
        <v>187.8</v>
      </c>
      <c r="F3090">
        <v>68.7</v>
      </c>
      <c r="G3090">
        <v>13281</v>
      </c>
      <c r="H3090">
        <v>755.5</v>
      </c>
      <c r="I3090">
        <v>6</v>
      </c>
      <c r="J3090">
        <v>54</v>
      </c>
      <c r="K3090" t="s">
        <v>24</v>
      </c>
      <c r="L3090">
        <v>59</v>
      </c>
      <c r="M3090">
        <v>2.77</v>
      </c>
      <c r="N3090">
        <v>9</v>
      </c>
      <c r="O3090" t="s">
        <v>19</v>
      </c>
      <c r="P3090" cm="1">
        <f t="array" ref="P3090">_xlfn.SWITCH(Table2[[#This Row],[mood]], "Tired", 3, "Neutral", 2, "Happy", 1)</f>
        <v>2</v>
      </c>
    </row>
    <row r="3091" spans="1:16" x14ac:dyDescent="0.3">
      <c r="A3091">
        <v>1596</v>
      </c>
      <c r="B3091" s="1">
        <v>45094</v>
      </c>
      <c r="C3091">
        <v>34</v>
      </c>
      <c r="D3091" t="s">
        <v>20</v>
      </c>
      <c r="E3091">
        <v>176.4</v>
      </c>
      <c r="F3091">
        <v>88.9</v>
      </c>
      <c r="G3091">
        <v>16120</v>
      </c>
      <c r="H3091">
        <v>883.3</v>
      </c>
      <c r="I3091">
        <v>9.1</v>
      </c>
      <c r="J3091">
        <v>100</v>
      </c>
      <c r="K3091" t="s">
        <v>24</v>
      </c>
      <c r="L3091">
        <v>72</v>
      </c>
      <c r="M3091">
        <v>1.27</v>
      </c>
      <c r="N3091">
        <v>4</v>
      </c>
      <c r="O3091" t="s">
        <v>21</v>
      </c>
      <c r="P3091" cm="1">
        <f t="array" ref="P3091">_xlfn.SWITCH(Table2[[#This Row],[mood]], "Tired", 3, "Neutral", 2, "Happy", 1)</f>
        <v>1</v>
      </c>
    </row>
    <row r="3092" spans="1:16" x14ac:dyDescent="0.3">
      <c r="A3092">
        <v>1657</v>
      </c>
      <c r="B3092" s="1">
        <v>45095</v>
      </c>
      <c r="C3092">
        <v>44</v>
      </c>
      <c r="D3092" t="s">
        <v>20</v>
      </c>
      <c r="E3092">
        <v>179.7</v>
      </c>
      <c r="F3092">
        <v>69.5</v>
      </c>
      <c r="G3092">
        <v>10946</v>
      </c>
      <c r="H3092">
        <v>650.4</v>
      </c>
      <c r="I3092">
        <v>5.8</v>
      </c>
      <c r="J3092">
        <v>82</v>
      </c>
      <c r="K3092" t="s">
        <v>23</v>
      </c>
      <c r="L3092">
        <v>83</v>
      </c>
      <c r="M3092">
        <v>2.11</v>
      </c>
      <c r="N3092">
        <v>8</v>
      </c>
      <c r="O3092" t="s">
        <v>21</v>
      </c>
      <c r="P3092" cm="1">
        <f t="array" ref="P3092">_xlfn.SWITCH(Table2[[#This Row],[mood]], "Tired", 3, "Neutral", 2, "Happy", 1)</f>
        <v>1</v>
      </c>
    </row>
    <row r="3093" spans="1:16" x14ac:dyDescent="0.3">
      <c r="A3093">
        <v>1834</v>
      </c>
      <c r="B3093" s="1">
        <v>45096</v>
      </c>
      <c r="C3093">
        <v>50</v>
      </c>
      <c r="D3093" t="s">
        <v>15</v>
      </c>
      <c r="E3093">
        <v>172.4</v>
      </c>
      <c r="F3093">
        <v>73.900000000000006</v>
      </c>
      <c r="G3093">
        <v>11891</v>
      </c>
      <c r="H3093">
        <v>635.4</v>
      </c>
      <c r="I3093">
        <v>7.4</v>
      </c>
      <c r="J3093">
        <v>72</v>
      </c>
      <c r="K3093" t="s">
        <v>18</v>
      </c>
      <c r="L3093">
        <v>52</v>
      </c>
      <c r="M3093">
        <v>2.04</v>
      </c>
      <c r="N3093">
        <v>2</v>
      </c>
      <c r="O3093" t="s">
        <v>21</v>
      </c>
      <c r="P3093" cm="1">
        <f t="array" ref="P3093">_xlfn.SWITCH(Table2[[#This Row],[mood]], "Tired", 3, "Neutral", 2, "Happy", 1)</f>
        <v>1</v>
      </c>
    </row>
    <row r="3094" spans="1:16" x14ac:dyDescent="0.3">
      <c r="A3094">
        <v>1553</v>
      </c>
      <c r="B3094" s="1">
        <v>45097</v>
      </c>
      <c r="C3094">
        <v>34</v>
      </c>
      <c r="D3094" t="s">
        <v>20</v>
      </c>
      <c r="E3094">
        <v>156.30000000000001</v>
      </c>
      <c r="F3094">
        <v>63.4</v>
      </c>
      <c r="G3094">
        <v>7007</v>
      </c>
      <c r="H3094">
        <v>464.4</v>
      </c>
      <c r="I3094">
        <v>8.3000000000000007</v>
      </c>
      <c r="J3094">
        <v>90</v>
      </c>
      <c r="K3094" t="s">
        <v>24</v>
      </c>
      <c r="L3094">
        <v>77</v>
      </c>
      <c r="M3094">
        <v>1.58</v>
      </c>
      <c r="N3094">
        <v>10</v>
      </c>
      <c r="O3094" t="s">
        <v>17</v>
      </c>
      <c r="P3094" cm="1">
        <f t="array" ref="P3094">_xlfn.SWITCH(Table2[[#This Row],[mood]], "Tired", 3, "Neutral", 2, "Happy", 1)</f>
        <v>3</v>
      </c>
    </row>
    <row r="3095" spans="1:16" x14ac:dyDescent="0.3">
      <c r="A3095">
        <v>1373</v>
      </c>
      <c r="B3095" s="1">
        <v>45098</v>
      </c>
      <c r="C3095">
        <v>59</v>
      </c>
      <c r="D3095" t="s">
        <v>15</v>
      </c>
      <c r="E3095">
        <v>160.19999999999999</v>
      </c>
      <c r="F3095">
        <v>72.2</v>
      </c>
      <c r="G3095">
        <v>1522</v>
      </c>
      <c r="H3095">
        <v>235.9</v>
      </c>
      <c r="I3095">
        <v>7.8</v>
      </c>
      <c r="J3095">
        <v>50</v>
      </c>
      <c r="K3095" t="s">
        <v>25</v>
      </c>
      <c r="L3095">
        <v>69</v>
      </c>
      <c r="M3095">
        <v>1.91</v>
      </c>
      <c r="N3095">
        <v>2</v>
      </c>
      <c r="O3095" t="s">
        <v>21</v>
      </c>
      <c r="P3095" cm="1">
        <f t="array" ref="P3095">_xlfn.SWITCH(Table2[[#This Row],[mood]], "Tired", 3, "Neutral", 2, "Happy", 1)</f>
        <v>1</v>
      </c>
    </row>
    <row r="3096" spans="1:16" x14ac:dyDescent="0.3">
      <c r="A3096">
        <v>1636</v>
      </c>
      <c r="B3096" s="1">
        <v>45099</v>
      </c>
      <c r="C3096">
        <v>29</v>
      </c>
      <c r="D3096" t="s">
        <v>20</v>
      </c>
      <c r="E3096">
        <v>181.5</v>
      </c>
      <c r="F3096">
        <v>84.2</v>
      </c>
      <c r="G3096">
        <v>2694</v>
      </c>
      <c r="H3096">
        <v>286.89999999999998</v>
      </c>
      <c r="I3096">
        <v>6.2</v>
      </c>
      <c r="J3096">
        <v>70</v>
      </c>
      <c r="K3096" t="s">
        <v>16</v>
      </c>
      <c r="L3096">
        <v>0</v>
      </c>
      <c r="M3096">
        <v>2.5</v>
      </c>
      <c r="N3096">
        <v>6</v>
      </c>
      <c r="O3096" t="s">
        <v>19</v>
      </c>
      <c r="P3096" cm="1">
        <f t="array" ref="P3096">_xlfn.SWITCH(Table2[[#This Row],[mood]], "Tired", 3, "Neutral", 2, "Happy", 1)</f>
        <v>2</v>
      </c>
    </row>
    <row r="3097" spans="1:16" x14ac:dyDescent="0.3">
      <c r="A3097">
        <v>1166</v>
      </c>
      <c r="B3097" s="1">
        <v>45100</v>
      </c>
      <c r="C3097">
        <v>44</v>
      </c>
      <c r="D3097" t="s">
        <v>15</v>
      </c>
      <c r="E3097">
        <v>182.7</v>
      </c>
      <c r="F3097">
        <v>76.2</v>
      </c>
      <c r="G3097">
        <v>19636</v>
      </c>
      <c r="H3097">
        <v>900</v>
      </c>
      <c r="I3097">
        <v>8.3000000000000007</v>
      </c>
      <c r="J3097">
        <v>77</v>
      </c>
      <c r="K3097" t="s">
        <v>23</v>
      </c>
      <c r="L3097">
        <v>22</v>
      </c>
      <c r="M3097">
        <v>3.49</v>
      </c>
      <c r="N3097">
        <v>2</v>
      </c>
      <c r="O3097" t="s">
        <v>21</v>
      </c>
      <c r="P3097" cm="1">
        <f t="array" ref="P3097">_xlfn.SWITCH(Table2[[#This Row],[mood]], "Tired", 3, "Neutral", 2, "Happy", 1)</f>
        <v>1</v>
      </c>
    </row>
    <row r="3098" spans="1:16" x14ac:dyDescent="0.3">
      <c r="A3098">
        <v>1936</v>
      </c>
      <c r="B3098" s="1">
        <v>45101</v>
      </c>
      <c r="C3098">
        <v>25</v>
      </c>
      <c r="D3098" t="s">
        <v>15</v>
      </c>
      <c r="E3098">
        <v>180.5</v>
      </c>
      <c r="F3098">
        <v>78.599999999999994</v>
      </c>
      <c r="G3098">
        <v>5837</v>
      </c>
      <c r="H3098">
        <v>488.7</v>
      </c>
      <c r="I3098">
        <v>7.2</v>
      </c>
      <c r="J3098">
        <v>76</v>
      </c>
      <c r="K3098" t="s">
        <v>22</v>
      </c>
      <c r="L3098">
        <v>80</v>
      </c>
      <c r="M3098">
        <v>1.83</v>
      </c>
      <c r="N3098">
        <v>1</v>
      </c>
      <c r="O3098" t="s">
        <v>19</v>
      </c>
      <c r="P3098" cm="1">
        <f t="array" ref="P3098">_xlfn.SWITCH(Table2[[#This Row],[mood]], "Tired", 3, "Neutral", 2, "Happy", 1)</f>
        <v>2</v>
      </c>
    </row>
    <row r="3099" spans="1:16" x14ac:dyDescent="0.3">
      <c r="A3099">
        <v>1752</v>
      </c>
      <c r="B3099" s="1">
        <v>45102</v>
      </c>
      <c r="C3099">
        <v>40</v>
      </c>
      <c r="D3099" t="s">
        <v>15</v>
      </c>
      <c r="E3099">
        <v>173.5</v>
      </c>
      <c r="F3099">
        <v>45.1</v>
      </c>
      <c r="G3099">
        <v>12801</v>
      </c>
      <c r="H3099">
        <v>813.1</v>
      </c>
      <c r="I3099">
        <v>4.4000000000000004</v>
      </c>
      <c r="J3099">
        <v>90</v>
      </c>
      <c r="K3099" t="s">
        <v>22</v>
      </c>
      <c r="L3099">
        <v>29</v>
      </c>
      <c r="M3099">
        <v>1.71</v>
      </c>
      <c r="N3099">
        <v>10</v>
      </c>
      <c r="O3099" t="s">
        <v>21</v>
      </c>
      <c r="P3099" cm="1">
        <f t="array" ref="P3099">_xlfn.SWITCH(Table2[[#This Row],[mood]], "Tired", 3, "Neutral", 2, "Happy", 1)</f>
        <v>1</v>
      </c>
    </row>
    <row r="3100" spans="1:16" x14ac:dyDescent="0.3">
      <c r="A3100">
        <v>1458</v>
      </c>
      <c r="B3100" s="1">
        <v>45103</v>
      </c>
      <c r="C3100">
        <v>59</v>
      </c>
      <c r="D3100" t="s">
        <v>20</v>
      </c>
      <c r="E3100">
        <v>180.9</v>
      </c>
      <c r="F3100">
        <v>102.1</v>
      </c>
      <c r="G3100">
        <v>9469</v>
      </c>
      <c r="H3100">
        <v>535.1</v>
      </c>
      <c r="I3100">
        <v>8.8000000000000007</v>
      </c>
      <c r="J3100">
        <v>87</v>
      </c>
      <c r="K3100" t="s">
        <v>25</v>
      </c>
      <c r="L3100">
        <v>85</v>
      </c>
      <c r="M3100">
        <v>2.08</v>
      </c>
      <c r="N3100">
        <v>2</v>
      </c>
      <c r="O3100" t="s">
        <v>19</v>
      </c>
      <c r="P3100" cm="1">
        <f t="array" ref="P3100">_xlfn.SWITCH(Table2[[#This Row],[mood]], "Tired", 3, "Neutral", 2, "Happy", 1)</f>
        <v>2</v>
      </c>
    </row>
    <row r="3101" spans="1:16" x14ac:dyDescent="0.3">
      <c r="A3101">
        <v>1998</v>
      </c>
      <c r="B3101" s="1">
        <v>45104</v>
      </c>
      <c r="C3101">
        <v>46</v>
      </c>
      <c r="D3101" t="s">
        <v>15</v>
      </c>
      <c r="E3101">
        <v>169.4</v>
      </c>
      <c r="F3101">
        <v>45.2</v>
      </c>
      <c r="G3101">
        <v>17531</v>
      </c>
      <c r="H3101">
        <v>892.8</v>
      </c>
      <c r="I3101">
        <v>6.1</v>
      </c>
      <c r="J3101">
        <v>82</v>
      </c>
      <c r="K3101" t="s">
        <v>25</v>
      </c>
      <c r="L3101">
        <v>70</v>
      </c>
      <c r="M3101">
        <v>2.74</v>
      </c>
      <c r="N3101">
        <v>2</v>
      </c>
      <c r="O3101" t="s">
        <v>17</v>
      </c>
      <c r="P3101" cm="1">
        <f t="array" ref="P3101">_xlfn.SWITCH(Table2[[#This Row],[mood]], "Tired", 3, "Neutral", 2, "Happy", 1)</f>
        <v>3</v>
      </c>
    </row>
    <row r="3102" spans="1:16" x14ac:dyDescent="0.3">
      <c r="A3102">
        <v>1279</v>
      </c>
      <c r="B3102" s="1">
        <v>45105</v>
      </c>
      <c r="C3102">
        <v>37</v>
      </c>
      <c r="D3102" t="s">
        <v>20</v>
      </c>
      <c r="E3102">
        <v>176.2</v>
      </c>
      <c r="F3102">
        <v>72.3</v>
      </c>
      <c r="G3102">
        <v>9148</v>
      </c>
      <c r="H3102">
        <v>576.79999999999995</v>
      </c>
      <c r="I3102">
        <v>6.7</v>
      </c>
      <c r="J3102">
        <v>72</v>
      </c>
      <c r="K3102" t="s">
        <v>16</v>
      </c>
      <c r="L3102">
        <v>0</v>
      </c>
      <c r="M3102">
        <v>3.36</v>
      </c>
      <c r="N3102">
        <v>5</v>
      </c>
      <c r="O3102" t="s">
        <v>21</v>
      </c>
      <c r="P3102" cm="1">
        <f t="array" ref="P3102">_xlfn.SWITCH(Table2[[#This Row],[mood]], "Tired", 3, "Neutral", 2, "Happy", 1)</f>
        <v>1</v>
      </c>
    </row>
    <row r="3103" spans="1:16" x14ac:dyDescent="0.3">
      <c r="A3103">
        <v>1699</v>
      </c>
      <c r="B3103" s="1">
        <v>45106</v>
      </c>
      <c r="C3103">
        <v>33</v>
      </c>
      <c r="D3103" t="s">
        <v>15</v>
      </c>
      <c r="E3103">
        <v>168</v>
      </c>
      <c r="F3103">
        <v>67.7</v>
      </c>
      <c r="G3103">
        <v>14065</v>
      </c>
      <c r="H3103">
        <v>713.6</v>
      </c>
      <c r="I3103">
        <v>7.5</v>
      </c>
      <c r="J3103">
        <v>85</v>
      </c>
      <c r="K3103" t="s">
        <v>18</v>
      </c>
      <c r="L3103">
        <v>44</v>
      </c>
      <c r="M3103">
        <v>2.44</v>
      </c>
      <c r="N3103">
        <v>6</v>
      </c>
      <c r="O3103" t="s">
        <v>21</v>
      </c>
      <c r="P3103" cm="1">
        <f t="array" ref="P3103">_xlfn.SWITCH(Table2[[#This Row],[mood]], "Tired", 3, "Neutral", 2, "Happy", 1)</f>
        <v>1</v>
      </c>
    </row>
    <row r="3104" spans="1:16" x14ac:dyDescent="0.3">
      <c r="A3104">
        <v>1301</v>
      </c>
      <c r="B3104" s="1">
        <v>45107</v>
      </c>
      <c r="C3104">
        <v>34</v>
      </c>
      <c r="D3104" t="s">
        <v>20</v>
      </c>
      <c r="E3104">
        <v>159.4</v>
      </c>
      <c r="F3104">
        <v>68.400000000000006</v>
      </c>
      <c r="G3104">
        <v>13706</v>
      </c>
      <c r="H3104">
        <v>750.9</v>
      </c>
      <c r="I3104">
        <v>6.2</v>
      </c>
      <c r="J3104">
        <v>69</v>
      </c>
      <c r="K3104" t="s">
        <v>25</v>
      </c>
      <c r="L3104">
        <v>62</v>
      </c>
      <c r="M3104">
        <v>1.49</v>
      </c>
      <c r="N3104">
        <v>3</v>
      </c>
      <c r="O3104" t="s">
        <v>17</v>
      </c>
      <c r="P3104" cm="1">
        <f t="array" ref="P3104">_xlfn.SWITCH(Table2[[#This Row],[mood]], "Tired", 3, "Neutral", 2, "Happy", 1)</f>
        <v>3</v>
      </c>
    </row>
    <row r="3105" spans="1:16" x14ac:dyDescent="0.3">
      <c r="A3105">
        <v>1530</v>
      </c>
      <c r="B3105" s="1">
        <v>45108</v>
      </c>
      <c r="C3105">
        <v>33</v>
      </c>
      <c r="D3105" t="s">
        <v>20</v>
      </c>
      <c r="E3105">
        <v>178.6</v>
      </c>
      <c r="F3105">
        <v>83</v>
      </c>
      <c r="G3105">
        <v>4620</v>
      </c>
      <c r="H3105">
        <v>402.4</v>
      </c>
      <c r="I3105">
        <v>8.1</v>
      </c>
      <c r="J3105">
        <v>83</v>
      </c>
      <c r="K3105" t="s">
        <v>22</v>
      </c>
      <c r="L3105">
        <v>83</v>
      </c>
      <c r="M3105">
        <v>1.64</v>
      </c>
      <c r="N3105">
        <v>8</v>
      </c>
      <c r="O3105" t="s">
        <v>17</v>
      </c>
      <c r="P3105" cm="1">
        <f t="array" ref="P3105">_xlfn.SWITCH(Table2[[#This Row],[mood]], "Tired", 3, "Neutral", 2, "Happy", 1)</f>
        <v>3</v>
      </c>
    </row>
    <row r="3106" spans="1:16" x14ac:dyDescent="0.3">
      <c r="A3106">
        <v>1579</v>
      </c>
      <c r="B3106" s="1">
        <v>45109</v>
      </c>
      <c r="C3106">
        <v>36</v>
      </c>
      <c r="D3106" t="s">
        <v>15</v>
      </c>
      <c r="E3106">
        <v>182.8</v>
      </c>
      <c r="F3106">
        <v>59.4</v>
      </c>
      <c r="G3106">
        <v>11631</v>
      </c>
      <c r="H3106">
        <v>661.3</v>
      </c>
      <c r="I3106">
        <v>5.3</v>
      </c>
      <c r="J3106">
        <v>68</v>
      </c>
      <c r="K3106" t="s">
        <v>18</v>
      </c>
      <c r="L3106">
        <v>78</v>
      </c>
      <c r="M3106">
        <v>2.63</v>
      </c>
      <c r="N3106">
        <v>2</v>
      </c>
      <c r="O3106" t="s">
        <v>17</v>
      </c>
      <c r="P3106" cm="1">
        <f t="array" ref="P3106">_xlfn.SWITCH(Table2[[#This Row],[mood]], "Tired", 3, "Neutral", 2, "Happy", 1)</f>
        <v>3</v>
      </c>
    </row>
    <row r="3107" spans="1:16" x14ac:dyDescent="0.3">
      <c r="A3107">
        <v>1217</v>
      </c>
      <c r="B3107" s="1">
        <v>45110</v>
      </c>
      <c r="C3107">
        <v>25</v>
      </c>
      <c r="D3107" t="s">
        <v>15</v>
      </c>
      <c r="E3107">
        <v>194.7</v>
      </c>
      <c r="F3107">
        <v>63.5</v>
      </c>
      <c r="G3107">
        <v>10131</v>
      </c>
      <c r="H3107">
        <v>636.6</v>
      </c>
      <c r="I3107">
        <v>6.1</v>
      </c>
      <c r="J3107">
        <v>78</v>
      </c>
      <c r="K3107" t="s">
        <v>25</v>
      </c>
      <c r="L3107">
        <v>81</v>
      </c>
      <c r="M3107">
        <v>3.2</v>
      </c>
      <c r="N3107">
        <v>10</v>
      </c>
      <c r="O3107" t="s">
        <v>19</v>
      </c>
      <c r="P3107" cm="1">
        <f t="array" ref="P3107">_xlfn.SWITCH(Table2[[#This Row],[mood]], "Tired", 3, "Neutral", 2, "Happy", 1)</f>
        <v>2</v>
      </c>
    </row>
    <row r="3108" spans="1:16" x14ac:dyDescent="0.3">
      <c r="A3108">
        <v>1101</v>
      </c>
      <c r="B3108" s="1">
        <v>45111</v>
      </c>
      <c r="C3108">
        <v>55</v>
      </c>
      <c r="D3108" t="s">
        <v>15</v>
      </c>
      <c r="E3108">
        <v>172.6</v>
      </c>
      <c r="F3108">
        <v>52.8</v>
      </c>
      <c r="G3108">
        <v>15307</v>
      </c>
      <c r="H3108">
        <v>812.3</v>
      </c>
      <c r="I3108">
        <v>8.8000000000000007</v>
      </c>
      <c r="J3108">
        <v>60</v>
      </c>
      <c r="K3108" t="s">
        <v>25</v>
      </c>
      <c r="L3108">
        <v>29</v>
      </c>
      <c r="M3108">
        <v>3.77</v>
      </c>
      <c r="N3108">
        <v>3</v>
      </c>
      <c r="O3108" t="s">
        <v>19</v>
      </c>
      <c r="P3108" cm="1">
        <f t="array" ref="P3108">_xlfn.SWITCH(Table2[[#This Row],[mood]], "Tired", 3, "Neutral", 2, "Happy", 1)</f>
        <v>2</v>
      </c>
    </row>
    <row r="3109" spans="1:16" x14ac:dyDescent="0.3">
      <c r="A3109">
        <v>1553</v>
      </c>
      <c r="B3109" s="1">
        <v>45112</v>
      </c>
      <c r="C3109">
        <v>55</v>
      </c>
      <c r="D3109" t="s">
        <v>15</v>
      </c>
      <c r="E3109">
        <v>159.5</v>
      </c>
      <c r="F3109">
        <v>86.8</v>
      </c>
      <c r="G3109">
        <v>4709</v>
      </c>
      <c r="H3109">
        <v>245.1</v>
      </c>
      <c r="I3109">
        <v>7</v>
      </c>
      <c r="J3109">
        <v>85</v>
      </c>
      <c r="K3109" t="s">
        <v>22</v>
      </c>
      <c r="L3109">
        <v>83</v>
      </c>
      <c r="M3109">
        <v>1.67</v>
      </c>
      <c r="N3109">
        <v>4</v>
      </c>
      <c r="O3109" t="s">
        <v>21</v>
      </c>
      <c r="P3109" cm="1">
        <f t="array" ref="P3109">_xlfn.SWITCH(Table2[[#This Row],[mood]], "Tired", 3, "Neutral", 2, "Happy", 1)</f>
        <v>1</v>
      </c>
    </row>
    <row r="3110" spans="1:16" x14ac:dyDescent="0.3">
      <c r="A3110">
        <v>1287</v>
      </c>
      <c r="B3110" s="1">
        <v>45113</v>
      </c>
      <c r="C3110">
        <v>46</v>
      </c>
      <c r="D3110" t="s">
        <v>15</v>
      </c>
      <c r="E3110">
        <v>166.7</v>
      </c>
      <c r="F3110">
        <v>74</v>
      </c>
      <c r="G3110">
        <v>16986</v>
      </c>
      <c r="H3110">
        <v>831.4</v>
      </c>
      <c r="I3110">
        <v>5.4</v>
      </c>
      <c r="J3110">
        <v>71</v>
      </c>
      <c r="K3110" t="s">
        <v>18</v>
      </c>
      <c r="L3110">
        <v>79</v>
      </c>
      <c r="M3110">
        <v>2.6</v>
      </c>
      <c r="N3110">
        <v>5</v>
      </c>
      <c r="O3110" t="s">
        <v>19</v>
      </c>
      <c r="P3110" cm="1">
        <f t="array" ref="P3110">_xlfn.SWITCH(Table2[[#This Row],[mood]], "Tired", 3, "Neutral", 2, "Happy", 1)</f>
        <v>2</v>
      </c>
    </row>
    <row r="3111" spans="1:16" x14ac:dyDescent="0.3">
      <c r="A3111">
        <v>1166</v>
      </c>
      <c r="B3111" s="1">
        <v>45114</v>
      </c>
      <c r="C3111">
        <v>58</v>
      </c>
      <c r="D3111" t="s">
        <v>20</v>
      </c>
      <c r="E3111">
        <v>168.6</v>
      </c>
      <c r="F3111">
        <v>79.599999999999994</v>
      </c>
      <c r="G3111">
        <v>14915</v>
      </c>
      <c r="H3111">
        <v>868.2</v>
      </c>
      <c r="I3111">
        <v>7.1</v>
      </c>
      <c r="J3111">
        <v>61</v>
      </c>
      <c r="K3111" t="s">
        <v>23</v>
      </c>
      <c r="L3111">
        <v>39</v>
      </c>
      <c r="M3111">
        <v>1.78</v>
      </c>
      <c r="N3111">
        <v>5</v>
      </c>
      <c r="O3111" t="s">
        <v>21</v>
      </c>
      <c r="P3111" cm="1">
        <f t="array" ref="P3111">_xlfn.SWITCH(Table2[[#This Row],[mood]], "Tired", 3, "Neutral", 2, "Happy", 1)</f>
        <v>1</v>
      </c>
    </row>
    <row r="3112" spans="1:16" x14ac:dyDescent="0.3">
      <c r="A3112">
        <v>1620</v>
      </c>
      <c r="B3112" s="1">
        <v>45115</v>
      </c>
      <c r="C3112">
        <v>53</v>
      </c>
      <c r="D3112" t="s">
        <v>15</v>
      </c>
      <c r="E3112">
        <v>171.5</v>
      </c>
      <c r="F3112">
        <v>82.2</v>
      </c>
      <c r="G3112">
        <v>6094</v>
      </c>
      <c r="H3112">
        <v>469.8</v>
      </c>
      <c r="I3112">
        <v>7.6</v>
      </c>
      <c r="J3112">
        <v>65</v>
      </c>
      <c r="K3112" t="s">
        <v>23</v>
      </c>
      <c r="L3112">
        <v>68</v>
      </c>
      <c r="M3112">
        <v>1.87</v>
      </c>
      <c r="N3112">
        <v>6</v>
      </c>
      <c r="O3112" t="s">
        <v>17</v>
      </c>
      <c r="P3112" cm="1">
        <f t="array" ref="P3112">_xlfn.SWITCH(Table2[[#This Row],[mood]], "Tired", 3, "Neutral", 2, "Happy", 1)</f>
        <v>3</v>
      </c>
    </row>
    <row r="3113" spans="1:16" x14ac:dyDescent="0.3">
      <c r="A3113">
        <v>1035</v>
      </c>
      <c r="B3113" s="1">
        <v>45116</v>
      </c>
      <c r="C3113">
        <v>43</v>
      </c>
      <c r="D3113" t="s">
        <v>15</v>
      </c>
      <c r="E3113">
        <v>174.7</v>
      </c>
      <c r="F3113">
        <v>99.9</v>
      </c>
      <c r="G3113">
        <v>10415</v>
      </c>
      <c r="H3113">
        <v>474</v>
      </c>
      <c r="I3113">
        <v>4.5999999999999996</v>
      </c>
      <c r="J3113">
        <v>72</v>
      </c>
      <c r="K3113" t="s">
        <v>16</v>
      </c>
      <c r="L3113">
        <v>0</v>
      </c>
      <c r="M3113">
        <v>1.81</v>
      </c>
      <c r="N3113">
        <v>4</v>
      </c>
      <c r="O3113" t="s">
        <v>21</v>
      </c>
      <c r="P3113" cm="1">
        <f t="array" ref="P3113">_xlfn.SWITCH(Table2[[#This Row],[mood]], "Tired", 3, "Neutral", 2, "Happy", 1)</f>
        <v>1</v>
      </c>
    </row>
    <row r="3114" spans="1:16" x14ac:dyDescent="0.3">
      <c r="A3114">
        <v>1743</v>
      </c>
      <c r="B3114" s="1">
        <v>45117</v>
      </c>
      <c r="C3114">
        <v>48</v>
      </c>
      <c r="D3114" t="s">
        <v>20</v>
      </c>
      <c r="E3114">
        <v>173.6</v>
      </c>
      <c r="F3114">
        <v>97.3</v>
      </c>
      <c r="G3114">
        <v>17078</v>
      </c>
      <c r="H3114">
        <v>807.6</v>
      </c>
      <c r="I3114">
        <v>9.5</v>
      </c>
      <c r="J3114">
        <v>66</v>
      </c>
      <c r="K3114" t="s">
        <v>18</v>
      </c>
      <c r="L3114">
        <v>70</v>
      </c>
      <c r="M3114">
        <v>2.27</v>
      </c>
      <c r="N3114">
        <v>10</v>
      </c>
      <c r="O3114" t="s">
        <v>17</v>
      </c>
      <c r="P3114" cm="1">
        <f t="array" ref="P3114">_xlfn.SWITCH(Table2[[#This Row],[mood]], "Tired", 3, "Neutral", 2, "Happy", 1)</f>
        <v>3</v>
      </c>
    </row>
    <row r="3115" spans="1:16" x14ac:dyDescent="0.3">
      <c r="A3115">
        <v>1740</v>
      </c>
      <c r="B3115" s="1">
        <v>45118</v>
      </c>
      <c r="C3115">
        <v>29</v>
      </c>
      <c r="D3115" t="s">
        <v>15</v>
      </c>
      <c r="E3115">
        <v>177.8</v>
      </c>
      <c r="F3115">
        <v>74.8</v>
      </c>
      <c r="G3115">
        <v>16476</v>
      </c>
      <c r="H3115">
        <v>895.1</v>
      </c>
      <c r="I3115">
        <v>9.6999999999999993</v>
      </c>
      <c r="J3115">
        <v>82</v>
      </c>
      <c r="K3115" t="s">
        <v>25</v>
      </c>
      <c r="L3115">
        <v>76</v>
      </c>
      <c r="M3115">
        <v>1.88</v>
      </c>
      <c r="N3115">
        <v>7</v>
      </c>
      <c r="O3115" t="s">
        <v>17</v>
      </c>
      <c r="P3115" cm="1">
        <f t="array" ref="P3115">_xlfn.SWITCH(Table2[[#This Row],[mood]], "Tired", 3, "Neutral", 2, "Happy", 1)</f>
        <v>3</v>
      </c>
    </row>
    <row r="3116" spans="1:16" x14ac:dyDescent="0.3">
      <c r="A3116">
        <v>1352</v>
      </c>
      <c r="B3116" s="1">
        <v>45119</v>
      </c>
      <c r="C3116">
        <v>34</v>
      </c>
      <c r="D3116" t="s">
        <v>15</v>
      </c>
      <c r="E3116">
        <v>172</v>
      </c>
      <c r="F3116">
        <v>72.400000000000006</v>
      </c>
      <c r="G3116">
        <v>14530</v>
      </c>
      <c r="H3116">
        <v>752.4</v>
      </c>
      <c r="I3116">
        <v>7.2</v>
      </c>
      <c r="J3116">
        <v>72</v>
      </c>
      <c r="K3116" t="s">
        <v>25</v>
      </c>
      <c r="L3116">
        <v>56</v>
      </c>
      <c r="M3116">
        <v>4.24</v>
      </c>
      <c r="N3116">
        <v>8</v>
      </c>
      <c r="O3116" t="s">
        <v>21</v>
      </c>
      <c r="P3116" cm="1">
        <f t="array" ref="P3116">_xlfn.SWITCH(Table2[[#This Row],[mood]], "Tired", 3, "Neutral", 2, "Happy", 1)</f>
        <v>1</v>
      </c>
    </row>
    <row r="3117" spans="1:16" x14ac:dyDescent="0.3">
      <c r="A3117">
        <v>1675</v>
      </c>
      <c r="B3117" s="1">
        <v>45120</v>
      </c>
      <c r="C3117">
        <v>32</v>
      </c>
      <c r="D3117" t="s">
        <v>20</v>
      </c>
      <c r="E3117">
        <v>150</v>
      </c>
      <c r="F3117">
        <v>62</v>
      </c>
      <c r="G3117">
        <v>8472</v>
      </c>
      <c r="H3117">
        <v>403.8</v>
      </c>
      <c r="I3117">
        <v>6.7</v>
      </c>
      <c r="J3117">
        <v>84</v>
      </c>
      <c r="K3117" t="s">
        <v>18</v>
      </c>
      <c r="L3117">
        <v>22</v>
      </c>
      <c r="M3117">
        <v>2.1800000000000002</v>
      </c>
      <c r="N3117">
        <v>4</v>
      </c>
      <c r="O3117" t="s">
        <v>19</v>
      </c>
      <c r="P3117" cm="1">
        <f t="array" ref="P3117">_xlfn.SWITCH(Table2[[#This Row],[mood]], "Tired", 3, "Neutral", 2, "Happy", 1)</f>
        <v>2</v>
      </c>
    </row>
    <row r="3118" spans="1:16" x14ac:dyDescent="0.3">
      <c r="A3118">
        <v>1898</v>
      </c>
      <c r="B3118" s="1">
        <v>45121</v>
      </c>
      <c r="C3118">
        <v>26</v>
      </c>
      <c r="D3118" t="s">
        <v>15</v>
      </c>
      <c r="E3118">
        <v>172.3</v>
      </c>
      <c r="F3118">
        <v>81.2</v>
      </c>
      <c r="G3118">
        <v>4363</v>
      </c>
      <c r="H3118">
        <v>427.5</v>
      </c>
      <c r="I3118">
        <v>7</v>
      </c>
      <c r="J3118">
        <v>72</v>
      </c>
      <c r="K3118" t="s">
        <v>23</v>
      </c>
      <c r="L3118">
        <v>48</v>
      </c>
      <c r="M3118">
        <v>3.19</v>
      </c>
      <c r="N3118">
        <v>9</v>
      </c>
      <c r="O3118" t="s">
        <v>19</v>
      </c>
      <c r="P3118" cm="1">
        <f t="array" ref="P3118">_xlfn.SWITCH(Table2[[#This Row],[mood]], "Tired", 3, "Neutral", 2, "Happy", 1)</f>
        <v>2</v>
      </c>
    </row>
    <row r="3119" spans="1:16" x14ac:dyDescent="0.3">
      <c r="A3119">
        <v>1072</v>
      </c>
      <c r="B3119" s="1">
        <v>45122</v>
      </c>
      <c r="C3119">
        <v>56</v>
      </c>
      <c r="D3119" t="s">
        <v>15</v>
      </c>
      <c r="E3119">
        <v>170.9</v>
      </c>
      <c r="F3119">
        <v>80.599999999999994</v>
      </c>
      <c r="G3119">
        <v>19201</v>
      </c>
      <c r="H3119">
        <v>900</v>
      </c>
      <c r="I3119">
        <v>8.3000000000000007</v>
      </c>
      <c r="J3119">
        <v>82</v>
      </c>
      <c r="K3119" t="s">
        <v>16</v>
      </c>
      <c r="L3119">
        <v>0</v>
      </c>
      <c r="M3119">
        <v>2.04</v>
      </c>
      <c r="N3119">
        <v>6</v>
      </c>
      <c r="O3119" t="s">
        <v>21</v>
      </c>
      <c r="P3119" cm="1">
        <f t="array" ref="P3119">_xlfn.SWITCH(Table2[[#This Row],[mood]], "Tired", 3, "Neutral", 2, "Happy", 1)</f>
        <v>1</v>
      </c>
    </row>
    <row r="3120" spans="1:16" x14ac:dyDescent="0.3">
      <c r="A3120">
        <v>1647</v>
      </c>
      <c r="B3120" s="1">
        <v>45123</v>
      </c>
      <c r="C3120">
        <v>59</v>
      </c>
      <c r="D3120" t="s">
        <v>15</v>
      </c>
      <c r="E3120">
        <v>175.5</v>
      </c>
      <c r="F3120">
        <v>59.1</v>
      </c>
      <c r="G3120">
        <v>15140</v>
      </c>
      <c r="H3120">
        <v>764.1</v>
      </c>
      <c r="I3120">
        <v>7.7</v>
      </c>
      <c r="J3120">
        <v>75</v>
      </c>
      <c r="K3120" t="s">
        <v>24</v>
      </c>
      <c r="L3120">
        <v>66</v>
      </c>
      <c r="M3120">
        <v>4.0599999999999996</v>
      </c>
      <c r="N3120">
        <v>8</v>
      </c>
      <c r="O3120" t="s">
        <v>19</v>
      </c>
      <c r="P3120" cm="1">
        <f t="array" ref="P3120">_xlfn.SWITCH(Table2[[#This Row],[mood]], "Tired", 3, "Neutral", 2, "Happy", 1)</f>
        <v>2</v>
      </c>
    </row>
    <row r="3121" spans="1:16" x14ac:dyDescent="0.3">
      <c r="A3121">
        <v>1352</v>
      </c>
      <c r="B3121" s="1">
        <v>45124</v>
      </c>
      <c r="C3121">
        <v>29</v>
      </c>
      <c r="D3121" t="s">
        <v>20</v>
      </c>
      <c r="E3121">
        <v>166.4</v>
      </c>
      <c r="F3121">
        <v>80.8</v>
      </c>
      <c r="G3121">
        <v>18067</v>
      </c>
      <c r="H3121">
        <v>900</v>
      </c>
      <c r="I3121">
        <v>7.4</v>
      </c>
      <c r="J3121">
        <v>72</v>
      </c>
      <c r="K3121" t="s">
        <v>22</v>
      </c>
      <c r="L3121">
        <v>88</v>
      </c>
      <c r="M3121">
        <v>2.74</v>
      </c>
      <c r="N3121">
        <v>9</v>
      </c>
      <c r="O3121" t="s">
        <v>17</v>
      </c>
      <c r="P3121" cm="1">
        <f t="array" ref="P3121">_xlfn.SWITCH(Table2[[#This Row],[mood]], "Tired", 3, "Neutral", 2, "Happy", 1)</f>
        <v>3</v>
      </c>
    </row>
    <row r="3122" spans="1:16" x14ac:dyDescent="0.3">
      <c r="A3122">
        <v>1890</v>
      </c>
      <c r="B3122" s="1">
        <v>45125</v>
      </c>
      <c r="C3122">
        <v>49</v>
      </c>
      <c r="D3122" t="s">
        <v>15</v>
      </c>
      <c r="E3122">
        <v>172.2</v>
      </c>
      <c r="F3122">
        <v>85.1</v>
      </c>
      <c r="G3122">
        <v>15315</v>
      </c>
      <c r="H3122">
        <v>773</v>
      </c>
      <c r="I3122">
        <v>9.1</v>
      </c>
      <c r="J3122">
        <v>65</v>
      </c>
      <c r="K3122" t="s">
        <v>18</v>
      </c>
      <c r="L3122">
        <v>40</v>
      </c>
      <c r="M3122">
        <v>3.09</v>
      </c>
      <c r="N3122">
        <v>1</v>
      </c>
      <c r="O3122" t="s">
        <v>17</v>
      </c>
      <c r="P3122" cm="1">
        <f t="array" ref="P3122">_xlfn.SWITCH(Table2[[#This Row],[mood]], "Tired", 3, "Neutral", 2, "Happy", 1)</f>
        <v>3</v>
      </c>
    </row>
    <row r="3123" spans="1:16" x14ac:dyDescent="0.3">
      <c r="A3123">
        <v>1069</v>
      </c>
      <c r="B3123" s="1">
        <v>45126</v>
      </c>
      <c r="C3123">
        <v>42</v>
      </c>
      <c r="D3123" t="s">
        <v>20</v>
      </c>
      <c r="E3123">
        <v>175.6</v>
      </c>
      <c r="F3123">
        <v>53.2</v>
      </c>
      <c r="G3123">
        <v>15414</v>
      </c>
      <c r="H3123">
        <v>785.4</v>
      </c>
      <c r="I3123">
        <v>8.6999999999999993</v>
      </c>
      <c r="J3123">
        <v>76</v>
      </c>
      <c r="K3123" t="s">
        <v>16</v>
      </c>
      <c r="L3123">
        <v>0</v>
      </c>
      <c r="M3123">
        <v>2.09</v>
      </c>
      <c r="N3123">
        <v>5</v>
      </c>
      <c r="O3123" t="s">
        <v>19</v>
      </c>
      <c r="P3123" cm="1">
        <f t="array" ref="P3123">_xlfn.SWITCH(Table2[[#This Row],[mood]], "Tired", 3, "Neutral", 2, "Happy", 1)</f>
        <v>2</v>
      </c>
    </row>
    <row r="3124" spans="1:16" x14ac:dyDescent="0.3">
      <c r="A3124">
        <v>1424</v>
      </c>
      <c r="B3124" s="1">
        <v>45127</v>
      </c>
      <c r="C3124">
        <v>56</v>
      </c>
      <c r="D3124" t="s">
        <v>15</v>
      </c>
      <c r="E3124">
        <v>168.4</v>
      </c>
      <c r="F3124">
        <v>72.8</v>
      </c>
      <c r="G3124">
        <v>3017</v>
      </c>
      <c r="H3124">
        <v>296.39999999999998</v>
      </c>
      <c r="I3124">
        <v>5.6</v>
      </c>
      <c r="J3124">
        <v>82</v>
      </c>
      <c r="K3124" t="s">
        <v>24</v>
      </c>
      <c r="L3124">
        <v>40</v>
      </c>
      <c r="M3124">
        <v>3.18</v>
      </c>
      <c r="N3124">
        <v>7</v>
      </c>
      <c r="O3124" t="s">
        <v>19</v>
      </c>
      <c r="P3124" cm="1">
        <f t="array" ref="P3124">_xlfn.SWITCH(Table2[[#This Row],[mood]], "Tired", 3, "Neutral", 2, "Happy", 1)</f>
        <v>2</v>
      </c>
    </row>
    <row r="3125" spans="1:16" x14ac:dyDescent="0.3">
      <c r="A3125">
        <v>1998</v>
      </c>
      <c r="B3125" s="1">
        <v>45128</v>
      </c>
      <c r="C3125">
        <v>35</v>
      </c>
      <c r="D3125" t="s">
        <v>20</v>
      </c>
      <c r="E3125">
        <v>176.8</v>
      </c>
      <c r="F3125">
        <v>69</v>
      </c>
      <c r="G3125">
        <v>5223</v>
      </c>
      <c r="H3125">
        <v>314.10000000000002</v>
      </c>
      <c r="I3125">
        <v>8.3000000000000007</v>
      </c>
      <c r="J3125">
        <v>68</v>
      </c>
      <c r="K3125" t="s">
        <v>22</v>
      </c>
      <c r="L3125">
        <v>21</v>
      </c>
      <c r="M3125">
        <v>2.73</v>
      </c>
      <c r="N3125">
        <v>10</v>
      </c>
      <c r="O3125" t="s">
        <v>17</v>
      </c>
      <c r="P3125" cm="1">
        <f t="array" ref="P3125">_xlfn.SWITCH(Table2[[#This Row],[mood]], "Tired", 3, "Neutral", 2, "Happy", 1)</f>
        <v>3</v>
      </c>
    </row>
    <row r="3126" spans="1:16" x14ac:dyDescent="0.3">
      <c r="A3126">
        <v>1707</v>
      </c>
      <c r="B3126" s="1">
        <v>45129</v>
      </c>
      <c r="C3126">
        <v>32</v>
      </c>
      <c r="D3126" t="s">
        <v>15</v>
      </c>
      <c r="E3126">
        <v>170.7</v>
      </c>
      <c r="F3126">
        <v>69.900000000000006</v>
      </c>
      <c r="G3126">
        <v>3184</v>
      </c>
      <c r="H3126">
        <v>348</v>
      </c>
      <c r="I3126">
        <v>8.6999999999999993</v>
      </c>
      <c r="J3126">
        <v>75</v>
      </c>
      <c r="K3126" t="s">
        <v>24</v>
      </c>
      <c r="L3126">
        <v>88</v>
      </c>
      <c r="M3126">
        <v>2.23</v>
      </c>
      <c r="N3126">
        <v>2</v>
      </c>
      <c r="O3126" t="s">
        <v>21</v>
      </c>
      <c r="P3126" cm="1">
        <f t="array" ref="P3126">_xlfn.SWITCH(Table2[[#This Row],[mood]], "Tired", 3, "Neutral", 2, "Happy", 1)</f>
        <v>1</v>
      </c>
    </row>
    <row r="3127" spans="1:16" x14ac:dyDescent="0.3">
      <c r="A3127">
        <v>1780</v>
      </c>
      <c r="B3127" s="1">
        <v>45130</v>
      </c>
      <c r="C3127">
        <v>49</v>
      </c>
      <c r="D3127" t="s">
        <v>20</v>
      </c>
      <c r="E3127">
        <v>171.6</v>
      </c>
      <c r="F3127">
        <v>55.7</v>
      </c>
      <c r="G3127">
        <v>18741</v>
      </c>
      <c r="H3127">
        <v>900</v>
      </c>
      <c r="I3127">
        <v>7.4</v>
      </c>
      <c r="J3127">
        <v>69</v>
      </c>
      <c r="K3127" t="s">
        <v>24</v>
      </c>
      <c r="L3127">
        <v>26</v>
      </c>
      <c r="M3127">
        <v>1.74</v>
      </c>
      <c r="N3127">
        <v>7</v>
      </c>
      <c r="O3127" t="s">
        <v>19</v>
      </c>
      <c r="P3127" cm="1">
        <f t="array" ref="P3127">_xlfn.SWITCH(Table2[[#This Row],[mood]], "Tired", 3, "Neutral", 2, "Happy", 1)</f>
        <v>2</v>
      </c>
    </row>
    <row r="3128" spans="1:16" x14ac:dyDescent="0.3">
      <c r="A3128">
        <v>1560</v>
      </c>
      <c r="B3128" s="1">
        <v>45131</v>
      </c>
      <c r="C3128">
        <v>23</v>
      </c>
      <c r="D3128" t="s">
        <v>20</v>
      </c>
      <c r="E3128">
        <v>150</v>
      </c>
      <c r="F3128">
        <v>45</v>
      </c>
      <c r="G3128">
        <v>7531</v>
      </c>
      <c r="H3128">
        <v>478.3</v>
      </c>
      <c r="I3128">
        <v>7.9</v>
      </c>
      <c r="J3128">
        <v>94</v>
      </c>
      <c r="K3128" t="s">
        <v>22</v>
      </c>
      <c r="L3128">
        <v>54</v>
      </c>
      <c r="M3128">
        <v>2.33</v>
      </c>
      <c r="N3128">
        <v>7</v>
      </c>
      <c r="O3128" t="s">
        <v>19</v>
      </c>
      <c r="P3128" cm="1">
        <f t="array" ref="P3128">_xlfn.SWITCH(Table2[[#This Row],[mood]], "Tired", 3, "Neutral", 2, "Happy", 1)</f>
        <v>2</v>
      </c>
    </row>
    <row r="3129" spans="1:16" x14ac:dyDescent="0.3">
      <c r="A3129">
        <v>1827</v>
      </c>
      <c r="B3129" s="1">
        <v>45132</v>
      </c>
      <c r="C3129">
        <v>52</v>
      </c>
      <c r="D3129" t="s">
        <v>20</v>
      </c>
      <c r="E3129">
        <v>158.6</v>
      </c>
      <c r="F3129">
        <v>58.7</v>
      </c>
      <c r="G3129">
        <v>5666</v>
      </c>
      <c r="H3129">
        <v>462</v>
      </c>
      <c r="I3129">
        <v>6.5</v>
      </c>
      <c r="J3129">
        <v>78</v>
      </c>
      <c r="K3129" t="s">
        <v>24</v>
      </c>
      <c r="L3129">
        <v>49</v>
      </c>
      <c r="M3129">
        <v>2.27</v>
      </c>
      <c r="N3129">
        <v>3</v>
      </c>
      <c r="O3129" t="s">
        <v>21</v>
      </c>
      <c r="P3129" cm="1">
        <f t="array" ref="P3129">_xlfn.SWITCH(Table2[[#This Row],[mood]], "Tired", 3, "Neutral", 2, "Happy", 1)</f>
        <v>1</v>
      </c>
    </row>
    <row r="3130" spans="1:16" x14ac:dyDescent="0.3">
      <c r="A3130">
        <v>1641</v>
      </c>
      <c r="B3130" s="1">
        <v>45133</v>
      </c>
      <c r="C3130">
        <v>51</v>
      </c>
      <c r="D3130" t="s">
        <v>20</v>
      </c>
      <c r="E3130">
        <v>158.6</v>
      </c>
      <c r="F3130">
        <v>56.6</v>
      </c>
      <c r="G3130">
        <v>12255</v>
      </c>
      <c r="H3130">
        <v>610.6</v>
      </c>
      <c r="I3130">
        <v>5.2</v>
      </c>
      <c r="J3130">
        <v>76</v>
      </c>
      <c r="K3130" t="s">
        <v>23</v>
      </c>
      <c r="L3130">
        <v>63</v>
      </c>
      <c r="M3130">
        <v>3.11</v>
      </c>
      <c r="N3130">
        <v>9</v>
      </c>
      <c r="O3130" t="s">
        <v>17</v>
      </c>
      <c r="P3130" cm="1">
        <f t="array" ref="P3130">_xlfn.SWITCH(Table2[[#This Row],[mood]], "Tired", 3, "Neutral", 2, "Happy", 1)</f>
        <v>3</v>
      </c>
    </row>
    <row r="3131" spans="1:16" x14ac:dyDescent="0.3">
      <c r="A3131">
        <v>1955</v>
      </c>
      <c r="B3131" s="1">
        <v>45134</v>
      </c>
      <c r="C3131">
        <v>55</v>
      </c>
      <c r="D3131" t="s">
        <v>20</v>
      </c>
      <c r="E3131">
        <v>172.2</v>
      </c>
      <c r="F3131">
        <v>75.3</v>
      </c>
      <c r="G3131">
        <v>3468</v>
      </c>
      <c r="H3131">
        <v>373</v>
      </c>
      <c r="I3131">
        <v>9.8000000000000007</v>
      </c>
      <c r="J3131">
        <v>70</v>
      </c>
      <c r="K3131" t="s">
        <v>16</v>
      </c>
      <c r="L3131">
        <v>0</v>
      </c>
      <c r="M3131">
        <v>2.34</v>
      </c>
      <c r="N3131">
        <v>7</v>
      </c>
      <c r="O3131" t="s">
        <v>21</v>
      </c>
      <c r="P3131" cm="1">
        <f t="array" ref="P3131">_xlfn.SWITCH(Table2[[#This Row],[mood]], "Tired", 3, "Neutral", 2, "Happy", 1)</f>
        <v>1</v>
      </c>
    </row>
    <row r="3132" spans="1:16" x14ac:dyDescent="0.3">
      <c r="A3132">
        <v>1516</v>
      </c>
      <c r="B3132" s="1">
        <v>45135</v>
      </c>
      <c r="C3132">
        <v>22</v>
      </c>
      <c r="D3132" t="s">
        <v>20</v>
      </c>
      <c r="E3132">
        <v>182.7</v>
      </c>
      <c r="F3132">
        <v>75.5</v>
      </c>
      <c r="G3132">
        <v>8291</v>
      </c>
      <c r="H3132">
        <v>547.9</v>
      </c>
      <c r="I3132">
        <v>5</v>
      </c>
      <c r="J3132">
        <v>84</v>
      </c>
      <c r="K3132" t="s">
        <v>18</v>
      </c>
      <c r="L3132">
        <v>74</v>
      </c>
      <c r="M3132">
        <v>1.1499999999999999</v>
      </c>
      <c r="N3132">
        <v>10</v>
      </c>
      <c r="O3132" t="s">
        <v>21</v>
      </c>
      <c r="P3132" cm="1">
        <f t="array" ref="P3132">_xlfn.SWITCH(Table2[[#This Row],[mood]], "Tired", 3, "Neutral", 2, "Happy", 1)</f>
        <v>1</v>
      </c>
    </row>
    <row r="3133" spans="1:16" x14ac:dyDescent="0.3">
      <c r="A3133">
        <v>1427</v>
      </c>
      <c r="B3133" s="1">
        <v>45136</v>
      </c>
      <c r="C3133">
        <v>35</v>
      </c>
      <c r="D3133" t="s">
        <v>15</v>
      </c>
      <c r="E3133">
        <v>168.8</v>
      </c>
      <c r="F3133">
        <v>74.7</v>
      </c>
      <c r="G3133">
        <v>8255</v>
      </c>
      <c r="H3133">
        <v>495.7</v>
      </c>
      <c r="I3133">
        <v>9.5</v>
      </c>
      <c r="J3133">
        <v>75</v>
      </c>
      <c r="K3133" t="s">
        <v>16</v>
      </c>
      <c r="L3133">
        <v>0</v>
      </c>
      <c r="M3133">
        <v>2.95</v>
      </c>
      <c r="N3133">
        <v>5</v>
      </c>
      <c r="O3133" t="s">
        <v>21</v>
      </c>
      <c r="P3133" cm="1">
        <f t="array" ref="P3133">_xlfn.SWITCH(Table2[[#This Row],[mood]], "Tired", 3, "Neutral", 2, "Happy", 1)</f>
        <v>1</v>
      </c>
    </row>
    <row r="3134" spans="1:16" x14ac:dyDescent="0.3">
      <c r="A3134">
        <v>1538</v>
      </c>
      <c r="B3134" s="1">
        <v>45137</v>
      </c>
      <c r="C3134">
        <v>33</v>
      </c>
      <c r="D3134" t="s">
        <v>15</v>
      </c>
      <c r="E3134">
        <v>178.5</v>
      </c>
      <c r="F3134">
        <v>49</v>
      </c>
      <c r="G3134">
        <v>4920</v>
      </c>
      <c r="H3134">
        <v>417.5</v>
      </c>
      <c r="I3134">
        <v>6.9</v>
      </c>
      <c r="J3134">
        <v>74</v>
      </c>
      <c r="K3134" t="s">
        <v>23</v>
      </c>
      <c r="L3134">
        <v>73</v>
      </c>
      <c r="M3134">
        <v>3.41</v>
      </c>
      <c r="N3134">
        <v>7</v>
      </c>
      <c r="O3134" t="s">
        <v>19</v>
      </c>
      <c r="P3134" cm="1">
        <f t="array" ref="P3134">_xlfn.SWITCH(Table2[[#This Row],[mood]], "Tired", 3, "Neutral", 2, "Happy", 1)</f>
        <v>2</v>
      </c>
    </row>
    <row r="3135" spans="1:16" x14ac:dyDescent="0.3">
      <c r="A3135">
        <v>1159</v>
      </c>
      <c r="B3135" s="1">
        <v>45138</v>
      </c>
      <c r="C3135">
        <v>25</v>
      </c>
      <c r="D3135" t="s">
        <v>20</v>
      </c>
      <c r="E3135">
        <v>176.5</v>
      </c>
      <c r="F3135">
        <v>53.2</v>
      </c>
      <c r="G3135">
        <v>5236</v>
      </c>
      <c r="H3135">
        <v>365.4</v>
      </c>
      <c r="I3135">
        <v>8.9</v>
      </c>
      <c r="J3135">
        <v>74</v>
      </c>
      <c r="K3135" t="s">
        <v>23</v>
      </c>
      <c r="L3135">
        <v>20</v>
      </c>
      <c r="M3135">
        <v>1.33</v>
      </c>
      <c r="N3135">
        <v>7</v>
      </c>
      <c r="O3135" t="s">
        <v>17</v>
      </c>
      <c r="P3135" cm="1">
        <f t="array" ref="P3135">_xlfn.SWITCH(Table2[[#This Row],[mood]], "Tired", 3, "Neutral", 2, "Happy", 1)</f>
        <v>3</v>
      </c>
    </row>
    <row r="3136" spans="1:16" x14ac:dyDescent="0.3">
      <c r="A3136">
        <v>1148</v>
      </c>
      <c r="B3136" s="1">
        <v>45139</v>
      </c>
      <c r="C3136">
        <v>42</v>
      </c>
      <c r="D3136" t="s">
        <v>20</v>
      </c>
      <c r="E3136">
        <v>171.4</v>
      </c>
      <c r="F3136">
        <v>60.7</v>
      </c>
      <c r="G3136">
        <v>2939</v>
      </c>
      <c r="H3136">
        <v>372.8</v>
      </c>
      <c r="I3136">
        <v>7</v>
      </c>
      <c r="J3136">
        <v>64</v>
      </c>
      <c r="K3136" t="s">
        <v>22</v>
      </c>
      <c r="L3136">
        <v>82</v>
      </c>
      <c r="M3136">
        <v>3.76</v>
      </c>
      <c r="N3136">
        <v>6</v>
      </c>
      <c r="O3136" t="s">
        <v>17</v>
      </c>
      <c r="P3136" cm="1">
        <f t="array" ref="P3136">_xlfn.SWITCH(Table2[[#This Row],[mood]], "Tired", 3, "Neutral", 2, "Happy", 1)</f>
        <v>3</v>
      </c>
    </row>
    <row r="3137" spans="1:16" x14ac:dyDescent="0.3">
      <c r="A3137">
        <v>1775</v>
      </c>
      <c r="B3137" s="1">
        <v>45140</v>
      </c>
      <c r="C3137">
        <v>49</v>
      </c>
      <c r="D3137" t="s">
        <v>20</v>
      </c>
      <c r="E3137">
        <v>175.7</v>
      </c>
      <c r="F3137">
        <v>70.3</v>
      </c>
      <c r="G3137">
        <v>4856</v>
      </c>
      <c r="H3137">
        <v>420.6</v>
      </c>
      <c r="I3137">
        <v>8.4</v>
      </c>
      <c r="J3137">
        <v>90</v>
      </c>
      <c r="K3137" t="s">
        <v>22</v>
      </c>
      <c r="L3137">
        <v>74</v>
      </c>
      <c r="M3137">
        <v>3.48</v>
      </c>
      <c r="N3137">
        <v>4</v>
      </c>
      <c r="O3137" t="s">
        <v>19</v>
      </c>
      <c r="P3137" cm="1">
        <f t="array" ref="P3137">_xlfn.SWITCH(Table2[[#This Row],[mood]], "Tired", 3, "Neutral", 2, "Happy", 1)</f>
        <v>2</v>
      </c>
    </row>
    <row r="3138" spans="1:16" x14ac:dyDescent="0.3">
      <c r="A3138">
        <v>1229</v>
      </c>
      <c r="B3138" s="1">
        <v>45141</v>
      </c>
      <c r="C3138">
        <v>43</v>
      </c>
      <c r="D3138" t="s">
        <v>20</v>
      </c>
      <c r="E3138">
        <v>172.5</v>
      </c>
      <c r="F3138">
        <v>65</v>
      </c>
      <c r="G3138">
        <v>1050</v>
      </c>
      <c r="H3138">
        <v>260.2</v>
      </c>
      <c r="I3138">
        <v>7.7</v>
      </c>
      <c r="J3138">
        <v>84</v>
      </c>
      <c r="K3138" t="s">
        <v>22</v>
      </c>
      <c r="L3138">
        <v>46</v>
      </c>
      <c r="M3138">
        <v>2.06</v>
      </c>
      <c r="N3138">
        <v>8</v>
      </c>
      <c r="O3138" t="s">
        <v>21</v>
      </c>
      <c r="P3138" cm="1">
        <f t="array" ref="P3138">_xlfn.SWITCH(Table2[[#This Row],[mood]], "Tired", 3, "Neutral", 2, "Happy", 1)</f>
        <v>1</v>
      </c>
    </row>
    <row r="3139" spans="1:16" x14ac:dyDescent="0.3">
      <c r="A3139">
        <v>1711</v>
      </c>
      <c r="B3139" s="1">
        <v>45142</v>
      </c>
      <c r="C3139">
        <v>39</v>
      </c>
      <c r="D3139" t="s">
        <v>15</v>
      </c>
      <c r="E3139">
        <v>168.6</v>
      </c>
      <c r="F3139">
        <v>74.7</v>
      </c>
      <c r="G3139">
        <v>16926</v>
      </c>
      <c r="H3139">
        <v>853.9</v>
      </c>
      <c r="I3139">
        <v>6</v>
      </c>
      <c r="J3139">
        <v>75</v>
      </c>
      <c r="K3139" t="s">
        <v>24</v>
      </c>
      <c r="L3139">
        <v>34</v>
      </c>
      <c r="M3139">
        <v>1.72</v>
      </c>
      <c r="N3139">
        <v>2</v>
      </c>
      <c r="O3139" t="s">
        <v>19</v>
      </c>
      <c r="P3139" cm="1">
        <f t="array" ref="P3139">_xlfn.SWITCH(Table2[[#This Row],[mood]], "Tired", 3, "Neutral", 2, "Happy", 1)</f>
        <v>2</v>
      </c>
    </row>
    <row r="3140" spans="1:16" x14ac:dyDescent="0.3">
      <c r="A3140">
        <v>1561</v>
      </c>
      <c r="B3140" s="1">
        <v>45143</v>
      </c>
      <c r="C3140">
        <v>48</v>
      </c>
      <c r="D3140" t="s">
        <v>20</v>
      </c>
      <c r="E3140">
        <v>173.9</v>
      </c>
      <c r="F3140">
        <v>84.6</v>
      </c>
      <c r="G3140">
        <v>2360</v>
      </c>
      <c r="H3140">
        <v>333.2</v>
      </c>
      <c r="I3140">
        <v>7.2</v>
      </c>
      <c r="J3140">
        <v>74</v>
      </c>
      <c r="K3140" t="s">
        <v>24</v>
      </c>
      <c r="L3140">
        <v>28</v>
      </c>
      <c r="M3140">
        <v>3.24</v>
      </c>
      <c r="N3140">
        <v>8</v>
      </c>
      <c r="O3140" t="s">
        <v>21</v>
      </c>
      <c r="P3140" cm="1">
        <f t="array" ref="P3140">_xlfn.SWITCH(Table2[[#This Row],[mood]], "Tired", 3, "Neutral", 2, "Happy", 1)</f>
        <v>1</v>
      </c>
    </row>
    <row r="3141" spans="1:16" x14ac:dyDescent="0.3">
      <c r="A3141">
        <v>1066</v>
      </c>
      <c r="B3141" s="1">
        <v>45144</v>
      </c>
      <c r="C3141">
        <v>27</v>
      </c>
      <c r="D3141" t="s">
        <v>15</v>
      </c>
      <c r="E3141">
        <v>184.5</v>
      </c>
      <c r="F3141">
        <v>55</v>
      </c>
      <c r="G3141">
        <v>7805</v>
      </c>
      <c r="H3141">
        <v>572.4</v>
      </c>
      <c r="I3141">
        <v>6.8</v>
      </c>
      <c r="J3141">
        <v>66</v>
      </c>
      <c r="K3141" t="s">
        <v>18</v>
      </c>
      <c r="L3141">
        <v>88</v>
      </c>
      <c r="M3141">
        <v>1.54</v>
      </c>
      <c r="N3141">
        <v>5</v>
      </c>
      <c r="O3141" t="s">
        <v>21</v>
      </c>
      <c r="P3141" cm="1">
        <f t="array" ref="P3141">_xlfn.SWITCH(Table2[[#This Row],[mood]], "Tired", 3, "Neutral", 2, "Happy", 1)</f>
        <v>1</v>
      </c>
    </row>
    <row r="3142" spans="1:16" x14ac:dyDescent="0.3">
      <c r="A3142">
        <v>1811</v>
      </c>
      <c r="B3142" s="1">
        <v>45145</v>
      </c>
      <c r="C3142">
        <v>29</v>
      </c>
      <c r="D3142" t="s">
        <v>15</v>
      </c>
      <c r="E3142">
        <v>174.7</v>
      </c>
      <c r="F3142">
        <v>55.6</v>
      </c>
      <c r="G3142">
        <v>12928</v>
      </c>
      <c r="H3142">
        <v>797.5</v>
      </c>
      <c r="I3142">
        <v>8</v>
      </c>
      <c r="J3142">
        <v>60</v>
      </c>
      <c r="K3142" t="s">
        <v>24</v>
      </c>
      <c r="L3142">
        <v>78</v>
      </c>
      <c r="M3142">
        <v>2.0299999999999998</v>
      </c>
      <c r="N3142">
        <v>7</v>
      </c>
      <c r="O3142" t="s">
        <v>21</v>
      </c>
      <c r="P3142" cm="1">
        <f t="array" ref="P3142">_xlfn.SWITCH(Table2[[#This Row],[mood]], "Tired", 3, "Neutral", 2, "Happy", 1)</f>
        <v>1</v>
      </c>
    </row>
    <row r="3143" spans="1:16" x14ac:dyDescent="0.3">
      <c r="A3143">
        <v>1380</v>
      </c>
      <c r="B3143" s="1">
        <v>45146</v>
      </c>
      <c r="C3143">
        <v>45</v>
      </c>
      <c r="D3143" t="s">
        <v>20</v>
      </c>
      <c r="E3143">
        <v>172.2</v>
      </c>
      <c r="F3143">
        <v>72</v>
      </c>
      <c r="G3143">
        <v>12994</v>
      </c>
      <c r="H3143">
        <v>692.5</v>
      </c>
      <c r="I3143">
        <v>7.2</v>
      </c>
      <c r="J3143">
        <v>66</v>
      </c>
      <c r="K3143" t="s">
        <v>18</v>
      </c>
      <c r="L3143">
        <v>42</v>
      </c>
      <c r="M3143">
        <v>1.58</v>
      </c>
      <c r="N3143">
        <v>3</v>
      </c>
      <c r="O3143" t="s">
        <v>21</v>
      </c>
      <c r="P3143" cm="1">
        <f t="array" ref="P3143">_xlfn.SWITCH(Table2[[#This Row],[mood]], "Tired", 3, "Neutral", 2, "Happy", 1)</f>
        <v>1</v>
      </c>
    </row>
    <row r="3144" spans="1:16" x14ac:dyDescent="0.3">
      <c r="A3144">
        <v>1057</v>
      </c>
      <c r="B3144" s="1">
        <v>45147</v>
      </c>
      <c r="C3144">
        <v>23</v>
      </c>
      <c r="D3144" t="s">
        <v>20</v>
      </c>
      <c r="E3144">
        <v>161.19999999999999</v>
      </c>
      <c r="F3144">
        <v>68.8</v>
      </c>
      <c r="G3144">
        <v>4045</v>
      </c>
      <c r="H3144">
        <v>402.7</v>
      </c>
      <c r="I3144">
        <v>7.4</v>
      </c>
      <c r="J3144">
        <v>86</v>
      </c>
      <c r="K3144" t="s">
        <v>23</v>
      </c>
      <c r="L3144">
        <v>30</v>
      </c>
      <c r="M3144">
        <v>2.5</v>
      </c>
      <c r="N3144">
        <v>7</v>
      </c>
      <c r="O3144" t="s">
        <v>19</v>
      </c>
      <c r="P3144" cm="1">
        <f t="array" ref="P3144">_xlfn.SWITCH(Table2[[#This Row],[mood]], "Tired", 3, "Neutral", 2, "Happy", 1)</f>
        <v>2</v>
      </c>
    </row>
    <row r="3145" spans="1:16" x14ac:dyDescent="0.3">
      <c r="A3145">
        <v>1258</v>
      </c>
      <c r="B3145" s="1">
        <v>45148</v>
      </c>
      <c r="C3145">
        <v>37</v>
      </c>
      <c r="D3145" t="s">
        <v>15</v>
      </c>
      <c r="E3145">
        <v>184.2</v>
      </c>
      <c r="F3145">
        <v>81.2</v>
      </c>
      <c r="G3145">
        <v>12093</v>
      </c>
      <c r="H3145">
        <v>753.5</v>
      </c>
      <c r="I3145">
        <v>5.5</v>
      </c>
      <c r="J3145">
        <v>71</v>
      </c>
      <c r="K3145" t="s">
        <v>18</v>
      </c>
      <c r="L3145">
        <v>43</v>
      </c>
      <c r="M3145">
        <v>3.53</v>
      </c>
      <c r="N3145">
        <v>9</v>
      </c>
      <c r="O3145" t="s">
        <v>21</v>
      </c>
      <c r="P3145" cm="1">
        <f t="array" ref="P3145">_xlfn.SWITCH(Table2[[#This Row],[mood]], "Tired", 3, "Neutral", 2, "Happy", 1)</f>
        <v>1</v>
      </c>
    </row>
    <row r="3146" spans="1:16" x14ac:dyDescent="0.3">
      <c r="A3146">
        <v>1341</v>
      </c>
      <c r="B3146" s="1">
        <v>45149</v>
      </c>
      <c r="C3146">
        <v>22</v>
      </c>
      <c r="D3146" t="s">
        <v>15</v>
      </c>
      <c r="E3146">
        <v>155.9</v>
      </c>
      <c r="F3146">
        <v>70.099999999999994</v>
      </c>
      <c r="G3146">
        <v>1257</v>
      </c>
      <c r="H3146">
        <v>238.1</v>
      </c>
      <c r="I3146">
        <v>5.0999999999999996</v>
      </c>
      <c r="J3146">
        <v>86</v>
      </c>
      <c r="K3146" t="s">
        <v>18</v>
      </c>
      <c r="L3146">
        <v>73</v>
      </c>
      <c r="M3146">
        <v>2.76</v>
      </c>
      <c r="N3146">
        <v>7</v>
      </c>
      <c r="O3146" t="s">
        <v>19</v>
      </c>
      <c r="P3146" cm="1">
        <f t="array" ref="P3146">_xlfn.SWITCH(Table2[[#This Row],[mood]], "Tired", 3, "Neutral", 2, "Happy", 1)</f>
        <v>2</v>
      </c>
    </row>
    <row r="3147" spans="1:16" x14ac:dyDescent="0.3">
      <c r="A3147">
        <v>1837</v>
      </c>
      <c r="B3147" s="1">
        <v>45150</v>
      </c>
      <c r="C3147">
        <v>40</v>
      </c>
      <c r="D3147" t="s">
        <v>20</v>
      </c>
      <c r="E3147">
        <v>152.9</v>
      </c>
      <c r="F3147">
        <v>96.1</v>
      </c>
      <c r="G3147">
        <v>12651</v>
      </c>
      <c r="H3147">
        <v>776.3</v>
      </c>
      <c r="I3147">
        <v>7.1</v>
      </c>
      <c r="J3147">
        <v>75</v>
      </c>
      <c r="K3147" t="s">
        <v>22</v>
      </c>
      <c r="L3147">
        <v>50</v>
      </c>
      <c r="M3147">
        <v>3.21</v>
      </c>
      <c r="N3147">
        <v>1</v>
      </c>
      <c r="O3147" t="s">
        <v>21</v>
      </c>
      <c r="P3147" cm="1">
        <f t="array" ref="P3147">_xlfn.SWITCH(Table2[[#This Row],[mood]], "Tired", 3, "Neutral", 2, "Happy", 1)</f>
        <v>1</v>
      </c>
    </row>
    <row r="3148" spans="1:16" x14ac:dyDescent="0.3">
      <c r="A3148">
        <v>1129</v>
      </c>
      <c r="B3148" s="1">
        <v>45151</v>
      </c>
      <c r="C3148">
        <v>26</v>
      </c>
      <c r="D3148" t="s">
        <v>20</v>
      </c>
      <c r="E3148">
        <v>173.7</v>
      </c>
      <c r="F3148">
        <v>46.2</v>
      </c>
      <c r="G3148">
        <v>1044</v>
      </c>
      <c r="H3148">
        <v>249.7</v>
      </c>
      <c r="I3148">
        <v>7.3</v>
      </c>
      <c r="J3148">
        <v>66</v>
      </c>
      <c r="K3148" t="s">
        <v>24</v>
      </c>
      <c r="L3148">
        <v>41</v>
      </c>
      <c r="M3148">
        <v>2.25</v>
      </c>
      <c r="N3148">
        <v>9</v>
      </c>
      <c r="O3148" t="s">
        <v>19</v>
      </c>
      <c r="P3148" cm="1">
        <f t="array" ref="P3148">_xlfn.SWITCH(Table2[[#This Row],[mood]], "Tired", 3, "Neutral", 2, "Happy", 1)</f>
        <v>2</v>
      </c>
    </row>
    <row r="3149" spans="1:16" x14ac:dyDescent="0.3">
      <c r="A3149">
        <v>1726</v>
      </c>
      <c r="B3149" s="1">
        <v>45152</v>
      </c>
      <c r="C3149">
        <v>46</v>
      </c>
      <c r="D3149" t="s">
        <v>20</v>
      </c>
      <c r="E3149">
        <v>161.19999999999999</v>
      </c>
      <c r="F3149">
        <v>82.6</v>
      </c>
      <c r="G3149">
        <v>18718</v>
      </c>
      <c r="H3149">
        <v>897.8</v>
      </c>
      <c r="I3149">
        <v>5.4</v>
      </c>
      <c r="J3149">
        <v>68</v>
      </c>
      <c r="K3149" t="s">
        <v>25</v>
      </c>
      <c r="L3149">
        <v>33</v>
      </c>
      <c r="M3149">
        <v>2.57</v>
      </c>
      <c r="N3149">
        <v>7</v>
      </c>
      <c r="O3149" t="s">
        <v>17</v>
      </c>
      <c r="P3149" cm="1">
        <f t="array" ref="P3149">_xlfn.SWITCH(Table2[[#This Row],[mood]], "Tired", 3, "Neutral", 2, "Happy", 1)</f>
        <v>3</v>
      </c>
    </row>
    <row r="3150" spans="1:16" x14ac:dyDescent="0.3">
      <c r="A3150">
        <v>1171</v>
      </c>
      <c r="B3150" s="1">
        <v>45153</v>
      </c>
      <c r="C3150">
        <v>33</v>
      </c>
      <c r="D3150" t="s">
        <v>15</v>
      </c>
      <c r="E3150">
        <v>180.9</v>
      </c>
      <c r="F3150">
        <v>73</v>
      </c>
      <c r="G3150">
        <v>18055</v>
      </c>
      <c r="H3150">
        <v>886.7</v>
      </c>
      <c r="I3150">
        <v>7.9</v>
      </c>
      <c r="J3150">
        <v>77</v>
      </c>
      <c r="K3150" t="s">
        <v>25</v>
      </c>
      <c r="L3150">
        <v>24</v>
      </c>
      <c r="M3150">
        <v>1.64</v>
      </c>
      <c r="N3150">
        <v>2</v>
      </c>
      <c r="O3150" t="s">
        <v>19</v>
      </c>
      <c r="P3150" cm="1">
        <f t="array" ref="P3150">_xlfn.SWITCH(Table2[[#This Row],[mood]], "Tired", 3, "Neutral", 2, "Happy", 1)</f>
        <v>2</v>
      </c>
    </row>
    <row r="3151" spans="1:16" x14ac:dyDescent="0.3">
      <c r="A3151">
        <v>1769</v>
      </c>
      <c r="B3151" s="1">
        <v>45154</v>
      </c>
      <c r="C3151">
        <v>39</v>
      </c>
      <c r="D3151" t="s">
        <v>15</v>
      </c>
      <c r="E3151">
        <v>153.19999999999999</v>
      </c>
      <c r="F3151">
        <v>49</v>
      </c>
      <c r="G3151">
        <v>16354</v>
      </c>
      <c r="H3151">
        <v>782</v>
      </c>
      <c r="I3151">
        <v>7.9</v>
      </c>
      <c r="J3151">
        <v>59</v>
      </c>
      <c r="K3151" t="s">
        <v>22</v>
      </c>
      <c r="L3151">
        <v>36</v>
      </c>
      <c r="M3151">
        <v>2.4300000000000002</v>
      </c>
      <c r="N3151">
        <v>5</v>
      </c>
      <c r="O3151" t="s">
        <v>17</v>
      </c>
      <c r="P3151" cm="1">
        <f t="array" ref="P3151">_xlfn.SWITCH(Table2[[#This Row],[mood]], "Tired", 3, "Neutral", 2, "Happy", 1)</f>
        <v>3</v>
      </c>
    </row>
    <row r="3152" spans="1:16" x14ac:dyDescent="0.3">
      <c r="A3152">
        <v>1613</v>
      </c>
      <c r="B3152" s="1">
        <v>45155</v>
      </c>
      <c r="C3152">
        <v>25</v>
      </c>
      <c r="D3152" t="s">
        <v>20</v>
      </c>
      <c r="E3152">
        <v>179.6</v>
      </c>
      <c r="F3152">
        <v>45</v>
      </c>
      <c r="G3152">
        <v>14589</v>
      </c>
      <c r="H3152">
        <v>781.6</v>
      </c>
      <c r="I3152">
        <v>7.2</v>
      </c>
      <c r="J3152">
        <v>67</v>
      </c>
      <c r="K3152" t="s">
        <v>16</v>
      </c>
      <c r="L3152">
        <v>0</v>
      </c>
      <c r="M3152">
        <v>1.98</v>
      </c>
      <c r="N3152">
        <v>10</v>
      </c>
      <c r="O3152" t="s">
        <v>19</v>
      </c>
      <c r="P3152" cm="1">
        <f t="array" ref="P3152">_xlfn.SWITCH(Table2[[#This Row],[mood]], "Tired", 3, "Neutral", 2, "Happy", 1)</f>
        <v>2</v>
      </c>
    </row>
    <row r="3153" spans="1:16" x14ac:dyDescent="0.3">
      <c r="A3153">
        <v>1208</v>
      </c>
      <c r="B3153" s="1">
        <v>45156</v>
      </c>
      <c r="C3153">
        <v>37</v>
      </c>
      <c r="D3153" t="s">
        <v>15</v>
      </c>
      <c r="E3153">
        <v>178.2</v>
      </c>
      <c r="F3153">
        <v>53.1</v>
      </c>
      <c r="G3153">
        <v>8000</v>
      </c>
      <c r="H3153">
        <v>512</v>
      </c>
      <c r="I3153">
        <v>7</v>
      </c>
      <c r="J3153">
        <v>70</v>
      </c>
      <c r="K3153" t="s">
        <v>16</v>
      </c>
      <c r="L3153">
        <v>0</v>
      </c>
      <c r="M3153">
        <v>2.39</v>
      </c>
      <c r="N3153">
        <v>2</v>
      </c>
      <c r="O3153" t="s">
        <v>17</v>
      </c>
      <c r="P3153" cm="1">
        <f t="array" ref="P3153">_xlfn.SWITCH(Table2[[#This Row],[mood]], "Tired", 3, "Neutral", 2, "Happy", 1)</f>
        <v>3</v>
      </c>
    </row>
    <row r="3154" spans="1:16" x14ac:dyDescent="0.3">
      <c r="A3154">
        <v>1802</v>
      </c>
      <c r="B3154" s="1">
        <v>45157</v>
      </c>
      <c r="C3154">
        <v>31</v>
      </c>
      <c r="D3154" t="s">
        <v>15</v>
      </c>
      <c r="E3154">
        <v>171.2</v>
      </c>
      <c r="F3154">
        <v>88.1</v>
      </c>
      <c r="G3154">
        <v>15480</v>
      </c>
      <c r="H3154">
        <v>828.6</v>
      </c>
      <c r="I3154">
        <v>5.0999999999999996</v>
      </c>
      <c r="J3154">
        <v>83</v>
      </c>
      <c r="K3154" t="s">
        <v>16</v>
      </c>
      <c r="L3154">
        <v>0</v>
      </c>
      <c r="M3154">
        <v>2.34</v>
      </c>
      <c r="N3154">
        <v>7</v>
      </c>
      <c r="O3154" t="s">
        <v>19</v>
      </c>
      <c r="P3154" cm="1">
        <f t="array" ref="P3154">_xlfn.SWITCH(Table2[[#This Row],[mood]], "Tired", 3, "Neutral", 2, "Happy", 1)</f>
        <v>2</v>
      </c>
    </row>
    <row r="3155" spans="1:16" x14ac:dyDescent="0.3">
      <c r="A3155">
        <v>1353</v>
      </c>
      <c r="B3155" s="1">
        <v>45158</v>
      </c>
      <c r="C3155">
        <v>56</v>
      </c>
      <c r="D3155" t="s">
        <v>20</v>
      </c>
      <c r="E3155">
        <v>150</v>
      </c>
      <c r="F3155">
        <v>86.4</v>
      </c>
      <c r="G3155">
        <v>7085</v>
      </c>
      <c r="H3155">
        <v>551.5</v>
      </c>
      <c r="I3155">
        <v>5.0999999999999996</v>
      </c>
      <c r="J3155">
        <v>78</v>
      </c>
      <c r="K3155" t="s">
        <v>23</v>
      </c>
      <c r="L3155">
        <v>23</v>
      </c>
      <c r="M3155">
        <v>2.2799999999999998</v>
      </c>
      <c r="N3155">
        <v>9</v>
      </c>
      <c r="O3155" t="s">
        <v>21</v>
      </c>
      <c r="P3155" cm="1">
        <f t="array" ref="P3155">_xlfn.SWITCH(Table2[[#This Row],[mood]], "Tired", 3, "Neutral", 2, "Happy", 1)</f>
        <v>1</v>
      </c>
    </row>
    <row r="3156" spans="1:16" x14ac:dyDescent="0.3">
      <c r="A3156">
        <v>1470</v>
      </c>
      <c r="B3156" s="1">
        <v>45159</v>
      </c>
      <c r="C3156">
        <v>54</v>
      </c>
      <c r="D3156" t="s">
        <v>20</v>
      </c>
      <c r="E3156">
        <v>152.80000000000001</v>
      </c>
      <c r="F3156">
        <v>68.099999999999994</v>
      </c>
      <c r="G3156">
        <v>1234</v>
      </c>
      <c r="H3156">
        <v>248.5</v>
      </c>
      <c r="I3156">
        <v>7.6</v>
      </c>
      <c r="J3156">
        <v>77</v>
      </c>
      <c r="K3156" t="s">
        <v>23</v>
      </c>
      <c r="L3156">
        <v>28</v>
      </c>
      <c r="M3156">
        <v>3.98</v>
      </c>
      <c r="N3156">
        <v>4</v>
      </c>
      <c r="O3156" t="s">
        <v>17</v>
      </c>
      <c r="P3156" cm="1">
        <f t="array" ref="P3156">_xlfn.SWITCH(Table2[[#This Row],[mood]], "Tired", 3, "Neutral", 2, "Happy", 1)</f>
        <v>3</v>
      </c>
    </row>
    <row r="3157" spans="1:16" x14ac:dyDescent="0.3">
      <c r="A3157">
        <v>1797</v>
      </c>
      <c r="B3157" s="1">
        <v>45160</v>
      </c>
      <c r="C3157">
        <v>51</v>
      </c>
      <c r="D3157" t="s">
        <v>15</v>
      </c>
      <c r="E3157">
        <v>172.4</v>
      </c>
      <c r="F3157">
        <v>64.599999999999994</v>
      </c>
      <c r="G3157">
        <v>7834</v>
      </c>
      <c r="H3157">
        <v>500</v>
      </c>
      <c r="I3157">
        <v>5.8</v>
      </c>
      <c r="J3157">
        <v>80</v>
      </c>
      <c r="K3157" t="s">
        <v>23</v>
      </c>
      <c r="L3157">
        <v>55</v>
      </c>
      <c r="M3157">
        <v>3.74</v>
      </c>
      <c r="N3157">
        <v>3</v>
      </c>
      <c r="O3157" t="s">
        <v>21</v>
      </c>
      <c r="P3157" cm="1">
        <f t="array" ref="P3157">_xlfn.SWITCH(Table2[[#This Row],[mood]], "Tired", 3, "Neutral", 2, "Happy", 1)</f>
        <v>1</v>
      </c>
    </row>
    <row r="3158" spans="1:16" x14ac:dyDescent="0.3">
      <c r="A3158">
        <v>1115</v>
      </c>
      <c r="B3158" s="1">
        <v>45161</v>
      </c>
      <c r="C3158">
        <v>28</v>
      </c>
      <c r="D3158" t="s">
        <v>15</v>
      </c>
      <c r="E3158">
        <v>167.7</v>
      </c>
      <c r="F3158">
        <v>57.2</v>
      </c>
      <c r="G3158">
        <v>16055</v>
      </c>
      <c r="H3158">
        <v>832.2</v>
      </c>
      <c r="I3158">
        <v>5.9</v>
      </c>
      <c r="J3158">
        <v>85</v>
      </c>
      <c r="K3158" t="s">
        <v>18</v>
      </c>
      <c r="L3158">
        <v>70</v>
      </c>
      <c r="M3158">
        <v>3.49</v>
      </c>
      <c r="N3158">
        <v>6</v>
      </c>
      <c r="O3158" t="s">
        <v>17</v>
      </c>
      <c r="P3158" cm="1">
        <f t="array" ref="P3158">_xlfn.SWITCH(Table2[[#This Row],[mood]], "Tired", 3, "Neutral", 2, "Happy", 1)</f>
        <v>3</v>
      </c>
    </row>
    <row r="3159" spans="1:16" x14ac:dyDescent="0.3">
      <c r="A3159">
        <v>1263</v>
      </c>
      <c r="B3159" s="1">
        <v>45162</v>
      </c>
      <c r="C3159">
        <v>57</v>
      </c>
      <c r="D3159" t="s">
        <v>20</v>
      </c>
      <c r="E3159">
        <v>177.3</v>
      </c>
      <c r="F3159">
        <v>67.2</v>
      </c>
      <c r="G3159">
        <v>4207</v>
      </c>
      <c r="H3159">
        <v>275.60000000000002</v>
      </c>
      <c r="I3159">
        <v>7.4</v>
      </c>
      <c r="J3159">
        <v>76</v>
      </c>
      <c r="K3159" t="s">
        <v>24</v>
      </c>
      <c r="L3159">
        <v>51</v>
      </c>
      <c r="M3159">
        <v>3.76</v>
      </c>
      <c r="N3159">
        <v>8</v>
      </c>
      <c r="O3159" t="s">
        <v>21</v>
      </c>
      <c r="P3159" cm="1">
        <f t="array" ref="P3159">_xlfn.SWITCH(Table2[[#This Row],[mood]], "Tired", 3, "Neutral", 2, "Happy", 1)</f>
        <v>1</v>
      </c>
    </row>
    <row r="3160" spans="1:16" x14ac:dyDescent="0.3">
      <c r="A3160">
        <v>1661</v>
      </c>
      <c r="B3160" s="1">
        <v>45163</v>
      </c>
      <c r="C3160">
        <v>50</v>
      </c>
      <c r="D3160" t="s">
        <v>20</v>
      </c>
      <c r="E3160">
        <v>169.3</v>
      </c>
      <c r="F3160">
        <v>62.9</v>
      </c>
      <c r="G3160">
        <v>3400</v>
      </c>
      <c r="H3160">
        <v>370.2</v>
      </c>
      <c r="I3160">
        <v>10</v>
      </c>
      <c r="J3160">
        <v>65</v>
      </c>
      <c r="K3160" t="s">
        <v>23</v>
      </c>
      <c r="L3160">
        <v>37</v>
      </c>
      <c r="M3160">
        <v>3.49</v>
      </c>
      <c r="N3160">
        <v>8</v>
      </c>
      <c r="O3160" t="s">
        <v>21</v>
      </c>
      <c r="P3160" cm="1">
        <f t="array" ref="P3160">_xlfn.SWITCH(Table2[[#This Row],[mood]], "Tired", 3, "Neutral", 2, "Happy", 1)</f>
        <v>1</v>
      </c>
    </row>
    <row r="3161" spans="1:16" x14ac:dyDescent="0.3">
      <c r="A3161">
        <v>1811</v>
      </c>
      <c r="B3161" s="1">
        <v>45164</v>
      </c>
      <c r="C3161">
        <v>48</v>
      </c>
      <c r="D3161" t="s">
        <v>20</v>
      </c>
      <c r="E3161">
        <v>168.4</v>
      </c>
      <c r="F3161">
        <v>95.6</v>
      </c>
      <c r="G3161">
        <v>10609</v>
      </c>
      <c r="H3161">
        <v>616.79999999999995</v>
      </c>
      <c r="I3161">
        <v>6.4</v>
      </c>
      <c r="J3161">
        <v>77</v>
      </c>
      <c r="K3161" t="s">
        <v>25</v>
      </c>
      <c r="L3161">
        <v>34</v>
      </c>
      <c r="M3161">
        <v>2.48</v>
      </c>
      <c r="N3161">
        <v>8</v>
      </c>
      <c r="O3161" t="s">
        <v>19</v>
      </c>
      <c r="P3161" cm="1">
        <f t="array" ref="P3161">_xlfn.SWITCH(Table2[[#This Row],[mood]], "Tired", 3, "Neutral", 2, "Happy", 1)</f>
        <v>2</v>
      </c>
    </row>
    <row r="3162" spans="1:16" x14ac:dyDescent="0.3">
      <c r="A3162">
        <v>1441</v>
      </c>
      <c r="B3162" s="1">
        <v>45165</v>
      </c>
      <c r="C3162">
        <v>51</v>
      </c>
      <c r="D3162" t="s">
        <v>20</v>
      </c>
      <c r="E3162">
        <v>150</v>
      </c>
      <c r="F3162">
        <v>51.5</v>
      </c>
      <c r="G3162">
        <v>13562</v>
      </c>
      <c r="H3162">
        <v>746.5</v>
      </c>
      <c r="I3162">
        <v>10</v>
      </c>
      <c r="J3162">
        <v>67</v>
      </c>
      <c r="K3162" t="s">
        <v>18</v>
      </c>
      <c r="L3162">
        <v>39</v>
      </c>
      <c r="M3162">
        <v>2.41</v>
      </c>
      <c r="N3162">
        <v>5</v>
      </c>
      <c r="O3162" t="s">
        <v>21</v>
      </c>
      <c r="P3162" cm="1">
        <f t="array" ref="P3162">_xlfn.SWITCH(Table2[[#This Row],[mood]], "Tired", 3, "Neutral", 2, "Happy", 1)</f>
        <v>1</v>
      </c>
    </row>
    <row r="3163" spans="1:16" x14ac:dyDescent="0.3">
      <c r="A3163">
        <v>1547</v>
      </c>
      <c r="B3163" s="1">
        <v>45166</v>
      </c>
      <c r="C3163">
        <v>24</v>
      </c>
      <c r="D3163" t="s">
        <v>20</v>
      </c>
      <c r="E3163">
        <v>178.2</v>
      </c>
      <c r="F3163">
        <v>75.900000000000006</v>
      </c>
      <c r="G3163">
        <v>8740</v>
      </c>
      <c r="H3163">
        <v>539.6</v>
      </c>
      <c r="I3163">
        <v>6.9</v>
      </c>
      <c r="J3163">
        <v>54</v>
      </c>
      <c r="K3163" t="s">
        <v>23</v>
      </c>
      <c r="L3163">
        <v>77</v>
      </c>
      <c r="M3163">
        <v>2.66</v>
      </c>
      <c r="N3163">
        <v>6</v>
      </c>
      <c r="O3163" t="s">
        <v>17</v>
      </c>
      <c r="P3163" cm="1">
        <f t="array" ref="P3163">_xlfn.SWITCH(Table2[[#This Row],[mood]], "Tired", 3, "Neutral", 2, "Happy", 1)</f>
        <v>3</v>
      </c>
    </row>
    <row r="3164" spans="1:16" x14ac:dyDescent="0.3">
      <c r="A3164">
        <v>1452</v>
      </c>
      <c r="B3164" s="1">
        <v>45167</v>
      </c>
      <c r="C3164">
        <v>40</v>
      </c>
      <c r="D3164" t="s">
        <v>15</v>
      </c>
      <c r="E3164">
        <v>163.5</v>
      </c>
      <c r="F3164">
        <v>96.4</v>
      </c>
      <c r="G3164">
        <v>15184</v>
      </c>
      <c r="H3164">
        <v>813.7</v>
      </c>
      <c r="I3164">
        <v>7.8</v>
      </c>
      <c r="J3164">
        <v>77</v>
      </c>
      <c r="K3164" t="s">
        <v>23</v>
      </c>
      <c r="L3164">
        <v>59</v>
      </c>
      <c r="M3164">
        <v>2.35</v>
      </c>
      <c r="N3164">
        <v>2</v>
      </c>
      <c r="O3164" t="s">
        <v>17</v>
      </c>
      <c r="P3164" cm="1">
        <f t="array" ref="P3164">_xlfn.SWITCH(Table2[[#This Row],[mood]], "Tired", 3, "Neutral", 2, "Happy", 1)</f>
        <v>3</v>
      </c>
    </row>
    <row r="3165" spans="1:16" x14ac:dyDescent="0.3">
      <c r="A3165">
        <v>1844</v>
      </c>
      <c r="B3165" s="1">
        <v>45168</v>
      </c>
      <c r="C3165">
        <v>24</v>
      </c>
      <c r="D3165" t="s">
        <v>15</v>
      </c>
      <c r="E3165">
        <v>166</v>
      </c>
      <c r="F3165">
        <v>81.599999999999994</v>
      </c>
      <c r="G3165">
        <v>15038</v>
      </c>
      <c r="H3165">
        <v>735.9</v>
      </c>
      <c r="I3165">
        <v>8.4</v>
      </c>
      <c r="J3165">
        <v>80</v>
      </c>
      <c r="K3165" t="s">
        <v>16</v>
      </c>
      <c r="L3165">
        <v>0</v>
      </c>
      <c r="M3165">
        <v>1.77</v>
      </c>
      <c r="N3165">
        <v>6</v>
      </c>
      <c r="O3165" t="s">
        <v>17</v>
      </c>
      <c r="P3165" cm="1">
        <f t="array" ref="P3165">_xlfn.SWITCH(Table2[[#This Row],[mood]], "Tired", 3, "Neutral", 2, "Happy", 1)</f>
        <v>3</v>
      </c>
    </row>
    <row r="3166" spans="1:16" x14ac:dyDescent="0.3">
      <c r="A3166">
        <v>1476</v>
      </c>
      <c r="B3166" s="1">
        <v>45169</v>
      </c>
      <c r="C3166">
        <v>42</v>
      </c>
      <c r="D3166" t="s">
        <v>15</v>
      </c>
      <c r="E3166">
        <v>159.30000000000001</v>
      </c>
      <c r="F3166">
        <v>53.1</v>
      </c>
      <c r="G3166">
        <v>1650</v>
      </c>
      <c r="H3166">
        <v>265.89999999999998</v>
      </c>
      <c r="I3166">
        <v>8.5</v>
      </c>
      <c r="J3166">
        <v>78</v>
      </c>
      <c r="K3166" t="s">
        <v>16</v>
      </c>
      <c r="L3166">
        <v>0</v>
      </c>
      <c r="M3166">
        <v>2.71</v>
      </c>
      <c r="N3166">
        <v>5</v>
      </c>
      <c r="O3166" t="s">
        <v>19</v>
      </c>
      <c r="P3166" cm="1">
        <f t="array" ref="P3166">_xlfn.SWITCH(Table2[[#This Row],[mood]], "Tired", 3, "Neutral", 2, "Happy", 1)</f>
        <v>2</v>
      </c>
    </row>
    <row r="3167" spans="1:16" x14ac:dyDescent="0.3">
      <c r="A3167">
        <v>1286</v>
      </c>
      <c r="B3167" s="1">
        <v>45170</v>
      </c>
      <c r="C3167">
        <v>20</v>
      </c>
      <c r="D3167" t="s">
        <v>15</v>
      </c>
      <c r="E3167">
        <v>154.6</v>
      </c>
      <c r="F3167">
        <v>46.9</v>
      </c>
      <c r="G3167">
        <v>17417</v>
      </c>
      <c r="H3167">
        <v>866.5</v>
      </c>
      <c r="I3167">
        <v>7.5</v>
      </c>
      <c r="J3167">
        <v>80</v>
      </c>
      <c r="K3167" t="s">
        <v>24</v>
      </c>
      <c r="L3167">
        <v>32</v>
      </c>
      <c r="M3167">
        <v>1.4</v>
      </c>
      <c r="N3167">
        <v>3</v>
      </c>
      <c r="O3167" t="s">
        <v>19</v>
      </c>
      <c r="P3167" cm="1">
        <f t="array" ref="P3167">_xlfn.SWITCH(Table2[[#This Row],[mood]], "Tired", 3, "Neutral", 2, "Happy", 1)</f>
        <v>2</v>
      </c>
    </row>
    <row r="3168" spans="1:16" x14ac:dyDescent="0.3">
      <c r="A3168">
        <v>1302</v>
      </c>
      <c r="B3168" s="1">
        <v>45171</v>
      </c>
      <c r="C3168">
        <v>55</v>
      </c>
      <c r="D3168" t="s">
        <v>20</v>
      </c>
      <c r="E3168">
        <v>184.7</v>
      </c>
      <c r="F3168">
        <v>74.099999999999994</v>
      </c>
      <c r="G3168">
        <v>14119</v>
      </c>
      <c r="H3168">
        <v>766.5</v>
      </c>
      <c r="I3168">
        <v>6.7</v>
      </c>
      <c r="J3168">
        <v>86</v>
      </c>
      <c r="K3168" t="s">
        <v>24</v>
      </c>
      <c r="L3168">
        <v>81</v>
      </c>
      <c r="M3168">
        <v>2.6</v>
      </c>
      <c r="N3168">
        <v>8</v>
      </c>
      <c r="O3168" t="s">
        <v>17</v>
      </c>
      <c r="P3168" cm="1">
        <f t="array" ref="P3168">_xlfn.SWITCH(Table2[[#This Row],[mood]], "Tired", 3, "Neutral", 2, "Happy", 1)</f>
        <v>3</v>
      </c>
    </row>
    <row r="3169" spans="1:16" x14ac:dyDescent="0.3">
      <c r="A3169">
        <v>1310</v>
      </c>
      <c r="B3169" s="1">
        <v>45172</v>
      </c>
      <c r="C3169">
        <v>37</v>
      </c>
      <c r="D3169" t="s">
        <v>20</v>
      </c>
      <c r="E3169">
        <v>178</v>
      </c>
      <c r="F3169">
        <v>72.3</v>
      </c>
      <c r="G3169">
        <v>8644</v>
      </c>
      <c r="H3169">
        <v>495</v>
      </c>
      <c r="I3169">
        <v>8.1999999999999993</v>
      </c>
      <c r="J3169">
        <v>65</v>
      </c>
      <c r="K3169" t="s">
        <v>18</v>
      </c>
      <c r="L3169">
        <v>47</v>
      </c>
      <c r="M3169">
        <v>1.8</v>
      </c>
      <c r="N3169">
        <v>4</v>
      </c>
      <c r="O3169" t="s">
        <v>21</v>
      </c>
      <c r="P3169" cm="1">
        <f t="array" ref="P3169">_xlfn.SWITCH(Table2[[#This Row],[mood]], "Tired", 3, "Neutral", 2, "Happy", 1)</f>
        <v>1</v>
      </c>
    </row>
    <row r="3170" spans="1:16" x14ac:dyDescent="0.3">
      <c r="A3170">
        <v>1207</v>
      </c>
      <c r="B3170" s="1">
        <v>45173</v>
      </c>
      <c r="C3170">
        <v>51</v>
      </c>
      <c r="D3170" t="s">
        <v>20</v>
      </c>
      <c r="E3170">
        <v>178.1</v>
      </c>
      <c r="F3170">
        <v>88.5</v>
      </c>
      <c r="G3170">
        <v>18494</v>
      </c>
      <c r="H3170">
        <v>900</v>
      </c>
      <c r="I3170">
        <v>7.6</v>
      </c>
      <c r="J3170">
        <v>71</v>
      </c>
      <c r="K3170" t="s">
        <v>25</v>
      </c>
      <c r="L3170">
        <v>65</v>
      </c>
      <c r="M3170">
        <v>2.44</v>
      </c>
      <c r="N3170">
        <v>2</v>
      </c>
      <c r="O3170" t="s">
        <v>19</v>
      </c>
      <c r="P3170" cm="1">
        <f t="array" ref="P3170">_xlfn.SWITCH(Table2[[#This Row],[mood]], "Tired", 3, "Neutral", 2, "Happy", 1)</f>
        <v>2</v>
      </c>
    </row>
    <row r="3171" spans="1:16" x14ac:dyDescent="0.3">
      <c r="A3171">
        <v>1617</v>
      </c>
      <c r="B3171" s="1">
        <v>45174</v>
      </c>
      <c r="C3171">
        <v>47</v>
      </c>
      <c r="D3171" t="s">
        <v>15</v>
      </c>
      <c r="E3171">
        <v>167.8</v>
      </c>
      <c r="F3171">
        <v>78.2</v>
      </c>
      <c r="G3171">
        <v>9653</v>
      </c>
      <c r="H3171">
        <v>587.20000000000005</v>
      </c>
      <c r="I3171">
        <v>6.3</v>
      </c>
      <c r="J3171">
        <v>62</v>
      </c>
      <c r="K3171" t="s">
        <v>22</v>
      </c>
      <c r="L3171">
        <v>34</v>
      </c>
      <c r="M3171">
        <v>2.63</v>
      </c>
      <c r="N3171">
        <v>3</v>
      </c>
      <c r="O3171" t="s">
        <v>21</v>
      </c>
      <c r="P3171" cm="1">
        <f t="array" ref="P3171">_xlfn.SWITCH(Table2[[#This Row],[mood]], "Tired", 3, "Neutral", 2, "Happy", 1)</f>
        <v>1</v>
      </c>
    </row>
    <row r="3172" spans="1:16" x14ac:dyDescent="0.3">
      <c r="A3172">
        <v>1445</v>
      </c>
      <c r="B3172" s="1">
        <v>45175</v>
      </c>
      <c r="C3172">
        <v>34</v>
      </c>
      <c r="D3172" t="s">
        <v>15</v>
      </c>
      <c r="E3172">
        <v>152.6</v>
      </c>
      <c r="F3172">
        <v>62.7</v>
      </c>
      <c r="G3172">
        <v>15416</v>
      </c>
      <c r="H3172">
        <v>751.9</v>
      </c>
      <c r="I3172">
        <v>9.1</v>
      </c>
      <c r="J3172">
        <v>79</v>
      </c>
      <c r="K3172" t="s">
        <v>16</v>
      </c>
      <c r="L3172">
        <v>0</v>
      </c>
      <c r="M3172">
        <v>2.25</v>
      </c>
      <c r="N3172">
        <v>2</v>
      </c>
      <c r="O3172" t="s">
        <v>19</v>
      </c>
      <c r="P3172" cm="1">
        <f t="array" ref="P3172">_xlfn.SWITCH(Table2[[#This Row],[mood]], "Tired", 3, "Neutral", 2, "Happy", 1)</f>
        <v>2</v>
      </c>
    </row>
    <row r="3173" spans="1:16" x14ac:dyDescent="0.3">
      <c r="A3173">
        <v>1669</v>
      </c>
      <c r="B3173" s="1">
        <v>45176</v>
      </c>
      <c r="C3173">
        <v>27</v>
      </c>
      <c r="D3173" t="s">
        <v>15</v>
      </c>
      <c r="E3173">
        <v>191</v>
      </c>
      <c r="F3173">
        <v>61.7</v>
      </c>
      <c r="G3173">
        <v>2874</v>
      </c>
      <c r="H3173">
        <v>362.3</v>
      </c>
      <c r="I3173">
        <v>7.7</v>
      </c>
      <c r="J3173">
        <v>87</v>
      </c>
      <c r="K3173" t="s">
        <v>25</v>
      </c>
      <c r="L3173">
        <v>42</v>
      </c>
      <c r="M3173">
        <v>1.35</v>
      </c>
      <c r="N3173">
        <v>2</v>
      </c>
      <c r="O3173" t="s">
        <v>19</v>
      </c>
      <c r="P3173" cm="1">
        <f t="array" ref="P3173">_xlfn.SWITCH(Table2[[#This Row],[mood]], "Tired", 3, "Neutral", 2, "Happy", 1)</f>
        <v>2</v>
      </c>
    </row>
    <row r="3174" spans="1:16" x14ac:dyDescent="0.3">
      <c r="A3174">
        <v>1632</v>
      </c>
      <c r="B3174" s="1">
        <v>45177</v>
      </c>
      <c r="C3174">
        <v>52</v>
      </c>
      <c r="D3174" t="s">
        <v>20</v>
      </c>
      <c r="E3174">
        <v>174.2</v>
      </c>
      <c r="F3174">
        <v>50.4</v>
      </c>
      <c r="G3174">
        <v>11429</v>
      </c>
      <c r="H3174">
        <v>631.4</v>
      </c>
      <c r="I3174">
        <v>5.9</v>
      </c>
      <c r="J3174">
        <v>70</v>
      </c>
      <c r="K3174" t="s">
        <v>16</v>
      </c>
      <c r="L3174">
        <v>0</v>
      </c>
      <c r="M3174">
        <v>1.67</v>
      </c>
      <c r="N3174">
        <v>3</v>
      </c>
      <c r="O3174" t="s">
        <v>19</v>
      </c>
      <c r="P3174" cm="1">
        <f t="array" ref="P3174">_xlfn.SWITCH(Table2[[#This Row],[mood]], "Tired", 3, "Neutral", 2, "Happy", 1)</f>
        <v>2</v>
      </c>
    </row>
    <row r="3175" spans="1:16" x14ac:dyDescent="0.3">
      <c r="A3175">
        <v>1054</v>
      </c>
      <c r="B3175" s="1">
        <v>45178</v>
      </c>
      <c r="C3175">
        <v>37</v>
      </c>
      <c r="D3175" t="s">
        <v>15</v>
      </c>
      <c r="E3175">
        <v>171.4</v>
      </c>
      <c r="F3175">
        <v>71.900000000000006</v>
      </c>
      <c r="G3175">
        <v>13213</v>
      </c>
      <c r="H3175">
        <v>710.6</v>
      </c>
      <c r="I3175">
        <v>5.7</v>
      </c>
      <c r="J3175">
        <v>82</v>
      </c>
      <c r="K3175" t="s">
        <v>24</v>
      </c>
      <c r="L3175">
        <v>85</v>
      </c>
      <c r="M3175">
        <v>2.82</v>
      </c>
      <c r="N3175">
        <v>7</v>
      </c>
      <c r="O3175" t="s">
        <v>19</v>
      </c>
      <c r="P3175" cm="1">
        <f t="array" ref="P3175">_xlfn.SWITCH(Table2[[#This Row],[mood]], "Tired", 3, "Neutral", 2, "Happy", 1)</f>
        <v>2</v>
      </c>
    </row>
    <row r="3176" spans="1:16" x14ac:dyDescent="0.3">
      <c r="A3176">
        <v>1911</v>
      </c>
      <c r="B3176" s="1">
        <v>45179</v>
      </c>
      <c r="C3176">
        <v>35</v>
      </c>
      <c r="D3176" t="s">
        <v>20</v>
      </c>
      <c r="E3176">
        <v>166.4</v>
      </c>
      <c r="F3176">
        <v>48.9</v>
      </c>
      <c r="G3176">
        <v>17219</v>
      </c>
      <c r="H3176">
        <v>900</v>
      </c>
      <c r="I3176">
        <v>9.9</v>
      </c>
      <c r="J3176">
        <v>67</v>
      </c>
      <c r="K3176" t="s">
        <v>24</v>
      </c>
      <c r="L3176">
        <v>69</v>
      </c>
      <c r="M3176">
        <v>2.11</v>
      </c>
      <c r="N3176">
        <v>10</v>
      </c>
      <c r="O3176" t="s">
        <v>17</v>
      </c>
      <c r="P3176" cm="1">
        <f t="array" ref="P3176">_xlfn.SWITCH(Table2[[#This Row],[mood]], "Tired", 3, "Neutral", 2, "Happy", 1)</f>
        <v>3</v>
      </c>
    </row>
    <row r="3177" spans="1:16" x14ac:dyDescent="0.3">
      <c r="A3177">
        <v>1011</v>
      </c>
      <c r="B3177" s="1">
        <v>45180</v>
      </c>
      <c r="C3177">
        <v>44</v>
      </c>
      <c r="D3177" t="s">
        <v>20</v>
      </c>
      <c r="E3177">
        <v>150</v>
      </c>
      <c r="F3177">
        <v>83.6</v>
      </c>
      <c r="G3177">
        <v>18640</v>
      </c>
      <c r="H3177">
        <v>900</v>
      </c>
      <c r="I3177">
        <v>6.3</v>
      </c>
      <c r="J3177">
        <v>81</v>
      </c>
      <c r="K3177" t="s">
        <v>22</v>
      </c>
      <c r="L3177">
        <v>32</v>
      </c>
      <c r="M3177">
        <v>2.89</v>
      </c>
      <c r="N3177">
        <v>1</v>
      </c>
      <c r="O3177" t="s">
        <v>19</v>
      </c>
      <c r="P3177" cm="1">
        <f t="array" ref="P3177">_xlfn.SWITCH(Table2[[#This Row],[mood]], "Tired", 3, "Neutral", 2, "Happy", 1)</f>
        <v>2</v>
      </c>
    </row>
    <row r="3178" spans="1:16" x14ac:dyDescent="0.3">
      <c r="A3178">
        <v>1656</v>
      </c>
      <c r="B3178" s="1">
        <v>45181</v>
      </c>
      <c r="C3178">
        <v>53</v>
      </c>
      <c r="D3178" t="s">
        <v>20</v>
      </c>
      <c r="E3178">
        <v>181.4</v>
      </c>
      <c r="F3178">
        <v>78.8</v>
      </c>
      <c r="G3178">
        <v>4240</v>
      </c>
      <c r="H3178">
        <v>346.3</v>
      </c>
      <c r="I3178">
        <v>8.1</v>
      </c>
      <c r="J3178">
        <v>53</v>
      </c>
      <c r="K3178" t="s">
        <v>25</v>
      </c>
      <c r="L3178">
        <v>21</v>
      </c>
      <c r="M3178">
        <v>2.5099999999999998</v>
      </c>
      <c r="N3178">
        <v>10</v>
      </c>
      <c r="O3178" t="s">
        <v>19</v>
      </c>
      <c r="P3178" cm="1">
        <f t="array" ref="P3178">_xlfn.SWITCH(Table2[[#This Row],[mood]], "Tired", 3, "Neutral", 2, "Happy", 1)</f>
        <v>2</v>
      </c>
    </row>
    <row r="3179" spans="1:16" x14ac:dyDescent="0.3">
      <c r="A3179">
        <v>1399</v>
      </c>
      <c r="B3179" s="1">
        <v>45182</v>
      </c>
      <c r="C3179">
        <v>40</v>
      </c>
      <c r="D3179" t="s">
        <v>20</v>
      </c>
      <c r="E3179">
        <v>159.4</v>
      </c>
      <c r="F3179">
        <v>78.400000000000006</v>
      </c>
      <c r="G3179">
        <v>16802</v>
      </c>
      <c r="H3179">
        <v>877.7</v>
      </c>
      <c r="I3179">
        <v>7.6</v>
      </c>
      <c r="J3179">
        <v>90</v>
      </c>
      <c r="K3179" t="s">
        <v>25</v>
      </c>
      <c r="L3179">
        <v>53</v>
      </c>
      <c r="M3179">
        <v>2.36</v>
      </c>
      <c r="N3179">
        <v>6</v>
      </c>
      <c r="O3179" t="s">
        <v>17</v>
      </c>
      <c r="P3179" cm="1">
        <f t="array" ref="P3179">_xlfn.SWITCH(Table2[[#This Row],[mood]], "Tired", 3, "Neutral", 2, "Happy", 1)</f>
        <v>3</v>
      </c>
    </row>
    <row r="3180" spans="1:16" x14ac:dyDescent="0.3">
      <c r="A3180">
        <v>1907</v>
      </c>
      <c r="B3180" s="1">
        <v>45183</v>
      </c>
      <c r="C3180">
        <v>49</v>
      </c>
      <c r="D3180" t="s">
        <v>20</v>
      </c>
      <c r="E3180">
        <v>175.5</v>
      </c>
      <c r="F3180">
        <v>50.2</v>
      </c>
      <c r="G3180">
        <v>17122</v>
      </c>
      <c r="H3180">
        <v>900</v>
      </c>
      <c r="I3180">
        <v>8.1</v>
      </c>
      <c r="J3180">
        <v>64</v>
      </c>
      <c r="K3180" t="s">
        <v>22</v>
      </c>
      <c r="L3180">
        <v>59</v>
      </c>
      <c r="M3180">
        <v>2.74</v>
      </c>
      <c r="N3180">
        <v>1</v>
      </c>
      <c r="O3180" t="s">
        <v>17</v>
      </c>
      <c r="P3180" cm="1">
        <f t="array" ref="P3180">_xlfn.SWITCH(Table2[[#This Row],[mood]], "Tired", 3, "Neutral", 2, "Happy", 1)</f>
        <v>3</v>
      </c>
    </row>
    <row r="3181" spans="1:16" x14ac:dyDescent="0.3">
      <c r="A3181">
        <v>1647</v>
      </c>
      <c r="B3181" s="1">
        <v>45184</v>
      </c>
      <c r="C3181">
        <v>27</v>
      </c>
      <c r="D3181" t="s">
        <v>20</v>
      </c>
      <c r="E3181">
        <v>177.7</v>
      </c>
      <c r="F3181">
        <v>67.8</v>
      </c>
      <c r="G3181">
        <v>11903</v>
      </c>
      <c r="H3181">
        <v>739.3</v>
      </c>
      <c r="I3181">
        <v>9.9</v>
      </c>
      <c r="J3181">
        <v>77</v>
      </c>
      <c r="K3181" t="s">
        <v>24</v>
      </c>
      <c r="L3181">
        <v>88</v>
      </c>
      <c r="M3181">
        <v>2.0299999999999998</v>
      </c>
      <c r="N3181">
        <v>3</v>
      </c>
      <c r="O3181" t="s">
        <v>17</v>
      </c>
      <c r="P3181" cm="1">
        <f t="array" ref="P3181">_xlfn.SWITCH(Table2[[#This Row],[mood]], "Tired", 3, "Neutral", 2, "Happy", 1)</f>
        <v>3</v>
      </c>
    </row>
    <row r="3182" spans="1:16" x14ac:dyDescent="0.3">
      <c r="A3182">
        <v>1979</v>
      </c>
      <c r="B3182" s="1">
        <v>45185</v>
      </c>
      <c r="C3182">
        <v>28</v>
      </c>
      <c r="D3182" t="s">
        <v>15</v>
      </c>
      <c r="E3182">
        <v>173.3</v>
      </c>
      <c r="F3182">
        <v>64.2</v>
      </c>
      <c r="G3182">
        <v>2409</v>
      </c>
      <c r="H3182">
        <v>300.8</v>
      </c>
      <c r="I3182">
        <v>8.5</v>
      </c>
      <c r="J3182">
        <v>89</v>
      </c>
      <c r="K3182" t="s">
        <v>18</v>
      </c>
      <c r="L3182">
        <v>80</v>
      </c>
      <c r="M3182">
        <v>2.78</v>
      </c>
      <c r="N3182">
        <v>4</v>
      </c>
      <c r="O3182" t="s">
        <v>17</v>
      </c>
      <c r="P3182" cm="1">
        <f t="array" ref="P3182">_xlfn.SWITCH(Table2[[#This Row],[mood]], "Tired", 3, "Neutral", 2, "Happy", 1)</f>
        <v>3</v>
      </c>
    </row>
    <row r="3183" spans="1:16" x14ac:dyDescent="0.3">
      <c r="A3183">
        <v>1514</v>
      </c>
      <c r="B3183" s="1">
        <v>45186</v>
      </c>
      <c r="C3183">
        <v>55</v>
      </c>
      <c r="D3183" t="s">
        <v>20</v>
      </c>
      <c r="E3183">
        <v>174.7</v>
      </c>
      <c r="F3183">
        <v>71.5</v>
      </c>
      <c r="G3183">
        <v>11620</v>
      </c>
      <c r="H3183">
        <v>688.4</v>
      </c>
      <c r="I3183">
        <v>8.3000000000000007</v>
      </c>
      <c r="J3183">
        <v>63</v>
      </c>
      <c r="K3183" t="s">
        <v>25</v>
      </c>
      <c r="L3183">
        <v>44</v>
      </c>
      <c r="M3183">
        <v>2.21</v>
      </c>
      <c r="N3183">
        <v>8</v>
      </c>
      <c r="O3183" t="s">
        <v>21</v>
      </c>
      <c r="P3183" cm="1">
        <f t="array" ref="P3183">_xlfn.SWITCH(Table2[[#This Row],[mood]], "Tired", 3, "Neutral", 2, "Happy", 1)</f>
        <v>1</v>
      </c>
    </row>
    <row r="3184" spans="1:16" x14ac:dyDescent="0.3">
      <c r="A3184">
        <v>1655</v>
      </c>
      <c r="B3184" s="1">
        <v>45187</v>
      </c>
      <c r="C3184">
        <v>23</v>
      </c>
      <c r="D3184" t="s">
        <v>20</v>
      </c>
      <c r="E3184">
        <v>183.5</v>
      </c>
      <c r="F3184">
        <v>77.900000000000006</v>
      </c>
      <c r="G3184">
        <v>2832</v>
      </c>
      <c r="H3184">
        <v>267.60000000000002</v>
      </c>
      <c r="I3184">
        <v>6.7</v>
      </c>
      <c r="J3184">
        <v>93</v>
      </c>
      <c r="K3184" t="s">
        <v>23</v>
      </c>
      <c r="L3184">
        <v>82</v>
      </c>
      <c r="M3184">
        <v>4.28</v>
      </c>
      <c r="N3184">
        <v>2</v>
      </c>
      <c r="O3184" t="s">
        <v>17</v>
      </c>
      <c r="P3184" cm="1">
        <f t="array" ref="P3184">_xlfn.SWITCH(Table2[[#This Row],[mood]], "Tired", 3, "Neutral", 2, "Happy", 1)</f>
        <v>3</v>
      </c>
    </row>
    <row r="3185" spans="1:16" x14ac:dyDescent="0.3">
      <c r="A3185">
        <v>1541</v>
      </c>
      <c r="B3185" s="1">
        <v>45188</v>
      </c>
      <c r="C3185">
        <v>58</v>
      </c>
      <c r="D3185" t="s">
        <v>15</v>
      </c>
      <c r="E3185">
        <v>162.1</v>
      </c>
      <c r="F3185">
        <v>62.3</v>
      </c>
      <c r="G3185">
        <v>19408</v>
      </c>
      <c r="H3185">
        <v>900</v>
      </c>
      <c r="I3185">
        <v>6</v>
      </c>
      <c r="J3185">
        <v>96</v>
      </c>
      <c r="K3185" t="s">
        <v>25</v>
      </c>
      <c r="L3185">
        <v>47</v>
      </c>
      <c r="M3185">
        <v>1.71</v>
      </c>
      <c r="N3185">
        <v>7</v>
      </c>
      <c r="O3185" t="s">
        <v>17</v>
      </c>
      <c r="P3185" cm="1">
        <f t="array" ref="P3185">_xlfn.SWITCH(Table2[[#This Row],[mood]], "Tired", 3, "Neutral", 2, "Happy", 1)</f>
        <v>3</v>
      </c>
    </row>
    <row r="3186" spans="1:16" x14ac:dyDescent="0.3">
      <c r="A3186">
        <v>1236</v>
      </c>
      <c r="B3186" s="1">
        <v>45189</v>
      </c>
      <c r="C3186">
        <v>51</v>
      </c>
      <c r="D3186" t="s">
        <v>20</v>
      </c>
      <c r="E3186">
        <v>171.6</v>
      </c>
      <c r="F3186">
        <v>62.9</v>
      </c>
      <c r="G3186">
        <v>6736</v>
      </c>
      <c r="H3186">
        <v>497.2</v>
      </c>
      <c r="I3186">
        <v>10</v>
      </c>
      <c r="J3186">
        <v>82</v>
      </c>
      <c r="K3186" t="s">
        <v>25</v>
      </c>
      <c r="L3186">
        <v>75</v>
      </c>
      <c r="M3186">
        <v>2.25</v>
      </c>
      <c r="N3186">
        <v>3</v>
      </c>
      <c r="O3186" t="s">
        <v>17</v>
      </c>
      <c r="P3186" cm="1">
        <f t="array" ref="P3186">_xlfn.SWITCH(Table2[[#This Row],[mood]], "Tired", 3, "Neutral", 2, "Happy", 1)</f>
        <v>3</v>
      </c>
    </row>
    <row r="3187" spans="1:16" x14ac:dyDescent="0.3">
      <c r="A3187">
        <v>1278</v>
      </c>
      <c r="B3187" s="1">
        <v>45190</v>
      </c>
      <c r="C3187">
        <v>53</v>
      </c>
      <c r="D3187" t="s">
        <v>15</v>
      </c>
      <c r="E3187">
        <v>167.7</v>
      </c>
      <c r="F3187">
        <v>80.2</v>
      </c>
      <c r="G3187">
        <v>5993</v>
      </c>
      <c r="H3187">
        <v>399.4</v>
      </c>
      <c r="I3187">
        <v>6.9</v>
      </c>
      <c r="J3187">
        <v>75</v>
      </c>
      <c r="K3187" t="s">
        <v>25</v>
      </c>
      <c r="L3187">
        <v>45</v>
      </c>
      <c r="M3187">
        <v>2.2799999999999998</v>
      </c>
      <c r="N3187">
        <v>1</v>
      </c>
      <c r="O3187" t="s">
        <v>21</v>
      </c>
      <c r="P3187" cm="1">
        <f t="array" ref="P3187">_xlfn.SWITCH(Table2[[#This Row],[mood]], "Tired", 3, "Neutral", 2, "Happy", 1)</f>
        <v>1</v>
      </c>
    </row>
    <row r="3188" spans="1:16" x14ac:dyDescent="0.3">
      <c r="A3188">
        <v>1347</v>
      </c>
      <c r="B3188" s="1">
        <v>45191</v>
      </c>
      <c r="C3188">
        <v>54</v>
      </c>
      <c r="D3188" t="s">
        <v>15</v>
      </c>
      <c r="E3188">
        <v>151.6</v>
      </c>
      <c r="F3188">
        <v>53.1</v>
      </c>
      <c r="G3188">
        <v>12103</v>
      </c>
      <c r="H3188">
        <v>637.9</v>
      </c>
      <c r="I3188">
        <v>6.8</v>
      </c>
      <c r="J3188">
        <v>73</v>
      </c>
      <c r="K3188" t="s">
        <v>24</v>
      </c>
      <c r="L3188">
        <v>46</v>
      </c>
      <c r="M3188">
        <v>1.55</v>
      </c>
      <c r="N3188">
        <v>6</v>
      </c>
      <c r="O3188" t="s">
        <v>17</v>
      </c>
      <c r="P3188" cm="1">
        <f t="array" ref="P3188">_xlfn.SWITCH(Table2[[#This Row],[mood]], "Tired", 3, "Neutral", 2, "Happy", 1)</f>
        <v>3</v>
      </c>
    </row>
    <row r="3189" spans="1:16" x14ac:dyDescent="0.3">
      <c r="A3189">
        <v>1626</v>
      </c>
      <c r="B3189" s="1">
        <v>45192</v>
      </c>
      <c r="C3189">
        <v>34</v>
      </c>
      <c r="D3189" t="s">
        <v>15</v>
      </c>
      <c r="E3189">
        <v>172.9</v>
      </c>
      <c r="F3189">
        <v>58.8</v>
      </c>
      <c r="G3189">
        <v>15397</v>
      </c>
      <c r="H3189">
        <v>848</v>
      </c>
      <c r="I3189">
        <v>7.4</v>
      </c>
      <c r="J3189">
        <v>81</v>
      </c>
      <c r="K3189" t="s">
        <v>23</v>
      </c>
      <c r="L3189">
        <v>45</v>
      </c>
      <c r="M3189">
        <v>3.01</v>
      </c>
      <c r="N3189">
        <v>2</v>
      </c>
      <c r="O3189" t="s">
        <v>21</v>
      </c>
      <c r="P3189" cm="1">
        <f t="array" ref="P3189">_xlfn.SWITCH(Table2[[#This Row],[mood]], "Tired", 3, "Neutral", 2, "Happy", 1)</f>
        <v>1</v>
      </c>
    </row>
    <row r="3190" spans="1:16" x14ac:dyDescent="0.3">
      <c r="A3190">
        <v>1103</v>
      </c>
      <c r="B3190" s="1">
        <v>45193</v>
      </c>
      <c r="C3190">
        <v>57</v>
      </c>
      <c r="D3190" t="s">
        <v>20</v>
      </c>
      <c r="E3190">
        <v>182.5</v>
      </c>
      <c r="F3190">
        <v>70.099999999999994</v>
      </c>
      <c r="G3190">
        <v>4213</v>
      </c>
      <c r="H3190">
        <v>361.1</v>
      </c>
      <c r="I3190">
        <v>7.3</v>
      </c>
      <c r="J3190">
        <v>82</v>
      </c>
      <c r="K3190" t="s">
        <v>25</v>
      </c>
      <c r="L3190">
        <v>34</v>
      </c>
      <c r="M3190">
        <v>2.2000000000000002</v>
      </c>
      <c r="N3190">
        <v>3</v>
      </c>
      <c r="O3190" t="s">
        <v>19</v>
      </c>
      <c r="P3190" cm="1">
        <f t="array" ref="P3190">_xlfn.SWITCH(Table2[[#This Row],[mood]], "Tired", 3, "Neutral", 2, "Happy", 1)</f>
        <v>2</v>
      </c>
    </row>
    <row r="3191" spans="1:16" x14ac:dyDescent="0.3">
      <c r="A3191">
        <v>1629</v>
      </c>
      <c r="B3191" s="1">
        <v>45194</v>
      </c>
      <c r="C3191">
        <v>57</v>
      </c>
      <c r="D3191" t="s">
        <v>20</v>
      </c>
      <c r="E3191">
        <v>183.8</v>
      </c>
      <c r="F3191">
        <v>83.5</v>
      </c>
      <c r="G3191">
        <v>11355</v>
      </c>
      <c r="H3191">
        <v>665.6</v>
      </c>
      <c r="I3191">
        <v>9.4</v>
      </c>
      <c r="J3191">
        <v>55</v>
      </c>
      <c r="K3191" t="s">
        <v>18</v>
      </c>
      <c r="L3191">
        <v>69</v>
      </c>
      <c r="M3191">
        <v>0.83</v>
      </c>
      <c r="N3191">
        <v>6</v>
      </c>
      <c r="O3191" t="s">
        <v>21</v>
      </c>
      <c r="P3191" cm="1">
        <f t="array" ref="P3191">_xlfn.SWITCH(Table2[[#This Row],[mood]], "Tired", 3, "Neutral", 2, "Happy", 1)</f>
        <v>1</v>
      </c>
    </row>
    <row r="3192" spans="1:16" x14ac:dyDescent="0.3">
      <c r="A3192">
        <v>1516</v>
      </c>
      <c r="B3192" s="1">
        <v>45195</v>
      </c>
      <c r="C3192">
        <v>29</v>
      </c>
      <c r="D3192" t="s">
        <v>15</v>
      </c>
      <c r="E3192">
        <v>188.6</v>
      </c>
      <c r="F3192">
        <v>55.5</v>
      </c>
      <c r="G3192">
        <v>7208</v>
      </c>
      <c r="H3192">
        <v>424.2</v>
      </c>
      <c r="I3192">
        <v>7.8</v>
      </c>
      <c r="J3192">
        <v>72</v>
      </c>
      <c r="K3192" t="s">
        <v>16</v>
      </c>
      <c r="L3192">
        <v>0</v>
      </c>
      <c r="M3192">
        <v>2.99</v>
      </c>
      <c r="N3192">
        <v>3</v>
      </c>
      <c r="O3192" t="s">
        <v>17</v>
      </c>
      <c r="P3192" cm="1">
        <f t="array" ref="P3192">_xlfn.SWITCH(Table2[[#This Row],[mood]], "Tired", 3, "Neutral", 2, "Happy", 1)</f>
        <v>3</v>
      </c>
    </row>
    <row r="3193" spans="1:16" x14ac:dyDescent="0.3">
      <c r="A3193">
        <v>1979</v>
      </c>
      <c r="B3193" s="1">
        <v>45196</v>
      </c>
      <c r="C3193">
        <v>38</v>
      </c>
      <c r="D3193" t="s">
        <v>20</v>
      </c>
      <c r="E3193">
        <v>152.30000000000001</v>
      </c>
      <c r="F3193">
        <v>96.8</v>
      </c>
      <c r="G3193">
        <v>10644</v>
      </c>
      <c r="H3193">
        <v>580.20000000000005</v>
      </c>
      <c r="I3193">
        <v>5</v>
      </c>
      <c r="J3193">
        <v>69</v>
      </c>
      <c r="K3193" t="s">
        <v>16</v>
      </c>
      <c r="L3193">
        <v>0</v>
      </c>
      <c r="M3193">
        <v>2.0499999999999998</v>
      </c>
      <c r="N3193">
        <v>5</v>
      </c>
      <c r="O3193" t="s">
        <v>21</v>
      </c>
      <c r="P3193" cm="1">
        <f t="array" ref="P3193">_xlfn.SWITCH(Table2[[#This Row],[mood]], "Tired", 3, "Neutral", 2, "Happy", 1)</f>
        <v>1</v>
      </c>
    </row>
    <row r="3194" spans="1:16" x14ac:dyDescent="0.3">
      <c r="A3194">
        <v>1871</v>
      </c>
      <c r="B3194" s="1">
        <v>45197</v>
      </c>
      <c r="C3194">
        <v>57</v>
      </c>
      <c r="D3194" t="s">
        <v>20</v>
      </c>
      <c r="E3194">
        <v>186.3</v>
      </c>
      <c r="F3194">
        <v>49.7</v>
      </c>
      <c r="G3194">
        <v>7453</v>
      </c>
      <c r="H3194">
        <v>579.70000000000005</v>
      </c>
      <c r="I3194">
        <v>6</v>
      </c>
      <c r="J3194">
        <v>68</v>
      </c>
      <c r="K3194" t="s">
        <v>23</v>
      </c>
      <c r="L3194">
        <v>23</v>
      </c>
      <c r="M3194">
        <v>2.4300000000000002</v>
      </c>
      <c r="N3194">
        <v>3</v>
      </c>
      <c r="O3194" t="s">
        <v>21</v>
      </c>
      <c r="P3194" cm="1">
        <f t="array" ref="P3194">_xlfn.SWITCH(Table2[[#This Row],[mood]], "Tired", 3, "Neutral", 2, "Happy", 1)</f>
        <v>1</v>
      </c>
    </row>
    <row r="3195" spans="1:16" x14ac:dyDescent="0.3">
      <c r="A3195">
        <v>1247</v>
      </c>
      <c r="B3195" s="1">
        <v>45198</v>
      </c>
      <c r="C3195">
        <v>36</v>
      </c>
      <c r="D3195" t="s">
        <v>15</v>
      </c>
      <c r="E3195">
        <v>171.8</v>
      </c>
      <c r="F3195">
        <v>93.3</v>
      </c>
      <c r="G3195">
        <v>12093</v>
      </c>
      <c r="H3195">
        <v>650.79999999999995</v>
      </c>
      <c r="I3195">
        <v>7</v>
      </c>
      <c r="J3195">
        <v>68</v>
      </c>
      <c r="K3195" t="s">
        <v>22</v>
      </c>
      <c r="L3195">
        <v>49</v>
      </c>
      <c r="M3195">
        <v>2.97</v>
      </c>
      <c r="N3195">
        <v>7</v>
      </c>
      <c r="O3195" t="s">
        <v>21</v>
      </c>
      <c r="P3195" cm="1">
        <f t="array" ref="P3195">_xlfn.SWITCH(Table2[[#This Row],[mood]], "Tired", 3, "Neutral", 2, "Happy", 1)</f>
        <v>1</v>
      </c>
    </row>
    <row r="3196" spans="1:16" x14ac:dyDescent="0.3">
      <c r="A3196">
        <v>1363</v>
      </c>
      <c r="B3196" s="1">
        <v>45199</v>
      </c>
      <c r="C3196">
        <v>20</v>
      </c>
      <c r="D3196" t="s">
        <v>15</v>
      </c>
      <c r="E3196">
        <v>186</v>
      </c>
      <c r="F3196">
        <v>88</v>
      </c>
      <c r="G3196">
        <v>14741</v>
      </c>
      <c r="H3196">
        <v>779.5</v>
      </c>
      <c r="I3196">
        <v>8.5</v>
      </c>
      <c r="J3196">
        <v>62</v>
      </c>
      <c r="K3196" t="s">
        <v>18</v>
      </c>
      <c r="L3196">
        <v>28</v>
      </c>
      <c r="M3196">
        <v>2.2400000000000002</v>
      </c>
      <c r="N3196">
        <v>7</v>
      </c>
      <c r="O3196" t="s">
        <v>21</v>
      </c>
      <c r="P3196" cm="1">
        <f t="array" ref="P3196">_xlfn.SWITCH(Table2[[#This Row],[mood]], "Tired", 3, "Neutral", 2, "Happy", 1)</f>
        <v>1</v>
      </c>
    </row>
    <row r="3197" spans="1:16" x14ac:dyDescent="0.3">
      <c r="A3197">
        <v>1320</v>
      </c>
      <c r="B3197" s="1">
        <v>45200</v>
      </c>
      <c r="C3197">
        <v>35</v>
      </c>
      <c r="D3197" t="s">
        <v>20</v>
      </c>
      <c r="E3197">
        <v>166.1</v>
      </c>
      <c r="F3197">
        <v>48.5</v>
      </c>
      <c r="G3197">
        <v>12263</v>
      </c>
      <c r="H3197">
        <v>702.4</v>
      </c>
      <c r="I3197">
        <v>4.7</v>
      </c>
      <c r="J3197">
        <v>90</v>
      </c>
      <c r="K3197" t="s">
        <v>22</v>
      </c>
      <c r="L3197">
        <v>61</v>
      </c>
      <c r="M3197">
        <v>2.2400000000000002</v>
      </c>
      <c r="N3197">
        <v>1</v>
      </c>
      <c r="O3197" t="s">
        <v>21</v>
      </c>
      <c r="P3197" cm="1">
        <f t="array" ref="P3197">_xlfn.SWITCH(Table2[[#This Row],[mood]], "Tired", 3, "Neutral", 2, "Happy", 1)</f>
        <v>1</v>
      </c>
    </row>
    <row r="3198" spans="1:16" x14ac:dyDescent="0.3">
      <c r="A3198">
        <v>1632</v>
      </c>
      <c r="B3198" s="1">
        <v>45201</v>
      </c>
      <c r="C3198">
        <v>36</v>
      </c>
      <c r="D3198" t="s">
        <v>15</v>
      </c>
      <c r="E3198">
        <v>164.7</v>
      </c>
      <c r="F3198">
        <v>45.5</v>
      </c>
      <c r="G3198">
        <v>1305</v>
      </c>
      <c r="H3198">
        <v>198.7</v>
      </c>
      <c r="I3198">
        <v>7.7</v>
      </c>
      <c r="J3198">
        <v>69</v>
      </c>
      <c r="K3198" t="s">
        <v>25</v>
      </c>
      <c r="L3198">
        <v>33</v>
      </c>
      <c r="M3198">
        <v>4.2300000000000004</v>
      </c>
      <c r="N3198">
        <v>6</v>
      </c>
      <c r="O3198" t="s">
        <v>21</v>
      </c>
      <c r="P3198" cm="1">
        <f t="array" ref="P3198">_xlfn.SWITCH(Table2[[#This Row],[mood]], "Tired", 3, "Neutral", 2, "Happy", 1)</f>
        <v>1</v>
      </c>
    </row>
    <row r="3199" spans="1:16" x14ac:dyDescent="0.3">
      <c r="A3199">
        <v>1285</v>
      </c>
      <c r="B3199" s="1">
        <v>45202</v>
      </c>
      <c r="C3199">
        <v>23</v>
      </c>
      <c r="D3199" t="s">
        <v>15</v>
      </c>
      <c r="E3199">
        <v>157.80000000000001</v>
      </c>
      <c r="F3199">
        <v>80.8</v>
      </c>
      <c r="G3199">
        <v>2384</v>
      </c>
      <c r="H3199">
        <v>363</v>
      </c>
      <c r="I3199">
        <v>8.1</v>
      </c>
      <c r="J3199">
        <v>74</v>
      </c>
      <c r="K3199" t="s">
        <v>24</v>
      </c>
      <c r="L3199">
        <v>59</v>
      </c>
      <c r="M3199">
        <v>0.99</v>
      </c>
      <c r="N3199">
        <v>3</v>
      </c>
      <c r="O3199" t="s">
        <v>21</v>
      </c>
      <c r="P3199" cm="1">
        <f t="array" ref="P3199">_xlfn.SWITCH(Table2[[#This Row],[mood]], "Tired", 3, "Neutral", 2, "Happy", 1)</f>
        <v>1</v>
      </c>
    </row>
    <row r="3200" spans="1:16" x14ac:dyDescent="0.3">
      <c r="A3200">
        <v>1148</v>
      </c>
      <c r="B3200" s="1">
        <v>45203</v>
      </c>
      <c r="C3200">
        <v>33</v>
      </c>
      <c r="D3200" t="s">
        <v>15</v>
      </c>
      <c r="E3200">
        <v>177.8</v>
      </c>
      <c r="F3200">
        <v>64.3</v>
      </c>
      <c r="G3200">
        <v>18958</v>
      </c>
      <c r="H3200">
        <v>900</v>
      </c>
      <c r="I3200">
        <v>8.3000000000000007</v>
      </c>
      <c r="J3200">
        <v>72</v>
      </c>
      <c r="K3200" t="s">
        <v>25</v>
      </c>
      <c r="L3200">
        <v>22</v>
      </c>
      <c r="M3200">
        <v>1.6</v>
      </c>
      <c r="N3200">
        <v>7</v>
      </c>
      <c r="O3200" t="s">
        <v>21</v>
      </c>
      <c r="P3200" cm="1">
        <f t="array" ref="P3200">_xlfn.SWITCH(Table2[[#This Row],[mood]], "Tired", 3, "Neutral", 2, "Happy", 1)</f>
        <v>1</v>
      </c>
    </row>
    <row r="3201" spans="1:16" x14ac:dyDescent="0.3">
      <c r="A3201">
        <v>1083</v>
      </c>
      <c r="B3201" s="1">
        <v>45204</v>
      </c>
      <c r="C3201">
        <v>25</v>
      </c>
      <c r="D3201" t="s">
        <v>20</v>
      </c>
      <c r="E3201">
        <v>175.1</v>
      </c>
      <c r="F3201">
        <v>54.9</v>
      </c>
      <c r="G3201">
        <v>1872</v>
      </c>
      <c r="H3201">
        <v>263.10000000000002</v>
      </c>
      <c r="I3201">
        <v>6.9</v>
      </c>
      <c r="J3201">
        <v>70</v>
      </c>
      <c r="K3201" t="s">
        <v>25</v>
      </c>
      <c r="L3201">
        <v>60</v>
      </c>
      <c r="M3201">
        <v>1.74</v>
      </c>
      <c r="N3201">
        <v>1</v>
      </c>
      <c r="O3201" t="s">
        <v>19</v>
      </c>
      <c r="P3201" cm="1">
        <f t="array" ref="P3201">_xlfn.SWITCH(Table2[[#This Row],[mood]], "Tired", 3, "Neutral", 2, "Happy", 1)</f>
        <v>2</v>
      </c>
    </row>
    <row r="3202" spans="1:16" x14ac:dyDescent="0.3">
      <c r="A3202">
        <v>1965</v>
      </c>
      <c r="B3202" s="1">
        <v>45205</v>
      </c>
      <c r="C3202">
        <v>35</v>
      </c>
      <c r="D3202" t="s">
        <v>20</v>
      </c>
      <c r="E3202">
        <v>158.80000000000001</v>
      </c>
      <c r="F3202">
        <v>97.2</v>
      </c>
      <c r="G3202">
        <v>9360</v>
      </c>
      <c r="H3202">
        <v>627.79999999999995</v>
      </c>
      <c r="I3202">
        <v>8.6</v>
      </c>
      <c r="J3202">
        <v>79</v>
      </c>
      <c r="K3202" t="s">
        <v>22</v>
      </c>
      <c r="L3202">
        <v>52</v>
      </c>
      <c r="M3202">
        <v>3.75</v>
      </c>
      <c r="N3202">
        <v>10</v>
      </c>
      <c r="O3202" t="s">
        <v>19</v>
      </c>
      <c r="P3202" cm="1">
        <f t="array" ref="P3202">_xlfn.SWITCH(Table2[[#This Row],[mood]], "Tired", 3, "Neutral", 2, "Happy", 1)</f>
        <v>2</v>
      </c>
    </row>
    <row r="3203" spans="1:16" x14ac:dyDescent="0.3">
      <c r="A3203">
        <v>1405</v>
      </c>
      <c r="B3203" s="1">
        <v>45206</v>
      </c>
      <c r="C3203">
        <v>56</v>
      </c>
      <c r="D3203" t="s">
        <v>20</v>
      </c>
      <c r="E3203">
        <v>150</v>
      </c>
      <c r="F3203">
        <v>52.1</v>
      </c>
      <c r="G3203">
        <v>10795</v>
      </c>
      <c r="H3203">
        <v>677.4</v>
      </c>
      <c r="I3203">
        <v>5.8</v>
      </c>
      <c r="J3203">
        <v>72</v>
      </c>
      <c r="K3203" t="s">
        <v>25</v>
      </c>
      <c r="L3203">
        <v>79</v>
      </c>
      <c r="M3203">
        <v>2.0499999999999998</v>
      </c>
      <c r="N3203">
        <v>3</v>
      </c>
      <c r="O3203" t="s">
        <v>17</v>
      </c>
      <c r="P3203" cm="1">
        <f t="array" ref="P3203">_xlfn.SWITCH(Table2[[#This Row],[mood]], "Tired", 3, "Neutral", 2, "Happy", 1)</f>
        <v>3</v>
      </c>
    </row>
    <row r="3204" spans="1:16" x14ac:dyDescent="0.3">
      <c r="A3204">
        <v>1977</v>
      </c>
      <c r="B3204" s="1">
        <v>45207</v>
      </c>
      <c r="C3204">
        <v>29</v>
      </c>
      <c r="D3204" t="s">
        <v>15</v>
      </c>
      <c r="E3204">
        <v>174.2</v>
      </c>
      <c r="F3204">
        <v>59.1</v>
      </c>
      <c r="G3204">
        <v>18414</v>
      </c>
      <c r="H3204">
        <v>900</v>
      </c>
      <c r="I3204">
        <v>8.4</v>
      </c>
      <c r="J3204">
        <v>81</v>
      </c>
      <c r="K3204" t="s">
        <v>18</v>
      </c>
      <c r="L3204">
        <v>83</v>
      </c>
      <c r="M3204">
        <v>2.67</v>
      </c>
      <c r="N3204">
        <v>10</v>
      </c>
      <c r="O3204" t="s">
        <v>17</v>
      </c>
      <c r="P3204" cm="1">
        <f t="array" ref="P3204">_xlfn.SWITCH(Table2[[#This Row],[mood]], "Tired", 3, "Neutral", 2, "Happy", 1)</f>
        <v>3</v>
      </c>
    </row>
    <row r="3205" spans="1:16" x14ac:dyDescent="0.3">
      <c r="A3205">
        <v>1455</v>
      </c>
      <c r="B3205" s="1">
        <v>45208</v>
      </c>
      <c r="C3205">
        <v>27</v>
      </c>
      <c r="D3205" t="s">
        <v>20</v>
      </c>
      <c r="E3205">
        <v>175.3</v>
      </c>
      <c r="F3205">
        <v>60.9</v>
      </c>
      <c r="G3205">
        <v>10926</v>
      </c>
      <c r="H3205">
        <v>615.20000000000005</v>
      </c>
      <c r="I3205">
        <v>6.9</v>
      </c>
      <c r="J3205">
        <v>91</v>
      </c>
      <c r="K3205" t="s">
        <v>24</v>
      </c>
      <c r="L3205">
        <v>81</v>
      </c>
      <c r="M3205">
        <v>2.17</v>
      </c>
      <c r="N3205">
        <v>2</v>
      </c>
      <c r="O3205" t="s">
        <v>17</v>
      </c>
      <c r="P3205" cm="1">
        <f t="array" ref="P3205">_xlfn.SWITCH(Table2[[#This Row],[mood]], "Tired", 3, "Neutral", 2, "Happy", 1)</f>
        <v>3</v>
      </c>
    </row>
    <row r="3206" spans="1:16" x14ac:dyDescent="0.3">
      <c r="A3206">
        <v>1742</v>
      </c>
      <c r="B3206" s="1">
        <v>45209</v>
      </c>
      <c r="C3206">
        <v>24</v>
      </c>
      <c r="D3206" t="s">
        <v>15</v>
      </c>
      <c r="E3206">
        <v>160.1</v>
      </c>
      <c r="F3206">
        <v>45</v>
      </c>
      <c r="G3206">
        <v>16491</v>
      </c>
      <c r="H3206">
        <v>900</v>
      </c>
      <c r="I3206">
        <v>7.1</v>
      </c>
      <c r="J3206">
        <v>64</v>
      </c>
      <c r="K3206" t="s">
        <v>22</v>
      </c>
      <c r="L3206">
        <v>26</v>
      </c>
      <c r="M3206">
        <v>2.92</v>
      </c>
      <c r="N3206">
        <v>8</v>
      </c>
      <c r="O3206" t="s">
        <v>17</v>
      </c>
      <c r="P3206" cm="1">
        <f t="array" ref="P3206">_xlfn.SWITCH(Table2[[#This Row],[mood]], "Tired", 3, "Neutral", 2, "Happy", 1)</f>
        <v>3</v>
      </c>
    </row>
    <row r="3207" spans="1:16" x14ac:dyDescent="0.3">
      <c r="A3207">
        <v>1799</v>
      </c>
      <c r="B3207" s="1">
        <v>45210</v>
      </c>
      <c r="C3207">
        <v>18</v>
      </c>
      <c r="D3207" t="s">
        <v>20</v>
      </c>
      <c r="E3207">
        <v>158.1</v>
      </c>
      <c r="F3207">
        <v>71.400000000000006</v>
      </c>
      <c r="G3207">
        <v>7905</v>
      </c>
      <c r="H3207">
        <v>548.5</v>
      </c>
      <c r="I3207">
        <v>7</v>
      </c>
      <c r="J3207">
        <v>78</v>
      </c>
      <c r="K3207" t="s">
        <v>23</v>
      </c>
      <c r="L3207">
        <v>69</v>
      </c>
      <c r="M3207">
        <v>2.4900000000000002</v>
      </c>
      <c r="N3207">
        <v>8</v>
      </c>
      <c r="O3207" t="s">
        <v>17</v>
      </c>
      <c r="P3207" cm="1">
        <f t="array" ref="P3207">_xlfn.SWITCH(Table2[[#This Row],[mood]], "Tired", 3, "Neutral", 2, "Happy", 1)</f>
        <v>3</v>
      </c>
    </row>
    <row r="3208" spans="1:16" x14ac:dyDescent="0.3">
      <c r="A3208">
        <v>1160</v>
      </c>
      <c r="B3208" s="1">
        <v>45211</v>
      </c>
      <c r="C3208">
        <v>53</v>
      </c>
      <c r="D3208" t="s">
        <v>20</v>
      </c>
      <c r="E3208">
        <v>176.6</v>
      </c>
      <c r="F3208">
        <v>56.3</v>
      </c>
      <c r="G3208">
        <v>5442</v>
      </c>
      <c r="H3208">
        <v>502.2</v>
      </c>
      <c r="I3208">
        <v>8</v>
      </c>
      <c r="J3208">
        <v>78</v>
      </c>
      <c r="K3208" t="s">
        <v>16</v>
      </c>
      <c r="L3208">
        <v>0</v>
      </c>
      <c r="M3208">
        <v>2.68</v>
      </c>
      <c r="N3208">
        <v>9</v>
      </c>
      <c r="O3208" t="s">
        <v>17</v>
      </c>
      <c r="P3208" cm="1">
        <f t="array" ref="P3208">_xlfn.SWITCH(Table2[[#This Row],[mood]], "Tired", 3, "Neutral", 2, "Happy", 1)</f>
        <v>3</v>
      </c>
    </row>
    <row r="3209" spans="1:16" x14ac:dyDescent="0.3">
      <c r="A3209">
        <v>1783</v>
      </c>
      <c r="B3209" s="1">
        <v>45212</v>
      </c>
      <c r="C3209">
        <v>38</v>
      </c>
      <c r="D3209" t="s">
        <v>15</v>
      </c>
      <c r="E3209">
        <v>188.6</v>
      </c>
      <c r="F3209">
        <v>82.2</v>
      </c>
      <c r="G3209">
        <v>16290</v>
      </c>
      <c r="H3209">
        <v>900</v>
      </c>
      <c r="I3209">
        <v>5.3</v>
      </c>
      <c r="J3209">
        <v>63</v>
      </c>
      <c r="K3209" t="s">
        <v>25</v>
      </c>
      <c r="L3209">
        <v>66</v>
      </c>
      <c r="M3209">
        <v>3.4</v>
      </c>
      <c r="N3209">
        <v>9</v>
      </c>
      <c r="O3209" t="s">
        <v>19</v>
      </c>
      <c r="P3209" cm="1">
        <f t="array" ref="P3209">_xlfn.SWITCH(Table2[[#This Row],[mood]], "Tired", 3, "Neutral", 2, "Happy", 1)</f>
        <v>2</v>
      </c>
    </row>
    <row r="3210" spans="1:16" x14ac:dyDescent="0.3">
      <c r="A3210">
        <v>1459</v>
      </c>
      <c r="B3210" s="1">
        <v>45213</v>
      </c>
      <c r="C3210">
        <v>54</v>
      </c>
      <c r="D3210" t="s">
        <v>20</v>
      </c>
      <c r="E3210">
        <v>165.1</v>
      </c>
      <c r="F3210">
        <v>84.1</v>
      </c>
      <c r="G3210">
        <v>4667</v>
      </c>
      <c r="H3210">
        <v>354.6</v>
      </c>
      <c r="I3210">
        <v>8.3000000000000007</v>
      </c>
      <c r="J3210">
        <v>81</v>
      </c>
      <c r="K3210" t="s">
        <v>16</v>
      </c>
      <c r="L3210">
        <v>0</v>
      </c>
      <c r="M3210">
        <v>2.81</v>
      </c>
      <c r="N3210">
        <v>2</v>
      </c>
      <c r="O3210" t="s">
        <v>19</v>
      </c>
      <c r="P3210" cm="1">
        <f t="array" ref="P3210">_xlfn.SWITCH(Table2[[#This Row],[mood]], "Tired", 3, "Neutral", 2, "Happy", 1)</f>
        <v>2</v>
      </c>
    </row>
    <row r="3211" spans="1:16" x14ac:dyDescent="0.3">
      <c r="A3211">
        <v>1549</v>
      </c>
      <c r="B3211" s="1">
        <v>45214</v>
      </c>
      <c r="C3211">
        <v>41</v>
      </c>
      <c r="D3211" t="s">
        <v>15</v>
      </c>
      <c r="E3211">
        <v>161.19999999999999</v>
      </c>
      <c r="F3211">
        <v>73.5</v>
      </c>
      <c r="G3211">
        <v>18660</v>
      </c>
      <c r="H3211">
        <v>900</v>
      </c>
      <c r="I3211">
        <v>8.3000000000000007</v>
      </c>
      <c r="J3211">
        <v>72</v>
      </c>
      <c r="K3211" t="s">
        <v>22</v>
      </c>
      <c r="L3211">
        <v>45</v>
      </c>
      <c r="M3211">
        <v>1.99</v>
      </c>
      <c r="N3211">
        <v>7</v>
      </c>
      <c r="O3211" t="s">
        <v>19</v>
      </c>
      <c r="P3211" cm="1">
        <f t="array" ref="P3211">_xlfn.SWITCH(Table2[[#This Row],[mood]], "Tired", 3, "Neutral", 2, "Happy", 1)</f>
        <v>2</v>
      </c>
    </row>
    <row r="3212" spans="1:16" x14ac:dyDescent="0.3">
      <c r="A3212">
        <v>1499</v>
      </c>
      <c r="B3212" s="1">
        <v>45215</v>
      </c>
      <c r="C3212">
        <v>42</v>
      </c>
      <c r="D3212" t="s">
        <v>20</v>
      </c>
      <c r="E3212">
        <v>173</v>
      </c>
      <c r="F3212">
        <v>73.599999999999994</v>
      </c>
      <c r="G3212">
        <v>7553</v>
      </c>
      <c r="H3212">
        <v>411.9</v>
      </c>
      <c r="I3212">
        <v>6.5</v>
      </c>
      <c r="J3212">
        <v>91</v>
      </c>
      <c r="K3212" t="s">
        <v>16</v>
      </c>
      <c r="L3212">
        <v>0</v>
      </c>
      <c r="M3212">
        <v>2.72</v>
      </c>
      <c r="N3212">
        <v>7</v>
      </c>
      <c r="O3212" t="s">
        <v>21</v>
      </c>
      <c r="P3212" cm="1">
        <f t="array" ref="P3212">_xlfn.SWITCH(Table2[[#This Row],[mood]], "Tired", 3, "Neutral", 2, "Happy", 1)</f>
        <v>1</v>
      </c>
    </row>
    <row r="3213" spans="1:16" x14ac:dyDescent="0.3">
      <c r="A3213">
        <v>1737</v>
      </c>
      <c r="B3213" s="1">
        <v>45216</v>
      </c>
      <c r="C3213">
        <v>24</v>
      </c>
      <c r="D3213" t="s">
        <v>20</v>
      </c>
      <c r="E3213">
        <v>176.4</v>
      </c>
      <c r="F3213">
        <v>72.5</v>
      </c>
      <c r="G3213">
        <v>17926</v>
      </c>
      <c r="H3213">
        <v>816.5</v>
      </c>
      <c r="I3213">
        <v>7</v>
      </c>
      <c r="J3213">
        <v>85</v>
      </c>
      <c r="K3213" t="s">
        <v>25</v>
      </c>
      <c r="L3213">
        <v>70</v>
      </c>
      <c r="M3213">
        <v>4.1900000000000004</v>
      </c>
      <c r="N3213">
        <v>4</v>
      </c>
      <c r="O3213" t="s">
        <v>21</v>
      </c>
      <c r="P3213" cm="1">
        <f t="array" ref="P3213">_xlfn.SWITCH(Table2[[#This Row],[mood]], "Tired", 3, "Neutral", 2, "Happy", 1)</f>
        <v>1</v>
      </c>
    </row>
    <row r="3214" spans="1:16" x14ac:dyDescent="0.3">
      <c r="A3214">
        <v>1508</v>
      </c>
      <c r="B3214" s="1">
        <v>45217</v>
      </c>
      <c r="C3214">
        <v>59</v>
      </c>
      <c r="D3214" t="s">
        <v>15</v>
      </c>
      <c r="E3214">
        <v>166.4</v>
      </c>
      <c r="F3214">
        <v>59.5</v>
      </c>
      <c r="G3214">
        <v>5808</v>
      </c>
      <c r="H3214">
        <v>401.7</v>
      </c>
      <c r="I3214">
        <v>5.7</v>
      </c>
      <c r="J3214">
        <v>75</v>
      </c>
      <c r="K3214" t="s">
        <v>25</v>
      </c>
      <c r="L3214">
        <v>71</v>
      </c>
      <c r="M3214">
        <v>2.9</v>
      </c>
      <c r="N3214">
        <v>6</v>
      </c>
      <c r="O3214" t="s">
        <v>17</v>
      </c>
      <c r="P3214" cm="1">
        <f t="array" ref="P3214">_xlfn.SWITCH(Table2[[#This Row],[mood]], "Tired", 3, "Neutral", 2, "Happy", 1)</f>
        <v>3</v>
      </c>
    </row>
    <row r="3215" spans="1:16" x14ac:dyDescent="0.3">
      <c r="A3215">
        <v>1653</v>
      </c>
      <c r="B3215" s="1">
        <v>45218</v>
      </c>
      <c r="C3215">
        <v>34</v>
      </c>
      <c r="D3215" t="s">
        <v>15</v>
      </c>
      <c r="E3215">
        <v>190.3</v>
      </c>
      <c r="F3215">
        <v>60.8</v>
      </c>
      <c r="G3215">
        <v>8731</v>
      </c>
      <c r="H3215">
        <v>612.6</v>
      </c>
      <c r="I3215">
        <v>5.3</v>
      </c>
      <c r="J3215">
        <v>73</v>
      </c>
      <c r="K3215" t="s">
        <v>22</v>
      </c>
      <c r="L3215">
        <v>35</v>
      </c>
      <c r="M3215">
        <v>2.61</v>
      </c>
      <c r="N3215">
        <v>1</v>
      </c>
      <c r="O3215" t="s">
        <v>19</v>
      </c>
      <c r="P3215" cm="1">
        <f t="array" ref="P3215">_xlfn.SWITCH(Table2[[#This Row],[mood]], "Tired", 3, "Neutral", 2, "Happy", 1)</f>
        <v>2</v>
      </c>
    </row>
    <row r="3216" spans="1:16" x14ac:dyDescent="0.3">
      <c r="A3216">
        <v>1803</v>
      </c>
      <c r="B3216" s="1">
        <v>45219</v>
      </c>
      <c r="C3216">
        <v>46</v>
      </c>
      <c r="D3216" t="s">
        <v>15</v>
      </c>
      <c r="E3216">
        <v>179</v>
      </c>
      <c r="F3216">
        <v>89.8</v>
      </c>
      <c r="G3216">
        <v>1583</v>
      </c>
      <c r="H3216">
        <v>238.4</v>
      </c>
      <c r="I3216">
        <v>7.3</v>
      </c>
      <c r="J3216">
        <v>92</v>
      </c>
      <c r="K3216" t="s">
        <v>18</v>
      </c>
      <c r="L3216">
        <v>67</v>
      </c>
      <c r="M3216">
        <v>1.54</v>
      </c>
      <c r="N3216">
        <v>6</v>
      </c>
      <c r="O3216" t="s">
        <v>17</v>
      </c>
      <c r="P3216" cm="1">
        <f t="array" ref="P3216">_xlfn.SWITCH(Table2[[#This Row],[mood]], "Tired", 3, "Neutral", 2, "Happy", 1)</f>
        <v>3</v>
      </c>
    </row>
    <row r="3217" spans="1:16" x14ac:dyDescent="0.3">
      <c r="A3217">
        <v>1480</v>
      </c>
      <c r="B3217" s="1">
        <v>45220</v>
      </c>
      <c r="C3217">
        <v>47</v>
      </c>
      <c r="D3217" t="s">
        <v>20</v>
      </c>
      <c r="E3217">
        <v>166.2</v>
      </c>
      <c r="F3217">
        <v>81</v>
      </c>
      <c r="G3217">
        <v>17894</v>
      </c>
      <c r="H3217">
        <v>881.9</v>
      </c>
      <c r="I3217">
        <v>7.3</v>
      </c>
      <c r="J3217">
        <v>69</v>
      </c>
      <c r="K3217" t="s">
        <v>23</v>
      </c>
      <c r="L3217">
        <v>46</v>
      </c>
      <c r="M3217">
        <v>3.01</v>
      </c>
      <c r="N3217">
        <v>1</v>
      </c>
      <c r="O3217" t="s">
        <v>19</v>
      </c>
      <c r="P3217" cm="1">
        <f t="array" ref="P3217">_xlfn.SWITCH(Table2[[#This Row],[mood]], "Tired", 3, "Neutral", 2, "Happy", 1)</f>
        <v>2</v>
      </c>
    </row>
    <row r="3218" spans="1:16" x14ac:dyDescent="0.3">
      <c r="A3218">
        <v>1662</v>
      </c>
      <c r="B3218" s="1">
        <v>45221</v>
      </c>
      <c r="C3218">
        <v>24</v>
      </c>
      <c r="D3218" t="s">
        <v>20</v>
      </c>
      <c r="E3218">
        <v>154.1</v>
      </c>
      <c r="F3218">
        <v>73.099999999999994</v>
      </c>
      <c r="G3218">
        <v>10138</v>
      </c>
      <c r="H3218">
        <v>640.5</v>
      </c>
      <c r="I3218">
        <v>6.5</v>
      </c>
      <c r="J3218">
        <v>78</v>
      </c>
      <c r="K3218" t="s">
        <v>25</v>
      </c>
      <c r="L3218">
        <v>52</v>
      </c>
      <c r="M3218">
        <v>3.11</v>
      </c>
      <c r="N3218">
        <v>5</v>
      </c>
      <c r="O3218" t="s">
        <v>19</v>
      </c>
      <c r="P3218" cm="1">
        <f t="array" ref="P3218">_xlfn.SWITCH(Table2[[#This Row],[mood]], "Tired", 3, "Neutral", 2, "Happy", 1)</f>
        <v>2</v>
      </c>
    </row>
    <row r="3219" spans="1:16" x14ac:dyDescent="0.3">
      <c r="A3219">
        <v>1113</v>
      </c>
      <c r="B3219" s="1">
        <v>45222</v>
      </c>
      <c r="C3219">
        <v>50</v>
      </c>
      <c r="D3219" t="s">
        <v>20</v>
      </c>
      <c r="E3219">
        <v>183.2</v>
      </c>
      <c r="F3219">
        <v>79</v>
      </c>
      <c r="G3219">
        <v>8695</v>
      </c>
      <c r="H3219">
        <v>504.7</v>
      </c>
      <c r="I3219">
        <v>5.0999999999999996</v>
      </c>
      <c r="J3219">
        <v>74</v>
      </c>
      <c r="K3219" t="s">
        <v>18</v>
      </c>
      <c r="L3219">
        <v>42</v>
      </c>
      <c r="M3219">
        <v>2.72</v>
      </c>
      <c r="N3219">
        <v>4</v>
      </c>
      <c r="O3219" t="s">
        <v>17</v>
      </c>
      <c r="P3219" cm="1">
        <f t="array" ref="P3219">_xlfn.SWITCH(Table2[[#This Row],[mood]], "Tired", 3, "Neutral", 2, "Happy", 1)</f>
        <v>3</v>
      </c>
    </row>
    <row r="3220" spans="1:16" x14ac:dyDescent="0.3">
      <c r="A3220">
        <v>1748</v>
      </c>
      <c r="B3220" s="1">
        <v>45223</v>
      </c>
      <c r="C3220">
        <v>24</v>
      </c>
      <c r="D3220" t="s">
        <v>15</v>
      </c>
      <c r="E3220">
        <v>181.9</v>
      </c>
      <c r="F3220">
        <v>69.099999999999994</v>
      </c>
      <c r="G3220">
        <v>4473</v>
      </c>
      <c r="H3220">
        <v>470.9</v>
      </c>
      <c r="I3220">
        <v>7.7</v>
      </c>
      <c r="J3220">
        <v>87</v>
      </c>
      <c r="K3220" t="s">
        <v>25</v>
      </c>
      <c r="L3220">
        <v>64</v>
      </c>
      <c r="M3220">
        <v>2.58</v>
      </c>
      <c r="N3220">
        <v>6</v>
      </c>
      <c r="O3220" t="s">
        <v>17</v>
      </c>
      <c r="P3220" cm="1">
        <f t="array" ref="P3220">_xlfn.SWITCH(Table2[[#This Row],[mood]], "Tired", 3, "Neutral", 2, "Happy", 1)</f>
        <v>3</v>
      </c>
    </row>
    <row r="3221" spans="1:16" x14ac:dyDescent="0.3">
      <c r="A3221">
        <v>1577</v>
      </c>
      <c r="B3221" s="1">
        <v>45224</v>
      </c>
      <c r="C3221">
        <v>41</v>
      </c>
      <c r="D3221" t="s">
        <v>15</v>
      </c>
      <c r="E3221">
        <v>167</v>
      </c>
      <c r="F3221">
        <v>72.8</v>
      </c>
      <c r="G3221">
        <v>2198</v>
      </c>
      <c r="H3221">
        <v>274.8</v>
      </c>
      <c r="I3221">
        <v>6.5</v>
      </c>
      <c r="J3221">
        <v>88</v>
      </c>
      <c r="K3221" t="s">
        <v>25</v>
      </c>
      <c r="L3221">
        <v>41</v>
      </c>
      <c r="M3221">
        <v>4.4800000000000004</v>
      </c>
      <c r="N3221">
        <v>5</v>
      </c>
      <c r="O3221" t="s">
        <v>21</v>
      </c>
      <c r="P3221" cm="1">
        <f t="array" ref="P3221">_xlfn.SWITCH(Table2[[#This Row],[mood]], "Tired", 3, "Neutral", 2, "Happy", 1)</f>
        <v>1</v>
      </c>
    </row>
    <row r="3222" spans="1:16" x14ac:dyDescent="0.3">
      <c r="A3222">
        <v>1360</v>
      </c>
      <c r="B3222" s="1">
        <v>45225</v>
      </c>
      <c r="C3222">
        <v>28</v>
      </c>
      <c r="D3222" t="s">
        <v>15</v>
      </c>
      <c r="E3222">
        <v>173.5</v>
      </c>
      <c r="F3222">
        <v>78.900000000000006</v>
      </c>
      <c r="G3222">
        <v>4995</v>
      </c>
      <c r="H3222">
        <v>446.3</v>
      </c>
      <c r="I3222">
        <v>5.9</v>
      </c>
      <c r="J3222">
        <v>80</v>
      </c>
      <c r="K3222" t="s">
        <v>18</v>
      </c>
      <c r="L3222">
        <v>61</v>
      </c>
      <c r="M3222">
        <v>3.1</v>
      </c>
      <c r="N3222">
        <v>5</v>
      </c>
      <c r="O3222" t="s">
        <v>19</v>
      </c>
      <c r="P3222" cm="1">
        <f t="array" ref="P3222">_xlfn.SWITCH(Table2[[#This Row],[mood]], "Tired", 3, "Neutral", 2, "Happy", 1)</f>
        <v>2</v>
      </c>
    </row>
    <row r="3223" spans="1:16" x14ac:dyDescent="0.3">
      <c r="A3223">
        <v>1340</v>
      </c>
      <c r="B3223" s="1">
        <v>45226</v>
      </c>
      <c r="C3223">
        <v>26</v>
      </c>
      <c r="D3223" t="s">
        <v>20</v>
      </c>
      <c r="E3223">
        <v>168.5</v>
      </c>
      <c r="F3223">
        <v>45</v>
      </c>
      <c r="G3223">
        <v>13113</v>
      </c>
      <c r="H3223">
        <v>714.5</v>
      </c>
      <c r="I3223">
        <v>8.9</v>
      </c>
      <c r="J3223">
        <v>70</v>
      </c>
      <c r="K3223" t="s">
        <v>25</v>
      </c>
      <c r="L3223">
        <v>52</v>
      </c>
      <c r="M3223">
        <v>3.37</v>
      </c>
      <c r="N3223">
        <v>3</v>
      </c>
      <c r="O3223" t="s">
        <v>21</v>
      </c>
      <c r="P3223" cm="1">
        <f t="array" ref="P3223">_xlfn.SWITCH(Table2[[#This Row],[mood]], "Tired", 3, "Neutral", 2, "Happy", 1)</f>
        <v>1</v>
      </c>
    </row>
    <row r="3224" spans="1:16" x14ac:dyDescent="0.3">
      <c r="A3224">
        <v>1769</v>
      </c>
      <c r="B3224" s="1">
        <v>45227</v>
      </c>
      <c r="C3224">
        <v>29</v>
      </c>
      <c r="D3224" t="s">
        <v>20</v>
      </c>
      <c r="E3224">
        <v>175.2</v>
      </c>
      <c r="F3224">
        <v>83.6</v>
      </c>
      <c r="G3224">
        <v>5535</v>
      </c>
      <c r="H3224">
        <v>422.6</v>
      </c>
      <c r="I3224">
        <v>5.5</v>
      </c>
      <c r="J3224">
        <v>73</v>
      </c>
      <c r="K3224" t="s">
        <v>23</v>
      </c>
      <c r="L3224">
        <v>29</v>
      </c>
      <c r="M3224">
        <v>2.5499999999999998</v>
      </c>
      <c r="N3224">
        <v>10</v>
      </c>
      <c r="O3224" t="s">
        <v>21</v>
      </c>
      <c r="P3224" cm="1">
        <f t="array" ref="P3224">_xlfn.SWITCH(Table2[[#This Row],[mood]], "Tired", 3, "Neutral", 2, "Happy", 1)</f>
        <v>1</v>
      </c>
    </row>
    <row r="3225" spans="1:16" x14ac:dyDescent="0.3">
      <c r="A3225">
        <v>1986</v>
      </c>
      <c r="B3225" s="1">
        <v>45228</v>
      </c>
      <c r="C3225">
        <v>52</v>
      </c>
      <c r="D3225" t="s">
        <v>15</v>
      </c>
      <c r="E3225">
        <v>159.80000000000001</v>
      </c>
      <c r="F3225">
        <v>82.5</v>
      </c>
      <c r="G3225">
        <v>6871</v>
      </c>
      <c r="H3225">
        <v>531.20000000000005</v>
      </c>
      <c r="I3225">
        <v>7.8</v>
      </c>
      <c r="J3225">
        <v>63</v>
      </c>
      <c r="K3225" t="s">
        <v>16</v>
      </c>
      <c r="L3225">
        <v>0</v>
      </c>
      <c r="M3225">
        <v>2.41</v>
      </c>
      <c r="N3225">
        <v>2</v>
      </c>
      <c r="O3225" t="s">
        <v>21</v>
      </c>
      <c r="P3225" cm="1">
        <f t="array" ref="P3225">_xlfn.SWITCH(Table2[[#This Row],[mood]], "Tired", 3, "Neutral", 2, "Happy", 1)</f>
        <v>1</v>
      </c>
    </row>
    <row r="3226" spans="1:16" x14ac:dyDescent="0.3">
      <c r="A3226">
        <v>1760</v>
      </c>
      <c r="B3226" s="1">
        <v>45229</v>
      </c>
      <c r="C3226">
        <v>21</v>
      </c>
      <c r="D3226" t="s">
        <v>20</v>
      </c>
      <c r="E3226">
        <v>158.30000000000001</v>
      </c>
      <c r="F3226">
        <v>58.3</v>
      </c>
      <c r="G3226">
        <v>3447</v>
      </c>
      <c r="H3226">
        <v>349.3</v>
      </c>
      <c r="I3226">
        <v>4.8</v>
      </c>
      <c r="J3226">
        <v>77</v>
      </c>
      <c r="K3226" t="s">
        <v>22</v>
      </c>
      <c r="L3226">
        <v>58</v>
      </c>
      <c r="M3226">
        <v>2.94</v>
      </c>
      <c r="N3226">
        <v>7</v>
      </c>
      <c r="O3226" t="s">
        <v>21</v>
      </c>
      <c r="P3226" cm="1">
        <f t="array" ref="P3226">_xlfn.SWITCH(Table2[[#This Row],[mood]], "Tired", 3, "Neutral", 2, "Happy", 1)</f>
        <v>1</v>
      </c>
    </row>
    <row r="3227" spans="1:16" x14ac:dyDescent="0.3">
      <c r="A3227">
        <v>1968</v>
      </c>
      <c r="B3227" s="1">
        <v>45230</v>
      </c>
      <c r="C3227">
        <v>53</v>
      </c>
      <c r="D3227" t="s">
        <v>15</v>
      </c>
      <c r="E3227">
        <v>178.1</v>
      </c>
      <c r="F3227">
        <v>88.7</v>
      </c>
      <c r="G3227">
        <v>10408</v>
      </c>
      <c r="H3227">
        <v>691</v>
      </c>
      <c r="I3227">
        <v>4.8</v>
      </c>
      <c r="J3227">
        <v>67</v>
      </c>
      <c r="K3227" t="s">
        <v>16</v>
      </c>
      <c r="L3227">
        <v>0</v>
      </c>
      <c r="M3227">
        <v>2.41</v>
      </c>
      <c r="N3227">
        <v>10</v>
      </c>
      <c r="O3227" t="s">
        <v>19</v>
      </c>
      <c r="P3227" cm="1">
        <f t="array" ref="P3227">_xlfn.SWITCH(Table2[[#This Row],[mood]], "Tired", 3, "Neutral", 2, "Happy", 1)</f>
        <v>2</v>
      </c>
    </row>
    <row r="3228" spans="1:16" x14ac:dyDescent="0.3">
      <c r="A3228">
        <v>1448</v>
      </c>
      <c r="B3228" s="1">
        <v>45231</v>
      </c>
      <c r="C3228">
        <v>45</v>
      </c>
      <c r="D3228" t="s">
        <v>20</v>
      </c>
      <c r="E3228">
        <v>179.4</v>
      </c>
      <c r="F3228">
        <v>45</v>
      </c>
      <c r="G3228">
        <v>7844</v>
      </c>
      <c r="H3228">
        <v>474.6</v>
      </c>
      <c r="I3228">
        <v>7.7</v>
      </c>
      <c r="J3228">
        <v>97</v>
      </c>
      <c r="K3228" t="s">
        <v>18</v>
      </c>
      <c r="L3228">
        <v>70</v>
      </c>
      <c r="M3228">
        <v>2.46</v>
      </c>
      <c r="N3228">
        <v>8</v>
      </c>
      <c r="O3228" t="s">
        <v>19</v>
      </c>
      <c r="P3228" cm="1">
        <f t="array" ref="P3228">_xlfn.SWITCH(Table2[[#This Row],[mood]], "Tired", 3, "Neutral", 2, "Happy", 1)</f>
        <v>2</v>
      </c>
    </row>
    <row r="3229" spans="1:16" x14ac:dyDescent="0.3">
      <c r="A3229">
        <v>1842</v>
      </c>
      <c r="B3229" s="1">
        <v>45232</v>
      </c>
      <c r="C3229">
        <v>30</v>
      </c>
      <c r="D3229" t="s">
        <v>20</v>
      </c>
      <c r="E3229">
        <v>165.1</v>
      </c>
      <c r="F3229">
        <v>75.3</v>
      </c>
      <c r="G3229">
        <v>18674</v>
      </c>
      <c r="H3229">
        <v>882</v>
      </c>
      <c r="I3229">
        <v>6.5</v>
      </c>
      <c r="J3229">
        <v>70</v>
      </c>
      <c r="K3229" t="s">
        <v>16</v>
      </c>
      <c r="L3229">
        <v>0</v>
      </c>
      <c r="M3229">
        <v>2.82</v>
      </c>
      <c r="N3229">
        <v>5</v>
      </c>
      <c r="O3229" t="s">
        <v>21</v>
      </c>
      <c r="P3229" cm="1">
        <f t="array" ref="P3229">_xlfn.SWITCH(Table2[[#This Row],[mood]], "Tired", 3, "Neutral", 2, "Happy", 1)</f>
        <v>1</v>
      </c>
    </row>
    <row r="3230" spans="1:16" x14ac:dyDescent="0.3">
      <c r="A3230">
        <v>1834</v>
      </c>
      <c r="B3230" s="1">
        <v>45233</v>
      </c>
      <c r="C3230">
        <v>40</v>
      </c>
      <c r="D3230" t="s">
        <v>15</v>
      </c>
      <c r="E3230">
        <v>162.5</v>
      </c>
      <c r="F3230">
        <v>70.599999999999994</v>
      </c>
      <c r="G3230">
        <v>13413</v>
      </c>
      <c r="H3230">
        <v>649.1</v>
      </c>
      <c r="I3230">
        <v>5.2</v>
      </c>
      <c r="J3230">
        <v>85</v>
      </c>
      <c r="K3230" t="s">
        <v>24</v>
      </c>
      <c r="L3230">
        <v>34</v>
      </c>
      <c r="M3230">
        <v>2.14</v>
      </c>
      <c r="N3230">
        <v>9</v>
      </c>
      <c r="O3230" t="s">
        <v>19</v>
      </c>
      <c r="P3230" cm="1">
        <f t="array" ref="P3230">_xlfn.SWITCH(Table2[[#This Row],[mood]], "Tired", 3, "Neutral", 2, "Happy", 1)</f>
        <v>2</v>
      </c>
    </row>
    <row r="3231" spans="1:16" x14ac:dyDescent="0.3">
      <c r="A3231">
        <v>1179</v>
      </c>
      <c r="B3231" s="1">
        <v>45234</v>
      </c>
      <c r="C3231">
        <v>36</v>
      </c>
      <c r="D3231" t="s">
        <v>20</v>
      </c>
      <c r="E3231">
        <v>181.5</v>
      </c>
      <c r="F3231">
        <v>65.400000000000006</v>
      </c>
      <c r="G3231">
        <v>16169</v>
      </c>
      <c r="H3231">
        <v>900</v>
      </c>
      <c r="I3231">
        <v>8.4</v>
      </c>
      <c r="J3231">
        <v>90</v>
      </c>
      <c r="K3231" t="s">
        <v>25</v>
      </c>
      <c r="L3231">
        <v>77</v>
      </c>
      <c r="M3231">
        <v>2.65</v>
      </c>
      <c r="N3231">
        <v>1</v>
      </c>
      <c r="O3231" t="s">
        <v>21</v>
      </c>
      <c r="P3231" cm="1">
        <f t="array" ref="P3231">_xlfn.SWITCH(Table2[[#This Row],[mood]], "Tired", 3, "Neutral", 2, "Happy", 1)</f>
        <v>1</v>
      </c>
    </row>
    <row r="3232" spans="1:16" x14ac:dyDescent="0.3">
      <c r="A3232">
        <v>1701</v>
      </c>
      <c r="B3232" s="1">
        <v>45235</v>
      </c>
      <c r="C3232">
        <v>59</v>
      </c>
      <c r="D3232" t="s">
        <v>20</v>
      </c>
      <c r="E3232">
        <v>162.80000000000001</v>
      </c>
      <c r="F3232">
        <v>70.3</v>
      </c>
      <c r="G3232">
        <v>8549</v>
      </c>
      <c r="H3232">
        <v>587</v>
      </c>
      <c r="I3232">
        <v>7.6</v>
      </c>
      <c r="J3232">
        <v>83</v>
      </c>
      <c r="K3232" t="s">
        <v>22</v>
      </c>
      <c r="L3232">
        <v>78</v>
      </c>
      <c r="M3232">
        <v>2.56</v>
      </c>
      <c r="N3232">
        <v>3</v>
      </c>
      <c r="O3232" t="s">
        <v>17</v>
      </c>
      <c r="P3232" cm="1">
        <f t="array" ref="P3232">_xlfn.SWITCH(Table2[[#This Row],[mood]], "Tired", 3, "Neutral", 2, "Happy", 1)</f>
        <v>3</v>
      </c>
    </row>
    <row r="3233" spans="1:16" x14ac:dyDescent="0.3">
      <c r="A3233">
        <v>1406</v>
      </c>
      <c r="B3233" s="1">
        <v>45236</v>
      </c>
      <c r="C3233">
        <v>54</v>
      </c>
      <c r="D3233" t="s">
        <v>15</v>
      </c>
      <c r="E3233">
        <v>170.6</v>
      </c>
      <c r="F3233">
        <v>78.7</v>
      </c>
      <c r="G3233">
        <v>9693</v>
      </c>
      <c r="H3233">
        <v>574.4</v>
      </c>
      <c r="I3233">
        <v>3.8</v>
      </c>
      <c r="J3233">
        <v>70</v>
      </c>
      <c r="K3233" t="s">
        <v>23</v>
      </c>
      <c r="L3233">
        <v>45</v>
      </c>
      <c r="M3233">
        <v>3.18</v>
      </c>
      <c r="N3233">
        <v>8</v>
      </c>
      <c r="O3233" t="s">
        <v>21</v>
      </c>
      <c r="P3233" cm="1">
        <f t="array" ref="P3233">_xlfn.SWITCH(Table2[[#This Row],[mood]], "Tired", 3, "Neutral", 2, "Happy", 1)</f>
        <v>1</v>
      </c>
    </row>
    <row r="3234" spans="1:16" x14ac:dyDescent="0.3">
      <c r="A3234">
        <v>1665</v>
      </c>
      <c r="B3234" s="1">
        <v>45237</v>
      </c>
      <c r="C3234">
        <v>56</v>
      </c>
      <c r="D3234" t="s">
        <v>15</v>
      </c>
      <c r="E3234">
        <v>169.3</v>
      </c>
      <c r="F3234">
        <v>45</v>
      </c>
      <c r="G3234">
        <v>12063</v>
      </c>
      <c r="H3234">
        <v>697.5</v>
      </c>
      <c r="I3234">
        <v>8.4</v>
      </c>
      <c r="J3234">
        <v>69</v>
      </c>
      <c r="K3234" t="s">
        <v>23</v>
      </c>
      <c r="L3234">
        <v>60</v>
      </c>
      <c r="M3234">
        <v>2.0699999999999998</v>
      </c>
      <c r="N3234">
        <v>5</v>
      </c>
      <c r="O3234" t="s">
        <v>17</v>
      </c>
      <c r="P3234" cm="1">
        <f t="array" ref="P3234">_xlfn.SWITCH(Table2[[#This Row],[mood]], "Tired", 3, "Neutral", 2, "Happy", 1)</f>
        <v>3</v>
      </c>
    </row>
    <row r="3235" spans="1:16" x14ac:dyDescent="0.3">
      <c r="A3235">
        <v>1195</v>
      </c>
      <c r="B3235" s="1">
        <v>45238</v>
      </c>
      <c r="C3235">
        <v>41</v>
      </c>
      <c r="D3235" t="s">
        <v>20</v>
      </c>
      <c r="E3235">
        <v>155.30000000000001</v>
      </c>
      <c r="F3235">
        <v>85</v>
      </c>
      <c r="G3235">
        <v>17770</v>
      </c>
      <c r="H3235">
        <v>900</v>
      </c>
      <c r="I3235">
        <v>5.4</v>
      </c>
      <c r="J3235">
        <v>104</v>
      </c>
      <c r="K3235" t="s">
        <v>24</v>
      </c>
      <c r="L3235">
        <v>63</v>
      </c>
      <c r="M3235">
        <v>1.1000000000000001</v>
      </c>
      <c r="N3235">
        <v>2</v>
      </c>
      <c r="O3235" t="s">
        <v>21</v>
      </c>
      <c r="P3235" cm="1">
        <f t="array" ref="P3235">_xlfn.SWITCH(Table2[[#This Row],[mood]], "Tired", 3, "Neutral", 2, "Happy", 1)</f>
        <v>1</v>
      </c>
    </row>
    <row r="3236" spans="1:16" x14ac:dyDescent="0.3">
      <c r="A3236">
        <v>1465</v>
      </c>
      <c r="B3236" s="1">
        <v>45239</v>
      </c>
      <c r="C3236">
        <v>33</v>
      </c>
      <c r="D3236" t="s">
        <v>15</v>
      </c>
      <c r="E3236">
        <v>171.9</v>
      </c>
      <c r="F3236">
        <v>63.8</v>
      </c>
      <c r="G3236">
        <v>9603</v>
      </c>
      <c r="H3236">
        <v>574.6</v>
      </c>
      <c r="I3236">
        <v>4.4000000000000004</v>
      </c>
      <c r="J3236">
        <v>95</v>
      </c>
      <c r="K3236" t="s">
        <v>16</v>
      </c>
      <c r="L3236">
        <v>0</v>
      </c>
      <c r="M3236">
        <v>2.2799999999999998</v>
      </c>
      <c r="N3236">
        <v>10</v>
      </c>
      <c r="O3236" t="s">
        <v>21</v>
      </c>
      <c r="P3236" cm="1">
        <f t="array" ref="P3236">_xlfn.SWITCH(Table2[[#This Row],[mood]], "Tired", 3, "Neutral", 2, "Happy", 1)</f>
        <v>1</v>
      </c>
    </row>
    <row r="3237" spans="1:16" x14ac:dyDescent="0.3">
      <c r="A3237">
        <v>1310</v>
      </c>
      <c r="B3237" s="1">
        <v>45240</v>
      </c>
      <c r="C3237">
        <v>50</v>
      </c>
      <c r="D3237" t="s">
        <v>20</v>
      </c>
      <c r="E3237">
        <v>170.9</v>
      </c>
      <c r="F3237">
        <v>85.2</v>
      </c>
      <c r="G3237">
        <v>3006</v>
      </c>
      <c r="H3237">
        <v>232.2</v>
      </c>
      <c r="I3237">
        <v>5.8</v>
      </c>
      <c r="J3237">
        <v>78</v>
      </c>
      <c r="K3237" t="s">
        <v>23</v>
      </c>
      <c r="L3237">
        <v>56</v>
      </c>
      <c r="M3237">
        <v>2.78</v>
      </c>
      <c r="N3237">
        <v>9</v>
      </c>
      <c r="O3237" t="s">
        <v>19</v>
      </c>
      <c r="P3237" cm="1">
        <f t="array" ref="P3237">_xlfn.SWITCH(Table2[[#This Row],[mood]], "Tired", 3, "Neutral", 2, "Happy", 1)</f>
        <v>2</v>
      </c>
    </row>
    <row r="3238" spans="1:16" x14ac:dyDescent="0.3">
      <c r="A3238">
        <v>1261</v>
      </c>
      <c r="B3238" s="1">
        <v>45241</v>
      </c>
      <c r="C3238">
        <v>29</v>
      </c>
      <c r="D3238" t="s">
        <v>15</v>
      </c>
      <c r="E3238">
        <v>173.6</v>
      </c>
      <c r="F3238">
        <v>79.7</v>
      </c>
      <c r="G3238">
        <v>6213</v>
      </c>
      <c r="H3238">
        <v>361.2</v>
      </c>
      <c r="I3238">
        <v>6.9</v>
      </c>
      <c r="J3238">
        <v>72</v>
      </c>
      <c r="K3238" t="s">
        <v>16</v>
      </c>
      <c r="L3238">
        <v>0</v>
      </c>
      <c r="M3238">
        <v>3.17</v>
      </c>
      <c r="N3238">
        <v>1</v>
      </c>
      <c r="O3238" t="s">
        <v>17</v>
      </c>
      <c r="P3238" cm="1">
        <f t="array" ref="P3238">_xlfn.SWITCH(Table2[[#This Row],[mood]], "Tired", 3, "Neutral", 2, "Happy", 1)</f>
        <v>3</v>
      </c>
    </row>
    <row r="3239" spans="1:16" x14ac:dyDescent="0.3">
      <c r="A3239">
        <v>1418</v>
      </c>
      <c r="B3239" s="1">
        <v>45242</v>
      </c>
      <c r="C3239">
        <v>51</v>
      </c>
      <c r="D3239" t="s">
        <v>20</v>
      </c>
      <c r="E3239">
        <v>171.6</v>
      </c>
      <c r="F3239">
        <v>63.5</v>
      </c>
      <c r="G3239">
        <v>19531</v>
      </c>
      <c r="H3239">
        <v>900</v>
      </c>
      <c r="I3239">
        <v>7.1</v>
      </c>
      <c r="J3239">
        <v>66</v>
      </c>
      <c r="K3239" t="s">
        <v>22</v>
      </c>
      <c r="L3239">
        <v>23</v>
      </c>
      <c r="M3239">
        <v>2.02</v>
      </c>
      <c r="N3239">
        <v>3</v>
      </c>
      <c r="O3239" t="s">
        <v>19</v>
      </c>
      <c r="P3239" cm="1">
        <f t="array" ref="P3239">_xlfn.SWITCH(Table2[[#This Row],[mood]], "Tired", 3, "Neutral", 2, "Happy", 1)</f>
        <v>2</v>
      </c>
    </row>
    <row r="3240" spans="1:16" x14ac:dyDescent="0.3">
      <c r="A3240">
        <v>1405</v>
      </c>
      <c r="B3240" s="1">
        <v>45243</v>
      </c>
      <c r="C3240">
        <v>24</v>
      </c>
      <c r="D3240" t="s">
        <v>20</v>
      </c>
      <c r="E3240">
        <v>191.4</v>
      </c>
      <c r="F3240">
        <v>68.8</v>
      </c>
      <c r="G3240">
        <v>4868</v>
      </c>
      <c r="H3240">
        <v>399.8</v>
      </c>
      <c r="I3240">
        <v>4.5</v>
      </c>
      <c r="J3240">
        <v>69</v>
      </c>
      <c r="K3240" t="s">
        <v>24</v>
      </c>
      <c r="L3240">
        <v>43</v>
      </c>
      <c r="M3240">
        <v>2.88</v>
      </c>
      <c r="N3240">
        <v>4</v>
      </c>
      <c r="O3240" t="s">
        <v>21</v>
      </c>
      <c r="P3240" cm="1">
        <f t="array" ref="P3240">_xlfn.SWITCH(Table2[[#This Row],[mood]], "Tired", 3, "Neutral", 2, "Happy", 1)</f>
        <v>1</v>
      </c>
    </row>
    <row r="3241" spans="1:16" x14ac:dyDescent="0.3">
      <c r="A3241">
        <v>1938</v>
      </c>
      <c r="B3241" s="1">
        <v>45244</v>
      </c>
      <c r="C3241">
        <v>28</v>
      </c>
      <c r="D3241" t="s">
        <v>15</v>
      </c>
      <c r="E3241">
        <v>181.6</v>
      </c>
      <c r="F3241">
        <v>69.7</v>
      </c>
      <c r="G3241">
        <v>10530</v>
      </c>
      <c r="H3241">
        <v>574.1</v>
      </c>
      <c r="I3241">
        <v>4.9000000000000004</v>
      </c>
      <c r="J3241">
        <v>82</v>
      </c>
      <c r="K3241" t="s">
        <v>16</v>
      </c>
      <c r="L3241">
        <v>0</v>
      </c>
      <c r="M3241">
        <v>3.29</v>
      </c>
      <c r="N3241">
        <v>7</v>
      </c>
      <c r="O3241" t="s">
        <v>17</v>
      </c>
      <c r="P3241" cm="1">
        <f t="array" ref="P3241">_xlfn.SWITCH(Table2[[#This Row],[mood]], "Tired", 3, "Neutral", 2, "Happy", 1)</f>
        <v>3</v>
      </c>
    </row>
    <row r="3242" spans="1:16" x14ac:dyDescent="0.3">
      <c r="A3242">
        <v>1142</v>
      </c>
      <c r="B3242" s="1">
        <v>45245</v>
      </c>
      <c r="C3242">
        <v>48</v>
      </c>
      <c r="D3242" t="s">
        <v>20</v>
      </c>
      <c r="E3242">
        <v>170.4</v>
      </c>
      <c r="F3242">
        <v>94.1</v>
      </c>
      <c r="G3242">
        <v>15360</v>
      </c>
      <c r="H3242">
        <v>866.1</v>
      </c>
      <c r="I3242">
        <v>5.9</v>
      </c>
      <c r="J3242">
        <v>98</v>
      </c>
      <c r="K3242" t="s">
        <v>18</v>
      </c>
      <c r="L3242">
        <v>82</v>
      </c>
      <c r="M3242">
        <v>3.03</v>
      </c>
      <c r="N3242">
        <v>4</v>
      </c>
      <c r="O3242" t="s">
        <v>21</v>
      </c>
      <c r="P3242" cm="1">
        <f t="array" ref="P3242">_xlfn.SWITCH(Table2[[#This Row],[mood]], "Tired", 3, "Neutral", 2, "Happy", 1)</f>
        <v>1</v>
      </c>
    </row>
    <row r="3243" spans="1:16" x14ac:dyDescent="0.3">
      <c r="A3243">
        <v>1341</v>
      </c>
      <c r="B3243" s="1">
        <v>45246</v>
      </c>
      <c r="C3243">
        <v>46</v>
      </c>
      <c r="D3243" t="s">
        <v>20</v>
      </c>
      <c r="E3243">
        <v>171.3</v>
      </c>
      <c r="F3243">
        <v>52.9</v>
      </c>
      <c r="G3243">
        <v>7637</v>
      </c>
      <c r="H3243">
        <v>441.8</v>
      </c>
      <c r="I3243">
        <v>6</v>
      </c>
      <c r="J3243">
        <v>74</v>
      </c>
      <c r="K3243" t="s">
        <v>16</v>
      </c>
      <c r="L3243">
        <v>0</v>
      </c>
      <c r="M3243">
        <v>1.95</v>
      </c>
      <c r="N3243">
        <v>2</v>
      </c>
      <c r="O3243" t="s">
        <v>17</v>
      </c>
      <c r="P3243" cm="1">
        <f t="array" ref="P3243">_xlfn.SWITCH(Table2[[#This Row],[mood]], "Tired", 3, "Neutral", 2, "Happy", 1)</f>
        <v>3</v>
      </c>
    </row>
    <row r="3244" spans="1:16" x14ac:dyDescent="0.3">
      <c r="A3244">
        <v>1315</v>
      </c>
      <c r="B3244" s="1">
        <v>45247</v>
      </c>
      <c r="C3244">
        <v>30</v>
      </c>
      <c r="D3244" t="s">
        <v>15</v>
      </c>
      <c r="E3244">
        <v>187.6</v>
      </c>
      <c r="F3244">
        <v>63.4</v>
      </c>
      <c r="G3244">
        <v>17736</v>
      </c>
      <c r="H3244">
        <v>874.8</v>
      </c>
      <c r="I3244">
        <v>8.1</v>
      </c>
      <c r="J3244">
        <v>87</v>
      </c>
      <c r="K3244" t="s">
        <v>16</v>
      </c>
      <c r="L3244">
        <v>0</v>
      </c>
      <c r="M3244">
        <v>2.02</v>
      </c>
      <c r="N3244">
        <v>2</v>
      </c>
      <c r="O3244" t="s">
        <v>17</v>
      </c>
      <c r="P3244" cm="1">
        <f t="array" ref="P3244">_xlfn.SWITCH(Table2[[#This Row],[mood]], "Tired", 3, "Neutral", 2, "Happy", 1)</f>
        <v>3</v>
      </c>
    </row>
    <row r="3245" spans="1:16" x14ac:dyDescent="0.3">
      <c r="A3245">
        <v>1100</v>
      </c>
      <c r="B3245" s="1">
        <v>45248</v>
      </c>
      <c r="C3245">
        <v>48</v>
      </c>
      <c r="D3245" t="s">
        <v>15</v>
      </c>
      <c r="E3245">
        <v>178.6</v>
      </c>
      <c r="F3245">
        <v>46.3</v>
      </c>
      <c r="G3245">
        <v>5964</v>
      </c>
      <c r="H3245">
        <v>347.5</v>
      </c>
      <c r="I3245">
        <v>6.4</v>
      </c>
      <c r="J3245">
        <v>84</v>
      </c>
      <c r="K3245" t="s">
        <v>24</v>
      </c>
      <c r="L3245">
        <v>32</v>
      </c>
      <c r="M3245">
        <v>2.8</v>
      </c>
      <c r="N3245">
        <v>10</v>
      </c>
      <c r="O3245" t="s">
        <v>21</v>
      </c>
      <c r="P3245" cm="1">
        <f t="array" ref="P3245">_xlfn.SWITCH(Table2[[#This Row],[mood]], "Tired", 3, "Neutral", 2, "Happy", 1)</f>
        <v>1</v>
      </c>
    </row>
    <row r="3246" spans="1:16" x14ac:dyDescent="0.3">
      <c r="A3246">
        <v>1243</v>
      </c>
      <c r="B3246" s="1">
        <v>45249</v>
      </c>
      <c r="C3246">
        <v>19</v>
      </c>
      <c r="D3246" t="s">
        <v>20</v>
      </c>
      <c r="E3246">
        <v>157.69999999999999</v>
      </c>
      <c r="F3246">
        <v>71.900000000000006</v>
      </c>
      <c r="G3246">
        <v>2302</v>
      </c>
      <c r="H3246">
        <v>269.8</v>
      </c>
      <c r="I3246">
        <v>8.1</v>
      </c>
      <c r="J3246">
        <v>72</v>
      </c>
      <c r="K3246" t="s">
        <v>18</v>
      </c>
      <c r="L3246">
        <v>46</v>
      </c>
      <c r="M3246">
        <v>3.64</v>
      </c>
      <c r="N3246">
        <v>1</v>
      </c>
      <c r="O3246" t="s">
        <v>21</v>
      </c>
      <c r="P3246" cm="1">
        <f t="array" ref="P3246">_xlfn.SWITCH(Table2[[#This Row],[mood]], "Tired", 3, "Neutral", 2, "Happy", 1)</f>
        <v>1</v>
      </c>
    </row>
    <row r="3247" spans="1:16" x14ac:dyDescent="0.3">
      <c r="A3247">
        <v>1489</v>
      </c>
      <c r="B3247" s="1">
        <v>45250</v>
      </c>
      <c r="C3247">
        <v>56</v>
      </c>
      <c r="D3247" t="s">
        <v>15</v>
      </c>
      <c r="E3247">
        <v>179.5</v>
      </c>
      <c r="F3247">
        <v>60.6</v>
      </c>
      <c r="G3247">
        <v>8749</v>
      </c>
      <c r="H3247">
        <v>550.29999999999995</v>
      </c>
      <c r="I3247">
        <v>8.6</v>
      </c>
      <c r="J3247">
        <v>85</v>
      </c>
      <c r="K3247" t="s">
        <v>23</v>
      </c>
      <c r="L3247">
        <v>36</v>
      </c>
      <c r="M3247">
        <v>2.5099999999999998</v>
      </c>
      <c r="N3247">
        <v>7</v>
      </c>
      <c r="O3247" t="s">
        <v>19</v>
      </c>
      <c r="P3247" cm="1">
        <f t="array" ref="P3247">_xlfn.SWITCH(Table2[[#This Row],[mood]], "Tired", 3, "Neutral", 2, "Happy", 1)</f>
        <v>2</v>
      </c>
    </row>
    <row r="3248" spans="1:16" x14ac:dyDescent="0.3">
      <c r="A3248">
        <v>1011</v>
      </c>
      <c r="B3248" s="1">
        <v>45251</v>
      </c>
      <c r="C3248">
        <v>32</v>
      </c>
      <c r="D3248" t="s">
        <v>15</v>
      </c>
      <c r="E3248">
        <v>182.4</v>
      </c>
      <c r="F3248">
        <v>62.5</v>
      </c>
      <c r="G3248">
        <v>1846</v>
      </c>
      <c r="H3248">
        <v>327.7</v>
      </c>
      <c r="I3248">
        <v>7.8</v>
      </c>
      <c r="J3248">
        <v>85</v>
      </c>
      <c r="K3248" t="s">
        <v>22</v>
      </c>
      <c r="L3248">
        <v>88</v>
      </c>
      <c r="M3248">
        <v>2.38</v>
      </c>
      <c r="N3248">
        <v>9</v>
      </c>
      <c r="O3248" t="s">
        <v>19</v>
      </c>
      <c r="P3248" cm="1">
        <f t="array" ref="P3248">_xlfn.SWITCH(Table2[[#This Row],[mood]], "Tired", 3, "Neutral", 2, "Happy", 1)</f>
        <v>2</v>
      </c>
    </row>
    <row r="3249" spans="1:16" x14ac:dyDescent="0.3">
      <c r="A3249">
        <v>1238</v>
      </c>
      <c r="B3249" s="1">
        <v>45252</v>
      </c>
      <c r="C3249">
        <v>28</v>
      </c>
      <c r="D3249" t="s">
        <v>20</v>
      </c>
      <c r="E3249">
        <v>186.2</v>
      </c>
      <c r="F3249">
        <v>92.3</v>
      </c>
      <c r="G3249">
        <v>14390</v>
      </c>
      <c r="H3249">
        <v>781.6</v>
      </c>
      <c r="I3249">
        <v>3</v>
      </c>
      <c r="J3249">
        <v>84</v>
      </c>
      <c r="K3249" t="s">
        <v>16</v>
      </c>
      <c r="L3249">
        <v>0</v>
      </c>
      <c r="M3249">
        <v>1.54</v>
      </c>
      <c r="N3249">
        <v>10</v>
      </c>
      <c r="O3249" t="s">
        <v>21</v>
      </c>
      <c r="P3249" cm="1">
        <f t="array" ref="P3249">_xlfn.SWITCH(Table2[[#This Row],[mood]], "Tired", 3, "Neutral", 2, "Happy", 1)</f>
        <v>1</v>
      </c>
    </row>
    <row r="3250" spans="1:16" x14ac:dyDescent="0.3">
      <c r="A3250">
        <v>1560</v>
      </c>
      <c r="B3250" s="1">
        <v>45253</v>
      </c>
      <c r="C3250">
        <v>51</v>
      </c>
      <c r="D3250" t="s">
        <v>20</v>
      </c>
      <c r="E3250">
        <v>166</v>
      </c>
      <c r="F3250">
        <v>57.6</v>
      </c>
      <c r="G3250">
        <v>14735</v>
      </c>
      <c r="H3250">
        <v>826.4</v>
      </c>
      <c r="I3250">
        <v>6.5</v>
      </c>
      <c r="J3250">
        <v>71</v>
      </c>
      <c r="K3250" t="s">
        <v>25</v>
      </c>
      <c r="L3250">
        <v>37</v>
      </c>
      <c r="M3250">
        <v>2.2400000000000002</v>
      </c>
      <c r="N3250">
        <v>2</v>
      </c>
      <c r="O3250" t="s">
        <v>19</v>
      </c>
      <c r="P3250" cm="1">
        <f t="array" ref="P3250">_xlfn.SWITCH(Table2[[#This Row],[mood]], "Tired", 3, "Neutral", 2, "Happy", 1)</f>
        <v>2</v>
      </c>
    </row>
    <row r="3251" spans="1:16" x14ac:dyDescent="0.3">
      <c r="A3251">
        <v>1041</v>
      </c>
      <c r="B3251" s="1">
        <v>45254</v>
      </c>
      <c r="C3251">
        <v>56</v>
      </c>
      <c r="D3251" t="s">
        <v>15</v>
      </c>
      <c r="E3251">
        <v>165.3</v>
      </c>
      <c r="F3251">
        <v>67.599999999999994</v>
      </c>
      <c r="G3251">
        <v>15876</v>
      </c>
      <c r="H3251">
        <v>885.3</v>
      </c>
      <c r="I3251">
        <v>6.8</v>
      </c>
      <c r="J3251">
        <v>82</v>
      </c>
      <c r="K3251" t="s">
        <v>24</v>
      </c>
      <c r="L3251">
        <v>35</v>
      </c>
      <c r="M3251">
        <v>2</v>
      </c>
      <c r="N3251">
        <v>7</v>
      </c>
      <c r="O3251" t="s">
        <v>19</v>
      </c>
      <c r="P3251" cm="1">
        <f t="array" ref="P3251">_xlfn.SWITCH(Table2[[#This Row],[mood]], "Tired", 3, "Neutral", 2, "Happy", 1)</f>
        <v>2</v>
      </c>
    </row>
    <row r="3252" spans="1:16" x14ac:dyDescent="0.3">
      <c r="A3252">
        <v>1677</v>
      </c>
      <c r="B3252" s="1">
        <v>45255</v>
      </c>
      <c r="C3252">
        <v>21</v>
      </c>
      <c r="D3252" t="s">
        <v>15</v>
      </c>
      <c r="E3252">
        <v>160.6</v>
      </c>
      <c r="F3252">
        <v>63.1</v>
      </c>
      <c r="G3252">
        <v>14967</v>
      </c>
      <c r="H3252">
        <v>818.3</v>
      </c>
      <c r="I3252">
        <v>6.9</v>
      </c>
      <c r="J3252">
        <v>87</v>
      </c>
      <c r="K3252" t="s">
        <v>23</v>
      </c>
      <c r="L3252">
        <v>70</v>
      </c>
      <c r="M3252">
        <v>2.52</v>
      </c>
      <c r="N3252">
        <v>8</v>
      </c>
      <c r="O3252" t="s">
        <v>21</v>
      </c>
      <c r="P3252" cm="1">
        <f t="array" ref="P3252">_xlfn.SWITCH(Table2[[#This Row],[mood]], "Tired", 3, "Neutral", 2, "Happy", 1)</f>
        <v>1</v>
      </c>
    </row>
    <row r="3253" spans="1:16" x14ac:dyDescent="0.3">
      <c r="A3253">
        <v>1593</v>
      </c>
      <c r="B3253" s="1">
        <v>45256</v>
      </c>
      <c r="C3253">
        <v>28</v>
      </c>
      <c r="D3253" t="s">
        <v>15</v>
      </c>
      <c r="E3253">
        <v>173.1</v>
      </c>
      <c r="F3253">
        <v>64.099999999999994</v>
      </c>
      <c r="G3253">
        <v>19908</v>
      </c>
      <c r="H3253">
        <v>900</v>
      </c>
      <c r="I3253">
        <v>3.9</v>
      </c>
      <c r="J3253">
        <v>85</v>
      </c>
      <c r="K3253" t="s">
        <v>16</v>
      </c>
      <c r="L3253">
        <v>0</v>
      </c>
      <c r="M3253">
        <v>1.44</v>
      </c>
      <c r="N3253">
        <v>3</v>
      </c>
      <c r="O3253" t="s">
        <v>17</v>
      </c>
      <c r="P3253" cm="1">
        <f t="array" ref="P3253">_xlfn.SWITCH(Table2[[#This Row],[mood]], "Tired", 3, "Neutral", 2, "Happy", 1)</f>
        <v>3</v>
      </c>
    </row>
    <row r="3254" spans="1:16" x14ac:dyDescent="0.3">
      <c r="A3254">
        <v>1428</v>
      </c>
      <c r="B3254" s="1">
        <v>45257</v>
      </c>
      <c r="C3254">
        <v>46</v>
      </c>
      <c r="D3254" t="s">
        <v>20</v>
      </c>
      <c r="E3254">
        <v>177.3</v>
      </c>
      <c r="F3254">
        <v>111.6</v>
      </c>
      <c r="G3254">
        <v>19262</v>
      </c>
      <c r="H3254">
        <v>900</v>
      </c>
      <c r="I3254">
        <v>5.9</v>
      </c>
      <c r="J3254">
        <v>86</v>
      </c>
      <c r="K3254" t="s">
        <v>22</v>
      </c>
      <c r="L3254">
        <v>58</v>
      </c>
      <c r="M3254">
        <v>2.27</v>
      </c>
      <c r="N3254">
        <v>4</v>
      </c>
      <c r="O3254" t="s">
        <v>21</v>
      </c>
      <c r="P3254" cm="1">
        <f t="array" ref="P3254">_xlfn.SWITCH(Table2[[#This Row],[mood]], "Tired", 3, "Neutral", 2, "Happy", 1)</f>
        <v>1</v>
      </c>
    </row>
    <row r="3255" spans="1:16" x14ac:dyDescent="0.3">
      <c r="A3255">
        <v>1802</v>
      </c>
      <c r="B3255" s="1">
        <v>45258</v>
      </c>
      <c r="C3255">
        <v>19</v>
      </c>
      <c r="D3255" t="s">
        <v>20</v>
      </c>
      <c r="E3255">
        <v>164.9</v>
      </c>
      <c r="F3255">
        <v>45</v>
      </c>
      <c r="G3255">
        <v>5105</v>
      </c>
      <c r="H3255">
        <v>478.6</v>
      </c>
      <c r="I3255">
        <v>5</v>
      </c>
      <c r="J3255">
        <v>73</v>
      </c>
      <c r="K3255" t="s">
        <v>25</v>
      </c>
      <c r="L3255">
        <v>75</v>
      </c>
      <c r="M3255">
        <v>1.79</v>
      </c>
      <c r="N3255">
        <v>9</v>
      </c>
      <c r="O3255" t="s">
        <v>19</v>
      </c>
      <c r="P3255" cm="1">
        <f t="array" ref="P3255">_xlfn.SWITCH(Table2[[#This Row],[mood]], "Tired", 3, "Neutral", 2, "Happy", 1)</f>
        <v>2</v>
      </c>
    </row>
    <row r="3256" spans="1:16" x14ac:dyDescent="0.3">
      <c r="A3256">
        <v>1157</v>
      </c>
      <c r="B3256" s="1">
        <v>45259</v>
      </c>
      <c r="C3256">
        <v>33</v>
      </c>
      <c r="D3256" t="s">
        <v>20</v>
      </c>
      <c r="E3256">
        <v>168.6</v>
      </c>
      <c r="F3256">
        <v>79.7</v>
      </c>
      <c r="G3256">
        <v>3819</v>
      </c>
      <c r="H3256">
        <v>337</v>
      </c>
      <c r="I3256">
        <v>5.6</v>
      </c>
      <c r="J3256">
        <v>86</v>
      </c>
      <c r="K3256" t="s">
        <v>24</v>
      </c>
      <c r="L3256">
        <v>73</v>
      </c>
      <c r="M3256">
        <v>3.16</v>
      </c>
      <c r="N3256">
        <v>4</v>
      </c>
      <c r="O3256" t="s">
        <v>21</v>
      </c>
      <c r="P3256" cm="1">
        <f t="array" ref="P3256">_xlfn.SWITCH(Table2[[#This Row],[mood]], "Tired", 3, "Neutral", 2, "Happy", 1)</f>
        <v>1</v>
      </c>
    </row>
    <row r="3257" spans="1:16" x14ac:dyDescent="0.3">
      <c r="A3257">
        <v>1215</v>
      </c>
      <c r="B3257" s="1">
        <v>45260</v>
      </c>
      <c r="C3257">
        <v>56</v>
      </c>
      <c r="D3257" t="s">
        <v>20</v>
      </c>
      <c r="E3257">
        <v>150</v>
      </c>
      <c r="F3257">
        <v>106.4</v>
      </c>
      <c r="G3257">
        <v>9077</v>
      </c>
      <c r="H3257">
        <v>590.79999999999995</v>
      </c>
      <c r="I3257">
        <v>6.6</v>
      </c>
      <c r="J3257">
        <v>88</v>
      </c>
      <c r="K3257" t="s">
        <v>22</v>
      </c>
      <c r="L3257">
        <v>63</v>
      </c>
      <c r="M3257">
        <v>1.9</v>
      </c>
      <c r="N3257">
        <v>6</v>
      </c>
      <c r="O3257" t="s">
        <v>21</v>
      </c>
      <c r="P3257" cm="1">
        <f t="array" ref="P3257">_xlfn.SWITCH(Table2[[#This Row],[mood]], "Tired", 3, "Neutral", 2, "Happy", 1)</f>
        <v>1</v>
      </c>
    </row>
    <row r="3258" spans="1:16" x14ac:dyDescent="0.3">
      <c r="A3258">
        <v>1669</v>
      </c>
      <c r="B3258" s="1">
        <v>45261</v>
      </c>
      <c r="C3258">
        <v>30</v>
      </c>
      <c r="D3258" t="s">
        <v>20</v>
      </c>
      <c r="E3258">
        <v>185.1</v>
      </c>
      <c r="F3258">
        <v>86.2</v>
      </c>
      <c r="G3258">
        <v>13022</v>
      </c>
      <c r="H3258">
        <v>747.3</v>
      </c>
      <c r="I3258">
        <v>5.9</v>
      </c>
      <c r="J3258">
        <v>70</v>
      </c>
      <c r="K3258" t="s">
        <v>23</v>
      </c>
      <c r="L3258">
        <v>65</v>
      </c>
      <c r="M3258">
        <v>2.1</v>
      </c>
      <c r="N3258">
        <v>8</v>
      </c>
      <c r="O3258" t="s">
        <v>17</v>
      </c>
      <c r="P3258" cm="1">
        <f t="array" ref="P3258">_xlfn.SWITCH(Table2[[#This Row],[mood]], "Tired", 3, "Neutral", 2, "Happy", 1)</f>
        <v>3</v>
      </c>
    </row>
    <row r="3259" spans="1:16" x14ac:dyDescent="0.3">
      <c r="A3259">
        <v>1461</v>
      </c>
      <c r="B3259" s="1">
        <v>45262</v>
      </c>
      <c r="C3259">
        <v>54</v>
      </c>
      <c r="D3259" t="s">
        <v>20</v>
      </c>
      <c r="E3259">
        <v>154.4</v>
      </c>
      <c r="F3259">
        <v>70.7</v>
      </c>
      <c r="G3259">
        <v>10250</v>
      </c>
      <c r="H3259">
        <v>591.6</v>
      </c>
      <c r="I3259">
        <v>5.7</v>
      </c>
      <c r="J3259">
        <v>61</v>
      </c>
      <c r="K3259" t="s">
        <v>16</v>
      </c>
      <c r="L3259">
        <v>0</v>
      </c>
      <c r="M3259">
        <v>2.7</v>
      </c>
      <c r="N3259">
        <v>10</v>
      </c>
      <c r="O3259" t="s">
        <v>17</v>
      </c>
      <c r="P3259" cm="1">
        <f t="array" ref="P3259">_xlfn.SWITCH(Table2[[#This Row],[mood]], "Tired", 3, "Neutral", 2, "Happy", 1)</f>
        <v>3</v>
      </c>
    </row>
    <row r="3260" spans="1:16" x14ac:dyDescent="0.3">
      <c r="A3260">
        <v>1133</v>
      </c>
      <c r="B3260" s="1">
        <v>45263</v>
      </c>
      <c r="C3260">
        <v>34</v>
      </c>
      <c r="D3260" t="s">
        <v>20</v>
      </c>
      <c r="E3260">
        <v>173.7</v>
      </c>
      <c r="F3260">
        <v>52.4</v>
      </c>
      <c r="G3260">
        <v>19873</v>
      </c>
      <c r="H3260">
        <v>900</v>
      </c>
      <c r="I3260">
        <v>6.7</v>
      </c>
      <c r="J3260">
        <v>91</v>
      </c>
      <c r="K3260" t="s">
        <v>16</v>
      </c>
      <c r="L3260">
        <v>0</v>
      </c>
      <c r="M3260">
        <v>2.1800000000000002</v>
      </c>
      <c r="N3260">
        <v>2</v>
      </c>
      <c r="O3260" t="s">
        <v>19</v>
      </c>
      <c r="P3260" cm="1">
        <f t="array" ref="P3260">_xlfn.SWITCH(Table2[[#This Row],[mood]], "Tired", 3, "Neutral", 2, "Happy", 1)</f>
        <v>2</v>
      </c>
    </row>
    <row r="3261" spans="1:16" x14ac:dyDescent="0.3">
      <c r="A3261">
        <v>1066</v>
      </c>
      <c r="B3261" s="1">
        <v>45264</v>
      </c>
      <c r="C3261">
        <v>38</v>
      </c>
      <c r="D3261" t="s">
        <v>15</v>
      </c>
      <c r="E3261">
        <v>172.4</v>
      </c>
      <c r="F3261">
        <v>89.6</v>
      </c>
      <c r="G3261">
        <v>12793</v>
      </c>
      <c r="H3261">
        <v>692.5</v>
      </c>
      <c r="I3261">
        <v>6.3</v>
      </c>
      <c r="J3261">
        <v>70</v>
      </c>
      <c r="K3261" t="s">
        <v>16</v>
      </c>
      <c r="L3261">
        <v>0</v>
      </c>
      <c r="M3261">
        <v>4.1500000000000004</v>
      </c>
      <c r="N3261">
        <v>1</v>
      </c>
      <c r="O3261" t="s">
        <v>19</v>
      </c>
      <c r="P3261" cm="1">
        <f t="array" ref="P3261">_xlfn.SWITCH(Table2[[#This Row],[mood]], "Tired", 3, "Neutral", 2, "Happy", 1)</f>
        <v>2</v>
      </c>
    </row>
    <row r="3262" spans="1:16" x14ac:dyDescent="0.3">
      <c r="A3262">
        <v>1847</v>
      </c>
      <c r="B3262" s="1">
        <v>45265</v>
      </c>
      <c r="C3262">
        <v>36</v>
      </c>
      <c r="D3262" t="s">
        <v>15</v>
      </c>
      <c r="E3262">
        <v>170.5</v>
      </c>
      <c r="F3262">
        <v>84.1</v>
      </c>
      <c r="G3262">
        <v>19677</v>
      </c>
      <c r="H3262">
        <v>900</v>
      </c>
      <c r="I3262">
        <v>7.3</v>
      </c>
      <c r="J3262">
        <v>68</v>
      </c>
      <c r="K3262" t="s">
        <v>24</v>
      </c>
      <c r="L3262">
        <v>85</v>
      </c>
      <c r="M3262">
        <v>3.15</v>
      </c>
      <c r="N3262">
        <v>7</v>
      </c>
      <c r="O3262" t="s">
        <v>19</v>
      </c>
      <c r="P3262" cm="1">
        <f t="array" ref="P3262">_xlfn.SWITCH(Table2[[#This Row],[mood]], "Tired", 3, "Neutral", 2, "Happy", 1)</f>
        <v>2</v>
      </c>
    </row>
    <row r="3263" spans="1:16" x14ac:dyDescent="0.3">
      <c r="A3263">
        <v>1006</v>
      </c>
      <c r="B3263" s="1">
        <v>45266</v>
      </c>
      <c r="C3263">
        <v>24</v>
      </c>
      <c r="D3263" t="s">
        <v>20</v>
      </c>
      <c r="E3263">
        <v>170.7</v>
      </c>
      <c r="F3263">
        <v>47.1</v>
      </c>
      <c r="G3263">
        <v>18058</v>
      </c>
      <c r="H3263">
        <v>900</v>
      </c>
      <c r="I3263">
        <v>6.4</v>
      </c>
      <c r="J3263">
        <v>77</v>
      </c>
      <c r="K3263" t="s">
        <v>16</v>
      </c>
      <c r="L3263">
        <v>0</v>
      </c>
      <c r="M3263">
        <v>2.5099999999999998</v>
      </c>
      <c r="N3263">
        <v>1</v>
      </c>
      <c r="O3263" t="s">
        <v>19</v>
      </c>
      <c r="P3263" cm="1">
        <f t="array" ref="P3263">_xlfn.SWITCH(Table2[[#This Row],[mood]], "Tired", 3, "Neutral", 2, "Happy", 1)</f>
        <v>2</v>
      </c>
    </row>
    <row r="3264" spans="1:16" x14ac:dyDescent="0.3">
      <c r="A3264">
        <v>1947</v>
      </c>
      <c r="B3264" s="1">
        <v>45267</v>
      </c>
      <c r="C3264">
        <v>55</v>
      </c>
      <c r="D3264" t="s">
        <v>20</v>
      </c>
      <c r="E3264">
        <v>159.9</v>
      </c>
      <c r="F3264">
        <v>65.2</v>
      </c>
      <c r="G3264">
        <v>11070</v>
      </c>
      <c r="H3264">
        <v>645</v>
      </c>
      <c r="I3264">
        <v>4.5999999999999996</v>
      </c>
      <c r="J3264">
        <v>72</v>
      </c>
      <c r="K3264" t="s">
        <v>24</v>
      </c>
      <c r="L3264">
        <v>62</v>
      </c>
      <c r="M3264">
        <v>2.76</v>
      </c>
      <c r="N3264">
        <v>4</v>
      </c>
      <c r="O3264" t="s">
        <v>19</v>
      </c>
      <c r="P3264" cm="1">
        <f t="array" ref="P3264">_xlfn.SWITCH(Table2[[#This Row],[mood]], "Tired", 3, "Neutral", 2, "Happy", 1)</f>
        <v>2</v>
      </c>
    </row>
    <row r="3265" spans="1:16" x14ac:dyDescent="0.3">
      <c r="A3265">
        <v>1525</v>
      </c>
      <c r="B3265" s="1">
        <v>45268</v>
      </c>
      <c r="C3265">
        <v>25</v>
      </c>
      <c r="D3265" t="s">
        <v>20</v>
      </c>
      <c r="E3265">
        <v>166.7</v>
      </c>
      <c r="F3265">
        <v>51.9</v>
      </c>
      <c r="G3265">
        <v>7257</v>
      </c>
      <c r="H3265">
        <v>537</v>
      </c>
      <c r="I3265">
        <v>5.5</v>
      </c>
      <c r="J3265">
        <v>56</v>
      </c>
      <c r="K3265" t="s">
        <v>16</v>
      </c>
      <c r="L3265">
        <v>0</v>
      </c>
      <c r="M3265">
        <v>0.85</v>
      </c>
      <c r="N3265">
        <v>5</v>
      </c>
      <c r="O3265" t="s">
        <v>21</v>
      </c>
      <c r="P3265" cm="1">
        <f t="array" ref="P3265">_xlfn.SWITCH(Table2[[#This Row],[mood]], "Tired", 3, "Neutral", 2, "Happy", 1)</f>
        <v>1</v>
      </c>
    </row>
    <row r="3266" spans="1:16" x14ac:dyDescent="0.3">
      <c r="A3266">
        <v>1072</v>
      </c>
      <c r="B3266" s="1">
        <v>45269</v>
      </c>
      <c r="C3266">
        <v>30</v>
      </c>
      <c r="D3266" t="s">
        <v>15</v>
      </c>
      <c r="E3266">
        <v>179.7</v>
      </c>
      <c r="F3266">
        <v>45</v>
      </c>
      <c r="G3266">
        <v>2011</v>
      </c>
      <c r="H3266">
        <v>183.1</v>
      </c>
      <c r="I3266">
        <v>6.5</v>
      </c>
      <c r="J3266">
        <v>84</v>
      </c>
      <c r="K3266" t="s">
        <v>18</v>
      </c>
      <c r="L3266">
        <v>24</v>
      </c>
      <c r="M3266">
        <v>3.36</v>
      </c>
      <c r="N3266">
        <v>2</v>
      </c>
      <c r="O3266" t="s">
        <v>21</v>
      </c>
      <c r="P3266" cm="1">
        <f t="array" ref="P3266">_xlfn.SWITCH(Table2[[#This Row],[mood]], "Tired", 3, "Neutral", 2, "Happy", 1)</f>
        <v>1</v>
      </c>
    </row>
    <row r="3267" spans="1:16" x14ac:dyDescent="0.3">
      <c r="A3267">
        <v>1398</v>
      </c>
      <c r="B3267" s="1">
        <v>45270</v>
      </c>
      <c r="C3267">
        <v>54</v>
      </c>
      <c r="D3267" t="s">
        <v>20</v>
      </c>
      <c r="E3267">
        <v>182.7</v>
      </c>
      <c r="F3267">
        <v>51.6</v>
      </c>
      <c r="G3267">
        <v>17616</v>
      </c>
      <c r="H3267">
        <v>900</v>
      </c>
      <c r="I3267">
        <v>6.3</v>
      </c>
      <c r="J3267">
        <v>84</v>
      </c>
      <c r="K3267" t="s">
        <v>16</v>
      </c>
      <c r="L3267">
        <v>0</v>
      </c>
      <c r="M3267">
        <v>2.86</v>
      </c>
      <c r="N3267">
        <v>10</v>
      </c>
      <c r="O3267" t="s">
        <v>19</v>
      </c>
      <c r="P3267" cm="1">
        <f t="array" ref="P3267">_xlfn.SWITCH(Table2[[#This Row],[mood]], "Tired", 3, "Neutral", 2, "Happy", 1)</f>
        <v>2</v>
      </c>
    </row>
    <row r="3268" spans="1:16" x14ac:dyDescent="0.3">
      <c r="A3268">
        <v>1404</v>
      </c>
      <c r="B3268" s="1">
        <v>45271</v>
      </c>
      <c r="C3268">
        <v>19</v>
      </c>
      <c r="D3268" t="s">
        <v>15</v>
      </c>
      <c r="E3268">
        <v>165.8</v>
      </c>
      <c r="F3268">
        <v>71.599999999999994</v>
      </c>
      <c r="G3268">
        <v>3173</v>
      </c>
      <c r="H3268">
        <v>362.3</v>
      </c>
      <c r="I3268">
        <v>4.9000000000000004</v>
      </c>
      <c r="J3268">
        <v>65</v>
      </c>
      <c r="K3268" t="s">
        <v>18</v>
      </c>
      <c r="L3268">
        <v>56</v>
      </c>
      <c r="M3268">
        <v>2.4500000000000002</v>
      </c>
      <c r="N3268">
        <v>4</v>
      </c>
      <c r="O3268" t="s">
        <v>17</v>
      </c>
      <c r="P3268" cm="1">
        <f t="array" ref="P3268">_xlfn.SWITCH(Table2[[#This Row],[mood]], "Tired", 3, "Neutral", 2, "Happy", 1)</f>
        <v>3</v>
      </c>
    </row>
    <row r="3269" spans="1:16" x14ac:dyDescent="0.3">
      <c r="A3269">
        <v>1674</v>
      </c>
      <c r="B3269" s="1">
        <v>45272</v>
      </c>
      <c r="C3269">
        <v>58</v>
      </c>
      <c r="D3269" t="s">
        <v>15</v>
      </c>
      <c r="E3269">
        <v>154.4</v>
      </c>
      <c r="F3269">
        <v>78.7</v>
      </c>
      <c r="G3269">
        <v>4384</v>
      </c>
      <c r="H3269">
        <v>346.6</v>
      </c>
      <c r="I3269">
        <v>8</v>
      </c>
      <c r="J3269">
        <v>75</v>
      </c>
      <c r="K3269" t="s">
        <v>24</v>
      </c>
      <c r="L3269">
        <v>45</v>
      </c>
      <c r="M3269">
        <v>2.9</v>
      </c>
      <c r="N3269">
        <v>10</v>
      </c>
      <c r="O3269" t="s">
        <v>17</v>
      </c>
      <c r="P3269" cm="1">
        <f t="array" ref="P3269">_xlfn.SWITCH(Table2[[#This Row],[mood]], "Tired", 3, "Neutral", 2, "Happy", 1)</f>
        <v>3</v>
      </c>
    </row>
    <row r="3270" spans="1:16" x14ac:dyDescent="0.3">
      <c r="A3270">
        <v>1577</v>
      </c>
      <c r="B3270" s="1">
        <v>45273</v>
      </c>
      <c r="C3270">
        <v>28</v>
      </c>
      <c r="D3270" t="s">
        <v>15</v>
      </c>
      <c r="E3270">
        <v>162.19999999999999</v>
      </c>
      <c r="F3270">
        <v>65.099999999999994</v>
      </c>
      <c r="G3270">
        <v>19712</v>
      </c>
      <c r="H3270">
        <v>900</v>
      </c>
      <c r="I3270">
        <v>7.5</v>
      </c>
      <c r="J3270">
        <v>65</v>
      </c>
      <c r="K3270" t="s">
        <v>22</v>
      </c>
      <c r="L3270">
        <v>28</v>
      </c>
      <c r="M3270">
        <v>2.98</v>
      </c>
      <c r="N3270">
        <v>7</v>
      </c>
      <c r="O3270" t="s">
        <v>19</v>
      </c>
      <c r="P3270" cm="1">
        <f t="array" ref="P3270">_xlfn.SWITCH(Table2[[#This Row],[mood]], "Tired", 3, "Neutral", 2, "Happy", 1)</f>
        <v>2</v>
      </c>
    </row>
    <row r="3271" spans="1:16" x14ac:dyDescent="0.3">
      <c r="A3271">
        <v>1858</v>
      </c>
      <c r="B3271" s="1">
        <v>45274</v>
      </c>
      <c r="C3271">
        <v>41</v>
      </c>
      <c r="D3271" t="s">
        <v>15</v>
      </c>
      <c r="E3271">
        <v>188.5</v>
      </c>
      <c r="F3271">
        <v>90.6</v>
      </c>
      <c r="G3271">
        <v>1797</v>
      </c>
      <c r="H3271">
        <v>223.1</v>
      </c>
      <c r="I3271">
        <v>6.1</v>
      </c>
      <c r="J3271">
        <v>66</v>
      </c>
      <c r="K3271" t="s">
        <v>23</v>
      </c>
      <c r="L3271">
        <v>34</v>
      </c>
      <c r="M3271">
        <v>2.21</v>
      </c>
      <c r="N3271">
        <v>4</v>
      </c>
      <c r="O3271" t="s">
        <v>21</v>
      </c>
      <c r="P3271" cm="1">
        <f t="array" ref="P3271">_xlfn.SWITCH(Table2[[#This Row],[mood]], "Tired", 3, "Neutral", 2, "Happy", 1)</f>
        <v>1</v>
      </c>
    </row>
    <row r="3272" spans="1:16" x14ac:dyDescent="0.3">
      <c r="A3272">
        <v>1129</v>
      </c>
      <c r="B3272" s="1">
        <v>45275</v>
      </c>
      <c r="C3272">
        <v>23</v>
      </c>
      <c r="D3272" t="s">
        <v>15</v>
      </c>
      <c r="E3272">
        <v>162.80000000000001</v>
      </c>
      <c r="F3272">
        <v>85.4</v>
      </c>
      <c r="G3272">
        <v>8121</v>
      </c>
      <c r="H3272">
        <v>484.9</v>
      </c>
      <c r="I3272">
        <v>6.8</v>
      </c>
      <c r="J3272">
        <v>69</v>
      </c>
      <c r="K3272" t="s">
        <v>25</v>
      </c>
      <c r="L3272">
        <v>45</v>
      </c>
      <c r="M3272">
        <v>2.77</v>
      </c>
      <c r="N3272">
        <v>1</v>
      </c>
      <c r="O3272" t="s">
        <v>17</v>
      </c>
      <c r="P3272" cm="1">
        <f t="array" ref="P3272">_xlfn.SWITCH(Table2[[#This Row],[mood]], "Tired", 3, "Neutral", 2, "Happy", 1)</f>
        <v>3</v>
      </c>
    </row>
    <row r="3273" spans="1:16" x14ac:dyDescent="0.3">
      <c r="A3273">
        <v>1930</v>
      </c>
      <c r="B3273" s="1">
        <v>45276</v>
      </c>
      <c r="C3273">
        <v>43</v>
      </c>
      <c r="D3273" t="s">
        <v>20</v>
      </c>
      <c r="E3273">
        <v>169</v>
      </c>
      <c r="F3273">
        <v>68.099999999999994</v>
      </c>
      <c r="G3273">
        <v>14594</v>
      </c>
      <c r="H3273">
        <v>797.3</v>
      </c>
      <c r="I3273">
        <v>5.4</v>
      </c>
      <c r="J3273">
        <v>80</v>
      </c>
      <c r="K3273" t="s">
        <v>18</v>
      </c>
      <c r="L3273">
        <v>82</v>
      </c>
      <c r="M3273">
        <v>3.23</v>
      </c>
      <c r="N3273">
        <v>10</v>
      </c>
      <c r="O3273" t="s">
        <v>17</v>
      </c>
      <c r="P3273" cm="1">
        <f t="array" ref="P3273">_xlfn.SWITCH(Table2[[#This Row],[mood]], "Tired", 3, "Neutral", 2, "Happy", 1)</f>
        <v>3</v>
      </c>
    </row>
    <row r="3274" spans="1:16" x14ac:dyDescent="0.3">
      <c r="A3274">
        <v>1465</v>
      </c>
      <c r="B3274" s="1">
        <v>45277</v>
      </c>
      <c r="C3274">
        <v>24</v>
      </c>
      <c r="D3274" t="s">
        <v>20</v>
      </c>
      <c r="E3274">
        <v>184.2</v>
      </c>
      <c r="F3274">
        <v>66.2</v>
      </c>
      <c r="G3274">
        <v>15986</v>
      </c>
      <c r="H3274">
        <v>900</v>
      </c>
      <c r="I3274">
        <v>8.3000000000000007</v>
      </c>
      <c r="J3274">
        <v>95</v>
      </c>
      <c r="K3274" t="s">
        <v>23</v>
      </c>
      <c r="L3274">
        <v>89</v>
      </c>
      <c r="M3274">
        <v>2.82</v>
      </c>
      <c r="N3274">
        <v>4</v>
      </c>
      <c r="O3274" t="s">
        <v>17</v>
      </c>
      <c r="P3274" cm="1">
        <f t="array" ref="P3274">_xlfn.SWITCH(Table2[[#This Row],[mood]], "Tired", 3, "Neutral", 2, "Happy", 1)</f>
        <v>3</v>
      </c>
    </row>
    <row r="3275" spans="1:16" x14ac:dyDescent="0.3">
      <c r="A3275">
        <v>1205</v>
      </c>
      <c r="B3275" s="1">
        <v>45278</v>
      </c>
      <c r="C3275">
        <v>56</v>
      </c>
      <c r="D3275" t="s">
        <v>15</v>
      </c>
      <c r="E3275">
        <v>164.7</v>
      </c>
      <c r="F3275">
        <v>75.7</v>
      </c>
      <c r="G3275">
        <v>8690</v>
      </c>
      <c r="H3275">
        <v>580.79999999999995</v>
      </c>
      <c r="I3275">
        <v>10</v>
      </c>
      <c r="J3275">
        <v>71</v>
      </c>
      <c r="K3275" t="s">
        <v>16</v>
      </c>
      <c r="L3275">
        <v>0</v>
      </c>
      <c r="M3275">
        <v>2.3199999999999998</v>
      </c>
      <c r="N3275">
        <v>6</v>
      </c>
      <c r="O3275" t="s">
        <v>17</v>
      </c>
      <c r="P3275" cm="1">
        <f t="array" ref="P3275">_xlfn.SWITCH(Table2[[#This Row],[mood]], "Tired", 3, "Neutral", 2, "Happy", 1)</f>
        <v>3</v>
      </c>
    </row>
    <row r="3276" spans="1:16" x14ac:dyDescent="0.3">
      <c r="A3276">
        <v>1787</v>
      </c>
      <c r="B3276" s="1">
        <v>45279</v>
      </c>
      <c r="C3276">
        <v>36</v>
      </c>
      <c r="D3276" t="s">
        <v>20</v>
      </c>
      <c r="E3276">
        <v>168.3</v>
      </c>
      <c r="F3276">
        <v>69.7</v>
      </c>
      <c r="G3276">
        <v>13669</v>
      </c>
      <c r="H3276">
        <v>704.3</v>
      </c>
      <c r="I3276">
        <v>6</v>
      </c>
      <c r="J3276">
        <v>83</v>
      </c>
      <c r="K3276" t="s">
        <v>24</v>
      </c>
      <c r="L3276">
        <v>73</v>
      </c>
      <c r="M3276">
        <v>2.71</v>
      </c>
      <c r="N3276">
        <v>5</v>
      </c>
      <c r="O3276" t="s">
        <v>21</v>
      </c>
      <c r="P3276" cm="1">
        <f t="array" ref="P3276">_xlfn.SWITCH(Table2[[#This Row],[mood]], "Tired", 3, "Neutral", 2, "Happy", 1)</f>
        <v>1</v>
      </c>
    </row>
    <row r="3277" spans="1:16" x14ac:dyDescent="0.3">
      <c r="A3277">
        <v>1977</v>
      </c>
      <c r="B3277" s="1">
        <v>45280</v>
      </c>
      <c r="C3277">
        <v>23</v>
      </c>
      <c r="D3277" t="s">
        <v>15</v>
      </c>
      <c r="E3277">
        <v>177.9</v>
      </c>
      <c r="F3277">
        <v>48.6</v>
      </c>
      <c r="G3277">
        <v>19973</v>
      </c>
      <c r="H3277">
        <v>900</v>
      </c>
      <c r="I3277">
        <v>8.8000000000000007</v>
      </c>
      <c r="J3277">
        <v>83</v>
      </c>
      <c r="K3277" t="s">
        <v>23</v>
      </c>
      <c r="L3277">
        <v>50</v>
      </c>
      <c r="M3277">
        <v>3.47</v>
      </c>
      <c r="N3277">
        <v>4</v>
      </c>
      <c r="O3277" t="s">
        <v>21</v>
      </c>
      <c r="P3277" cm="1">
        <f t="array" ref="P3277">_xlfn.SWITCH(Table2[[#This Row],[mood]], "Tired", 3, "Neutral", 2, "Happy", 1)</f>
        <v>1</v>
      </c>
    </row>
    <row r="3278" spans="1:16" x14ac:dyDescent="0.3">
      <c r="A3278">
        <v>1767</v>
      </c>
      <c r="B3278" s="1">
        <v>45281</v>
      </c>
      <c r="C3278">
        <v>46</v>
      </c>
      <c r="D3278" t="s">
        <v>15</v>
      </c>
      <c r="E3278">
        <v>187.1</v>
      </c>
      <c r="F3278">
        <v>65.599999999999994</v>
      </c>
      <c r="G3278">
        <v>18847</v>
      </c>
      <c r="H3278">
        <v>900</v>
      </c>
      <c r="I3278">
        <v>5.7</v>
      </c>
      <c r="J3278">
        <v>54</v>
      </c>
      <c r="K3278" t="s">
        <v>23</v>
      </c>
      <c r="L3278">
        <v>51</v>
      </c>
      <c r="M3278">
        <v>3.05</v>
      </c>
      <c r="N3278">
        <v>2</v>
      </c>
      <c r="O3278" t="s">
        <v>17</v>
      </c>
      <c r="P3278" cm="1">
        <f t="array" ref="P3278">_xlfn.SWITCH(Table2[[#This Row],[mood]], "Tired", 3, "Neutral", 2, "Happy", 1)</f>
        <v>3</v>
      </c>
    </row>
    <row r="3279" spans="1:16" x14ac:dyDescent="0.3">
      <c r="A3279">
        <v>1265</v>
      </c>
      <c r="B3279" s="1">
        <v>45282</v>
      </c>
      <c r="C3279">
        <v>56</v>
      </c>
      <c r="D3279" t="s">
        <v>20</v>
      </c>
      <c r="E3279">
        <v>163.5</v>
      </c>
      <c r="F3279">
        <v>80</v>
      </c>
      <c r="G3279">
        <v>12554</v>
      </c>
      <c r="H3279">
        <v>615.79999999999995</v>
      </c>
      <c r="I3279">
        <v>6.2</v>
      </c>
      <c r="J3279">
        <v>61</v>
      </c>
      <c r="K3279" t="s">
        <v>16</v>
      </c>
      <c r="L3279">
        <v>0</v>
      </c>
      <c r="M3279">
        <v>1.69</v>
      </c>
      <c r="N3279">
        <v>10</v>
      </c>
      <c r="O3279" t="s">
        <v>21</v>
      </c>
      <c r="P3279" cm="1">
        <f t="array" ref="P3279">_xlfn.SWITCH(Table2[[#This Row],[mood]], "Tired", 3, "Neutral", 2, "Happy", 1)</f>
        <v>1</v>
      </c>
    </row>
    <row r="3280" spans="1:16" x14ac:dyDescent="0.3">
      <c r="A3280">
        <v>1536</v>
      </c>
      <c r="B3280" s="1">
        <v>45283</v>
      </c>
      <c r="C3280">
        <v>19</v>
      </c>
      <c r="D3280" t="s">
        <v>20</v>
      </c>
      <c r="E3280">
        <v>183.9</v>
      </c>
      <c r="F3280">
        <v>89.7</v>
      </c>
      <c r="G3280">
        <v>18431</v>
      </c>
      <c r="H3280">
        <v>900</v>
      </c>
      <c r="I3280">
        <v>9.1999999999999993</v>
      </c>
      <c r="J3280">
        <v>95</v>
      </c>
      <c r="K3280" t="s">
        <v>23</v>
      </c>
      <c r="L3280">
        <v>37</v>
      </c>
      <c r="M3280">
        <v>2.91</v>
      </c>
      <c r="N3280">
        <v>6</v>
      </c>
      <c r="O3280" t="s">
        <v>21</v>
      </c>
      <c r="P3280" cm="1">
        <f t="array" ref="P3280">_xlfn.SWITCH(Table2[[#This Row],[mood]], "Tired", 3, "Neutral", 2, "Happy", 1)</f>
        <v>1</v>
      </c>
    </row>
    <row r="3281" spans="1:16" x14ac:dyDescent="0.3">
      <c r="A3281">
        <v>1961</v>
      </c>
      <c r="B3281" s="1">
        <v>45284</v>
      </c>
      <c r="C3281">
        <v>36</v>
      </c>
      <c r="D3281" t="s">
        <v>20</v>
      </c>
      <c r="E3281">
        <v>167.2</v>
      </c>
      <c r="F3281">
        <v>84.4</v>
      </c>
      <c r="G3281">
        <v>5871</v>
      </c>
      <c r="H3281">
        <v>427.7</v>
      </c>
      <c r="I3281">
        <v>6.8</v>
      </c>
      <c r="J3281">
        <v>70</v>
      </c>
      <c r="K3281" t="s">
        <v>24</v>
      </c>
      <c r="L3281">
        <v>47</v>
      </c>
      <c r="M3281">
        <v>2.82</v>
      </c>
      <c r="N3281">
        <v>6</v>
      </c>
      <c r="O3281" t="s">
        <v>19</v>
      </c>
      <c r="P3281" cm="1">
        <f t="array" ref="P3281">_xlfn.SWITCH(Table2[[#This Row],[mood]], "Tired", 3, "Neutral", 2, "Happy", 1)</f>
        <v>2</v>
      </c>
    </row>
    <row r="3282" spans="1:16" x14ac:dyDescent="0.3">
      <c r="A3282">
        <v>1792</v>
      </c>
      <c r="B3282" s="1">
        <v>45285</v>
      </c>
      <c r="C3282">
        <v>21</v>
      </c>
      <c r="D3282" t="s">
        <v>20</v>
      </c>
      <c r="E3282">
        <v>161.1</v>
      </c>
      <c r="F3282">
        <v>75</v>
      </c>
      <c r="G3282">
        <v>14354</v>
      </c>
      <c r="H3282">
        <v>780.1</v>
      </c>
      <c r="I3282">
        <v>8</v>
      </c>
      <c r="J3282">
        <v>80</v>
      </c>
      <c r="K3282" t="s">
        <v>18</v>
      </c>
      <c r="L3282">
        <v>44</v>
      </c>
      <c r="M3282">
        <v>3.31</v>
      </c>
      <c r="N3282">
        <v>6</v>
      </c>
      <c r="O3282" t="s">
        <v>19</v>
      </c>
      <c r="P3282" cm="1">
        <f t="array" ref="P3282">_xlfn.SWITCH(Table2[[#This Row],[mood]], "Tired", 3, "Neutral", 2, "Happy", 1)</f>
        <v>2</v>
      </c>
    </row>
    <row r="3283" spans="1:16" x14ac:dyDescent="0.3">
      <c r="A3283">
        <v>1252</v>
      </c>
      <c r="B3283" s="1">
        <v>45286</v>
      </c>
      <c r="C3283">
        <v>23</v>
      </c>
      <c r="D3283" t="s">
        <v>20</v>
      </c>
      <c r="E3283">
        <v>172.5</v>
      </c>
      <c r="F3283">
        <v>91.9</v>
      </c>
      <c r="G3283">
        <v>6289</v>
      </c>
      <c r="H3283">
        <v>450</v>
      </c>
      <c r="I3283">
        <v>6.6</v>
      </c>
      <c r="J3283">
        <v>78</v>
      </c>
      <c r="K3283" t="s">
        <v>25</v>
      </c>
      <c r="L3283">
        <v>58</v>
      </c>
      <c r="M3283">
        <v>2.52</v>
      </c>
      <c r="N3283">
        <v>4</v>
      </c>
      <c r="O3283" t="s">
        <v>19</v>
      </c>
      <c r="P3283" cm="1">
        <f t="array" ref="P3283">_xlfn.SWITCH(Table2[[#This Row],[mood]], "Tired", 3, "Neutral", 2, "Happy", 1)</f>
        <v>2</v>
      </c>
    </row>
    <row r="3284" spans="1:16" x14ac:dyDescent="0.3">
      <c r="A3284">
        <v>1821</v>
      </c>
      <c r="B3284" s="1">
        <v>45287</v>
      </c>
      <c r="C3284">
        <v>54</v>
      </c>
      <c r="D3284" t="s">
        <v>15</v>
      </c>
      <c r="E3284">
        <v>158.4</v>
      </c>
      <c r="F3284">
        <v>76.400000000000006</v>
      </c>
      <c r="G3284">
        <v>18945</v>
      </c>
      <c r="H3284">
        <v>900</v>
      </c>
      <c r="I3284">
        <v>4.3</v>
      </c>
      <c r="J3284">
        <v>54</v>
      </c>
      <c r="K3284" t="s">
        <v>22</v>
      </c>
      <c r="L3284">
        <v>68</v>
      </c>
      <c r="M3284">
        <v>2.2400000000000002</v>
      </c>
      <c r="N3284">
        <v>8</v>
      </c>
      <c r="O3284" t="s">
        <v>19</v>
      </c>
      <c r="P3284" cm="1">
        <f t="array" ref="P3284">_xlfn.SWITCH(Table2[[#This Row],[mood]], "Tired", 3, "Neutral", 2, "Happy", 1)</f>
        <v>2</v>
      </c>
    </row>
    <row r="3285" spans="1:16" x14ac:dyDescent="0.3">
      <c r="A3285">
        <v>1288</v>
      </c>
      <c r="B3285" s="1">
        <v>45288</v>
      </c>
      <c r="C3285">
        <v>45</v>
      </c>
      <c r="D3285" t="s">
        <v>20</v>
      </c>
      <c r="E3285">
        <v>174.7</v>
      </c>
      <c r="F3285">
        <v>68.7</v>
      </c>
      <c r="G3285">
        <v>16831</v>
      </c>
      <c r="H3285">
        <v>826.5</v>
      </c>
      <c r="I3285">
        <v>10</v>
      </c>
      <c r="J3285">
        <v>68</v>
      </c>
      <c r="K3285" t="s">
        <v>18</v>
      </c>
      <c r="L3285">
        <v>23</v>
      </c>
      <c r="M3285">
        <v>1.54</v>
      </c>
      <c r="N3285">
        <v>1</v>
      </c>
      <c r="O3285" t="s">
        <v>17</v>
      </c>
      <c r="P3285" cm="1">
        <f t="array" ref="P3285">_xlfn.SWITCH(Table2[[#This Row],[mood]], "Tired", 3, "Neutral", 2, "Happy", 1)</f>
        <v>3</v>
      </c>
    </row>
    <row r="3286" spans="1:16" x14ac:dyDescent="0.3">
      <c r="A3286">
        <v>1163</v>
      </c>
      <c r="B3286" s="1">
        <v>45289</v>
      </c>
      <c r="C3286">
        <v>47</v>
      </c>
      <c r="D3286" t="s">
        <v>20</v>
      </c>
      <c r="E3286">
        <v>200</v>
      </c>
      <c r="F3286">
        <v>92.2</v>
      </c>
      <c r="G3286">
        <v>7286</v>
      </c>
      <c r="H3286">
        <v>475.2</v>
      </c>
      <c r="I3286">
        <v>6.7</v>
      </c>
      <c r="J3286">
        <v>82</v>
      </c>
      <c r="K3286" t="s">
        <v>25</v>
      </c>
      <c r="L3286">
        <v>71</v>
      </c>
      <c r="M3286">
        <v>2.0099999999999998</v>
      </c>
      <c r="N3286">
        <v>10</v>
      </c>
      <c r="O3286" t="s">
        <v>19</v>
      </c>
      <c r="P3286" cm="1">
        <f t="array" ref="P3286">_xlfn.SWITCH(Table2[[#This Row],[mood]], "Tired", 3, "Neutral", 2, "Happy", 1)</f>
        <v>2</v>
      </c>
    </row>
    <row r="3287" spans="1:16" x14ac:dyDescent="0.3">
      <c r="A3287">
        <v>1094</v>
      </c>
      <c r="B3287" s="1">
        <v>45290</v>
      </c>
      <c r="C3287">
        <v>24</v>
      </c>
      <c r="D3287" t="s">
        <v>20</v>
      </c>
      <c r="E3287">
        <v>181.1</v>
      </c>
      <c r="F3287">
        <v>80.8</v>
      </c>
      <c r="G3287">
        <v>17958</v>
      </c>
      <c r="H3287">
        <v>900</v>
      </c>
      <c r="I3287">
        <v>7.2</v>
      </c>
      <c r="J3287">
        <v>66</v>
      </c>
      <c r="K3287" t="s">
        <v>24</v>
      </c>
      <c r="L3287">
        <v>87</v>
      </c>
      <c r="M3287">
        <v>3.35</v>
      </c>
      <c r="N3287">
        <v>8</v>
      </c>
      <c r="O3287" t="s">
        <v>19</v>
      </c>
      <c r="P3287" cm="1">
        <f t="array" ref="P3287">_xlfn.SWITCH(Table2[[#This Row],[mood]], "Tired", 3, "Neutral", 2, "Happy", 1)</f>
        <v>2</v>
      </c>
    </row>
    <row r="3288" spans="1:16" x14ac:dyDescent="0.3">
      <c r="A3288">
        <v>1781</v>
      </c>
      <c r="B3288" s="1">
        <v>45291</v>
      </c>
      <c r="C3288">
        <v>26</v>
      </c>
      <c r="D3288" t="s">
        <v>15</v>
      </c>
      <c r="E3288">
        <v>169</v>
      </c>
      <c r="F3288">
        <v>89.5</v>
      </c>
      <c r="G3288">
        <v>14916</v>
      </c>
      <c r="H3288">
        <v>854.6</v>
      </c>
      <c r="I3288">
        <v>5.9</v>
      </c>
      <c r="J3288">
        <v>71</v>
      </c>
      <c r="K3288" t="s">
        <v>25</v>
      </c>
      <c r="L3288">
        <v>76</v>
      </c>
      <c r="M3288">
        <v>2.64</v>
      </c>
      <c r="N3288">
        <v>8</v>
      </c>
      <c r="O3288" t="s">
        <v>21</v>
      </c>
      <c r="P3288" cm="1">
        <f t="array" ref="P3288">_xlfn.SWITCH(Table2[[#This Row],[mood]], "Tired", 3, "Neutral", 2, "Happy", 1)</f>
        <v>1</v>
      </c>
    </row>
    <row r="3289" spans="1:16" x14ac:dyDescent="0.3">
      <c r="A3289">
        <v>1832</v>
      </c>
      <c r="B3289" s="1">
        <v>45292</v>
      </c>
      <c r="C3289">
        <v>42</v>
      </c>
      <c r="D3289" t="s">
        <v>20</v>
      </c>
      <c r="E3289">
        <v>180.5</v>
      </c>
      <c r="F3289">
        <v>52.2</v>
      </c>
      <c r="G3289">
        <v>10934</v>
      </c>
      <c r="H3289">
        <v>602.5</v>
      </c>
      <c r="I3289">
        <v>8.1999999999999993</v>
      </c>
      <c r="J3289">
        <v>63</v>
      </c>
      <c r="K3289" t="s">
        <v>24</v>
      </c>
      <c r="L3289">
        <v>32</v>
      </c>
      <c r="M3289">
        <v>2.4300000000000002</v>
      </c>
      <c r="N3289">
        <v>5</v>
      </c>
      <c r="O3289" t="s">
        <v>17</v>
      </c>
      <c r="P3289" cm="1">
        <f t="array" ref="P3289">_xlfn.SWITCH(Table2[[#This Row],[mood]], "Tired", 3, "Neutral", 2, "Happy", 1)</f>
        <v>3</v>
      </c>
    </row>
    <row r="3290" spans="1:16" x14ac:dyDescent="0.3">
      <c r="A3290">
        <v>1109</v>
      </c>
      <c r="B3290" s="1">
        <v>45293</v>
      </c>
      <c r="C3290">
        <v>50</v>
      </c>
      <c r="D3290" t="s">
        <v>15</v>
      </c>
      <c r="E3290">
        <v>160.69999999999999</v>
      </c>
      <c r="F3290">
        <v>57.1</v>
      </c>
      <c r="G3290">
        <v>13762</v>
      </c>
      <c r="H3290">
        <v>738.3</v>
      </c>
      <c r="I3290">
        <v>8.1</v>
      </c>
      <c r="J3290">
        <v>67</v>
      </c>
      <c r="K3290" t="s">
        <v>25</v>
      </c>
      <c r="L3290">
        <v>84</v>
      </c>
      <c r="M3290">
        <v>3.41</v>
      </c>
      <c r="N3290">
        <v>9</v>
      </c>
      <c r="O3290" t="s">
        <v>21</v>
      </c>
      <c r="P3290" cm="1">
        <f t="array" ref="P3290">_xlfn.SWITCH(Table2[[#This Row],[mood]], "Tired", 3, "Neutral", 2, "Happy", 1)</f>
        <v>1</v>
      </c>
    </row>
    <row r="3291" spans="1:16" x14ac:dyDescent="0.3">
      <c r="A3291">
        <v>1335</v>
      </c>
      <c r="B3291" s="1">
        <v>45294</v>
      </c>
      <c r="C3291">
        <v>18</v>
      </c>
      <c r="D3291" t="s">
        <v>20</v>
      </c>
      <c r="E3291">
        <v>162.4</v>
      </c>
      <c r="F3291">
        <v>57.7</v>
      </c>
      <c r="G3291">
        <v>11550</v>
      </c>
      <c r="H3291">
        <v>644.20000000000005</v>
      </c>
      <c r="I3291">
        <v>4.7</v>
      </c>
      <c r="J3291">
        <v>70</v>
      </c>
      <c r="K3291" t="s">
        <v>18</v>
      </c>
      <c r="L3291">
        <v>82</v>
      </c>
      <c r="M3291">
        <v>3.26</v>
      </c>
      <c r="N3291">
        <v>9</v>
      </c>
      <c r="O3291" t="s">
        <v>21</v>
      </c>
      <c r="P3291" cm="1">
        <f t="array" ref="P3291">_xlfn.SWITCH(Table2[[#This Row],[mood]], "Tired", 3, "Neutral", 2, "Happy", 1)</f>
        <v>1</v>
      </c>
    </row>
    <row r="3292" spans="1:16" x14ac:dyDescent="0.3">
      <c r="A3292">
        <v>1821</v>
      </c>
      <c r="B3292" s="1">
        <v>45295</v>
      </c>
      <c r="C3292">
        <v>23</v>
      </c>
      <c r="D3292" t="s">
        <v>20</v>
      </c>
      <c r="E3292">
        <v>169.2</v>
      </c>
      <c r="F3292">
        <v>72.7</v>
      </c>
      <c r="G3292">
        <v>5024</v>
      </c>
      <c r="H3292">
        <v>480.3</v>
      </c>
      <c r="I3292">
        <v>7.3</v>
      </c>
      <c r="J3292">
        <v>56</v>
      </c>
      <c r="K3292" t="s">
        <v>16</v>
      </c>
      <c r="L3292">
        <v>0</v>
      </c>
      <c r="M3292">
        <v>1.98</v>
      </c>
      <c r="N3292">
        <v>10</v>
      </c>
      <c r="O3292" t="s">
        <v>21</v>
      </c>
      <c r="P3292" cm="1">
        <f t="array" ref="P3292">_xlfn.SWITCH(Table2[[#This Row],[mood]], "Tired", 3, "Neutral", 2, "Happy", 1)</f>
        <v>1</v>
      </c>
    </row>
    <row r="3293" spans="1:16" x14ac:dyDescent="0.3">
      <c r="A3293">
        <v>1237</v>
      </c>
      <c r="B3293" s="1">
        <v>45296</v>
      </c>
      <c r="C3293">
        <v>35</v>
      </c>
      <c r="D3293" t="s">
        <v>15</v>
      </c>
      <c r="E3293">
        <v>170.9</v>
      </c>
      <c r="F3293">
        <v>97.4</v>
      </c>
      <c r="G3293">
        <v>9722</v>
      </c>
      <c r="H3293">
        <v>622.1</v>
      </c>
      <c r="I3293">
        <v>8.3000000000000007</v>
      </c>
      <c r="J3293">
        <v>87</v>
      </c>
      <c r="K3293" t="s">
        <v>16</v>
      </c>
      <c r="L3293">
        <v>0</v>
      </c>
      <c r="M3293">
        <v>3.34</v>
      </c>
      <c r="N3293">
        <v>4</v>
      </c>
      <c r="O3293" t="s">
        <v>19</v>
      </c>
      <c r="P3293" cm="1">
        <f t="array" ref="P3293">_xlfn.SWITCH(Table2[[#This Row],[mood]], "Tired", 3, "Neutral", 2, "Happy", 1)</f>
        <v>2</v>
      </c>
    </row>
    <row r="3294" spans="1:16" x14ac:dyDescent="0.3">
      <c r="A3294">
        <v>1380</v>
      </c>
      <c r="B3294" s="1">
        <v>45297</v>
      </c>
      <c r="C3294">
        <v>27</v>
      </c>
      <c r="D3294" t="s">
        <v>20</v>
      </c>
      <c r="E3294">
        <v>157.1</v>
      </c>
      <c r="F3294">
        <v>52.9</v>
      </c>
      <c r="G3294">
        <v>18374</v>
      </c>
      <c r="H3294">
        <v>888.3</v>
      </c>
      <c r="I3294">
        <v>8.8000000000000007</v>
      </c>
      <c r="J3294">
        <v>61</v>
      </c>
      <c r="K3294" t="s">
        <v>16</v>
      </c>
      <c r="L3294">
        <v>0</v>
      </c>
      <c r="M3294">
        <v>1.34</v>
      </c>
      <c r="N3294">
        <v>2</v>
      </c>
      <c r="O3294" t="s">
        <v>17</v>
      </c>
      <c r="P3294" cm="1">
        <f t="array" ref="P3294">_xlfn.SWITCH(Table2[[#This Row],[mood]], "Tired", 3, "Neutral", 2, "Happy", 1)</f>
        <v>3</v>
      </c>
    </row>
    <row r="3295" spans="1:16" x14ac:dyDescent="0.3">
      <c r="A3295">
        <v>1435</v>
      </c>
      <c r="B3295" s="1">
        <v>45298</v>
      </c>
      <c r="C3295">
        <v>45</v>
      </c>
      <c r="D3295" t="s">
        <v>20</v>
      </c>
      <c r="E3295">
        <v>166.9</v>
      </c>
      <c r="F3295">
        <v>83.6</v>
      </c>
      <c r="G3295">
        <v>3120</v>
      </c>
      <c r="H3295">
        <v>344.7</v>
      </c>
      <c r="I3295">
        <v>8</v>
      </c>
      <c r="J3295">
        <v>73</v>
      </c>
      <c r="K3295" t="s">
        <v>24</v>
      </c>
      <c r="L3295">
        <v>80</v>
      </c>
      <c r="M3295">
        <v>2.82</v>
      </c>
      <c r="N3295">
        <v>1</v>
      </c>
      <c r="O3295" t="s">
        <v>19</v>
      </c>
      <c r="P3295" cm="1">
        <f t="array" ref="P3295">_xlfn.SWITCH(Table2[[#This Row],[mood]], "Tired", 3, "Neutral", 2, "Happy", 1)</f>
        <v>2</v>
      </c>
    </row>
    <row r="3296" spans="1:16" x14ac:dyDescent="0.3">
      <c r="A3296">
        <v>1898</v>
      </c>
      <c r="B3296" s="1">
        <v>45299</v>
      </c>
      <c r="C3296">
        <v>28</v>
      </c>
      <c r="D3296" t="s">
        <v>15</v>
      </c>
      <c r="E3296">
        <v>168.6</v>
      </c>
      <c r="F3296">
        <v>52</v>
      </c>
      <c r="G3296">
        <v>19825</v>
      </c>
      <c r="H3296">
        <v>900</v>
      </c>
      <c r="I3296">
        <v>8.1</v>
      </c>
      <c r="J3296">
        <v>68</v>
      </c>
      <c r="K3296" t="s">
        <v>23</v>
      </c>
      <c r="L3296">
        <v>26</v>
      </c>
      <c r="M3296">
        <v>2.74</v>
      </c>
      <c r="N3296">
        <v>8</v>
      </c>
      <c r="O3296" t="s">
        <v>17</v>
      </c>
      <c r="P3296" cm="1">
        <f t="array" ref="P3296">_xlfn.SWITCH(Table2[[#This Row],[mood]], "Tired", 3, "Neutral", 2, "Happy", 1)</f>
        <v>3</v>
      </c>
    </row>
    <row r="3297" spans="1:16" x14ac:dyDescent="0.3">
      <c r="A3297">
        <v>1482</v>
      </c>
      <c r="B3297" s="1">
        <v>45300</v>
      </c>
      <c r="C3297">
        <v>50</v>
      </c>
      <c r="D3297" t="s">
        <v>20</v>
      </c>
      <c r="E3297">
        <v>185.4</v>
      </c>
      <c r="F3297">
        <v>101.8</v>
      </c>
      <c r="G3297">
        <v>6877</v>
      </c>
      <c r="H3297">
        <v>488.1</v>
      </c>
      <c r="I3297">
        <v>6.2</v>
      </c>
      <c r="J3297">
        <v>86</v>
      </c>
      <c r="K3297" t="s">
        <v>16</v>
      </c>
      <c r="L3297">
        <v>0</v>
      </c>
      <c r="M3297">
        <v>3.3</v>
      </c>
      <c r="N3297">
        <v>8</v>
      </c>
      <c r="O3297" t="s">
        <v>21</v>
      </c>
      <c r="P3297" cm="1">
        <f t="array" ref="P3297">_xlfn.SWITCH(Table2[[#This Row],[mood]], "Tired", 3, "Neutral", 2, "Happy", 1)</f>
        <v>1</v>
      </c>
    </row>
    <row r="3298" spans="1:16" x14ac:dyDescent="0.3">
      <c r="A3298">
        <v>1936</v>
      </c>
      <c r="B3298" s="1">
        <v>45301</v>
      </c>
      <c r="C3298">
        <v>18</v>
      </c>
      <c r="D3298" t="s">
        <v>15</v>
      </c>
      <c r="E3298">
        <v>157.1</v>
      </c>
      <c r="F3298">
        <v>46.1</v>
      </c>
      <c r="G3298">
        <v>11720</v>
      </c>
      <c r="H3298">
        <v>737.1</v>
      </c>
      <c r="I3298">
        <v>5.2</v>
      </c>
      <c r="J3298">
        <v>63</v>
      </c>
      <c r="K3298" t="s">
        <v>24</v>
      </c>
      <c r="L3298">
        <v>36</v>
      </c>
      <c r="M3298">
        <v>2.77</v>
      </c>
      <c r="N3298">
        <v>7</v>
      </c>
      <c r="O3298" t="s">
        <v>17</v>
      </c>
      <c r="P3298" cm="1">
        <f t="array" ref="P3298">_xlfn.SWITCH(Table2[[#This Row],[mood]], "Tired", 3, "Neutral", 2, "Happy", 1)</f>
        <v>3</v>
      </c>
    </row>
    <row r="3299" spans="1:16" x14ac:dyDescent="0.3">
      <c r="A3299">
        <v>1901</v>
      </c>
      <c r="B3299" s="1">
        <v>45302</v>
      </c>
      <c r="C3299">
        <v>30</v>
      </c>
      <c r="D3299" t="s">
        <v>15</v>
      </c>
      <c r="E3299">
        <v>156.1</v>
      </c>
      <c r="F3299">
        <v>81.099999999999994</v>
      </c>
      <c r="G3299">
        <v>19904</v>
      </c>
      <c r="H3299">
        <v>898.3</v>
      </c>
      <c r="I3299">
        <v>6.5</v>
      </c>
      <c r="J3299">
        <v>67</v>
      </c>
      <c r="K3299" t="s">
        <v>24</v>
      </c>
      <c r="L3299">
        <v>79</v>
      </c>
      <c r="M3299">
        <v>2.33</v>
      </c>
      <c r="N3299">
        <v>3</v>
      </c>
      <c r="O3299" t="s">
        <v>21</v>
      </c>
      <c r="P3299" cm="1">
        <f t="array" ref="P3299">_xlfn.SWITCH(Table2[[#This Row],[mood]], "Tired", 3, "Neutral", 2, "Happy", 1)</f>
        <v>1</v>
      </c>
    </row>
    <row r="3300" spans="1:16" x14ac:dyDescent="0.3">
      <c r="A3300">
        <v>1024</v>
      </c>
      <c r="B3300" s="1">
        <v>45303</v>
      </c>
      <c r="C3300">
        <v>54</v>
      </c>
      <c r="D3300" t="s">
        <v>15</v>
      </c>
      <c r="E3300">
        <v>171.8</v>
      </c>
      <c r="F3300">
        <v>83.2</v>
      </c>
      <c r="G3300">
        <v>18335</v>
      </c>
      <c r="H3300">
        <v>883</v>
      </c>
      <c r="I3300">
        <v>5.0999999999999996</v>
      </c>
      <c r="J3300">
        <v>62</v>
      </c>
      <c r="K3300" t="s">
        <v>25</v>
      </c>
      <c r="L3300">
        <v>85</v>
      </c>
      <c r="M3300">
        <v>2.38</v>
      </c>
      <c r="N3300">
        <v>3</v>
      </c>
      <c r="O3300" t="s">
        <v>19</v>
      </c>
      <c r="P3300" cm="1">
        <f t="array" ref="P3300">_xlfn.SWITCH(Table2[[#This Row],[mood]], "Tired", 3, "Neutral", 2, "Happy", 1)</f>
        <v>2</v>
      </c>
    </row>
    <row r="3301" spans="1:16" x14ac:dyDescent="0.3">
      <c r="A3301">
        <v>1652</v>
      </c>
      <c r="B3301" s="1">
        <v>45304</v>
      </c>
      <c r="C3301">
        <v>37</v>
      </c>
      <c r="D3301" t="s">
        <v>15</v>
      </c>
      <c r="E3301">
        <v>181.5</v>
      </c>
      <c r="F3301">
        <v>79.3</v>
      </c>
      <c r="G3301">
        <v>15659</v>
      </c>
      <c r="H3301">
        <v>834.2</v>
      </c>
      <c r="I3301">
        <v>5.9</v>
      </c>
      <c r="J3301">
        <v>51</v>
      </c>
      <c r="K3301" t="s">
        <v>24</v>
      </c>
      <c r="L3301">
        <v>57</v>
      </c>
      <c r="M3301">
        <v>4.3899999999999997</v>
      </c>
      <c r="N3301">
        <v>10</v>
      </c>
      <c r="O3301" t="s">
        <v>21</v>
      </c>
      <c r="P3301" cm="1">
        <f t="array" ref="P3301">_xlfn.SWITCH(Table2[[#This Row],[mood]], "Tired", 3, "Neutral", 2, "Happy", 1)</f>
        <v>1</v>
      </c>
    </row>
    <row r="3302" spans="1:16" x14ac:dyDescent="0.3">
      <c r="A3302">
        <v>1116</v>
      </c>
      <c r="B3302" s="1">
        <v>45305</v>
      </c>
      <c r="C3302">
        <v>18</v>
      </c>
      <c r="D3302" t="s">
        <v>15</v>
      </c>
      <c r="E3302">
        <v>175.5</v>
      </c>
      <c r="F3302">
        <v>56.8</v>
      </c>
      <c r="G3302">
        <v>1964</v>
      </c>
      <c r="H3302">
        <v>258.8</v>
      </c>
      <c r="I3302">
        <v>5.9</v>
      </c>
      <c r="J3302">
        <v>80</v>
      </c>
      <c r="K3302" t="s">
        <v>25</v>
      </c>
      <c r="L3302">
        <v>32</v>
      </c>
      <c r="M3302">
        <v>2.56</v>
      </c>
      <c r="N3302">
        <v>8</v>
      </c>
      <c r="O3302" t="s">
        <v>19</v>
      </c>
      <c r="P3302" cm="1">
        <f t="array" ref="P3302">_xlfn.SWITCH(Table2[[#This Row],[mood]], "Tired", 3, "Neutral", 2, "Happy", 1)</f>
        <v>2</v>
      </c>
    </row>
    <row r="3303" spans="1:16" x14ac:dyDescent="0.3">
      <c r="A3303">
        <v>1481</v>
      </c>
      <c r="B3303" s="1">
        <v>45306</v>
      </c>
      <c r="C3303">
        <v>20</v>
      </c>
      <c r="D3303" t="s">
        <v>20</v>
      </c>
      <c r="E3303">
        <v>173</v>
      </c>
      <c r="F3303">
        <v>54.2</v>
      </c>
      <c r="G3303">
        <v>3134</v>
      </c>
      <c r="H3303">
        <v>336.1</v>
      </c>
      <c r="I3303">
        <v>5.6</v>
      </c>
      <c r="J3303">
        <v>75</v>
      </c>
      <c r="K3303" t="s">
        <v>18</v>
      </c>
      <c r="L3303">
        <v>71</v>
      </c>
      <c r="M3303">
        <v>2.92</v>
      </c>
      <c r="N3303">
        <v>8</v>
      </c>
      <c r="O3303" t="s">
        <v>19</v>
      </c>
      <c r="P3303" cm="1">
        <f t="array" ref="P3303">_xlfn.SWITCH(Table2[[#This Row],[mood]], "Tired", 3, "Neutral", 2, "Happy", 1)</f>
        <v>2</v>
      </c>
    </row>
    <row r="3304" spans="1:16" x14ac:dyDescent="0.3">
      <c r="A3304">
        <v>1391</v>
      </c>
      <c r="B3304" s="1">
        <v>45307</v>
      </c>
      <c r="C3304">
        <v>35</v>
      </c>
      <c r="D3304" t="s">
        <v>20</v>
      </c>
      <c r="E3304">
        <v>167.1</v>
      </c>
      <c r="F3304">
        <v>89.1</v>
      </c>
      <c r="G3304">
        <v>3244</v>
      </c>
      <c r="H3304">
        <v>325.60000000000002</v>
      </c>
      <c r="I3304">
        <v>7.8</v>
      </c>
      <c r="J3304">
        <v>77</v>
      </c>
      <c r="K3304" t="s">
        <v>24</v>
      </c>
      <c r="L3304">
        <v>71</v>
      </c>
      <c r="M3304">
        <v>1.0900000000000001</v>
      </c>
      <c r="N3304">
        <v>2</v>
      </c>
      <c r="O3304" t="s">
        <v>19</v>
      </c>
      <c r="P3304" cm="1">
        <f t="array" ref="P3304">_xlfn.SWITCH(Table2[[#This Row],[mood]], "Tired", 3, "Neutral", 2, "Happy", 1)</f>
        <v>2</v>
      </c>
    </row>
    <row r="3305" spans="1:16" x14ac:dyDescent="0.3">
      <c r="A3305">
        <v>1916</v>
      </c>
      <c r="B3305" s="1">
        <v>45308</v>
      </c>
      <c r="C3305">
        <v>58</v>
      </c>
      <c r="D3305" t="s">
        <v>20</v>
      </c>
      <c r="E3305">
        <v>176.8</v>
      </c>
      <c r="F3305">
        <v>85.7</v>
      </c>
      <c r="G3305">
        <v>3803</v>
      </c>
      <c r="H3305">
        <v>268.10000000000002</v>
      </c>
      <c r="I3305">
        <v>5.5</v>
      </c>
      <c r="J3305">
        <v>83</v>
      </c>
      <c r="K3305" t="s">
        <v>23</v>
      </c>
      <c r="L3305">
        <v>51</v>
      </c>
      <c r="M3305">
        <v>1.92</v>
      </c>
      <c r="N3305">
        <v>1</v>
      </c>
      <c r="O3305" t="s">
        <v>21</v>
      </c>
      <c r="P3305" cm="1">
        <f t="array" ref="P3305">_xlfn.SWITCH(Table2[[#This Row],[mood]], "Tired", 3, "Neutral", 2, "Happy", 1)</f>
        <v>1</v>
      </c>
    </row>
    <row r="3306" spans="1:16" x14ac:dyDescent="0.3">
      <c r="A3306">
        <v>1993</v>
      </c>
      <c r="B3306" s="1">
        <v>45309</v>
      </c>
      <c r="C3306">
        <v>31</v>
      </c>
      <c r="D3306" t="s">
        <v>15</v>
      </c>
      <c r="E3306">
        <v>178.3</v>
      </c>
      <c r="F3306">
        <v>85.5</v>
      </c>
      <c r="G3306">
        <v>4911</v>
      </c>
      <c r="H3306">
        <v>427.5</v>
      </c>
      <c r="I3306">
        <v>9.8000000000000007</v>
      </c>
      <c r="J3306">
        <v>76</v>
      </c>
      <c r="K3306" t="s">
        <v>23</v>
      </c>
      <c r="L3306">
        <v>28</v>
      </c>
      <c r="M3306">
        <v>2.86</v>
      </c>
      <c r="N3306">
        <v>1</v>
      </c>
      <c r="O3306" t="s">
        <v>19</v>
      </c>
      <c r="P3306" cm="1">
        <f t="array" ref="P3306">_xlfn.SWITCH(Table2[[#This Row],[mood]], "Tired", 3, "Neutral", 2, "Happy", 1)</f>
        <v>2</v>
      </c>
    </row>
    <row r="3307" spans="1:16" x14ac:dyDescent="0.3">
      <c r="A3307">
        <v>1963</v>
      </c>
      <c r="B3307" s="1">
        <v>45310</v>
      </c>
      <c r="C3307">
        <v>48</v>
      </c>
      <c r="D3307" t="s">
        <v>15</v>
      </c>
      <c r="E3307">
        <v>167.4</v>
      </c>
      <c r="F3307">
        <v>87.3</v>
      </c>
      <c r="G3307">
        <v>12216</v>
      </c>
      <c r="H3307">
        <v>621.9</v>
      </c>
      <c r="I3307">
        <v>8.5</v>
      </c>
      <c r="J3307">
        <v>71</v>
      </c>
      <c r="K3307" t="s">
        <v>18</v>
      </c>
      <c r="L3307">
        <v>36</v>
      </c>
      <c r="M3307">
        <v>1.37</v>
      </c>
      <c r="N3307">
        <v>1</v>
      </c>
      <c r="O3307" t="s">
        <v>17</v>
      </c>
      <c r="P3307" cm="1">
        <f t="array" ref="P3307">_xlfn.SWITCH(Table2[[#This Row],[mood]], "Tired", 3, "Neutral", 2, "Happy", 1)</f>
        <v>3</v>
      </c>
    </row>
    <row r="3308" spans="1:16" x14ac:dyDescent="0.3">
      <c r="A3308">
        <v>1536</v>
      </c>
      <c r="B3308" s="1">
        <v>45311</v>
      </c>
      <c r="C3308">
        <v>44</v>
      </c>
      <c r="D3308" t="s">
        <v>15</v>
      </c>
      <c r="E3308">
        <v>160.5</v>
      </c>
      <c r="F3308">
        <v>47</v>
      </c>
      <c r="G3308">
        <v>2408</v>
      </c>
      <c r="H3308">
        <v>306.60000000000002</v>
      </c>
      <c r="I3308">
        <v>8.8000000000000007</v>
      </c>
      <c r="J3308">
        <v>78</v>
      </c>
      <c r="K3308" t="s">
        <v>16</v>
      </c>
      <c r="L3308">
        <v>0</v>
      </c>
      <c r="M3308">
        <v>2.88</v>
      </c>
      <c r="N3308">
        <v>3</v>
      </c>
      <c r="O3308" t="s">
        <v>17</v>
      </c>
      <c r="P3308" cm="1">
        <f t="array" ref="P3308">_xlfn.SWITCH(Table2[[#This Row],[mood]], "Tired", 3, "Neutral", 2, "Happy", 1)</f>
        <v>3</v>
      </c>
    </row>
    <row r="3309" spans="1:16" x14ac:dyDescent="0.3">
      <c r="A3309">
        <v>1078</v>
      </c>
      <c r="B3309" s="1">
        <v>45312</v>
      </c>
      <c r="C3309">
        <v>34</v>
      </c>
      <c r="D3309" t="s">
        <v>15</v>
      </c>
      <c r="E3309">
        <v>160.6</v>
      </c>
      <c r="F3309">
        <v>46.5</v>
      </c>
      <c r="G3309">
        <v>14195</v>
      </c>
      <c r="H3309">
        <v>745.1</v>
      </c>
      <c r="I3309">
        <v>6</v>
      </c>
      <c r="J3309">
        <v>70</v>
      </c>
      <c r="K3309" t="s">
        <v>23</v>
      </c>
      <c r="L3309">
        <v>73</v>
      </c>
      <c r="M3309">
        <v>1.99</v>
      </c>
      <c r="N3309">
        <v>1</v>
      </c>
      <c r="O3309" t="s">
        <v>17</v>
      </c>
      <c r="P3309" cm="1">
        <f t="array" ref="P3309">_xlfn.SWITCH(Table2[[#This Row],[mood]], "Tired", 3, "Neutral", 2, "Happy", 1)</f>
        <v>3</v>
      </c>
    </row>
    <row r="3310" spans="1:16" x14ac:dyDescent="0.3">
      <c r="A3310">
        <v>1579</v>
      </c>
      <c r="B3310" s="1">
        <v>45313</v>
      </c>
      <c r="C3310">
        <v>46</v>
      </c>
      <c r="D3310" t="s">
        <v>20</v>
      </c>
      <c r="E3310">
        <v>178.8</v>
      </c>
      <c r="F3310">
        <v>59.9</v>
      </c>
      <c r="G3310">
        <v>12170</v>
      </c>
      <c r="H3310">
        <v>806.9</v>
      </c>
      <c r="I3310">
        <v>7.3</v>
      </c>
      <c r="J3310">
        <v>86</v>
      </c>
      <c r="K3310" t="s">
        <v>25</v>
      </c>
      <c r="L3310">
        <v>73</v>
      </c>
      <c r="M3310">
        <v>1.78</v>
      </c>
      <c r="N3310">
        <v>8</v>
      </c>
      <c r="O3310" t="s">
        <v>17</v>
      </c>
      <c r="P3310" cm="1">
        <f t="array" ref="P3310">_xlfn.SWITCH(Table2[[#This Row],[mood]], "Tired", 3, "Neutral", 2, "Happy", 1)</f>
        <v>3</v>
      </c>
    </row>
    <row r="3311" spans="1:16" x14ac:dyDescent="0.3">
      <c r="A3311">
        <v>1172</v>
      </c>
      <c r="B3311" s="1">
        <v>45314</v>
      </c>
      <c r="C3311">
        <v>53</v>
      </c>
      <c r="D3311" t="s">
        <v>20</v>
      </c>
      <c r="E3311">
        <v>154.6</v>
      </c>
      <c r="F3311">
        <v>62.8</v>
      </c>
      <c r="G3311">
        <v>8663</v>
      </c>
      <c r="H3311">
        <v>540.5</v>
      </c>
      <c r="I3311">
        <v>5.4</v>
      </c>
      <c r="J3311">
        <v>71</v>
      </c>
      <c r="K3311" t="s">
        <v>24</v>
      </c>
      <c r="L3311">
        <v>47</v>
      </c>
      <c r="M3311">
        <v>1.99</v>
      </c>
      <c r="N3311">
        <v>8</v>
      </c>
      <c r="O3311" t="s">
        <v>19</v>
      </c>
      <c r="P3311" cm="1">
        <f t="array" ref="P3311">_xlfn.SWITCH(Table2[[#This Row],[mood]], "Tired", 3, "Neutral", 2, "Happy", 1)</f>
        <v>2</v>
      </c>
    </row>
    <row r="3312" spans="1:16" x14ac:dyDescent="0.3">
      <c r="A3312">
        <v>1955</v>
      </c>
      <c r="B3312" s="1">
        <v>45315</v>
      </c>
      <c r="C3312">
        <v>54</v>
      </c>
      <c r="D3312" t="s">
        <v>15</v>
      </c>
      <c r="E3312">
        <v>186.8</v>
      </c>
      <c r="F3312">
        <v>61.2</v>
      </c>
      <c r="G3312">
        <v>10809</v>
      </c>
      <c r="H3312">
        <v>649.9</v>
      </c>
      <c r="I3312">
        <v>7.3</v>
      </c>
      <c r="J3312">
        <v>74</v>
      </c>
      <c r="K3312" t="s">
        <v>22</v>
      </c>
      <c r="L3312">
        <v>69</v>
      </c>
      <c r="M3312">
        <v>3.57</v>
      </c>
      <c r="N3312">
        <v>9</v>
      </c>
      <c r="O3312" t="s">
        <v>17</v>
      </c>
      <c r="P3312" cm="1">
        <f t="array" ref="P3312">_xlfn.SWITCH(Table2[[#This Row],[mood]], "Tired", 3, "Neutral", 2, "Happy", 1)</f>
        <v>3</v>
      </c>
    </row>
    <row r="3313" spans="1:16" x14ac:dyDescent="0.3">
      <c r="A3313">
        <v>1011</v>
      </c>
      <c r="B3313" s="1">
        <v>45316</v>
      </c>
      <c r="C3313">
        <v>43</v>
      </c>
      <c r="D3313" t="s">
        <v>15</v>
      </c>
      <c r="E3313">
        <v>165.4</v>
      </c>
      <c r="F3313">
        <v>74.2</v>
      </c>
      <c r="G3313">
        <v>8113</v>
      </c>
      <c r="H3313">
        <v>552.20000000000005</v>
      </c>
      <c r="I3313">
        <v>4.3</v>
      </c>
      <c r="J3313">
        <v>81</v>
      </c>
      <c r="K3313" t="s">
        <v>24</v>
      </c>
      <c r="L3313">
        <v>37</v>
      </c>
      <c r="M3313">
        <v>2.73</v>
      </c>
      <c r="N3313">
        <v>4</v>
      </c>
      <c r="O3313" t="s">
        <v>21</v>
      </c>
      <c r="P3313" cm="1">
        <f t="array" ref="P3313">_xlfn.SWITCH(Table2[[#This Row],[mood]], "Tired", 3, "Neutral", 2, "Happy", 1)</f>
        <v>1</v>
      </c>
    </row>
    <row r="3314" spans="1:16" x14ac:dyDescent="0.3">
      <c r="A3314">
        <v>1799</v>
      </c>
      <c r="B3314" s="1">
        <v>45317</v>
      </c>
      <c r="C3314">
        <v>34</v>
      </c>
      <c r="D3314" t="s">
        <v>20</v>
      </c>
      <c r="E3314">
        <v>173.1</v>
      </c>
      <c r="F3314">
        <v>86.7</v>
      </c>
      <c r="G3314">
        <v>9142</v>
      </c>
      <c r="H3314">
        <v>582.6</v>
      </c>
      <c r="I3314">
        <v>8.6</v>
      </c>
      <c r="J3314">
        <v>98</v>
      </c>
      <c r="K3314" t="s">
        <v>24</v>
      </c>
      <c r="L3314">
        <v>32</v>
      </c>
      <c r="M3314">
        <v>1.86</v>
      </c>
      <c r="N3314">
        <v>8</v>
      </c>
      <c r="O3314" t="s">
        <v>17</v>
      </c>
      <c r="P3314" cm="1">
        <f t="array" ref="P3314">_xlfn.SWITCH(Table2[[#This Row],[mood]], "Tired", 3, "Neutral", 2, "Happy", 1)</f>
        <v>3</v>
      </c>
    </row>
    <row r="3315" spans="1:16" x14ac:dyDescent="0.3">
      <c r="A3315">
        <v>1127</v>
      </c>
      <c r="B3315" s="1">
        <v>45318</v>
      </c>
      <c r="C3315">
        <v>39</v>
      </c>
      <c r="D3315" t="s">
        <v>15</v>
      </c>
      <c r="E3315">
        <v>177</v>
      </c>
      <c r="F3315">
        <v>65.599999999999994</v>
      </c>
      <c r="G3315">
        <v>14778</v>
      </c>
      <c r="H3315">
        <v>789.8</v>
      </c>
      <c r="I3315">
        <v>6</v>
      </c>
      <c r="J3315">
        <v>65</v>
      </c>
      <c r="K3315" t="s">
        <v>22</v>
      </c>
      <c r="L3315">
        <v>52</v>
      </c>
      <c r="M3315">
        <v>3.04</v>
      </c>
      <c r="N3315">
        <v>7</v>
      </c>
      <c r="O3315" t="s">
        <v>17</v>
      </c>
      <c r="P3315" cm="1">
        <f t="array" ref="P3315">_xlfn.SWITCH(Table2[[#This Row],[mood]], "Tired", 3, "Neutral", 2, "Happy", 1)</f>
        <v>3</v>
      </c>
    </row>
    <row r="3316" spans="1:16" x14ac:dyDescent="0.3">
      <c r="A3316">
        <v>1607</v>
      </c>
      <c r="B3316" s="1">
        <v>45319</v>
      </c>
      <c r="C3316">
        <v>42</v>
      </c>
      <c r="D3316" t="s">
        <v>15</v>
      </c>
      <c r="E3316">
        <v>163.19999999999999</v>
      </c>
      <c r="F3316">
        <v>57.8</v>
      </c>
      <c r="G3316">
        <v>18772</v>
      </c>
      <c r="H3316">
        <v>900</v>
      </c>
      <c r="I3316">
        <v>7.5</v>
      </c>
      <c r="J3316">
        <v>63</v>
      </c>
      <c r="K3316" t="s">
        <v>16</v>
      </c>
      <c r="L3316">
        <v>0</v>
      </c>
      <c r="M3316">
        <v>3.08</v>
      </c>
      <c r="N3316">
        <v>4</v>
      </c>
      <c r="O3316" t="s">
        <v>21</v>
      </c>
      <c r="P3316" cm="1">
        <f t="array" ref="P3316">_xlfn.SWITCH(Table2[[#This Row],[mood]], "Tired", 3, "Neutral", 2, "Happy", 1)</f>
        <v>1</v>
      </c>
    </row>
    <row r="3317" spans="1:16" x14ac:dyDescent="0.3">
      <c r="A3317">
        <v>1091</v>
      </c>
      <c r="B3317" s="1">
        <v>45320</v>
      </c>
      <c r="C3317">
        <v>19</v>
      </c>
      <c r="D3317" t="s">
        <v>15</v>
      </c>
      <c r="E3317">
        <v>165.4</v>
      </c>
      <c r="F3317">
        <v>82.2</v>
      </c>
      <c r="G3317">
        <v>5367</v>
      </c>
      <c r="H3317">
        <v>409.1</v>
      </c>
      <c r="I3317">
        <v>7.7</v>
      </c>
      <c r="J3317">
        <v>73</v>
      </c>
      <c r="K3317" t="s">
        <v>23</v>
      </c>
      <c r="L3317">
        <v>57</v>
      </c>
      <c r="M3317">
        <v>2.23</v>
      </c>
      <c r="N3317">
        <v>1</v>
      </c>
      <c r="O3317" t="s">
        <v>21</v>
      </c>
      <c r="P3317" cm="1">
        <f t="array" ref="P3317">_xlfn.SWITCH(Table2[[#This Row],[mood]], "Tired", 3, "Neutral", 2, "Happy", 1)</f>
        <v>1</v>
      </c>
    </row>
    <row r="3318" spans="1:16" x14ac:dyDescent="0.3">
      <c r="A3318">
        <v>1652</v>
      </c>
      <c r="B3318" s="1">
        <v>45321</v>
      </c>
      <c r="C3318">
        <v>39</v>
      </c>
      <c r="D3318" t="s">
        <v>20</v>
      </c>
      <c r="E3318">
        <v>171.3</v>
      </c>
      <c r="F3318">
        <v>65.8</v>
      </c>
      <c r="G3318">
        <v>13679</v>
      </c>
      <c r="H3318">
        <v>653.9</v>
      </c>
      <c r="I3318">
        <v>6.2</v>
      </c>
      <c r="J3318">
        <v>68</v>
      </c>
      <c r="K3318" t="s">
        <v>23</v>
      </c>
      <c r="L3318">
        <v>25</v>
      </c>
      <c r="M3318">
        <v>3.17</v>
      </c>
      <c r="N3318">
        <v>3</v>
      </c>
      <c r="O3318" t="s">
        <v>17</v>
      </c>
      <c r="P3318" cm="1">
        <f t="array" ref="P3318">_xlfn.SWITCH(Table2[[#This Row],[mood]], "Tired", 3, "Neutral", 2, "Happy", 1)</f>
        <v>3</v>
      </c>
    </row>
    <row r="3319" spans="1:16" x14ac:dyDescent="0.3">
      <c r="A3319">
        <v>1542</v>
      </c>
      <c r="B3319" s="1">
        <v>45322</v>
      </c>
      <c r="C3319">
        <v>22</v>
      </c>
      <c r="D3319" t="s">
        <v>20</v>
      </c>
      <c r="E3319">
        <v>161.5</v>
      </c>
      <c r="F3319">
        <v>71.599999999999994</v>
      </c>
      <c r="G3319">
        <v>11786</v>
      </c>
      <c r="H3319">
        <v>695.8</v>
      </c>
      <c r="I3319">
        <v>5.8</v>
      </c>
      <c r="J3319">
        <v>82</v>
      </c>
      <c r="K3319" t="s">
        <v>24</v>
      </c>
      <c r="L3319">
        <v>64</v>
      </c>
      <c r="M3319">
        <v>3.2</v>
      </c>
      <c r="N3319">
        <v>8</v>
      </c>
      <c r="O3319" t="s">
        <v>19</v>
      </c>
      <c r="P3319" cm="1">
        <f t="array" ref="P3319">_xlfn.SWITCH(Table2[[#This Row],[mood]], "Tired", 3, "Neutral", 2, "Happy", 1)</f>
        <v>2</v>
      </c>
    </row>
    <row r="3320" spans="1:16" x14ac:dyDescent="0.3">
      <c r="A3320">
        <v>1845</v>
      </c>
      <c r="B3320" s="1">
        <v>45323</v>
      </c>
      <c r="C3320">
        <v>21</v>
      </c>
      <c r="D3320" t="s">
        <v>15</v>
      </c>
      <c r="E3320">
        <v>159.30000000000001</v>
      </c>
      <c r="F3320">
        <v>65</v>
      </c>
      <c r="G3320">
        <v>14012</v>
      </c>
      <c r="H3320">
        <v>900</v>
      </c>
      <c r="I3320">
        <v>6.8</v>
      </c>
      <c r="J3320">
        <v>77</v>
      </c>
      <c r="K3320" t="s">
        <v>23</v>
      </c>
      <c r="L3320">
        <v>78</v>
      </c>
      <c r="M3320">
        <v>3.1</v>
      </c>
      <c r="N3320">
        <v>8</v>
      </c>
      <c r="O3320" t="s">
        <v>21</v>
      </c>
      <c r="P3320" cm="1">
        <f t="array" ref="P3320">_xlfn.SWITCH(Table2[[#This Row],[mood]], "Tired", 3, "Neutral", 2, "Happy", 1)</f>
        <v>1</v>
      </c>
    </row>
    <row r="3321" spans="1:16" x14ac:dyDescent="0.3">
      <c r="A3321">
        <v>1531</v>
      </c>
      <c r="B3321" s="1">
        <v>45324</v>
      </c>
      <c r="C3321">
        <v>53</v>
      </c>
      <c r="D3321" t="s">
        <v>20</v>
      </c>
      <c r="E3321">
        <v>160.19999999999999</v>
      </c>
      <c r="F3321">
        <v>75.099999999999994</v>
      </c>
      <c r="G3321">
        <v>10938</v>
      </c>
      <c r="H3321">
        <v>646.4</v>
      </c>
      <c r="I3321">
        <v>8.1999999999999993</v>
      </c>
      <c r="J3321">
        <v>64</v>
      </c>
      <c r="K3321" t="s">
        <v>25</v>
      </c>
      <c r="L3321">
        <v>67</v>
      </c>
      <c r="M3321">
        <v>2.0299999999999998</v>
      </c>
      <c r="N3321">
        <v>2</v>
      </c>
      <c r="O3321" t="s">
        <v>19</v>
      </c>
      <c r="P3321" cm="1">
        <f t="array" ref="P3321">_xlfn.SWITCH(Table2[[#This Row],[mood]], "Tired", 3, "Neutral", 2, "Happy", 1)</f>
        <v>2</v>
      </c>
    </row>
    <row r="3322" spans="1:16" x14ac:dyDescent="0.3">
      <c r="A3322">
        <v>1657</v>
      </c>
      <c r="B3322" s="1">
        <v>45325</v>
      </c>
      <c r="C3322">
        <v>23</v>
      </c>
      <c r="D3322" t="s">
        <v>15</v>
      </c>
      <c r="E3322">
        <v>182.1</v>
      </c>
      <c r="F3322">
        <v>54.8</v>
      </c>
      <c r="G3322">
        <v>12693</v>
      </c>
      <c r="H3322">
        <v>724.7</v>
      </c>
      <c r="I3322">
        <v>6.8</v>
      </c>
      <c r="J3322">
        <v>82</v>
      </c>
      <c r="K3322" t="s">
        <v>25</v>
      </c>
      <c r="L3322">
        <v>60</v>
      </c>
      <c r="M3322">
        <v>1.67</v>
      </c>
      <c r="N3322">
        <v>7</v>
      </c>
      <c r="O3322" t="s">
        <v>19</v>
      </c>
      <c r="P3322" cm="1">
        <f t="array" ref="P3322">_xlfn.SWITCH(Table2[[#This Row],[mood]], "Tired", 3, "Neutral", 2, "Happy", 1)</f>
        <v>2</v>
      </c>
    </row>
    <row r="3323" spans="1:16" x14ac:dyDescent="0.3">
      <c r="A3323">
        <v>1988</v>
      </c>
      <c r="B3323" s="1">
        <v>45326</v>
      </c>
      <c r="C3323">
        <v>38</v>
      </c>
      <c r="D3323" t="s">
        <v>15</v>
      </c>
      <c r="E3323">
        <v>174</v>
      </c>
      <c r="F3323">
        <v>80.900000000000006</v>
      </c>
      <c r="G3323">
        <v>12051</v>
      </c>
      <c r="H3323">
        <v>604.4</v>
      </c>
      <c r="I3323">
        <v>7.9</v>
      </c>
      <c r="J3323">
        <v>93</v>
      </c>
      <c r="K3323" t="s">
        <v>22</v>
      </c>
      <c r="L3323">
        <v>74</v>
      </c>
      <c r="M3323">
        <v>1.31</v>
      </c>
      <c r="N3323">
        <v>1</v>
      </c>
      <c r="O3323" t="s">
        <v>17</v>
      </c>
      <c r="P3323" cm="1">
        <f t="array" ref="P3323">_xlfn.SWITCH(Table2[[#This Row],[mood]], "Tired", 3, "Neutral", 2, "Happy", 1)</f>
        <v>3</v>
      </c>
    </row>
    <row r="3324" spans="1:16" x14ac:dyDescent="0.3">
      <c r="A3324">
        <v>1827</v>
      </c>
      <c r="B3324" s="1">
        <v>45327</v>
      </c>
      <c r="C3324">
        <v>30</v>
      </c>
      <c r="D3324" t="s">
        <v>20</v>
      </c>
      <c r="E3324">
        <v>162.1</v>
      </c>
      <c r="F3324">
        <v>69.5</v>
      </c>
      <c r="G3324">
        <v>4978</v>
      </c>
      <c r="H3324">
        <v>358.3</v>
      </c>
      <c r="I3324">
        <v>8.1999999999999993</v>
      </c>
      <c r="J3324">
        <v>67</v>
      </c>
      <c r="K3324" t="s">
        <v>24</v>
      </c>
      <c r="L3324">
        <v>80</v>
      </c>
      <c r="M3324">
        <v>2.04</v>
      </c>
      <c r="N3324">
        <v>4</v>
      </c>
      <c r="O3324" t="s">
        <v>19</v>
      </c>
      <c r="P3324" cm="1">
        <f t="array" ref="P3324">_xlfn.SWITCH(Table2[[#This Row],[mood]], "Tired", 3, "Neutral", 2, "Happy", 1)</f>
        <v>2</v>
      </c>
    </row>
    <row r="3325" spans="1:16" x14ac:dyDescent="0.3">
      <c r="A3325">
        <v>1446</v>
      </c>
      <c r="B3325" s="1">
        <v>45328</v>
      </c>
      <c r="C3325">
        <v>54</v>
      </c>
      <c r="D3325" t="s">
        <v>15</v>
      </c>
      <c r="E3325">
        <v>178.7</v>
      </c>
      <c r="F3325">
        <v>58.5</v>
      </c>
      <c r="G3325">
        <v>16611</v>
      </c>
      <c r="H3325">
        <v>900</v>
      </c>
      <c r="I3325">
        <v>6.7</v>
      </c>
      <c r="J3325">
        <v>78</v>
      </c>
      <c r="K3325" t="s">
        <v>16</v>
      </c>
      <c r="L3325">
        <v>0</v>
      </c>
      <c r="M3325">
        <v>2.2400000000000002</v>
      </c>
      <c r="N3325">
        <v>7</v>
      </c>
      <c r="O3325" t="s">
        <v>19</v>
      </c>
      <c r="P3325" cm="1">
        <f t="array" ref="P3325">_xlfn.SWITCH(Table2[[#This Row],[mood]], "Tired", 3, "Neutral", 2, "Happy", 1)</f>
        <v>2</v>
      </c>
    </row>
    <row r="3326" spans="1:16" x14ac:dyDescent="0.3">
      <c r="A3326">
        <v>1389</v>
      </c>
      <c r="B3326" s="1">
        <v>45329</v>
      </c>
      <c r="C3326">
        <v>42</v>
      </c>
      <c r="D3326" t="s">
        <v>15</v>
      </c>
      <c r="E3326">
        <v>162.6</v>
      </c>
      <c r="F3326">
        <v>78</v>
      </c>
      <c r="G3326">
        <v>5490</v>
      </c>
      <c r="H3326">
        <v>347.2</v>
      </c>
      <c r="I3326">
        <v>6.8</v>
      </c>
      <c r="J3326">
        <v>53</v>
      </c>
      <c r="K3326" t="s">
        <v>25</v>
      </c>
      <c r="L3326">
        <v>21</v>
      </c>
      <c r="M3326">
        <v>2.2999999999999998</v>
      </c>
      <c r="N3326">
        <v>4</v>
      </c>
      <c r="O3326" t="s">
        <v>19</v>
      </c>
      <c r="P3326" cm="1">
        <f t="array" ref="P3326">_xlfn.SWITCH(Table2[[#This Row],[mood]], "Tired", 3, "Neutral", 2, "Happy", 1)</f>
        <v>2</v>
      </c>
    </row>
    <row r="3327" spans="1:16" x14ac:dyDescent="0.3">
      <c r="A3327">
        <v>1671</v>
      </c>
      <c r="B3327" s="1">
        <v>45330</v>
      </c>
      <c r="C3327">
        <v>43</v>
      </c>
      <c r="D3327" t="s">
        <v>20</v>
      </c>
      <c r="E3327">
        <v>150.5</v>
      </c>
      <c r="F3327">
        <v>58.5</v>
      </c>
      <c r="G3327">
        <v>18236</v>
      </c>
      <c r="H3327">
        <v>893</v>
      </c>
      <c r="I3327">
        <v>7.2</v>
      </c>
      <c r="J3327">
        <v>71</v>
      </c>
      <c r="K3327" t="s">
        <v>18</v>
      </c>
      <c r="L3327">
        <v>29</v>
      </c>
      <c r="M3327">
        <v>2.4700000000000002</v>
      </c>
      <c r="N3327">
        <v>4</v>
      </c>
      <c r="O3327" t="s">
        <v>17</v>
      </c>
      <c r="P3327" cm="1">
        <f t="array" ref="P3327">_xlfn.SWITCH(Table2[[#This Row],[mood]], "Tired", 3, "Neutral", 2, "Happy", 1)</f>
        <v>3</v>
      </c>
    </row>
    <row r="3328" spans="1:16" x14ac:dyDescent="0.3">
      <c r="A3328">
        <v>1860</v>
      </c>
      <c r="B3328" s="1">
        <v>45331</v>
      </c>
      <c r="C3328">
        <v>56</v>
      </c>
      <c r="D3328" t="s">
        <v>15</v>
      </c>
      <c r="E3328">
        <v>177</v>
      </c>
      <c r="F3328">
        <v>59.2</v>
      </c>
      <c r="G3328">
        <v>7377</v>
      </c>
      <c r="H3328">
        <v>523.5</v>
      </c>
      <c r="I3328">
        <v>8.6999999999999993</v>
      </c>
      <c r="J3328">
        <v>78</v>
      </c>
      <c r="K3328" t="s">
        <v>23</v>
      </c>
      <c r="L3328">
        <v>58</v>
      </c>
      <c r="M3328">
        <v>3.71</v>
      </c>
      <c r="N3328">
        <v>7</v>
      </c>
      <c r="O3328" t="s">
        <v>21</v>
      </c>
      <c r="P3328" cm="1">
        <f t="array" ref="P3328">_xlfn.SWITCH(Table2[[#This Row],[mood]], "Tired", 3, "Neutral", 2, "Happy", 1)</f>
        <v>1</v>
      </c>
    </row>
    <row r="3329" spans="1:16" x14ac:dyDescent="0.3">
      <c r="A3329">
        <v>1042</v>
      </c>
      <c r="B3329" s="1">
        <v>45332</v>
      </c>
      <c r="C3329">
        <v>37</v>
      </c>
      <c r="D3329" t="s">
        <v>15</v>
      </c>
      <c r="E3329">
        <v>186.5</v>
      </c>
      <c r="F3329">
        <v>52</v>
      </c>
      <c r="G3329">
        <v>10903</v>
      </c>
      <c r="H3329">
        <v>676.6</v>
      </c>
      <c r="I3329">
        <v>6.5</v>
      </c>
      <c r="J3329">
        <v>74</v>
      </c>
      <c r="K3329" t="s">
        <v>16</v>
      </c>
      <c r="L3329">
        <v>0</v>
      </c>
      <c r="M3329">
        <v>2.2599999999999998</v>
      </c>
      <c r="N3329">
        <v>1</v>
      </c>
      <c r="O3329" t="s">
        <v>17</v>
      </c>
      <c r="P3329" cm="1">
        <f t="array" ref="P3329">_xlfn.SWITCH(Table2[[#This Row],[mood]], "Tired", 3, "Neutral", 2, "Happy", 1)</f>
        <v>3</v>
      </c>
    </row>
    <row r="3330" spans="1:16" x14ac:dyDescent="0.3">
      <c r="A3330">
        <v>1253</v>
      </c>
      <c r="B3330" s="1">
        <v>45333</v>
      </c>
      <c r="C3330">
        <v>50</v>
      </c>
      <c r="D3330" t="s">
        <v>15</v>
      </c>
      <c r="E3330">
        <v>175.6</v>
      </c>
      <c r="F3330">
        <v>45</v>
      </c>
      <c r="G3330">
        <v>15567</v>
      </c>
      <c r="H3330">
        <v>817.2</v>
      </c>
      <c r="I3330">
        <v>8.6999999999999993</v>
      </c>
      <c r="J3330">
        <v>76</v>
      </c>
      <c r="K3330" t="s">
        <v>24</v>
      </c>
      <c r="L3330">
        <v>84</v>
      </c>
      <c r="M3330">
        <v>2.4700000000000002</v>
      </c>
      <c r="N3330">
        <v>5</v>
      </c>
      <c r="O3330" t="s">
        <v>21</v>
      </c>
      <c r="P3330" cm="1">
        <f t="array" ref="P3330">_xlfn.SWITCH(Table2[[#This Row],[mood]], "Tired", 3, "Neutral", 2, "Happy", 1)</f>
        <v>1</v>
      </c>
    </row>
    <row r="3331" spans="1:16" x14ac:dyDescent="0.3">
      <c r="A3331">
        <v>1129</v>
      </c>
      <c r="B3331" s="1">
        <v>45334</v>
      </c>
      <c r="C3331">
        <v>31</v>
      </c>
      <c r="D3331" t="s">
        <v>20</v>
      </c>
      <c r="E3331">
        <v>151.1</v>
      </c>
      <c r="F3331">
        <v>78</v>
      </c>
      <c r="G3331">
        <v>16788</v>
      </c>
      <c r="H3331">
        <v>877.7</v>
      </c>
      <c r="I3331">
        <v>7.4</v>
      </c>
      <c r="J3331">
        <v>67</v>
      </c>
      <c r="K3331" t="s">
        <v>25</v>
      </c>
      <c r="L3331">
        <v>85</v>
      </c>
      <c r="M3331">
        <v>1.23</v>
      </c>
      <c r="N3331">
        <v>6</v>
      </c>
      <c r="O3331" t="s">
        <v>19</v>
      </c>
      <c r="P3331" cm="1">
        <f t="array" ref="P3331">_xlfn.SWITCH(Table2[[#This Row],[mood]], "Tired", 3, "Neutral", 2, "Happy", 1)</f>
        <v>2</v>
      </c>
    </row>
    <row r="3332" spans="1:16" x14ac:dyDescent="0.3">
      <c r="A3332">
        <v>1059</v>
      </c>
      <c r="B3332" s="1">
        <v>45335</v>
      </c>
      <c r="C3332">
        <v>53</v>
      </c>
      <c r="D3332" t="s">
        <v>15</v>
      </c>
      <c r="E3332">
        <v>169.8</v>
      </c>
      <c r="F3332">
        <v>87.5</v>
      </c>
      <c r="G3332">
        <v>18440</v>
      </c>
      <c r="H3332">
        <v>900</v>
      </c>
      <c r="I3332">
        <v>5.9</v>
      </c>
      <c r="J3332">
        <v>88</v>
      </c>
      <c r="K3332" t="s">
        <v>22</v>
      </c>
      <c r="L3332">
        <v>71</v>
      </c>
      <c r="M3332">
        <v>4.0599999999999996</v>
      </c>
      <c r="N3332">
        <v>7</v>
      </c>
      <c r="O3332" t="s">
        <v>21</v>
      </c>
      <c r="P3332" cm="1">
        <f t="array" ref="P3332">_xlfn.SWITCH(Table2[[#This Row],[mood]], "Tired", 3, "Neutral", 2, "Happy", 1)</f>
        <v>1</v>
      </c>
    </row>
    <row r="3333" spans="1:16" x14ac:dyDescent="0.3">
      <c r="A3333">
        <v>1662</v>
      </c>
      <c r="B3333" s="1">
        <v>45336</v>
      </c>
      <c r="C3333">
        <v>34</v>
      </c>
      <c r="D3333" t="s">
        <v>20</v>
      </c>
      <c r="E3333">
        <v>167.3</v>
      </c>
      <c r="F3333">
        <v>63.2</v>
      </c>
      <c r="G3333">
        <v>3260</v>
      </c>
      <c r="H3333">
        <v>268.7</v>
      </c>
      <c r="I3333">
        <v>6.9</v>
      </c>
      <c r="J3333">
        <v>71</v>
      </c>
      <c r="K3333" t="s">
        <v>25</v>
      </c>
      <c r="L3333">
        <v>63</v>
      </c>
      <c r="M3333">
        <v>1.58</v>
      </c>
      <c r="N3333">
        <v>7</v>
      </c>
      <c r="O3333" t="s">
        <v>21</v>
      </c>
      <c r="P3333" cm="1">
        <f t="array" ref="P3333">_xlfn.SWITCH(Table2[[#This Row],[mood]], "Tired", 3, "Neutral", 2, "Happy", 1)</f>
        <v>1</v>
      </c>
    </row>
    <row r="3334" spans="1:16" x14ac:dyDescent="0.3">
      <c r="A3334">
        <v>1466</v>
      </c>
      <c r="B3334" s="1">
        <v>45337</v>
      </c>
      <c r="C3334">
        <v>38</v>
      </c>
      <c r="D3334" t="s">
        <v>15</v>
      </c>
      <c r="E3334">
        <v>173.8</v>
      </c>
      <c r="F3334">
        <v>58</v>
      </c>
      <c r="G3334">
        <v>18292</v>
      </c>
      <c r="H3334">
        <v>900</v>
      </c>
      <c r="I3334">
        <v>5.3</v>
      </c>
      <c r="J3334">
        <v>63</v>
      </c>
      <c r="K3334" t="s">
        <v>18</v>
      </c>
      <c r="L3334">
        <v>53</v>
      </c>
      <c r="M3334">
        <v>2.0099999999999998</v>
      </c>
      <c r="N3334">
        <v>7</v>
      </c>
      <c r="O3334" t="s">
        <v>21</v>
      </c>
      <c r="P3334" cm="1">
        <f t="array" ref="P3334">_xlfn.SWITCH(Table2[[#This Row],[mood]], "Tired", 3, "Neutral", 2, "Happy", 1)</f>
        <v>1</v>
      </c>
    </row>
    <row r="3335" spans="1:16" x14ac:dyDescent="0.3">
      <c r="A3335">
        <v>1286</v>
      </c>
      <c r="B3335" s="1">
        <v>45338</v>
      </c>
      <c r="C3335">
        <v>33</v>
      </c>
      <c r="D3335" t="s">
        <v>15</v>
      </c>
      <c r="E3335">
        <v>161.5</v>
      </c>
      <c r="F3335">
        <v>45</v>
      </c>
      <c r="G3335">
        <v>17833</v>
      </c>
      <c r="H3335">
        <v>900</v>
      </c>
      <c r="I3335">
        <v>5</v>
      </c>
      <c r="J3335">
        <v>75</v>
      </c>
      <c r="K3335" t="s">
        <v>25</v>
      </c>
      <c r="L3335">
        <v>64</v>
      </c>
      <c r="M3335">
        <v>2.99</v>
      </c>
      <c r="N3335">
        <v>2</v>
      </c>
      <c r="O3335" t="s">
        <v>21</v>
      </c>
      <c r="P3335" cm="1">
        <f t="array" ref="P3335">_xlfn.SWITCH(Table2[[#This Row],[mood]], "Tired", 3, "Neutral", 2, "Happy", 1)</f>
        <v>1</v>
      </c>
    </row>
    <row r="3336" spans="1:16" x14ac:dyDescent="0.3">
      <c r="A3336">
        <v>1516</v>
      </c>
      <c r="B3336" s="1">
        <v>45339</v>
      </c>
      <c r="C3336">
        <v>33</v>
      </c>
      <c r="D3336" t="s">
        <v>15</v>
      </c>
      <c r="E3336">
        <v>166.7</v>
      </c>
      <c r="F3336">
        <v>45</v>
      </c>
      <c r="G3336">
        <v>17952</v>
      </c>
      <c r="H3336">
        <v>900</v>
      </c>
      <c r="I3336">
        <v>7.9</v>
      </c>
      <c r="J3336">
        <v>84</v>
      </c>
      <c r="K3336" t="s">
        <v>24</v>
      </c>
      <c r="L3336">
        <v>51</v>
      </c>
      <c r="M3336">
        <v>2.67</v>
      </c>
      <c r="N3336">
        <v>6</v>
      </c>
      <c r="O3336" t="s">
        <v>19</v>
      </c>
      <c r="P3336" cm="1">
        <f t="array" ref="P3336">_xlfn.SWITCH(Table2[[#This Row],[mood]], "Tired", 3, "Neutral", 2, "Happy", 1)</f>
        <v>2</v>
      </c>
    </row>
    <row r="3337" spans="1:16" x14ac:dyDescent="0.3">
      <c r="A3337">
        <v>1466</v>
      </c>
      <c r="B3337" s="1">
        <v>45340</v>
      </c>
      <c r="C3337">
        <v>37</v>
      </c>
      <c r="D3337" t="s">
        <v>15</v>
      </c>
      <c r="E3337">
        <v>155.80000000000001</v>
      </c>
      <c r="F3337">
        <v>80.900000000000006</v>
      </c>
      <c r="G3337">
        <v>4498</v>
      </c>
      <c r="H3337">
        <v>283.60000000000002</v>
      </c>
      <c r="I3337">
        <v>8.1999999999999993</v>
      </c>
      <c r="J3337">
        <v>81</v>
      </c>
      <c r="K3337" t="s">
        <v>22</v>
      </c>
      <c r="L3337">
        <v>24</v>
      </c>
      <c r="M3337">
        <v>3.65</v>
      </c>
      <c r="N3337">
        <v>9</v>
      </c>
      <c r="O3337" t="s">
        <v>21</v>
      </c>
      <c r="P3337" cm="1">
        <f t="array" ref="P3337">_xlfn.SWITCH(Table2[[#This Row],[mood]], "Tired", 3, "Neutral", 2, "Happy", 1)</f>
        <v>1</v>
      </c>
    </row>
    <row r="3338" spans="1:16" x14ac:dyDescent="0.3">
      <c r="A3338">
        <v>1929</v>
      </c>
      <c r="B3338" s="1">
        <v>45341</v>
      </c>
      <c r="C3338">
        <v>46</v>
      </c>
      <c r="D3338" t="s">
        <v>20</v>
      </c>
      <c r="E3338">
        <v>172.2</v>
      </c>
      <c r="F3338">
        <v>45</v>
      </c>
      <c r="G3338">
        <v>14961</v>
      </c>
      <c r="H3338">
        <v>875.2</v>
      </c>
      <c r="I3338">
        <v>7</v>
      </c>
      <c r="J3338">
        <v>70</v>
      </c>
      <c r="K3338" t="s">
        <v>22</v>
      </c>
      <c r="L3338">
        <v>82</v>
      </c>
      <c r="M3338">
        <v>3</v>
      </c>
      <c r="N3338">
        <v>7</v>
      </c>
      <c r="O3338" t="s">
        <v>21</v>
      </c>
      <c r="P3338" cm="1">
        <f t="array" ref="P3338">_xlfn.SWITCH(Table2[[#This Row],[mood]], "Tired", 3, "Neutral", 2, "Happy", 1)</f>
        <v>1</v>
      </c>
    </row>
    <row r="3339" spans="1:16" x14ac:dyDescent="0.3">
      <c r="A3339">
        <v>1777</v>
      </c>
      <c r="B3339" s="1">
        <v>45342</v>
      </c>
      <c r="C3339">
        <v>45</v>
      </c>
      <c r="D3339" t="s">
        <v>20</v>
      </c>
      <c r="E3339">
        <v>156.19999999999999</v>
      </c>
      <c r="F3339">
        <v>52.8</v>
      </c>
      <c r="G3339">
        <v>11518</v>
      </c>
      <c r="H3339">
        <v>606.1</v>
      </c>
      <c r="I3339">
        <v>7.1</v>
      </c>
      <c r="J3339">
        <v>93</v>
      </c>
      <c r="K3339" t="s">
        <v>18</v>
      </c>
      <c r="L3339">
        <v>88</v>
      </c>
      <c r="M3339">
        <v>2.44</v>
      </c>
      <c r="N3339">
        <v>7</v>
      </c>
      <c r="O3339" t="s">
        <v>19</v>
      </c>
      <c r="P3339" cm="1">
        <f t="array" ref="P3339">_xlfn.SWITCH(Table2[[#This Row],[mood]], "Tired", 3, "Neutral", 2, "Happy", 1)</f>
        <v>2</v>
      </c>
    </row>
    <row r="3340" spans="1:16" x14ac:dyDescent="0.3">
      <c r="A3340">
        <v>1344</v>
      </c>
      <c r="B3340" s="1">
        <v>45343</v>
      </c>
      <c r="C3340">
        <v>25</v>
      </c>
      <c r="D3340" t="s">
        <v>15</v>
      </c>
      <c r="E3340">
        <v>174.4</v>
      </c>
      <c r="F3340">
        <v>74.3</v>
      </c>
      <c r="G3340">
        <v>13501</v>
      </c>
      <c r="H3340">
        <v>743.6</v>
      </c>
      <c r="I3340">
        <v>6.1</v>
      </c>
      <c r="J3340">
        <v>74</v>
      </c>
      <c r="K3340" t="s">
        <v>24</v>
      </c>
      <c r="L3340">
        <v>73</v>
      </c>
      <c r="M3340">
        <v>3.23</v>
      </c>
      <c r="N3340">
        <v>2</v>
      </c>
      <c r="O3340" t="s">
        <v>21</v>
      </c>
      <c r="P3340" cm="1">
        <f t="array" ref="P3340">_xlfn.SWITCH(Table2[[#This Row],[mood]], "Tired", 3, "Neutral", 2, "Happy", 1)</f>
        <v>1</v>
      </c>
    </row>
    <row r="3341" spans="1:16" x14ac:dyDescent="0.3">
      <c r="A3341">
        <v>1641</v>
      </c>
      <c r="B3341" s="1">
        <v>45344</v>
      </c>
      <c r="C3341">
        <v>41</v>
      </c>
      <c r="D3341" t="s">
        <v>15</v>
      </c>
      <c r="E3341">
        <v>162.5</v>
      </c>
      <c r="F3341">
        <v>71.3</v>
      </c>
      <c r="G3341">
        <v>2308</v>
      </c>
      <c r="H3341">
        <v>308.39999999999998</v>
      </c>
      <c r="I3341">
        <v>7.3</v>
      </c>
      <c r="J3341">
        <v>58</v>
      </c>
      <c r="K3341" t="s">
        <v>18</v>
      </c>
      <c r="L3341">
        <v>57</v>
      </c>
      <c r="M3341">
        <v>3.31</v>
      </c>
      <c r="N3341">
        <v>7</v>
      </c>
      <c r="O3341" t="s">
        <v>17</v>
      </c>
      <c r="P3341" cm="1">
        <f t="array" ref="P3341">_xlfn.SWITCH(Table2[[#This Row],[mood]], "Tired", 3, "Neutral", 2, "Happy", 1)</f>
        <v>3</v>
      </c>
    </row>
    <row r="3342" spans="1:16" x14ac:dyDescent="0.3">
      <c r="A3342">
        <v>1381</v>
      </c>
      <c r="B3342" s="1">
        <v>45345</v>
      </c>
      <c r="C3342">
        <v>20</v>
      </c>
      <c r="D3342" t="s">
        <v>15</v>
      </c>
      <c r="E3342">
        <v>150</v>
      </c>
      <c r="F3342">
        <v>74.900000000000006</v>
      </c>
      <c r="G3342">
        <v>16902</v>
      </c>
      <c r="H3342">
        <v>853.3</v>
      </c>
      <c r="I3342">
        <v>10</v>
      </c>
      <c r="J3342">
        <v>81</v>
      </c>
      <c r="K3342" t="s">
        <v>18</v>
      </c>
      <c r="L3342">
        <v>28</v>
      </c>
      <c r="M3342">
        <v>2.04</v>
      </c>
      <c r="N3342">
        <v>9</v>
      </c>
      <c r="O3342" t="s">
        <v>21</v>
      </c>
      <c r="P3342" cm="1">
        <f t="array" ref="P3342">_xlfn.SWITCH(Table2[[#This Row],[mood]], "Tired", 3, "Neutral", 2, "Happy", 1)</f>
        <v>1</v>
      </c>
    </row>
    <row r="3343" spans="1:16" x14ac:dyDescent="0.3">
      <c r="A3343">
        <v>1778</v>
      </c>
      <c r="B3343" s="1">
        <v>45346</v>
      </c>
      <c r="C3343">
        <v>42</v>
      </c>
      <c r="D3343" t="s">
        <v>15</v>
      </c>
      <c r="E3343">
        <v>177.9</v>
      </c>
      <c r="F3343">
        <v>70.099999999999994</v>
      </c>
      <c r="G3343">
        <v>1717</v>
      </c>
      <c r="H3343">
        <v>280.89999999999998</v>
      </c>
      <c r="I3343">
        <v>8.5</v>
      </c>
      <c r="J3343">
        <v>74</v>
      </c>
      <c r="K3343" t="s">
        <v>18</v>
      </c>
      <c r="L3343">
        <v>80</v>
      </c>
      <c r="M3343">
        <v>3.17</v>
      </c>
      <c r="N3343">
        <v>3</v>
      </c>
      <c r="O3343" t="s">
        <v>17</v>
      </c>
      <c r="P3343" cm="1">
        <f t="array" ref="P3343">_xlfn.SWITCH(Table2[[#This Row],[mood]], "Tired", 3, "Neutral", 2, "Happy", 1)</f>
        <v>3</v>
      </c>
    </row>
    <row r="3344" spans="1:16" x14ac:dyDescent="0.3">
      <c r="A3344">
        <v>1689</v>
      </c>
      <c r="B3344" s="1">
        <v>45347</v>
      </c>
      <c r="C3344">
        <v>36</v>
      </c>
      <c r="D3344" t="s">
        <v>15</v>
      </c>
      <c r="E3344">
        <v>174.9</v>
      </c>
      <c r="F3344">
        <v>64.599999999999994</v>
      </c>
      <c r="G3344">
        <v>4345</v>
      </c>
      <c r="H3344">
        <v>335</v>
      </c>
      <c r="I3344">
        <v>6.9</v>
      </c>
      <c r="J3344">
        <v>74</v>
      </c>
      <c r="K3344" t="s">
        <v>25</v>
      </c>
      <c r="L3344">
        <v>40</v>
      </c>
      <c r="M3344">
        <v>2.34</v>
      </c>
      <c r="N3344">
        <v>2</v>
      </c>
      <c r="O3344" t="s">
        <v>17</v>
      </c>
      <c r="P3344" cm="1">
        <f t="array" ref="P3344">_xlfn.SWITCH(Table2[[#This Row],[mood]], "Tired", 3, "Neutral", 2, "Happy", 1)</f>
        <v>3</v>
      </c>
    </row>
    <row r="3345" spans="1:16" x14ac:dyDescent="0.3">
      <c r="A3345">
        <v>1252</v>
      </c>
      <c r="B3345" s="1">
        <v>45348</v>
      </c>
      <c r="C3345">
        <v>50</v>
      </c>
      <c r="D3345" t="s">
        <v>15</v>
      </c>
      <c r="E3345">
        <v>183.5</v>
      </c>
      <c r="F3345">
        <v>52.9</v>
      </c>
      <c r="G3345">
        <v>16370</v>
      </c>
      <c r="H3345">
        <v>900</v>
      </c>
      <c r="I3345">
        <v>6.8</v>
      </c>
      <c r="J3345">
        <v>84</v>
      </c>
      <c r="K3345" t="s">
        <v>23</v>
      </c>
      <c r="L3345">
        <v>55</v>
      </c>
      <c r="M3345">
        <v>2.4300000000000002</v>
      </c>
      <c r="N3345">
        <v>6</v>
      </c>
      <c r="O3345" t="s">
        <v>17</v>
      </c>
      <c r="P3345" cm="1">
        <f t="array" ref="P3345">_xlfn.SWITCH(Table2[[#This Row],[mood]], "Tired", 3, "Neutral", 2, "Happy", 1)</f>
        <v>3</v>
      </c>
    </row>
    <row r="3346" spans="1:16" x14ac:dyDescent="0.3">
      <c r="A3346">
        <v>1926</v>
      </c>
      <c r="B3346" s="1">
        <v>45349</v>
      </c>
      <c r="C3346">
        <v>19</v>
      </c>
      <c r="D3346" t="s">
        <v>15</v>
      </c>
      <c r="E3346">
        <v>150</v>
      </c>
      <c r="F3346">
        <v>60.5</v>
      </c>
      <c r="G3346">
        <v>14953</v>
      </c>
      <c r="H3346">
        <v>785.1</v>
      </c>
      <c r="I3346">
        <v>6.4</v>
      </c>
      <c r="J3346">
        <v>72</v>
      </c>
      <c r="K3346" t="s">
        <v>25</v>
      </c>
      <c r="L3346">
        <v>20</v>
      </c>
      <c r="M3346">
        <v>2.6</v>
      </c>
      <c r="N3346">
        <v>2</v>
      </c>
      <c r="O3346" t="s">
        <v>19</v>
      </c>
      <c r="P3346" cm="1">
        <f t="array" ref="P3346">_xlfn.SWITCH(Table2[[#This Row],[mood]], "Tired", 3, "Neutral", 2, "Happy", 1)</f>
        <v>2</v>
      </c>
    </row>
    <row r="3347" spans="1:16" x14ac:dyDescent="0.3">
      <c r="A3347">
        <v>1055</v>
      </c>
      <c r="B3347" s="1">
        <v>45350</v>
      </c>
      <c r="C3347">
        <v>32</v>
      </c>
      <c r="D3347" t="s">
        <v>15</v>
      </c>
      <c r="E3347">
        <v>163.5</v>
      </c>
      <c r="F3347">
        <v>65.7</v>
      </c>
      <c r="G3347">
        <v>10095</v>
      </c>
      <c r="H3347">
        <v>648.79999999999995</v>
      </c>
      <c r="I3347">
        <v>4.9000000000000004</v>
      </c>
      <c r="J3347">
        <v>72</v>
      </c>
      <c r="K3347" t="s">
        <v>24</v>
      </c>
      <c r="L3347">
        <v>41</v>
      </c>
      <c r="M3347">
        <v>2.23</v>
      </c>
      <c r="N3347">
        <v>1</v>
      </c>
      <c r="O3347" t="s">
        <v>17</v>
      </c>
      <c r="P3347" cm="1">
        <f t="array" ref="P3347">_xlfn.SWITCH(Table2[[#This Row],[mood]], "Tired", 3, "Neutral", 2, "Happy", 1)</f>
        <v>3</v>
      </c>
    </row>
    <row r="3348" spans="1:16" x14ac:dyDescent="0.3">
      <c r="A3348">
        <v>1462</v>
      </c>
      <c r="B3348" s="1">
        <v>45351</v>
      </c>
      <c r="C3348">
        <v>39</v>
      </c>
      <c r="D3348" t="s">
        <v>20</v>
      </c>
      <c r="E3348">
        <v>171.3</v>
      </c>
      <c r="F3348">
        <v>45</v>
      </c>
      <c r="G3348">
        <v>10642</v>
      </c>
      <c r="H3348">
        <v>571</v>
      </c>
      <c r="I3348">
        <v>6.3</v>
      </c>
      <c r="J3348">
        <v>62</v>
      </c>
      <c r="K3348" t="s">
        <v>16</v>
      </c>
      <c r="L3348">
        <v>0</v>
      </c>
      <c r="M3348">
        <v>2.2000000000000002</v>
      </c>
      <c r="N3348">
        <v>10</v>
      </c>
      <c r="O3348" t="s">
        <v>17</v>
      </c>
      <c r="P3348" cm="1">
        <f t="array" ref="P3348">_xlfn.SWITCH(Table2[[#This Row],[mood]], "Tired", 3, "Neutral", 2, "Happy", 1)</f>
        <v>3</v>
      </c>
    </row>
    <row r="3349" spans="1:16" x14ac:dyDescent="0.3">
      <c r="A3349">
        <v>1456</v>
      </c>
      <c r="B3349" s="1">
        <v>45352</v>
      </c>
      <c r="C3349">
        <v>27</v>
      </c>
      <c r="D3349" t="s">
        <v>20</v>
      </c>
      <c r="E3349">
        <v>175.7</v>
      </c>
      <c r="F3349">
        <v>58.2</v>
      </c>
      <c r="G3349">
        <v>18839</v>
      </c>
      <c r="H3349">
        <v>900</v>
      </c>
      <c r="I3349">
        <v>8</v>
      </c>
      <c r="J3349">
        <v>70</v>
      </c>
      <c r="K3349" t="s">
        <v>18</v>
      </c>
      <c r="L3349">
        <v>65</v>
      </c>
      <c r="M3349">
        <v>3.19</v>
      </c>
      <c r="N3349">
        <v>4</v>
      </c>
      <c r="O3349" t="s">
        <v>19</v>
      </c>
      <c r="P3349" cm="1">
        <f t="array" ref="P3349">_xlfn.SWITCH(Table2[[#This Row],[mood]], "Tired", 3, "Neutral", 2, "Happy", 1)</f>
        <v>2</v>
      </c>
    </row>
    <row r="3350" spans="1:16" x14ac:dyDescent="0.3">
      <c r="A3350">
        <v>1982</v>
      </c>
      <c r="B3350" s="1">
        <v>45353</v>
      </c>
      <c r="C3350">
        <v>35</v>
      </c>
      <c r="D3350" t="s">
        <v>20</v>
      </c>
      <c r="E3350">
        <v>155.4</v>
      </c>
      <c r="F3350">
        <v>64.400000000000006</v>
      </c>
      <c r="G3350">
        <v>8035</v>
      </c>
      <c r="H3350">
        <v>485.5</v>
      </c>
      <c r="I3350">
        <v>5.6</v>
      </c>
      <c r="J3350">
        <v>77</v>
      </c>
      <c r="K3350" t="s">
        <v>18</v>
      </c>
      <c r="L3350">
        <v>84</v>
      </c>
      <c r="M3350">
        <v>1.43</v>
      </c>
      <c r="N3350">
        <v>9</v>
      </c>
      <c r="O3350" t="s">
        <v>19</v>
      </c>
      <c r="P3350" cm="1">
        <f t="array" ref="P3350">_xlfn.SWITCH(Table2[[#This Row],[mood]], "Tired", 3, "Neutral", 2, "Happy", 1)</f>
        <v>2</v>
      </c>
    </row>
    <row r="3351" spans="1:16" x14ac:dyDescent="0.3">
      <c r="A3351">
        <v>1082</v>
      </c>
      <c r="B3351" s="1">
        <v>45354</v>
      </c>
      <c r="C3351">
        <v>39</v>
      </c>
      <c r="D3351" t="s">
        <v>15</v>
      </c>
      <c r="E3351">
        <v>174.3</v>
      </c>
      <c r="F3351">
        <v>59.7</v>
      </c>
      <c r="G3351">
        <v>1531</v>
      </c>
      <c r="H3351">
        <v>191.6</v>
      </c>
      <c r="I3351">
        <v>6.6</v>
      </c>
      <c r="J3351">
        <v>69</v>
      </c>
      <c r="K3351" t="s">
        <v>23</v>
      </c>
      <c r="L3351">
        <v>25</v>
      </c>
      <c r="M3351">
        <v>1.76</v>
      </c>
      <c r="N3351">
        <v>10</v>
      </c>
      <c r="O3351" t="s">
        <v>17</v>
      </c>
      <c r="P3351" cm="1">
        <f t="array" ref="P3351">_xlfn.SWITCH(Table2[[#This Row],[mood]], "Tired", 3, "Neutral", 2, "Happy", 1)</f>
        <v>3</v>
      </c>
    </row>
    <row r="3352" spans="1:16" x14ac:dyDescent="0.3">
      <c r="A3352">
        <v>1904</v>
      </c>
      <c r="B3352" s="1">
        <v>45355</v>
      </c>
      <c r="C3352">
        <v>44</v>
      </c>
      <c r="D3352" t="s">
        <v>15</v>
      </c>
      <c r="E3352">
        <v>164.3</v>
      </c>
      <c r="F3352">
        <v>64.900000000000006</v>
      </c>
      <c r="G3352">
        <v>3267</v>
      </c>
      <c r="H3352">
        <v>277.39999999999998</v>
      </c>
      <c r="I3352">
        <v>5.3</v>
      </c>
      <c r="J3352">
        <v>58</v>
      </c>
      <c r="K3352" t="s">
        <v>22</v>
      </c>
      <c r="L3352">
        <v>59</v>
      </c>
      <c r="M3352">
        <v>2.97</v>
      </c>
      <c r="N3352">
        <v>3</v>
      </c>
      <c r="O3352" t="s">
        <v>19</v>
      </c>
      <c r="P3352" cm="1">
        <f t="array" ref="P3352">_xlfn.SWITCH(Table2[[#This Row],[mood]], "Tired", 3, "Neutral", 2, "Happy", 1)</f>
        <v>2</v>
      </c>
    </row>
    <row r="3353" spans="1:16" x14ac:dyDescent="0.3">
      <c r="A3353">
        <v>1098</v>
      </c>
      <c r="B3353" s="1">
        <v>45356</v>
      </c>
      <c r="C3353">
        <v>30</v>
      </c>
      <c r="D3353" t="s">
        <v>15</v>
      </c>
      <c r="E3353">
        <v>151.4</v>
      </c>
      <c r="F3353">
        <v>80</v>
      </c>
      <c r="G3353">
        <v>17716</v>
      </c>
      <c r="H3353">
        <v>866.2</v>
      </c>
      <c r="I3353">
        <v>8.1999999999999993</v>
      </c>
      <c r="J3353">
        <v>82</v>
      </c>
      <c r="K3353" t="s">
        <v>18</v>
      </c>
      <c r="L3353">
        <v>54</v>
      </c>
      <c r="M3353">
        <v>2.4500000000000002</v>
      </c>
      <c r="N3353">
        <v>3</v>
      </c>
      <c r="O3353" t="s">
        <v>21</v>
      </c>
      <c r="P3353" cm="1">
        <f t="array" ref="P3353">_xlfn.SWITCH(Table2[[#This Row],[mood]], "Tired", 3, "Neutral", 2, "Happy", 1)</f>
        <v>1</v>
      </c>
    </row>
    <row r="3354" spans="1:16" x14ac:dyDescent="0.3">
      <c r="A3354">
        <v>1148</v>
      </c>
      <c r="B3354" s="1">
        <v>45357</v>
      </c>
      <c r="C3354">
        <v>50</v>
      </c>
      <c r="D3354" t="s">
        <v>20</v>
      </c>
      <c r="E3354">
        <v>162.5</v>
      </c>
      <c r="F3354">
        <v>81.900000000000006</v>
      </c>
      <c r="G3354">
        <v>17130</v>
      </c>
      <c r="H3354">
        <v>890.8</v>
      </c>
      <c r="I3354">
        <v>5.0999999999999996</v>
      </c>
      <c r="J3354">
        <v>82</v>
      </c>
      <c r="K3354" t="s">
        <v>25</v>
      </c>
      <c r="L3354">
        <v>80</v>
      </c>
      <c r="M3354">
        <v>3.19</v>
      </c>
      <c r="N3354">
        <v>6</v>
      </c>
      <c r="O3354" t="s">
        <v>17</v>
      </c>
      <c r="P3354" cm="1">
        <f t="array" ref="P3354">_xlfn.SWITCH(Table2[[#This Row],[mood]], "Tired", 3, "Neutral", 2, "Happy", 1)</f>
        <v>3</v>
      </c>
    </row>
    <row r="3355" spans="1:16" x14ac:dyDescent="0.3">
      <c r="A3355">
        <v>1328</v>
      </c>
      <c r="B3355" s="1">
        <v>45358</v>
      </c>
      <c r="C3355">
        <v>22</v>
      </c>
      <c r="D3355" t="s">
        <v>15</v>
      </c>
      <c r="E3355">
        <v>175.1</v>
      </c>
      <c r="F3355">
        <v>92.7</v>
      </c>
      <c r="G3355">
        <v>14736</v>
      </c>
      <c r="H3355">
        <v>900</v>
      </c>
      <c r="I3355">
        <v>7.9</v>
      </c>
      <c r="J3355">
        <v>82</v>
      </c>
      <c r="K3355" t="s">
        <v>18</v>
      </c>
      <c r="L3355">
        <v>42</v>
      </c>
      <c r="M3355">
        <v>2.75</v>
      </c>
      <c r="N3355">
        <v>6</v>
      </c>
      <c r="O3355" t="s">
        <v>17</v>
      </c>
      <c r="P3355" cm="1">
        <f t="array" ref="P3355">_xlfn.SWITCH(Table2[[#This Row],[mood]], "Tired", 3, "Neutral", 2, "Happy", 1)</f>
        <v>3</v>
      </c>
    </row>
    <row r="3356" spans="1:16" x14ac:dyDescent="0.3">
      <c r="A3356">
        <v>1155</v>
      </c>
      <c r="B3356" s="1">
        <v>45359</v>
      </c>
      <c r="C3356">
        <v>43</v>
      </c>
      <c r="D3356" t="s">
        <v>20</v>
      </c>
      <c r="E3356">
        <v>151.9</v>
      </c>
      <c r="F3356">
        <v>47.4</v>
      </c>
      <c r="G3356">
        <v>10513</v>
      </c>
      <c r="H3356">
        <v>757.3</v>
      </c>
      <c r="I3356">
        <v>8.5</v>
      </c>
      <c r="J3356">
        <v>66</v>
      </c>
      <c r="K3356" t="s">
        <v>24</v>
      </c>
      <c r="L3356">
        <v>39</v>
      </c>
      <c r="M3356">
        <v>1.57</v>
      </c>
      <c r="N3356">
        <v>8</v>
      </c>
      <c r="O3356" t="s">
        <v>21</v>
      </c>
      <c r="P3356" cm="1">
        <f t="array" ref="P3356">_xlfn.SWITCH(Table2[[#This Row],[mood]], "Tired", 3, "Neutral", 2, "Happy", 1)</f>
        <v>1</v>
      </c>
    </row>
    <row r="3357" spans="1:16" x14ac:dyDescent="0.3">
      <c r="A3357">
        <v>1189</v>
      </c>
      <c r="B3357" s="1">
        <v>45360</v>
      </c>
      <c r="C3357">
        <v>30</v>
      </c>
      <c r="D3357" t="s">
        <v>15</v>
      </c>
      <c r="E3357">
        <v>176.4</v>
      </c>
      <c r="F3357">
        <v>63.7</v>
      </c>
      <c r="G3357">
        <v>14815</v>
      </c>
      <c r="H3357">
        <v>776.5</v>
      </c>
      <c r="I3357">
        <v>6.5</v>
      </c>
      <c r="J3357">
        <v>75</v>
      </c>
      <c r="K3357" t="s">
        <v>23</v>
      </c>
      <c r="L3357">
        <v>47</v>
      </c>
      <c r="M3357">
        <v>2.54</v>
      </c>
      <c r="N3357">
        <v>10</v>
      </c>
      <c r="O3357" t="s">
        <v>19</v>
      </c>
      <c r="P3357" cm="1">
        <f t="array" ref="P3357">_xlfn.SWITCH(Table2[[#This Row],[mood]], "Tired", 3, "Neutral", 2, "Happy", 1)</f>
        <v>2</v>
      </c>
    </row>
    <row r="3358" spans="1:16" x14ac:dyDescent="0.3">
      <c r="A3358">
        <v>1493</v>
      </c>
      <c r="B3358" s="1">
        <v>45361</v>
      </c>
      <c r="C3358">
        <v>44</v>
      </c>
      <c r="D3358" t="s">
        <v>20</v>
      </c>
      <c r="E3358">
        <v>172.8</v>
      </c>
      <c r="F3358">
        <v>88.4</v>
      </c>
      <c r="G3358">
        <v>13244</v>
      </c>
      <c r="H3358">
        <v>777.7</v>
      </c>
      <c r="I3358">
        <v>6</v>
      </c>
      <c r="J3358">
        <v>77</v>
      </c>
      <c r="K3358" t="s">
        <v>16</v>
      </c>
      <c r="L3358">
        <v>0</v>
      </c>
      <c r="M3358">
        <v>2.87</v>
      </c>
      <c r="N3358">
        <v>6</v>
      </c>
      <c r="O3358" t="s">
        <v>21</v>
      </c>
      <c r="P3358" cm="1">
        <f t="array" ref="P3358">_xlfn.SWITCH(Table2[[#This Row],[mood]], "Tired", 3, "Neutral", 2, "Happy", 1)</f>
        <v>1</v>
      </c>
    </row>
    <row r="3359" spans="1:16" x14ac:dyDescent="0.3">
      <c r="A3359">
        <v>1882</v>
      </c>
      <c r="B3359" s="1">
        <v>45362</v>
      </c>
      <c r="C3359">
        <v>31</v>
      </c>
      <c r="D3359" t="s">
        <v>20</v>
      </c>
      <c r="E3359">
        <v>167.5</v>
      </c>
      <c r="F3359">
        <v>45</v>
      </c>
      <c r="G3359">
        <v>10900</v>
      </c>
      <c r="H3359">
        <v>573.29999999999995</v>
      </c>
      <c r="I3359">
        <v>7.7</v>
      </c>
      <c r="J3359">
        <v>81</v>
      </c>
      <c r="K3359" t="s">
        <v>22</v>
      </c>
      <c r="L3359">
        <v>26</v>
      </c>
      <c r="M3359">
        <v>2.66</v>
      </c>
      <c r="N3359">
        <v>8</v>
      </c>
      <c r="O3359" t="s">
        <v>21</v>
      </c>
      <c r="P3359" cm="1">
        <f t="array" ref="P3359">_xlfn.SWITCH(Table2[[#This Row],[mood]], "Tired", 3, "Neutral", 2, "Happy", 1)</f>
        <v>1</v>
      </c>
    </row>
    <row r="3360" spans="1:16" x14ac:dyDescent="0.3">
      <c r="A3360">
        <v>1262</v>
      </c>
      <c r="B3360" s="1">
        <v>45363</v>
      </c>
      <c r="C3360">
        <v>41</v>
      </c>
      <c r="D3360" t="s">
        <v>20</v>
      </c>
      <c r="E3360">
        <v>153.6</v>
      </c>
      <c r="F3360">
        <v>52.4</v>
      </c>
      <c r="G3360">
        <v>12718</v>
      </c>
      <c r="H3360">
        <v>603.5</v>
      </c>
      <c r="I3360">
        <v>9.4</v>
      </c>
      <c r="J3360">
        <v>81</v>
      </c>
      <c r="K3360" t="s">
        <v>16</v>
      </c>
      <c r="L3360">
        <v>0</v>
      </c>
      <c r="M3360">
        <v>2.17</v>
      </c>
      <c r="N3360">
        <v>8</v>
      </c>
      <c r="O3360" t="s">
        <v>19</v>
      </c>
      <c r="P3360" cm="1">
        <f t="array" ref="P3360">_xlfn.SWITCH(Table2[[#This Row],[mood]], "Tired", 3, "Neutral", 2, "Happy", 1)</f>
        <v>2</v>
      </c>
    </row>
    <row r="3361" spans="1:16" x14ac:dyDescent="0.3">
      <c r="A3361">
        <v>1079</v>
      </c>
      <c r="B3361" s="1">
        <v>45364</v>
      </c>
      <c r="C3361">
        <v>20</v>
      </c>
      <c r="D3361" t="s">
        <v>15</v>
      </c>
      <c r="E3361">
        <v>154.5</v>
      </c>
      <c r="F3361">
        <v>60.8</v>
      </c>
      <c r="G3361">
        <v>17784</v>
      </c>
      <c r="H3361">
        <v>900</v>
      </c>
      <c r="I3361">
        <v>9</v>
      </c>
      <c r="J3361">
        <v>61</v>
      </c>
      <c r="K3361" t="s">
        <v>24</v>
      </c>
      <c r="L3361">
        <v>43</v>
      </c>
      <c r="M3361">
        <v>2.31</v>
      </c>
      <c r="N3361">
        <v>7</v>
      </c>
      <c r="O3361" t="s">
        <v>19</v>
      </c>
      <c r="P3361" cm="1">
        <f t="array" ref="P3361">_xlfn.SWITCH(Table2[[#This Row],[mood]], "Tired", 3, "Neutral", 2, "Happy", 1)</f>
        <v>2</v>
      </c>
    </row>
    <row r="3362" spans="1:16" x14ac:dyDescent="0.3">
      <c r="A3362">
        <v>1399</v>
      </c>
      <c r="B3362" s="1">
        <v>45365</v>
      </c>
      <c r="C3362">
        <v>47</v>
      </c>
      <c r="D3362" t="s">
        <v>20</v>
      </c>
      <c r="E3362">
        <v>166</v>
      </c>
      <c r="F3362">
        <v>100.7</v>
      </c>
      <c r="G3362">
        <v>12822</v>
      </c>
      <c r="H3362">
        <v>740.2</v>
      </c>
      <c r="I3362">
        <v>6.9</v>
      </c>
      <c r="J3362">
        <v>92</v>
      </c>
      <c r="K3362" t="s">
        <v>25</v>
      </c>
      <c r="L3362">
        <v>32</v>
      </c>
      <c r="M3362">
        <v>2.11</v>
      </c>
      <c r="N3362">
        <v>5</v>
      </c>
      <c r="O3362" t="s">
        <v>17</v>
      </c>
      <c r="P3362" cm="1">
        <f t="array" ref="P3362">_xlfn.SWITCH(Table2[[#This Row],[mood]], "Tired", 3, "Neutral", 2, "Happy", 1)</f>
        <v>3</v>
      </c>
    </row>
    <row r="3363" spans="1:16" x14ac:dyDescent="0.3">
      <c r="A3363">
        <v>1763</v>
      </c>
      <c r="B3363" s="1">
        <v>45366</v>
      </c>
      <c r="C3363">
        <v>52</v>
      </c>
      <c r="D3363" t="s">
        <v>15</v>
      </c>
      <c r="E3363">
        <v>158.80000000000001</v>
      </c>
      <c r="F3363">
        <v>55.4</v>
      </c>
      <c r="G3363">
        <v>12229</v>
      </c>
      <c r="H3363">
        <v>728.3</v>
      </c>
      <c r="I3363">
        <v>5.7</v>
      </c>
      <c r="J3363">
        <v>63</v>
      </c>
      <c r="K3363" t="s">
        <v>16</v>
      </c>
      <c r="L3363">
        <v>0</v>
      </c>
      <c r="M3363">
        <v>1.57</v>
      </c>
      <c r="N3363">
        <v>4</v>
      </c>
      <c r="O3363" t="s">
        <v>17</v>
      </c>
      <c r="P3363" cm="1">
        <f t="array" ref="P3363">_xlfn.SWITCH(Table2[[#This Row],[mood]], "Tired", 3, "Neutral", 2, "Happy", 1)</f>
        <v>3</v>
      </c>
    </row>
    <row r="3364" spans="1:16" x14ac:dyDescent="0.3">
      <c r="A3364">
        <v>1608</v>
      </c>
      <c r="B3364" s="1">
        <v>45367</v>
      </c>
      <c r="C3364">
        <v>31</v>
      </c>
      <c r="D3364" t="s">
        <v>15</v>
      </c>
      <c r="E3364">
        <v>166.7</v>
      </c>
      <c r="F3364">
        <v>86.3</v>
      </c>
      <c r="G3364">
        <v>4991</v>
      </c>
      <c r="H3364">
        <v>453.6</v>
      </c>
      <c r="I3364">
        <v>6.7</v>
      </c>
      <c r="J3364">
        <v>59</v>
      </c>
      <c r="K3364" t="s">
        <v>24</v>
      </c>
      <c r="L3364">
        <v>34</v>
      </c>
      <c r="M3364">
        <v>1.48</v>
      </c>
      <c r="N3364">
        <v>1</v>
      </c>
      <c r="O3364" t="s">
        <v>17</v>
      </c>
      <c r="P3364" cm="1">
        <f t="array" ref="P3364">_xlfn.SWITCH(Table2[[#This Row],[mood]], "Tired", 3, "Neutral", 2, "Happy", 1)</f>
        <v>3</v>
      </c>
    </row>
    <row r="3365" spans="1:16" x14ac:dyDescent="0.3">
      <c r="A3365">
        <v>1259</v>
      </c>
      <c r="B3365" s="1">
        <v>45368</v>
      </c>
      <c r="C3365">
        <v>29</v>
      </c>
      <c r="D3365" t="s">
        <v>15</v>
      </c>
      <c r="E3365">
        <v>179.1</v>
      </c>
      <c r="F3365">
        <v>69.599999999999994</v>
      </c>
      <c r="G3365">
        <v>18441</v>
      </c>
      <c r="H3365">
        <v>900</v>
      </c>
      <c r="I3365">
        <v>4.5</v>
      </c>
      <c r="J3365">
        <v>50</v>
      </c>
      <c r="K3365" t="s">
        <v>16</v>
      </c>
      <c r="L3365">
        <v>0</v>
      </c>
      <c r="M3365">
        <v>2.77</v>
      </c>
      <c r="N3365">
        <v>6</v>
      </c>
      <c r="O3365" t="s">
        <v>19</v>
      </c>
      <c r="P3365" cm="1">
        <f t="array" ref="P3365">_xlfn.SWITCH(Table2[[#This Row],[mood]], "Tired", 3, "Neutral", 2, "Happy", 1)</f>
        <v>2</v>
      </c>
    </row>
    <row r="3366" spans="1:16" x14ac:dyDescent="0.3">
      <c r="A3366">
        <v>1771</v>
      </c>
      <c r="B3366" s="1">
        <v>45369</v>
      </c>
      <c r="C3366">
        <v>45</v>
      </c>
      <c r="D3366" t="s">
        <v>15</v>
      </c>
      <c r="E3366">
        <v>167.3</v>
      </c>
      <c r="F3366">
        <v>52.8</v>
      </c>
      <c r="G3366">
        <v>8933</v>
      </c>
      <c r="H3366">
        <v>560.9</v>
      </c>
      <c r="I3366">
        <v>6.2</v>
      </c>
      <c r="J3366">
        <v>82</v>
      </c>
      <c r="K3366" t="s">
        <v>18</v>
      </c>
      <c r="L3366">
        <v>88</v>
      </c>
      <c r="M3366">
        <v>1.89</v>
      </c>
      <c r="N3366">
        <v>8</v>
      </c>
      <c r="O3366" t="s">
        <v>17</v>
      </c>
      <c r="P3366" cm="1">
        <f t="array" ref="P3366">_xlfn.SWITCH(Table2[[#This Row],[mood]], "Tired", 3, "Neutral", 2, "Happy", 1)</f>
        <v>3</v>
      </c>
    </row>
    <row r="3367" spans="1:16" x14ac:dyDescent="0.3">
      <c r="A3367">
        <v>1614</v>
      </c>
      <c r="B3367" s="1">
        <v>45370</v>
      </c>
      <c r="C3367">
        <v>46</v>
      </c>
      <c r="D3367" t="s">
        <v>15</v>
      </c>
      <c r="E3367">
        <v>167</v>
      </c>
      <c r="F3367">
        <v>112</v>
      </c>
      <c r="G3367">
        <v>15583</v>
      </c>
      <c r="H3367">
        <v>864.4</v>
      </c>
      <c r="I3367">
        <v>7.7</v>
      </c>
      <c r="J3367">
        <v>89</v>
      </c>
      <c r="K3367" t="s">
        <v>23</v>
      </c>
      <c r="L3367">
        <v>79</v>
      </c>
      <c r="M3367">
        <v>2.9</v>
      </c>
      <c r="N3367">
        <v>4</v>
      </c>
      <c r="O3367" t="s">
        <v>21</v>
      </c>
      <c r="P3367" cm="1">
        <f t="array" ref="P3367">_xlfn.SWITCH(Table2[[#This Row],[mood]], "Tired", 3, "Neutral", 2, "Happy", 1)</f>
        <v>1</v>
      </c>
    </row>
    <row r="3368" spans="1:16" x14ac:dyDescent="0.3">
      <c r="A3368">
        <v>1551</v>
      </c>
      <c r="B3368" s="1">
        <v>45371</v>
      </c>
      <c r="C3368">
        <v>34</v>
      </c>
      <c r="D3368" t="s">
        <v>20</v>
      </c>
      <c r="E3368">
        <v>167</v>
      </c>
      <c r="F3368">
        <v>72.900000000000006</v>
      </c>
      <c r="G3368">
        <v>9233</v>
      </c>
      <c r="H3368">
        <v>629</v>
      </c>
      <c r="I3368">
        <v>6.4</v>
      </c>
      <c r="J3368">
        <v>69</v>
      </c>
      <c r="K3368" t="s">
        <v>18</v>
      </c>
      <c r="L3368">
        <v>29</v>
      </c>
      <c r="M3368">
        <v>2.08</v>
      </c>
      <c r="N3368">
        <v>7</v>
      </c>
      <c r="O3368" t="s">
        <v>17</v>
      </c>
      <c r="P3368" cm="1">
        <f t="array" ref="P3368">_xlfn.SWITCH(Table2[[#This Row],[mood]], "Tired", 3, "Neutral", 2, "Happy", 1)</f>
        <v>3</v>
      </c>
    </row>
    <row r="3369" spans="1:16" x14ac:dyDescent="0.3">
      <c r="A3369">
        <v>1784</v>
      </c>
      <c r="B3369" s="1">
        <v>45372</v>
      </c>
      <c r="C3369">
        <v>57</v>
      </c>
      <c r="D3369" t="s">
        <v>15</v>
      </c>
      <c r="E3369">
        <v>180.1</v>
      </c>
      <c r="F3369">
        <v>75.599999999999994</v>
      </c>
      <c r="G3369">
        <v>14088</v>
      </c>
      <c r="H3369">
        <v>718.2</v>
      </c>
      <c r="I3369">
        <v>6.1</v>
      </c>
      <c r="J3369">
        <v>57</v>
      </c>
      <c r="K3369" t="s">
        <v>23</v>
      </c>
      <c r="L3369">
        <v>70</v>
      </c>
      <c r="M3369">
        <v>1.58</v>
      </c>
      <c r="N3369">
        <v>3</v>
      </c>
      <c r="O3369" t="s">
        <v>19</v>
      </c>
      <c r="P3369" cm="1">
        <f t="array" ref="P3369">_xlfn.SWITCH(Table2[[#This Row],[mood]], "Tired", 3, "Neutral", 2, "Happy", 1)</f>
        <v>2</v>
      </c>
    </row>
    <row r="3370" spans="1:16" x14ac:dyDescent="0.3">
      <c r="A3370">
        <v>1100</v>
      </c>
      <c r="B3370" s="1">
        <v>45373</v>
      </c>
      <c r="C3370">
        <v>38</v>
      </c>
      <c r="D3370" t="s">
        <v>15</v>
      </c>
      <c r="E3370">
        <v>182.9</v>
      </c>
      <c r="F3370">
        <v>78</v>
      </c>
      <c r="G3370">
        <v>17410</v>
      </c>
      <c r="H3370">
        <v>900</v>
      </c>
      <c r="I3370">
        <v>6.9</v>
      </c>
      <c r="J3370">
        <v>84</v>
      </c>
      <c r="K3370" t="s">
        <v>25</v>
      </c>
      <c r="L3370">
        <v>83</v>
      </c>
      <c r="M3370">
        <v>2.21</v>
      </c>
      <c r="N3370">
        <v>5</v>
      </c>
      <c r="O3370" t="s">
        <v>19</v>
      </c>
      <c r="P3370" cm="1">
        <f t="array" ref="P3370">_xlfn.SWITCH(Table2[[#This Row],[mood]], "Tired", 3, "Neutral", 2, "Happy", 1)</f>
        <v>2</v>
      </c>
    </row>
    <row r="3371" spans="1:16" x14ac:dyDescent="0.3">
      <c r="A3371">
        <v>1358</v>
      </c>
      <c r="B3371" s="1">
        <v>45374</v>
      </c>
      <c r="C3371">
        <v>40</v>
      </c>
      <c r="D3371" t="s">
        <v>15</v>
      </c>
      <c r="E3371">
        <v>174.2</v>
      </c>
      <c r="F3371">
        <v>76.900000000000006</v>
      </c>
      <c r="G3371">
        <v>3618</v>
      </c>
      <c r="H3371">
        <v>377.2</v>
      </c>
      <c r="I3371">
        <v>6.6</v>
      </c>
      <c r="J3371">
        <v>62</v>
      </c>
      <c r="K3371" t="s">
        <v>24</v>
      </c>
      <c r="L3371">
        <v>75</v>
      </c>
      <c r="M3371">
        <v>3.97</v>
      </c>
      <c r="N3371">
        <v>7</v>
      </c>
      <c r="O3371" t="s">
        <v>17</v>
      </c>
      <c r="P3371" cm="1">
        <f t="array" ref="P3371">_xlfn.SWITCH(Table2[[#This Row],[mood]], "Tired", 3, "Neutral", 2, "Happy", 1)</f>
        <v>3</v>
      </c>
    </row>
    <row r="3372" spans="1:16" x14ac:dyDescent="0.3">
      <c r="A3372">
        <v>1379</v>
      </c>
      <c r="B3372" s="1">
        <v>45375</v>
      </c>
      <c r="C3372">
        <v>37</v>
      </c>
      <c r="D3372" t="s">
        <v>15</v>
      </c>
      <c r="E3372">
        <v>171.4</v>
      </c>
      <c r="F3372">
        <v>102.3</v>
      </c>
      <c r="G3372">
        <v>10362</v>
      </c>
      <c r="H3372">
        <v>621.9</v>
      </c>
      <c r="I3372">
        <v>8.1</v>
      </c>
      <c r="J3372">
        <v>81</v>
      </c>
      <c r="K3372" t="s">
        <v>16</v>
      </c>
      <c r="L3372">
        <v>0</v>
      </c>
      <c r="M3372">
        <v>2.4300000000000002</v>
      </c>
      <c r="N3372">
        <v>9</v>
      </c>
      <c r="O3372" t="s">
        <v>19</v>
      </c>
      <c r="P3372" cm="1">
        <f t="array" ref="P3372">_xlfn.SWITCH(Table2[[#This Row],[mood]], "Tired", 3, "Neutral", 2, "Happy", 1)</f>
        <v>2</v>
      </c>
    </row>
    <row r="3373" spans="1:16" x14ac:dyDescent="0.3">
      <c r="A3373">
        <v>1819</v>
      </c>
      <c r="B3373" s="1">
        <v>45376</v>
      </c>
      <c r="C3373">
        <v>28</v>
      </c>
      <c r="D3373" t="s">
        <v>15</v>
      </c>
      <c r="E3373">
        <v>172.3</v>
      </c>
      <c r="F3373">
        <v>96.8</v>
      </c>
      <c r="G3373">
        <v>7639</v>
      </c>
      <c r="H3373">
        <v>474.5</v>
      </c>
      <c r="I3373">
        <v>5</v>
      </c>
      <c r="J3373">
        <v>66</v>
      </c>
      <c r="K3373" t="s">
        <v>23</v>
      </c>
      <c r="L3373">
        <v>42</v>
      </c>
      <c r="M3373">
        <v>2.95</v>
      </c>
      <c r="N3373">
        <v>9</v>
      </c>
      <c r="O3373" t="s">
        <v>19</v>
      </c>
      <c r="P3373" cm="1">
        <f t="array" ref="P3373">_xlfn.SWITCH(Table2[[#This Row],[mood]], "Tired", 3, "Neutral", 2, "Happy", 1)</f>
        <v>2</v>
      </c>
    </row>
    <row r="3374" spans="1:16" x14ac:dyDescent="0.3">
      <c r="A3374">
        <v>1220</v>
      </c>
      <c r="B3374" s="1">
        <v>45377</v>
      </c>
      <c r="C3374">
        <v>51</v>
      </c>
      <c r="D3374" t="s">
        <v>20</v>
      </c>
      <c r="E3374">
        <v>184.3</v>
      </c>
      <c r="F3374">
        <v>56</v>
      </c>
      <c r="G3374">
        <v>8042</v>
      </c>
      <c r="H3374">
        <v>521.79999999999995</v>
      </c>
      <c r="I3374">
        <v>7.8</v>
      </c>
      <c r="J3374">
        <v>71</v>
      </c>
      <c r="K3374" t="s">
        <v>24</v>
      </c>
      <c r="L3374">
        <v>73</v>
      </c>
      <c r="M3374">
        <v>2.62</v>
      </c>
      <c r="N3374">
        <v>7</v>
      </c>
      <c r="O3374" t="s">
        <v>17</v>
      </c>
      <c r="P3374" cm="1">
        <f t="array" ref="P3374">_xlfn.SWITCH(Table2[[#This Row],[mood]], "Tired", 3, "Neutral", 2, "Happy", 1)</f>
        <v>3</v>
      </c>
    </row>
    <row r="3375" spans="1:16" x14ac:dyDescent="0.3">
      <c r="A3375">
        <v>1819</v>
      </c>
      <c r="B3375" s="1">
        <v>45378</v>
      </c>
      <c r="C3375">
        <v>27</v>
      </c>
      <c r="D3375" t="s">
        <v>20</v>
      </c>
      <c r="E3375">
        <v>174.8</v>
      </c>
      <c r="F3375">
        <v>100.3</v>
      </c>
      <c r="G3375">
        <v>12391</v>
      </c>
      <c r="H3375">
        <v>722.1</v>
      </c>
      <c r="I3375">
        <v>6.9</v>
      </c>
      <c r="J3375">
        <v>78</v>
      </c>
      <c r="K3375" t="s">
        <v>16</v>
      </c>
      <c r="L3375">
        <v>0</v>
      </c>
      <c r="M3375">
        <v>1.52</v>
      </c>
      <c r="N3375">
        <v>4</v>
      </c>
      <c r="O3375" t="s">
        <v>17</v>
      </c>
      <c r="P3375" cm="1">
        <f t="array" ref="P3375">_xlfn.SWITCH(Table2[[#This Row],[mood]], "Tired", 3, "Neutral", 2, "Happy", 1)</f>
        <v>3</v>
      </c>
    </row>
    <row r="3376" spans="1:16" x14ac:dyDescent="0.3">
      <c r="A3376">
        <v>1419</v>
      </c>
      <c r="B3376" s="1">
        <v>45379</v>
      </c>
      <c r="C3376">
        <v>27</v>
      </c>
      <c r="D3376" t="s">
        <v>15</v>
      </c>
      <c r="E3376">
        <v>185.2</v>
      </c>
      <c r="F3376">
        <v>59.5</v>
      </c>
      <c r="G3376">
        <v>3018</v>
      </c>
      <c r="H3376">
        <v>282.7</v>
      </c>
      <c r="I3376">
        <v>7.7</v>
      </c>
      <c r="J3376">
        <v>78</v>
      </c>
      <c r="K3376" t="s">
        <v>23</v>
      </c>
      <c r="L3376">
        <v>80</v>
      </c>
      <c r="M3376">
        <v>3.51</v>
      </c>
      <c r="N3376">
        <v>6</v>
      </c>
      <c r="O3376" t="s">
        <v>21</v>
      </c>
      <c r="P3376" cm="1">
        <f t="array" ref="P3376">_xlfn.SWITCH(Table2[[#This Row],[mood]], "Tired", 3, "Neutral", 2, "Happy", 1)</f>
        <v>1</v>
      </c>
    </row>
    <row r="3377" spans="1:16" x14ac:dyDescent="0.3">
      <c r="A3377">
        <v>1123</v>
      </c>
      <c r="B3377" s="1">
        <v>45380</v>
      </c>
      <c r="C3377">
        <v>23</v>
      </c>
      <c r="D3377" t="s">
        <v>20</v>
      </c>
      <c r="E3377">
        <v>165.8</v>
      </c>
      <c r="F3377">
        <v>74.8</v>
      </c>
      <c r="G3377">
        <v>13952</v>
      </c>
      <c r="H3377">
        <v>698.2</v>
      </c>
      <c r="I3377">
        <v>4.9000000000000004</v>
      </c>
      <c r="J3377">
        <v>76</v>
      </c>
      <c r="K3377" t="s">
        <v>18</v>
      </c>
      <c r="L3377">
        <v>39</v>
      </c>
      <c r="M3377">
        <v>2.33</v>
      </c>
      <c r="N3377">
        <v>4</v>
      </c>
      <c r="O3377" t="s">
        <v>19</v>
      </c>
      <c r="P3377" cm="1">
        <f t="array" ref="P3377">_xlfn.SWITCH(Table2[[#This Row],[mood]], "Tired", 3, "Neutral", 2, "Happy", 1)</f>
        <v>2</v>
      </c>
    </row>
    <row r="3378" spans="1:16" x14ac:dyDescent="0.3">
      <c r="A3378">
        <v>1421</v>
      </c>
      <c r="B3378" s="1">
        <v>45381</v>
      </c>
      <c r="C3378">
        <v>53</v>
      </c>
      <c r="D3378" t="s">
        <v>20</v>
      </c>
      <c r="E3378">
        <v>156.6</v>
      </c>
      <c r="F3378">
        <v>48.2</v>
      </c>
      <c r="G3378">
        <v>17240</v>
      </c>
      <c r="H3378">
        <v>900</v>
      </c>
      <c r="I3378">
        <v>8.3000000000000007</v>
      </c>
      <c r="J3378">
        <v>90</v>
      </c>
      <c r="K3378" t="s">
        <v>23</v>
      </c>
      <c r="L3378">
        <v>72</v>
      </c>
      <c r="M3378">
        <v>1.58</v>
      </c>
      <c r="N3378">
        <v>3</v>
      </c>
      <c r="O3378" t="s">
        <v>17</v>
      </c>
      <c r="P3378" cm="1">
        <f t="array" ref="P3378">_xlfn.SWITCH(Table2[[#This Row],[mood]], "Tired", 3, "Neutral", 2, "Happy", 1)</f>
        <v>3</v>
      </c>
    </row>
    <row r="3379" spans="1:16" x14ac:dyDescent="0.3">
      <c r="A3379">
        <v>1230</v>
      </c>
      <c r="B3379" s="1">
        <v>45382</v>
      </c>
      <c r="C3379">
        <v>41</v>
      </c>
      <c r="D3379" t="s">
        <v>15</v>
      </c>
      <c r="E3379">
        <v>163.30000000000001</v>
      </c>
      <c r="F3379">
        <v>85.5</v>
      </c>
      <c r="G3379">
        <v>3047</v>
      </c>
      <c r="H3379">
        <v>331.3</v>
      </c>
      <c r="I3379">
        <v>7.8</v>
      </c>
      <c r="J3379">
        <v>92</v>
      </c>
      <c r="K3379" t="s">
        <v>23</v>
      </c>
      <c r="L3379">
        <v>34</v>
      </c>
      <c r="M3379">
        <v>2.14</v>
      </c>
      <c r="N3379">
        <v>9</v>
      </c>
      <c r="O3379" t="s">
        <v>21</v>
      </c>
      <c r="P3379" cm="1">
        <f t="array" ref="P3379">_xlfn.SWITCH(Table2[[#This Row],[mood]], "Tired", 3, "Neutral", 2, "Happy", 1)</f>
        <v>1</v>
      </c>
    </row>
    <row r="3380" spans="1:16" x14ac:dyDescent="0.3">
      <c r="A3380">
        <v>1689</v>
      </c>
      <c r="B3380" s="1">
        <v>45383</v>
      </c>
      <c r="C3380">
        <v>29</v>
      </c>
      <c r="D3380" t="s">
        <v>20</v>
      </c>
      <c r="E3380">
        <v>164.4</v>
      </c>
      <c r="F3380">
        <v>65.400000000000006</v>
      </c>
      <c r="G3380">
        <v>18942</v>
      </c>
      <c r="H3380">
        <v>900</v>
      </c>
      <c r="I3380">
        <v>9.5</v>
      </c>
      <c r="J3380">
        <v>93</v>
      </c>
      <c r="K3380" t="s">
        <v>22</v>
      </c>
      <c r="L3380">
        <v>48</v>
      </c>
      <c r="M3380">
        <v>2.36</v>
      </c>
      <c r="N3380">
        <v>5</v>
      </c>
      <c r="O3380" t="s">
        <v>19</v>
      </c>
      <c r="P3380" cm="1">
        <f t="array" ref="P3380">_xlfn.SWITCH(Table2[[#This Row],[mood]], "Tired", 3, "Neutral", 2, "Happy", 1)</f>
        <v>2</v>
      </c>
    </row>
    <row r="3381" spans="1:16" x14ac:dyDescent="0.3">
      <c r="A3381">
        <v>1062</v>
      </c>
      <c r="B3381" s="1">
        <v>45384</v>
      </c>
      <c r="C3381">
        <v>40</v>
      </c>
      <c r="D3381" t="s">
        <v>15</v>
      </c>
      <c r="E3381">
        <v>186</v>
      </c>
      <c r="F3381">
        <v>52.8</v>
      </c>
      <c r="G3381">
        <v>2722</v>
      </c>
      <c r="H3381">
        <v>319.39999999999998</v>
      </c>
      <c r="I3381">
        <v>5.8</v>
      </c>
      <c r="J3381">
        <v>73</v>
      </c>
      <c r="K3381" t="s">
        <v>16</v>
      </c>
      <c r="L3381">
        <v>0</v>
      </c>
      <c r="M3381">
        <v>3.02</v>
      </c>
      <c r="N3381">
        <v>8</v>
      </c>
      <c r="O3381" t="s">
        <v>19</v>
      </c>
      <c r="P3381" cm="1">
        <f t="array" ref="P3381">_xlfn.SWITCH(Table2[[#This Row],[mood]], "Tired", 3, "Neutral", 2, "Happy", 1)</f>
        <v>2</v>
      </c>
    </row>
    <row r="3382" spans="1:16" x14ac:dyDescent="0.3">
      <c r="A3382">
        <v>1484</v>
      </c>
      <c r="B3382" s="1">
        <v>45385</v>
      </c>
      <c r="C3382">
        <v>44</v>
      </c>
      <c r="D3382" t="s">
        <v>20</v>
      </c>
      <c r="E3382">
        <v>177.4</v>
      </c>
      <c r="F3382">
        <v>87.8</v>
      </c>
      <c r="G3382">
        <v>5052</v>
      </c>
      <c r="H3382">
        <v>454.6</v>
      </c>
      <c r="I3382">
        <v>6.1</v>
      </c>
      <c r="J3382">
        <v>76</v>
      </c>
      <c r="K3382" t="s">
        <v>16</v>
      </c>
      <c r="L3382">
        <v>0</v>
      </c>
      <c r="M3382">
        <v>2.02</v>
      </c>
      <c r="N3382">
        <v>3</v>
      </c>
      <c r="O3382" t="s">
        <v>21</v>
      </c>
      <c r="P3382" cm="1">
        <f t="array" ref="P3382">_xlfn.SWITCH(Table2[[#This Row],[mood]], "Tired", 3, "Neutral", 2, "Happy", 1)</f>
        <v>1</v>
      </c>
    </row>
    <row r="3383" spans="1:16" x14ac:dyDescent="0.3">
      <c r="A3383">
        <v>1627</v>
      </c>
      <c r="B3383" s="1">
        <v>45386</v>
      </c>
      <c r="C3383">
        <v>54</v>
      </c>
      <c r="D3383" t="s">
        <v>20</v>
      </c>
      <c r="E3383">
        <v>163.6</v>
      </c>
      <c r="F3383">
        <v>91.5</v>
      </c>
      <c r="G3383">
        <v>2651</v>
      </c>
      <c r="H3383">
        <v>310</v>
      </c>
      <c r="I3383">
        <v>4.3</v>
      </c>
      <c r="J3383">
        <v>89</v>
      </c>
      <c r="K3383" t="s">
        <v>25</v>
      </c>
      <c r="L3383">
        <v>81</v>
      </c>
      <c r="M3383">
        <v>4.33</v>
      </c>
      <c r="N3383">
        <v>9</v>
      </c>
      <c r="O3383" t="s">
        <v>19</v>
      </c>
      <c r="P3383" cm="1">
        <f t="array" ref="P3383">_xlfn.SWITCH(Table2[[#This Row],[mood]], "Tired", 3, "Neutral", 2, "Happy", 1)</f>
        <v>2</v>
      </c>
    </row>
    <row r="3384" spans="1:16" x14ac:dyDescent="0.3">
      <c r="A3384">
        <v>1702</v>
      </c>
      <c r="B3384" s="1">
        <v>45387</v>
      </c>
      <c r="C3384">
        <v>23</v>
      </c>
      <c r="D3384" t="s">
        <v>20</v>
      </c>
      <c r="E3384">
        <v>178.1</v>
      </c>
      <c r="F3384">
        <v>92.1</v>
      </c>
      <c r="G3384">
        <v>2778</v>
      </c>
      <c r="H3384">
        <v>340.5</v>
      </c>
      <c r="I3384">
        <v>5.8</v>
      </c>
      <c r="J3384">
        <v>68</v>
      </c>
      <c r="K3384" t="s">
        <v>16</v>
      </c>
      <c r="L3384">
        <v>0</v>
      </c>
      <c r="M3384">
        <v>1.84</v>
      </c>
      <c r="N3384">
        <v>1</v>
      </c>
      <c r="O3384" t="s">
        <v>17</v>
      </c>
      <c r="P3384" cm="1">
        <f t="array" ref="P3384">_xlfn.SWITCH(Table2[[#This Row],[mood]], "Tired", 3, "Neutral", 2, "Happy", 1)</f>
        <v>3</v>
      </c>
    </row>
    <row r="3385" spans="1:16" x14ac:dyDescent="0.3">
      <c r="A3385">
        <v>1573</v>
      </c>
      <c r="B3385" s="1">
        <v>45388</v>
      </c>
      <c r="C3385">
        <v>18</v>
      </c>
      <c r="D3385" t="s">
        <v>15</v>
      </c>
      <c r="E3385">
        <v>168.7</v>
      </c>
      <c r="F3385">
        <v>47.2</v>
      </c>
      <c r="G3385">
        <v>1683</v>
      </c>
      <c r="H3385">
        <v>211.8</v>
      </c>
      <c r="I3385">
        <v>9.1999999999999993</v>
      </c>
      <c r="J3385">
        <v>71</v>
      </c>
      <c r="K3385" t="s">
        <v>18</v>
      </c>
      <c r="L3385">
        <v>35</v>
      </c>
      <c r="M3385">
        <v>2.93</v>
      </c>
      <c r="N3385">
        <v>2</v>
      </c>
      <c r="O3385" t="s">
        <v>21</v>
      </c>
      <c r="P3385" cm="1">
        <f t="array" ref="P3385">_xlfn.SWITCH(Table2[[#This Row],[mood]], "Tired", 3, "Neutral", 2, "Happy", 1)</f>
        <v>1</v>
      </c>
    </row>
    <row r="3386" spans="1:16" x14ac:dyDescent="0.3">
      <c r="A3386">
        <v>1767</v>
      </c>
      <c r="B3386" s="1">
        <v>45389</v>
      </c>
      <c r="C3386">
        <v>23</v>
      </c>
      <c r="D3386" t="s">
        <v>20</v>
      </c>
      <c r="E3386">
        <v>186.3</v>
      </c>
      <c r="F3386">
        <v>93.6</v>
      </c>
      <c r="G3386">
        <v>10471</v>
      </c>
      <c r="H3386">
        <v>530.6</v>
      </c>
      <c r="I3386">
        <v>7.4</v>
      </c>
      <c r="J3386">
        <v>75</v>
      </c>
      <c r="K3386" t="s">
        <v>18</v>
      </c>
      <c r="L3386">
        <v>73</v>
      </c>
      <c r="M3386">
        <v>1.1200000000000001</v>
      </c>
      <c r="N3386">
        <v>4</v>
      </c>
      <c r="O3386" t="s">
        <v>21</v>
      </c>
      <c r="P3386" cm="1">
        <f t="array" ref="P3386">_xlfn.SWITCH(Table2[[#This Row],[mood]], "Tired", 3, "Neutral", 2, "Happy", 1)</f>
        <v>1</v>
      </c>
    </row>
    <row r="3387" spans="1:16" x14ac:dyDescent="0.3">
      <c r="A3387">
        <v>1482</v>
      </c>
      <c r="B3387" s="1">
        <v>45390</v>
      </c>
      <c r="C3387">
        <v>39</v>
      </c>
      <c r="D3387" t="s">
        <v>20</v>
      </c>
      <c r="E3387">
        <v>166.7</v>
      </c>
      <c r="F3387">
        <v>65.5</v>
      </c>
      <c r="G3387">
        <v>19394</v>
      </c>
      <c r="H3387">
        <v>900</v>
      </c>
      <c r="I3387">
        <v>5.9</v>
      </c>
      <c r="J3387">
        <v>75</v>
      </c>
      <c r="K3387" t="s">
        <v>24</v>
      </c>
      <c r="L3387">
        <v>26</v>
      </c>
      <c r="M3387">
        <v>2.41</v>
      </c>
      <c r="N3387">
        <v>2</v>
      </c>
      <c r="O3387" t="s">
        <v>17</v>
      </c>
      <c r="P3387" cm="1">
        <f t="array" ref="P3387">_xlfn.SWITCH(Table2[[#This Row],[mood]], "Tired", 3, "Neutral", 2, "Happy", 1)</f>
        <v>3</v>
      </c>
    </row>
    <row r="3388" spans="1:16" x14ac:dyDescent="0.3">
      <c r="A3388">
        <v>1518</v>
      </c>
      <c r="B3388" s="1">
        <v>45391</v>
      </c>
      <c r="C3388">
        <v>58</v>
      </c>
      <c r="D3388" t="s">
        <v>15</v>
      </c>
      <c r="E3388">
        <v>154.6</v>
      </c>
      <c r="F3388">
        <v>100.8</v>
      </c>
      <c r="G3388">
        <v>14937</v>
      </c>
      <c r="H3388">
        <v>726.2</v>
      </c>
      <c r="I3388">
        <v>7.2</v>
      </c>
      <c r="J3388">
        <v>72</v>
      </c>
      <c r="K3388" t="s">
        <v>23</v>
      </c>
      <c r="L3388">
        <v>79</v>
      </c>
      <c r="M3388">
        <v>2.76</v>
      </c>
      <c r="N3388">
        <v>9</v>
      </c>
      <c r="O3388" t="s">
        <v>21</v>
      </c>
      <c r="P3388" cm="1">
        <f t="array" ref="P3388">_xlfn.SWITCH(Table2[[#This Row],[mood]], "Tired", 3, "Neutral", 2, "Happy", 1)</f>
        <v>1</v>
      </c>
    </row>
    <row r="3389" spans="1:16" x14ac:dyDescent="0.3">
      <c r="A3389">
        <v>1154</v>
      </c>
      <c r="B3389" s="1">
        <v>45392</v>
      </c>
      <c r="C3389">
        <v>41</v>
      </c>
      <c r="D3389" t="s">
        <v>15</v>
      </c>
      <c r="E3389">
        <v>168.1</v>
      </c>
      <c r="F3389">
        <v>79.400000000000006</v>
      </c>
      <c r="G3389">
        <v>19966</v>
      </c>
      <c r="H3389">
        <v>892.8</v>
      </c>
      <c r="I3389">
        <v>6.9</v>
      </c>
      <c r="J3389">
        <v>66</v>
      </c>
      <c r="K3389" t="s">
        <v>23</v>
      </c>
      <c r="L3389">
        <v>29</v>
      </c>
      <c r="M3389">
        <v>1.72</v>
      </c>
      <c r="N3389">
        <v>7</v>
      </c>
      <c r="O3389" t="s">
        <v>17</v>
      </c>
      <c r="P3389" cm="1">
        <f t="array" ref="P3389">_xlfn.SWITCH(Table2[[#This Row],[mood]], "Tired", 3, "Neutral", 2, "Happy", 1)</f>
        <v>3</v>
      </c>
    </row>
    <row r="3390" spans="1:16" x14ac:dyDescent="0.3">
      <c r="A3390">
        <v>1091</v>
      </c>
      <c r="B3390" s="1">
        <v>45393</v>
      </c>
      <c r="C3390">
        <v>42</v>
      </c>
      <c r="D3390" t="s">
        <v>20</v>
      </c>
      <c r="E3390">
        <v>166.7</v>
      </c>
      <c r="F3390">
        <v>73.8</v>
      </c>
      <c r="G3390">
        <v>9505</v>
      </c>
      <c r="H3390">
        <v>595.29999999999995</v>
      </c>
      <c r="I3390">
        <v>4.0999999999999996</v>
      </c>
      <c r="J3390">
        <v>84</v>
      </c>
      <c r="K3390" t="s">
        <v>16</v>
      </c>
      <c r="L3390">
        <v>0</v>
      </c>
      <c r="M3390">
        <v>3.55</v>
      </c>
      <c r="N3390">
        <v>2</v>
      </c>
      <c r="O3390" t="s">
        <v>17</v>
      </c>
      <c r="P3390" cm="1">
        <f t="array" ref="P3390">_xlfn.SWITCH(Table2[[#This Row],[mood]], "Tired", 3, "Neutral", 2, "Happy", 1)</f>
        <v>3</v>
      </c>
    </row>
    <row r="3391" spans="1:16" x14ac:dyDescent="0.3">
      <c r="A3391">
        <v>1981</v>
      </c>
      <c r="B3391" s="1">
        <v>45394</v>
      </c>
      <c r="C3391">
        <v>32</v>
      </c>
      <c r="D3391" t="s">
        <v>15</v>
      </c>
      <c r="E3391">
        <v>156.6</v>
      </c>
      <c r="F3391">
        <v>70.099999999999994</v>
      </c>
      <c r="G3391">
        <v>8443</v>
      </c>
      <c r="H3391">
        <v>449.3</v>
      </c>
      <c r="I3391">
        <v>4.4000000000000004</v>
      </c>
      <c r="J3391">
        <v>71</v>
      </c>
      <c r="K3391" t="s">
        <v>23</v>
      </c>
      <c r="L3391">
        <v>27</v>
      </c>
      <c r="M3391">
        <v>2.8</v>
      </c>
      <c r="N3391">
        <v>4</v>
      </c>
      <c r="O3391" t="s">
        <v>19</v>
      </c>
      <c r="P3391" cm="1">
        <f t="array" ref="P3391">_xlfn.SWITCH(Table2[[#This Row],[mood]], "Tired", 3, "Neutral", 2, "Happy", 1)</f>
        <v>2</v>
      </c>
    </row>
    <row r="3392" spans="1:16" x14ac:dyDescent="0.3">
      <c r="A3392">
        <v>1525</v>
      </c>
      <c r="B3392" s="1">
        <v>45395</v>
      </c>
      <c r="C3392">
        <v>43</v>
      </c>
      <c r="D3392" t="s">
        <v>20</v>
      </c>
      <c r="E3392">
        <v>175.9</v>
      </c>
      <c r="F3392">
        <v>69.8</v>
      </c>
      <c r="G3392">
        <v>6492</v>
      </c>
      <c r="H3392">
        <v>507.2</v>
      </c>
      <c r="I3392">
        <v>8.6999999999999993</v>
      </c>
      <c r="J3392">
        <v>77</v>
      </c>
      <c r="K3392" t="s">
        <v>18</v>
      </c>
      <c r="L3392">
        <v>56</v>
      </c>
      <c r="M3392">
        <v>2.2799999999999998</v>
      </c>
      <c r="N3392">
        <v>6</v>
      </c>
      <c r="O3392" t="s">
        <v>19</v>
      </c>
      <c r="P3392" cm="1">
        <f t="array" ref="P3392">_xlfn.SWITCH(Table2[[#This Row],[mood]], "Tired", 3, "Neutral", 2, "Happy", 1)</f>
        <v>2</v>
      </c>
    </row>
    <row r="3393" spans="1:16" x14ac:dyDescent="0.3">
      <c r="A3393">
        <v>1454</v>
      </c>
      <c r="B3393" s="1">
        <v>45396</v>
      </c>
      <c r="C3393">
        <v>25</v>
      </c>
      <c r="D3393" t="s">
        <v>20</v>
      </c>
      <c r="E3393">
        <v>184.2</v>
      </c>
      <c r="F3393">
        <v>59.8</v>
      </c>
      <c r="G3393">
        <v>17827</v>
      </c>
      <c r="H3393">
        <v>900</v>
      </c>
      <c r="I3393">
        <v>8.1</v>
      </c>
      <c r="J3393">
        <v>75</v>
      </c>
      <c r="K3393" t="s">
        <v>22</v>
      </c>
      <c r="L3393">
        <v>23</v>
      </c>
      <c r="M3393">
        <v>2.8</v>
      </c>
      <c r="N3393">
        <v>2</v>
      </c>
      <c r="O3393" t="s">
        <v>19</v>
      </c>
      <c r="P3393" cm="1">
        <f t="array" ref="P3393">_xlfn.SWITCH(Table2[[#This Row],[mood]], "Tired", 3, "Neutral", 2, "Happy", 1)</f>
        <v>2</v>
      </c>
    </row>
    <row r="3394" spans="1:16" x14ac:dyDescent="0.3">
      <c r="A3394">
        <v>1740</v>
      </c>
      <c r="B3394" s="1">
        <v>45397</v>
      </c>
      <c r="C3394">
        <v>41</v>
      </c>
      <c r="D3394" t="s">
        <v>15</v>
      </c>
      <c r="E3394">
        <v>158.80000000000001</v>
      </c>
      <c r="F3394">
        <v>54</v>
      </c>
      <c r="G3394">
        <v>19055</v>
      </c>
      <c r="H3394">
        <v>890.1</v>
      </c>
      <c r="I3394">
        <v>4.8</v>
      </c>
      <c r="J3394">
        <v>82</v>
      </c>
      <c r="K3394" t="s">
        <v>24</v>
      </c>
      <c r="L3394">
        <v>42</v>
      </c>
      <c r="M3394">
        <v>2.08</v>
      </c>
      <c r="N3394">
        <v>9</v>
      </c>
      <c r="O3394" t="s">
        <v>19</v>
      </c>
      <c r="P3394" cm="1">
        <f t="array" ref="P3394">_xlfn.SWITCH(Table2[[#This Row],[mood]], "Tired", 3, "Neutral", 2, "Happy", 1)</f>
        <v>2</v>
      </c>
    </row>
    <row r="3395" spans="1:16" x14ac:dyDescent="0.3">
      <c r="A3395">
        <v>1597</v>
      </c>
      <c r="B3395" s="1">
        <v>45398</v>
      </c>
      <c r="C3395">
        <v>55</v>
      </c>
      <c r="D3395" t="s">
        <v>15</v>
      </c>
      <c r="E3395">
        <v>179.7</v>
      </c>
      <c r="F3395">
        <v>64.599999999999994</v>
      </c>
      <c r="G3395">
        <v>4266</v>
      </c>
      <c r="H3395">
        <v>385.1</v>
      </c>
      <c r="I3395">
        <v>6.8</v>
      </c>
      <c r="J3395">
        <v>80</v>
      </c>
      <c r="K3395" t="s">
        <v>23</v>
      </c>
      <c r="L3395">
        <v>28</v>
      </c>
      <c r="M3395">
        <v>3.38</v>
      </c>
      <c r="N3395">
        <v>3</v>
      </c>
      <c r="O3395" t="s">
        <v>19</v>
      </c>
      <c r="P3395" cm="1">
        <f t="array" ref="P3395">_xlfn.SWITCH(Table2[[#This Row],[mood]], "Tired", 3, "Neutral", 2, "Happy", 1)</f>
        <v>2</v>
      </c>
    </row>
    <row r="3396" spans="1:16" x14ac:dyDescent="0.3">
      <c r="A3396">
        <v>1644</v>
      </c>
      <c r="B3396" s="1">
        <v>45399</v>
      </c>
      <c r="C3396">
        <v>23</v>
      </c>
      <c r="D3396" t="s">
        <v>15</v>
      </c>
      <c r="E3396">
        <v>163.9</v>
      </c>
      <c r="F3396">
        <v>87.9</v>
      </c>
      <c r="G3396">
        <v>6909</v>
      </c>
      <c r="H3396">
        <v>569.29999999999995</v>
      </c>
      <c r="I3396">
        <v>5.9</v>
      </c>
      <c r="J3396">
        <v>72</v>
      </c>
      <c r="K3396" t="s">
        <v>22</v>
      </c>
      <c r="L3396">
        <v>57</v>
      </c>
      <c r="M3396">
        <v>3.21</v>
      </c>
      <c r="N3396">
        <v>2</v>
      </c>
      <c r="O3396" t="s">
        <v>17</v>
      </c>
      <c r="P3396" cm="1">
        <f t="array" ref="P3396">_xlfn.SWITCH(Table2[[#This Row],[mood]], "Tired", 3, "Neutral", 2, "Happy", 1)</f>
        <v>3</v>
      </c>
    </row>
    <row r="3397" spans="1:16" x14ac:dyDescent="0.3">
      <c r="A3397">
        <v>1509</v>
      </c>
      <c r="B3397" s="1">
        <v>45400</v>
      </c>
      <c r="C3397">
        <v>52</v>
      </c>
      <c r="D3397" t="s">
        <v>20</v>
      </c>
      <c r="E3397">
        <v>169.8</v>
      </c>
      <c r="F3397">
        <v>49.1</v>
      </c>
      <c r="G3397">
        <v>13869</v>
      </c>
      <c r="H3397">
        <v>731.2</v>
      </c>
      <c r="I3397">
        <v>8.6</v>
      </c>
      <c r="J3397">
        <v>71</v>
      </c>
      <c r="K3397" t="s">
        <v>16</v>
      </c>
      <c r="L3397">
        <v>0</v>
      </c>
      <c r="M3397">
        <v>2.76</v>
      </c>
      <c r="N3397">
        <v>4</v>
      </c>
      <c r="O3397" t="s">
        <v>21</v>
      </c>
      <c r="P3397" cm="1">
        <f t="array" ref="P3397">_xlfn.SWITCH(Table2[[#This Row],[mood]], "Tired", 3, "Neutral", 2, "Happy", 1)</f>
        <v>1</v>
      </c>
    </row>
    <row r="3398" spans="1:16" x14ac:dyDescent="0.3">
      <c r="A3398">
        <v>1182</v>
      </c>
      <c r="B3398" s="1">
        <v>45401</v>
      </c>
      <c r="C3398">
        <v>59</v>
      </c>
      <c r="D3398" t="s">
        <v>15</v>
      </c>
      <c r="E3398">
        <v>168.7</v>
      </c>
      <c r="F3398">
        <v>90.1</v>
      </c>
      <c r="G3398">
        <v>8014</v>
      </c>
      <c r="H3398">
        <v>551.1</v>
      </c>
      <c r="I3398">
        <v>7.7</v>
      </c>
      <c r="J3398">
        <v>74</v>
      </c>
      <c r="K3398" t="s">
        <v>25</v>
      </c>
      <c r="L3398">
        <v>64</v>
      </c>
      <c r="M3398">
        <v>2.93</v>
      </c>
      <c r="N3398">
        <v>5</v>
      </c>
      <c r="O3398" t="s">
        <v>21</v>
      </c>
      <c r="P3398" cm="1">
        <f t="array" ref="P3398">_xlfn.SWITCH(Table2[[#This Row],[mood]], "Tired", 3, "Neutral", 2, "Happy", 1)</f>
        <v>1</v>
      </c>
    </row>
    <row r="3399" spans="1:16" x14ac:dyDescent="0.3">
      <c r="A3399">
        <v>1385</v>
      </c>
      <c r="B3399" s="1">
        <v>45402</v>
      </c>
      <c r="C3399">
        <v>18</v>
      </c>
      <c r="D3399" t="s">
        <v>20</v>
      </c>
      <c r="E3399">
        <v>169.8</v>
      </c>
      <c r="F3399">
        <v>72.2</v>
      </c>
      <c r="G3399">
        <v>12287</v>
      </c>
      <c r="H3399">
        <v>811.1</v>
      </c>
      <c r="I3399">
        <v>5.3</v>
      </c>
      <c r="J3399">
        <v>64</v>
      </c>
      <c r="K3399" t="s">
        <v>18</v>
      </c>
      <c r="L3399">
        <v>37</v>
      </c>
      <c r="M3399">
        <v>1.47</v>
      </c>
      <c r="N3399">
        <v>4</v>
      </c>
      <c r="O3399" t="s">
        <v>19</v>
      </c>
      <c r="P3399" cm="1">
        <f t="array" ref="P3399">_xlfn.SWITCH(Table2[[#This Row],[mood]], "Tired", 3, "Neutral", 2, "Happy", 1)</f>
        <v>2</v>
      </c>
    </row>
    <row r="3400" spans="1:16" x14ac:dyDescent="0.3">
      <c r="A3400">
        <v>1573</v>
      </c>
      <c r="B3400" s="1">
        <v>45403</v>
      </c>
      <c r="C3400">
        <v>53</v>
      </c>
      <c r="D3400" t="s">
        <v>15</v>
      </c>
      <c r="E3400">
        <v>174.7</v>
      </c>
      <c r="F3400">
        <v>81.7</v>
      </c>
      <c r="G3400">
        <v>8819</v>
      </c>
      <c r="H3400">
        <v>468.9</v>
      </c>
      <c r="I3400">
        <v>7.2</v>
      </c>
      <c r="J3400">
        <v>67</v>
      </c>
      <c r="K3400" t="s">
        <v>25</v>
      </c>
      <c r="L3400">
        <v>65</v>
      </c>
      <c r="M3400">
        <v>3.53</v>
      </c>
      <c r="N3400">
        <v>3</v>
      </c>
      <c r="O3400" t="s">
        <v>17</v>
      </c>
      <c r="P3400" cm="1">
        <f t="array" ref="P3400">_xlfn.SWITCH(Table2[[#This Row],[mood]], "Tired", 3, "Neutral", 2, "Happy", 1)</f>
        <v>3</v>
      </c>
    </row>
    <row r="3401" spans="1:16" x14ac:dyDescent="0.3">
      <c r="A3401">
        <v>1730</v>
      </c>
      <c r="B3401" s="1">
        <v>45404</v>
      </c>
      <c r="C3401">
        <v>29</v>
      </c>
      <c r="D3401" t="s">
        <v>20</v>
      </c>
      <c r="E3401">
        <v>159.80000000000001</v>
      </c>
      <c r="F3401">
        <v>82.5</v>
      </c>
      <c r="G3401">
        <v>15837</v>
      </c>
      <c r="H3401">
        <v>782.5</v>
      </c>
      <c r="I3401">
        <v>6.9</v>
      </c>
      <c r="J3401">
        <v>80</v>
      </c>
      <c r="K3401" t="s">
        <v>18</v>
      </c>
      <c r="L3401">
        <v>21</v>
      </c>
      <c r="M3401">
        <v>2.4300000000000002</v>
      </c>
      <c r="N3401">
        <v>3</v>
      </c>
      <c r="O3401" t="s">
        <v>17</v>
      </c>
      <c r="P3401" cm="1">
        <f t="array" ref="P3401">_xlfn.SWITCH(Table2[[#This Row],[mood]], "Tired", 3, "Neutral", 2, "Happy", 1)</f>
        <v>3</v>
      </c>
    </row>
    <row r="3402" spans="1:16" x14ac:dyDescent="0.3">
      <c r="A3402">
        <v>1404</v>
      </c>
      <c r="B3402" s="1">
        <v>45405</v>
      </c>
      <c r="C3402">
        <v>55</v>
      </c>
      <c r="D3402" t="s">
        <v>15</v>
      </c>
      <c r="E3402">
        <v>182.9</v>
      </c>
      <c r="F3402">
        <v>83.9</v>
      </c>
      <c r="G3402">
        <v>16186</v>
      </c>
      <c r="H3402">
        <v>875.6</v>
      </c>
      <c r="I3402">
        <v>6.9</v>
      </c>
      <c r="J3402">
        <v>78</v>
      </c>
      <c r="K3402" t="s">
        <v>24</v>
      </c>
      <c r="L3402">
        <v>67</v>
      </c>
      <c r="M3402">
        <v>3.22</v>
      </c>
      <c r="N3402">
        <v>3</v>
      </c>
      <c r="O3402" t="s">
        <v>17</v>
      </c>
      <c r="P3402" cm="1">
        <f t="array" ref="P3402">_xlfn.SWITCH(Table2[[#This Row],[mood]], "Tired", 3, "Neutral", 2, "Happy", 1)</f>
        <v>3</v>
      </c>
    </row>
    <row r="3403" spans="1:16" x14ac:dyDescent="0.3">
      <c r="A3403">
        <v>1245</v>
      </c>
      <c r="B3403" s="1">
        <v>45406</v>
      </c>
      <c r="C3403">
        <v>28</v>
      </c>
      <c r="D3403" t="s">
        <v>20</v>
      </c>
      <c r="E3403">
        <v>175</v>
      </c>
      <c r="F3403">
        <v>70.3</v>
      </c>
      <c r="G3403">
        <v>11056</v>
      </c>
      <c r="H3403">
        <v>750.9</v>
      </c>
      <c r="I3403">
        <v>6.2</v>
      </c>
      <c r="J3403">
        <v>65</v>
      </c>
      <c r="K3403" t="s">
        <v>16</v>
      </c>
      <c r="L3403">
        <v>0</v>
      </c>
      <c r="M3403">
        <v>3.02</v>
      </c>
      <c r="N3403">
        <v>3</v>
      </c>
      <c r="O3403" t="s">
        <v>21</v>
      </c>
      <c r="P3403" cm="1">
        <f t="array" ref="P3403">_xlfn.SWITCH(Table2[[#This Row],[mood]], "Tired", 3, "Neutral", 2, "Happy", 1)</f>
        <v>1</v>
      </c>
    </row>
    <row r="3404" spans="1:16" x14ac:dyDescent="0.3">
      <c r="A3404">
        <v>1741</v>
      </c>
      <c r="B3404" s="1">
        <v>45407</v>
      </c>
      <c r="C3404">
        <v>29</v>
      </c>
      <c r="D3404" t="s">
        <v>15</v>
      </c>
      <c r="E3404">
        <v>178.4</v>
      </c>
      <c r="F3404">
        <v>70.8</v>
      </c>
      <c r="G3404">
        <v>1715</v>
      </c>
      <c r="H3404">
        <v>233</v>
      </c>
      <c r="I3404">
        <v>7</v>
      </c>
      <c r="J3404">
        <v>74</v>
      </c>
      <c r="K3404" t="s">
        <v>25</v>
      </c>
      <c r="L3404">
        <v>35</v>
      </c>
      <c r="M3404">
        <v>3.21</v>
      </c>
      <c r="N3404">
        <v>6</v>
      </c>
      <c r="O3404" t="s">
        <v>17</v>
      </c>
      <c r="P3404" cm="1">
        <f t="array" ref="P3404">_xlfn.SWITCH(Table2[[#This Row],[mood]], "Tired", 3, "Neutral", 2, "Happy", 1)</f>
        <v>3</v>
      </c>
    </row>
    <row r="3405" spans="1:16" x14ac:dyDescent="0.3">
      <c r="A3405">
        <v>1590</v>
      </c>
      <c r="B3405" s="1">
        <v>45408</v>
      </c>
      <c r="C3405">
        <v>59</v>
      </c>
      <c r="D3405" t="s">
        <v>20</v>
      </c>
      <c r="E3405">
        <v>162.19999999999999</v>
      </c>
      <c r="F3405">
        <v>83.4</v>
      </c>
      <c r="G3405">
        <v>18275</v>
      </c>
      <c r="H3405">
        <v>900</v>
      </c>
      <c r="I3405">
        <v>5.7</v>
      </c>
      <c r="J3405">
        <v>59</v>
      </c>
      <c r="K3405" t="s">
        <v>24</v>
      </c>
      <c r="L3405">
        <v>64</v>
      </c>
      <c r="M3405">
        <v>1.77</v>
      </c>
      <c r="N3405">
        <v>4</v>
      </c>
      <c r="O3405" t="s">
        <v>19</v>
      </c>
      <c r="P3405" cm="1">
        <f t="array" ref="P3405">_xlfn.SWITCH(Table2[[#This Row],[mood]], "Tired", 3, "Neutral", 2, "Happy", 1)</f>
        <v>2</v>
      </c>
    </row>
    <row r="3406" spans="1:16" x14ac:dyDescent="0.3">
      <c r="A3406">
        <v>1660</v>
      </c>
      <c r="B3406" s="1">
        <v>45409</v>
      </c>
      <c r="C3406">
        <v>56</v>
      </c>
      <c r="D3406" t="s">
        <v>15</v>
      </c>
      <c r="E3406">
        <v>158.9</v>
      </c>
      <c r="F3406">
        <v>54.4</v>
      </c>
      <c r="G3406">
        <v>17884</v>
      </c>
      <c r="H3406">
        <v>900</v>
      </c>
      <c r="I3406">
        <v>5.2</v>
      </c>
      <c r="J3406">
        <v>76</v>
      </c>
      <c r="K3406" t="s">
        <v>24</v>
      </c>
      <c r="L3406">
        <v>67</v>
      </c>
      <c r="M3406">
        <v>1.86</v>
      </c>
      <c r="N3406">
        <v>7</v>
      </c>
      <c r="O3406" t="s">
        <v>17</v>
      </c>
      <c r="P3406" cm="1">
        <f t="array" ref="P3406">_xlfn.SWITCH(Table2[[#This Row],[mood]], "Tired", 3, "Neutral", 2, "Happy", 1)</f>
        <v>3</v>
      </c>
    </row>
    <row r="3407" spans="1:16" x14ac:dyDescent="0.3">
      <c r="A3407">
        <v>1649</v>
      </c>
      <c r="B3407" s="1">
        <v>45410</v>
      </c>
      <c r="C3407">
        <v>24</v>
      </c>
      <c r="D3407" t="s">
        <v>15</v>
      </c>
      <c r="E3407">
        <v>181.8</v>
      </c>
      <c r="F3407">
        <v>52.1</v>
      </c>
      <c r="G3407">
        <v>13694</v>
      </c>
      <c r="H3407">
        <v>649.4</v>
      </c>
      <c r="I3407">
        <v>5.0999999999999996</v>
      </c>
      <c r="J3407">
        <v>72</v>
      </c>
      <c r="K3407" t="s">
        <v>24</v>
      </c>
      <c r="L3407">
        <v>43</v>
      </c>
      <c r="M3407">
        <v>4.07</v>
      </c>
      <c r="N3407">
        <v>7</v>
      </c>
      <c r="O3407" t="s">
        <v>19</v>
      </c>
      <c r="P3407" cm="1">
        <f t="array" ref="P3407">_xlfn.SWITCH(Table2[[#This Row],[mood]], "Tired", 3, "Neutral", 2, "Happy", 1)</f>
        <v>2</v>
      </c>
    </row>
    <row r="3408" spans="1:16" x14ac:dyDescent="0.3">
      <c r="A3408">
        <v>1470</v>
      </c>
      <c r="B3408" s="1">
        <v>45411</v>
      </c>
      <c r="C3408">
        <v>28</v>
      </c>
      <c r="D3408" t="s">
        <v>20</v>
      </c>
      <c r="E3408">
        <v>158.4</v>
      </c>
      <c r="F3408">
        <v>63</v>
      </c>
      <c r="G3408">
        <v>9894</v>
      </c>
      <c r="H3408">
        <v>675.3</v>
      </c>
      <c r="I3408">
        <v>5.4</v>
      </c>
      <c r="J3408">
        <v>96</v>
      </c>
      <c r="K3408" t="s">
        <v>25</v>
      </c>
      <c r="L3408">
        <v>84</v>
      </c>
      <c r="M3408">
        <v>1.44</v>
      </c>
      <c r="N3408">
        <v>4</v>
      </c>
      <c r="O3408" t="s">
        <v>21</v>
      </c>
      <c r="P3408" cm="1">
        <f t="array" ref="P3408">_xlfn.SWITCH(Table2[[#This Row],[mood]], "Tired", 3, "Neutral", 2, "Happy", 1)</f>
        <v>1</v>
      </c>
    </row>
    <row r="3409" spans="1:16" x14ac:dyDescent="0.3">
      <c r="A3409">
        <v>1825</v>
      </c>
      <c r="B3409" s="1">
        <v>45412</v>
      </c>
      <c r="C3409">
        <v>53</v>
      </c>
      <c r="D3409" t="s">
        <v>15</v>
      </c>
      <c r="E3409">
        <v>171.5</v>
      </c>
      <c r="F3409">
        <v>74.3</v>
      </c>
      <c r="G3409">
        <v>19717</v>
      </c>
      <c r="H3409">
        <v>900</v>
      </c>
      <c r="I3409">
        <v>7.6</v>
      </c>
      <c r="J3409">
        <v>81</v>
      </c>
      <c r="K3409" t="s">
        <v>25</v>
      </c>
      <c r="L3409">
        <v>52</v>
      </c>
      <c r="M3409">
        <v>1.73</v>
      </c>
      <c r="N3409">
        <v>1</v>
      </c>
      <c r="O3409" t="s">
        <v>21</v>
      </c>
      <c r="P3409" cm="1">
        <f t="array" ref="P3409">_xlfn.SWITCH(Table2[[#This Row],[mood]], "Tired", 3, "Neutral", 2, "Happy", 1)</f>
        <v>1</v>
      </c>
    </row>
    <row r="3410" spans="1:16" x14ac:dyDescent="0.3">
      <c r="A3410">
        <v>1887</v>
      </c>
      <c r="B3410" s="1">
        <v>45413</v>
      </c>
      <c r="C3410">
        <v>48</v>
      </c>
      <c r="D3410" t="s">
        <v>20</v>
      </c>
      <c r="E3410">
        <v>180.2</v>
      </c>
      <c r="F3410">
        <v>98.8</v>
      </c>
      <c r="G3410">
        <v>19578</v>
      </c>
      <c r="H3410">
        <v>900</v>
      </c>
      <c r="I3410">
        <v>7.7</v>
      </c>
      <c r="J3410">
        <v>65</v>
      </c>
      <c r="K3410" t="s">
        <v>25</v>
      </c>
      <c r="L3410">
        <v>23</v>
      </c>
      <c r="M3410">
        <v>2.5299999999999998</v>
      </c>
      <c r="N3410">
        <v>9</v>
      </c>
      <c r="O3410" t="s">
        <v>17</v>
      </c>
      <c r="P3410" cm="1">
        <f t="array" ref="P3410">_xlfn.SWITCH(Table2[[#This Row],[mood]], "Tired", 3, "Neutral", 2, "Happy", 1)</f>
        <v>3</v>
      </c>
    </row>
    <row r="3411" spans="1:16" x14ac:dyDescent="0.3">
      <c r="A3411">
        <v>1422</v>
      </c>
      <c r="B3411" s="1">
        <v>45414</v>
      </c>
      <c r="C3411">
        <v>50</v>
      </c>
      <c r="D3411" t="s">
        <v>20</v>
      </c>
      <c r="E3411">
        <v>168.7</v>
      </c>
      <c r="F3411">
        <v>70.7</v>
      </c>
      <c r="G3411">
        <v>11201</v>
      </c>
      <c r="H3411">
        <v>565.1</v>
      </c>
      <c r="I3411">
        <v>9.1999999999999993</v>
      </c>
      <c r="J3411">
        <v>65</v>
      </c>
      <c r="K3411" t="s">
        <v>23</v>
      </c>
      <c r="L3411">
        <v>20</v>
      </c>
      <c r="M3411">
        <v>2.5299999999999998</v>
      </c>
      <c r="N3411">
        <v>7</v>
      </c>
      <c r="O3411" t="s">
        <v>21</v>
      </c>
      <c r="P3411" cm="1">
        <f t="array" ref="P3411">_xlfn.SWITCH(Table2[[#This Row],[mood]], "Tired", 3, "Neutral", 2, "Happy", 1)</f>
        <v>1</v>
      </c>
    </row>
    <row r="3412" spans="1:16" x14ac:dyDescent="0.3">
      <c r="A3412">
        <v>1900</v>
      </c>
      <c r="B3412" s="1">
        <v>45415</v>
      </c>
      <c r="C3412">
        <v>30</v>
      </c>
      <c r="D3412" t="s">
        <v>15</v>
      </c>
      <c r="E3412">
        <v>181.7</v>
      </c>
      <c r="F3412">
        <v>100</v>
      </c>
      <c r="G3412">
        <v>11515</v>
      </c>
      <c r="H3412">
        <v>622.9</v>
      </c>
      <c r="I3412">
        <v>6.7</v>
      </c>
      <c r="J3412">
        <v>81</v>
      </c>
      <c r="K3412" t="s">
        <v>24</v>
      </c>
      <c r="L3412">
        <v>52</v>
      </c>
      <c r="M3412">
        <v>2.12</v>
      </c>
      <c r="N3412">
        <v>6</v>
      </c>
      <c r="O3412" t="s">
        <v>21</v>
      </c>
      <c r="P3412" cm="1">
        <f t="array" ref="P3412">_xlfn.SWITCH(Table2[[#This Row],[mood]], "Tired", 3, "Neutral", 2, "Happy", 1)</f>
        <v>1</v>
      </c>
    </row>
    <row r="3413" spans="1:16" x14ac:dyDescent="0.3">
      <c r="A3413">
        <v>1064</v>
      </c>
      <c r="B3413" s="1">
        <v>45416</v>
      </c>
      <c r="C3413">
        <v>35</v>
      </c>
      <c r="D3413" t="s">
        <v>20</v>
      </c>
      <c r="E3413">
        <v>167.3</v>
      </c>
      <c r="F3413">
        <v>77.7</v>
      </c>
      <c r="G3413">
        <v>10077</v>
      </c>
      <c r="H3413">
        <v>528.20000000000005</v>
      </c>
      <c r="I3413">
        <v>8.1</v>
      </c>
      <c r="J3413">
        <v>84</v>
      </c>
      <c r="K3413" t="s">
        <v>16</v>
      </c>
      <c r="L3413">
        <v>0</v>
      </c>
      <c r="M3413">
        <v>2.93</v>
      </c>
      <c r="N3413">
        <v>5</v>
      </c>
      <c r="O3413" t="s">
        <v>17</v>
      </c>
      <c r="P3413" cm="1">
        <f t="array" ref="P3413">_xlfn.SWITCH(Table2[[#This Row],[mood]], "Tired", 3, "Neutral", 2, "Happy", 1)</f>
        <v>3</v>
      </c>
    </row>
    <row r="3414" spans="1:16" x14ac:dyDescent="0.3">
      <c r="A3414">
        <v>1012</v>
      </c>
      <c r="B3414" s="1">
        <v>45417</v>
      </c>
      <c r="C3414">
        <v>58</v>
      </c>
      <c r="D3414" t="s">
        <v>15</v>
      </c>
      <c r="E3414">
        <v>157.19999999999999</v>
      </c>
      <c r="F3414">
        <v>63.2</v>
      </c>
      <c r="G3414">
        <v>18975</v>
      </c>
      <c r="H3414">
        <v>878.9</v>
      </c>
      <c r="I3414">
        <v>7.1</v>
      </c>
      <c r="J3414">
        <v>94</v>
      </c>
      <c r="K3414" t="s">
        <v>23</v>
      </c>
      <c r="L3414">
        <v>22</v>
      </c>
      <c r="M3414">
        <v>3.13</v>
      </c>
      <c r="N3414">
        <v>9</v>
      </c>
      <c r="O3414" t="s">
        <v>21</v>
      </c>
      <c r="P3414" cm="1">
        <f t="array" ref="P3414">_xlfn.SWITCH(Table2[[#This Row],[mood]], "Tired", 3, "Neutral", 2, "Happy", 1)</f>
        <v>1</v>
      </c>
    </row>
    <row r="3415" spans="1:16" x14ac:dyDescent="0.3">
      <c r="A3415">
        <v>1212</v>
      </c>
      <c r="B3415" s="1">
        <v>45418</v>
      </c>
      <c r="C3415">
        <v>41</v>
      </c>
      <c r="D3415" t="s">
        <v>15</v>
      </c>
      <c r="E3415">
        <v>173.7</v>
      </c>
      <c r="F3415">
        <v>87.2</v>
      </c>
      <c r="G3415">
        <v>11443</v>
      </c>
      <c r="H3415">
        <v>662.6</v>
      </c>
      <c r="I3415">
        <v>7.4</v>
      </c>
      <c r="J3415">
        <v>87</v>
      </c>
      <c r="K3415" t="s">
        <v>18</v>
      </c>
      <c r="L3415">
        <v>64</v>
      </c>
      <c r="M3415">
        <v>2.4900000000000002</v>
      </c>
      <c r="N3415">
        <v>9</v>
      </c>
      <c r="O3415" t="s">
        <v>19</v>
      </c>
      <c r="P3415" cm="1">
        <f t="array" ref="P3415">_xlfn.SWITCH(Table2[[#This Row],[mood]], "Tired", 3, "Neutral", 2, "Happy", 1)</f>
        <v>2</v>
      </c>
    </row>
    <row r="3416" spans="1:16" x14ac:dyDescent="0.3">
      <c r="A3416">
        <v>1985</v>
      </c>
      <c r="B3416" s="1">
        <v>45419</v>
      </c>
      <c r="C3416">
        <v>26</v>
      </c>
      <c r="D3416" t="s">
        <v>20</v>
      </c>
      <c r="E3416">
        <v>172</v>
      </c>
      <c r="F3416">
        <v>66.400000000000006</v>
      </c>
      <c r="G3416">
        <v>5440</v>
      </c>
      <c r="H3416">
        <v>445.9</v>
      </c>
      <c r="I3416">
        <v>8.1999999999999993</v>
      </c>
      <c r="J3416">
        <v>80</v>
      </c>
      <c r="K3416" t="s">
        <v>25</v>
      </c>
      <c r="L3416">
        <v>40</v>
      </c>
      <c r="M3416">
        <v>2.31</v>
      </c>
      <c r="N3416">
        <v>10</v>
      </c>
      <c r="O3416" t="s">
        <v>17</v>
      </c>
      <c r="P3416" cm="1">
        <f t="array" ref="P3416">_xlfn.SWITCH(Table2[[#This Row],[mood]], "Tired", 3, "Neutral", 2, "Happy", 1)</f>
        <v>3</v>
      </c>
    </row>
    <row r="3417" spans="1:16" x14ac:dyDescent="0.3">
      <c r="A3417">
        <v>1241</v>
      </c>
      <c r="B3417" s="1">
        <v>45420</v>
      </c>
      <c r="C3417">
        <v>48</v>
      </c>
      <c r="D3417" t="s">
        <v>15</v>
      </c>
      <c r="E3417">
        <v>196.9</v>
      </c>
      <c r="F3417">
        <v>73.8</v>
      </c>
      <c r="G3417">
        <v>2783</v>
      </c>
      <c r="H3417">
        <v>284</v>
      </c>
      <c r="I3417">
        <v>7.9</v>
      </c>
      <c r="J3417">
        <v>89</v>
      </c>
      <c r="K3417" t="s">
        <v>16</v>
      </c>
      <c r="L3417">
        <v>0</v>
      </c>
      <c r="M3417">
        <v>2.48</v>
      </c>
      <c r="N3417">
        <v>6</v>
      </c>
      <c r="O3417" t="s">
        <v>19</v>
      </c>
      <c r="P3417" cm="1">
        <f t="array" ref="P3417">_xlfn.SWITCH(Table2[[#This Row],[mood]], "Tired", 3, "Neutral", 2, "Happy", 1)</f>
        <v>2</v>
      </c>
    </row>
    <row r="3418" spans="1:16" x14ac:dyDescent="0.3">
      <c r="A3418">
        <v>1492</v>
      </c>
      <c r="B3418" s="1">
        <v>45421</v>
      </c>
      <c r="C3418">
        <v>58</v>
      </c>
      <c r="D3418" t="s">
        <v>20</v>
      </c>
      <c r="E3418">
        <v>160.5</v>
      </c>
      <c r="F3418">
        <v>50</v>
      </c>
      <c r="G3418">
        <v>14113</v>
      </c>
      <c r="H3418">
        <v>692.7</v>
      </c>
      <c r="I3418">
        <v>7.2</v>
      </c>
      <c r="J3418">
        <v>76</v>
      </c>
      <c r="K3418" t="s">
        <v>22</v>
      </c>
      <c r="L3418">
        <v>76</v>
      </c>
      <c r="M3418">
        <v>2.15</v>
      </c>
      <c r="N3418">
        <v>8</v>
      </c>
      <c r="O3418" t="s">
        <v>21</v>
      </c>
      <c r="P3418" cm="1">
        <f t="array" ref="P3418">_xlfn.SWITCH(Table2[[#This Row],[mood]], "Tired", 3, "Neutral", 2, "Happy", 1)</f>
        <v>1</v>
      </c>
    </row>
    <row r="3419" spans="1:16" x14ac:dyDescent="0.3">
      <c r="A3419">
        <v>1212</v>
      </c>
      <c r="B3419" s="1">
        <v>45422</v>
      </c>
      <c r="C3419">
        <v>27</v>
      </c>
      <c r="D3419" t="s">
        <v>20</v>
      </c>
      <c r="E3419">
        <v>167.5</v>
      </c>
      <c r="F3419">
        <v>47.4</v>
      </c>
      <c r="G3419">
        <v>6385</v>
      </c>
      <c r="H3419">
        <v>391.6</v>
      </c>
      <c r="I3419">
        <v>6.1</v>
      </c>
      <c r="J3419">
        <v>75</v>
      </c>
      <c r="K3419" t="s">
        <v>18</v>
      </c>
      <c r="L3419">
        <v>59</v>
      </c>
      <c r="M3419">
        <v>1.31</v>
      </c>
      <c r="N3419">
        <v>7</v>
      </c>
      <c r="O3419" t="s">
        <v>17</v>
      </c>
      <c r="P3419" cm="1">
        <f t="array" ref="P3419">_xlfn.SWITCH(Table2[[#This Row],[mood]], "Tired", 3, "Neutral", 2, "Happy", 1)</f>
        <v>3</v>
      </c>
    </row>
    <row r="3420" spans="1:16" x14ac:dyDescent="0.3">
      <c r="A3420">
        <v>1692</v>
      </c>
      <c r="B3420" s="1">
        <v>45423</v>
      </c>
      <c r="C3420">
        <v>19</v>
      </c>
      <c r="D3420" t="s">
        <v>15</v>
      </c>
      <c r="E3420">
        <v>162.69999999999999</v>
      </c>
      <c r="F3420">
        <v>78.3</v>
      </c>
      <c r="G3420">
        <v>5117</v>
      </c>
      <c r="H3420">
        <v>423.3</v>
      </c>
      <c r="I3420">
        <v>7.4</v>
      </c>
      <c r="J3420">
        <v>63</v>
      </c>
      <c r="K3420" t="s">
        <v>24</v>
      </c>
      <c r="L3420">
        <v>81</v>
      </c>
      <c r="M3420">
        <v>2.71</v>
      </c>
      <c r="N3420">
        <v>1</v>
      </c>
      <c r="O3420" t="s">
        <v>19</v>
      </c>
      <c r="P3420" cm="1">
        <f t="array" ref="P3420">_xlfn.SWITCH(Table2[[#This Row],[mood]], "Tired", 3, "Neutral", 2, "Happy", 1)</f>
        <v>2</v>
      </c>
    </row>
    <row r="3421" spans="1:16" x14ac:dyDescent="0.3">
      <c r="A3421">
        <v>1337</v>
      </c>
      <c r="B3421" s="1">
        <v>45424</v>
      </c>
      <c r="C3421">
        <v>55</v>
      </c>
      <c r="D3421" t="s">
        <v>15</v>
      </c>
      <c r="E3421">
        <v>168.6</v>
      </c>
      <c r="F3421">
        <v>86.6</v>
      </c>
      <c r="G3421">
        <v>7982</v>
      </c>
      <c r="H3421">
        <v>524.79999999999995</v>
      </c>
      <c r="I3421">
        <v>9</v>
      </c>
      <c r="J3421">
        <v>90</v>
      </c>
      <c r="K3421" t="s">
        <v>24</v>
      </c>
      <c r="L3421">
        <v>62</v>
      </c>
      <c r="M3421">
        <v>3.04</v>
      </c>
      <c r="N3421">
        <v>2</v>
      </c>
      <c r="O3421" t="s">
        <v>17</v>
      </c>
      <c r="P3421" cm="1">
        <f t="array" ref="P3421">_xlfn.SWITCH(Table2[[#This Row],[mood]], "Tired", 3, "Neutral", 2, "Happy", 1)</f>
        <v>3</v>
      </c>
    </row>
    <row r="3422" spans="1:16" x14ac:dyDescent="0.3">
      <c r="A3422">
        <v>1996</v>
      </c>
      <c r="B3422" s="1">
        <v>45425</v>
      </c>
      <c r="C3422">
        <v>32</v>
      </c>
      <c r="D3422" t="s">
        <v>20</v>
      </c>
      <c r="E3422">
        <v>168.2</v>
      </c>
      <c r="F3422">
        <v>99.2</v>
      </c>
      <c r="G3422">
        <v>3583</v>
      </c>
      <c r="H3422">
        <v>362.7</v>
      </c>
      <c r="I3422">
        <v>7.3</v>
      </c>
      <c r="J3422">
        <v>76</v>
      </c>
      <c r="K3422" t="s">
        <v>16</v>
      </c>
      <c r="L3422">
        <v>0</v>
      </c>
      <c r="M3422">
        <v>2.39</v>
      </c>
      <c r="N3422">
        <v>9</v>
      </c>
      <c r="O3422" t="s">
        <v>19</v>
      </c>
      <c r="P3422" cm="1">
        <f t="array" ref="P3422">_xlfn.SWITCH(Table2[[#This Row],[mood]], "Tired", 3, "Neutral", 2, "Happy", 1)</f>
        <v>2</v>
      </c>
    </row>
    <row r="3423" spans="1:16" x14ac:dyDescent="0.3">
      <c r="A3423">
        <v>1172</v>
      </c>
      <c r="B3423" s="1">
        <v>45426</v>
      </c>
      <c r="C3423">
        <v>20</v>
      </c>
      <c r="D3423" t="s">
        <v>20</v>
      </c>
      <c r="E3423">
        <v>161.30000000000001</v>
      </c>
      <c r="F3423">
        <v>57.9</v>
      </c>
      <c r="G3423">
        <v>10921</v>
      </c>
      <c r="H3423">
        <v>714.8</v>
      </c>
      <c r="I3423">
        <v>6.4</v>
      </c>
      <c r="J3423">
        <v>74</v>
      </c>
      <c r="K3423" t="s">
        <v>23</v>
      </c>
      <c r="L3423">
        <v>43</v>
      </c>
      <c r="M3423">
        <v>0.91</v>
      </c>
      <c r="N3423">
        <v>10</v>
      </c>
      <c r="O3423" t="s">
        <v>19</v>
      </c>
      <c r="P3423" cm="1">
        <f t="array" ref="P3423">_xlfn.SWITCH(Table2[[#This Row],[mood]], "Tired", 3, "Neutral", 2, "Happy", 1)</f>
        <v>2</v>
      </c>
    </row>
    <row r="3424" spans="1:16" x14ac:dyDescent="0.3">
      <c r="A3424">
        <v>1671</v>
      </c>
      <c r="B3424" s="1">
        <v>45427</v>
      </c>
      <c r="C3424">
        <v>48</v>
      </c>
      <c r="D3424" t="s">
        <v>15</v>
      </c>
      <c r="E3424">
        <v>174.7</v>
      </c>
      <c r="F3424">
        <v>92</v>
      </c>
      <c r="G3424">
        <v>14407</v>
      </c>
      <c r="H3424">
        <v>805</v>
      </c>
      <c r="I3424">
        <v>8.1999999999999993</v>
      </c>
      <c r="J3424">
        <v>67</v>
      </c>
      <c r="K3424" t="s">
        <v>25</v>
      </c>
      <c r="L3424">
        <v>43</v>
      </c>
      <c r="M3424">
        <v>2.1</v>
      </c>
      <c r="N3424">
        <v>4</v>
      </c>
      <c r="O3424" t="s">
        <v>17</v>
      </c>
      <c r="P3424" cm="1">
        <f t="array" ref="P3424">_xlfn.SWITCH(Table2[[#This Row],[mood]], "Tired", 3, "Neutral", 2, "Happy", 1)</f>
        <v>3</v>
      </c>
    </row>
    <row r="3425" spans="1:16" x14ac:dyDescent="0.3">
      <c r="A3425">
        <v>1163</v>
      </c>
      <c r="B3425" s="1">
        <v>45428</v>
      </c>
      <c r="C3425">
        <v>23</v>
      </c>
      <c r="D3425" t="s">
        <v>15</v>
      </c>
      <c r="E3425">
        <v>167.9</v>
      </c>
      <c r="F3425">
        <v>89.7</v>
      </c>
      <c r="G3425">
        <v>16316</v>
      </c>
      <c r="H3425">
        <v>873.1</v>
      </c>
      <c r="I3425">
        <v>4.9000000000000004</v>
      </c>
      <c r="J3425">
        <v>87</v>
      </c>
      <c r="K3425" t="s">
        <v>16</v>
      </c>
      <c r="L3425">
        <v>0</v>
      </c>
      <c r="M3425">
        <v>3.13</v>
      </c>
      <c r="N3425">
        <v>3</v>
      </c>
      <c r="O3425" t="s">
        <v>19</v>
      </c>
      <c r="P3425" cm="1">
        <f t="array" ref="P3425">_xlfn.SWITCH(Table2[[#This Row],[mood]], "Tired", 3, "Neutral", 2, "Happy", 1)</f>
        <v>2</v>
      </c>
    </row>
    <row r="3426" spans="1:16" x14ac:dyDescent="0.3">
      <c r="A3426">
        <v>1464</v>
      </c>
      <c r="B3426" s="1">
        <v>45429</v>
      </c>
      <c r="C3426">
        <v>20</v>
      </c>
      <c r="D3426" t="s">
        <v>15</v>
      </c>
      <c r="E3426">
        <v>183.5</v>
      </c>
      <c r="F3426">
        <v>62.6</v>
      </c>
      <c r="G3426">
        <v>14756</v>
      </c>
      <c r="H3426">
        <v>900</v>
      </c>
      <c r="I3426">
        <v>6.5</v>
      </c>
      <c r="J3426">
        <v>85</v>
      </c>
      <c r="K3426" t="s">
        <v>25</v>
      </c>
      <c r="L3426">
        <v>87</v>
      </c>
      <c r="M3426">
        <v>1.49</v>
      </c>
      <c r="N3426">
        <v>2</v>
      </c>
      <c r="O3426" t="s">
        <v>17</v>
      </c>
      <c r="P3426" cm="1">
        <f t="array" ref="P3426">_xlfn.SWITCH(Table2[[#This Row],[mood]], "Tired", 3, "Neutral", 2, "Happy", 1)</f>
        <v>3</v>
      </c>
    </row>
    <row r="3427" spans="1:16" x14ac:dyDescent="0.3">
      <c r="A3427">
        <v>1994</v>
      </c>
      <c r="B3427" s="1">
        <v>45430</v>
      </c>
      <c r="C3427">
        <v>28</v>
      </c>
      <c r="D3427" t="s">
        <v>15</v>
      </c>
      <c r="E3427">
        <v>163.5</v>
      </c>
      <c r="F3427">
        <v>90.8</v>
      </c>
      <c r="G3427">
        <v>16348</v>
      </c>
      <c r="H3427">
        <v>840.2</v>
      </c>
      <c r="I3427">
        <v>5.5</v>
      </c>
      <c r="J3427">
        <v>66</v>
      </c>
      <c r="K3427" t="s">
        <v>18</v>
      </c>
      <c r="L3427">
        <v>76</v>
      </c>
      <c r="M3427">
        <v>2.99</v>
      </c>
      <c r="N3427">
        <v>8</v>
      </c>
      <c r="O3427" t="s">
        <v>21</v>
      </c>
      <c r="P3427" cm="1">
        <f t="array" ref="P3427">_xlfn.SWITCH(Table2[[#This Row],[mood]], "Tired", 3, "Neutral", 2, "Happy", 1)</f>
        <v>1</v>
      </c>
    </row>
    <row r="3428" spans="1:16" x14ac:dyDescent="0.3">
      <c r="A3428">
        <v>1496</v>
      </c>
      <c r="B3428" s="1">
        <v>45431</v>
      </c>
      <c r="C3428">
        <v>32</v>
      </c>
      <c r="D3428" t="s">
        <v>20</v>
      </c>
      <c r="E3428">
        <v>188.6</v>
      </c>
      <c r="F3428">
        <v>84.2</v>
      </c>
      <c r="G3428">
        <v>3430</v>
      </c>
      <c r="H3428">
        <v>456.4</v>
      </c>
      <c r="I3428">
        <v>6.8</v>
      </c>
      <c r="J3428">
        <v>80</v>
      </c>
      <c r="K3428" t="s">
        <v>16</v>
      </c>
      <c r="L3428">
        <v>0</v>
      </c>
      <c r="M3428">
        <v>2.19</v>
      </c>
      <c r="N3428">
        <v>7</v>
      </c>
      <c r="O3428" t="s">
        <v>19</v>
      </c>
      <c r="P3428" cm="1">
        <f t="array" ref="P3428">_xlfn.SWITCH(Table2[[#This Row],[mood]], "Tired", 3, "Neutral", 2, "Happy", 1)</f>
        <v>2</v>
      </c>
    </row>
    <row r="3429" spans="1:16" x14ac:dyDescent="0.3">
      <c r="A3429">
        <v>1699</v>
      </c>
      <c r="B3429" s="1">
        <v>45432</v>
      </c>
      <c r="C3429">
        <v>45</v>
      </c>
      <c r="D3429" t="s">
        <v>15</v>
      </c>
      <c r="E3429">
        <v>172.8</v>
      </c>
      <c r="F3429">
        <v>87.1</v>
      </c>
      <c r="G3429">
        <v>8060</v>
      </c>
      <c r="H3429">
        <v>593.6</v>
      </c>
      <c r="I3429">
        <v>8.9</v>
      </c>
      <c r="J3429">
        <v>83</v>
      </c>
      <c r="K3429" t="s">
        <v>18</v>
      </c>
      <c r="L3429">
        <v>67</v>
      </c>
      <c r="M3429">
        <v>2.4900000000000002</v>
      </c>
      <c r="N3429">
        <v>9</v>
      </c>
      <c r="O3429" t="s">
        <v>19</v>
      </c>
      <c r="P3429" cm="1">
        <f t="array" ref="P3429">_xlfn.SWITCH(Table2[[#This Row],[mood]], "Tired", 3, "Neutral", 2, "Happy", 1)</f>
        <v>2</v>
      </c>
    </row>
    <row r="3430" spans="1:16" x14ac:dyDescent="0.3">
      <c r="A3430">
        <v>1394</v>
      </c>
      <c r="B3430" s="1">
        <v>45433</v>
      </c>
      <c r="C3430">
        <v>27</v>
      </c>
      <c r="D3430" t="s">
        <v>20</v>
      </c>
      <c r="E3430">
        <v>182.7</v>
      </c>
      <c r="F3430">
        <v>102.5</v>
      </c>
      <c r="G3430">
        <v>3936</v>
      </c>
      <c r="H3430">
        <v>342.5</v>
      </c>
      <c r="I3430">
        <v>8</v>
      </c>
      <c r="J3430">
        <v>63</v>
      </c>
      <c r="K3430" t="s">
        <v>18</v>
      </c>
      <c r="L3430">
        <v>46</v>
      </c>
      <c r="M3430">
        <v>2.02</v>
      </c>
      <c r="N3430">
        <v>3</v>
      </c>
      <c r="O3430" t="s">
        <v>19</v>
      </c>
      <c r="P3430" cm="1">
        <f t="array" ref="P3430">_xlfn.SWITCH(Table2[[#This Row],[mood]], "Tired", 3, "Neutral", 2, "Happy", 1)</f>
        <v>2</v>
      </c>
    </row>
    <row r="3431" spans="1:16" x14ac:dyDescent="0.3">
      <c r="A3431">
        <v>1702</v>
      </c>
      <c r="B3431" s="1">
        <v>45434</v>
      </c>
      <c r="C3431">
        <v>55</v>
      </c>
      <c r="D3431" t="s">
        <v>20</v>
      </c>
      <c r="E3431">
        <v>171.2</v>
      </c>
      <c r="F3431">
        <v>86.5</v>
      </c>
      <c r="G3431">
        <v>12864</v>
      </c>
      <c r="H3431">
        <v>754.8</v>
      </c>
      <c r="I3431">
        <v>4.2</v>
      </c>
      <c r="J3431">
        <v>81</v>
      </c>
      <c r="K3431" t="s">
        <v>22</v>
      </c>
      <c r="L3431">
        <v>49</v>
      </c>
      <c r="M3431">
        <v>1.71</v>
      </c>
      <c r="N3431">
        <v>1</v>
      </c>
      <c r="O3431" t="s">
        <v>19</v>
      </c>
      <c r="P3431" cm="1">
        <f t="array" ref="P3431">_xlfn.SWITCH(Table2[[#This Row],[mood]], "Tired", 3, "Neutral", 2, "Happy", 1)</f>
        <v>2</v>
      </c>
    </row>
    <row r="3432" spans="1:16" x14ac:dyDescent="0.3">
      <c r="A3432">
        <v>1916</v>
      </c>
      <c r="B3432" s="1">
        <v>45435</v>
      </c>
      <c r="C3432">
        <v>24</v>
      </c>
      <c r="D3432" t="s">
        <v>15</v>
      </c>
      <c r="E3432">
        <v>162.19999999999999</v>
      </c>
      <c r="F3432">
        <v>45</v>
      </c>
      <c r="G3432">
        <v>10307</v>
      </c>
      <c r="H3432">
        <v>601.5</v>
      </c>
      <c r="I3432">
        <v>6.1</v>
      </c>
      <c r="J3432">
        <v>79</v>
      </c>
      <c r="K3432" t="s">
        <v>22</v>
      </c>
      <c r="L3432">
        <v>65</v>
      </c>
      <c r="M3432">
        <v>3.5</v>
      </c>
      <c r="N3432">
        <v>9</v>
      </c>
      <c r="O3432" t="s">
        <v>21</v>
      </c>
      <c r="P3432" cm="1">
        <f t="array" ref="P3432">_xlfn.SWITCH(Table2[[#This Row],[mood]], "Tired", 3, "Neutral", 2, "Happy", 1)</f>
        <v>1</v>
      </c>
    </row>
    <row r="3433" spans="1:16" x14ac:dyDescent="0.3">
      <c r="A3433">
        <v>1307</v>
      </c>
      <c r="B3433" s="1">
        <v>45436</v>
      </c>
      <c r="C3433">
        <v>32</v>
      </c>
      <c r="D3433" t="s">
        <v>20</v>
      </c>
      <c r="E3433">
        <v>167.4</v>
      </c>
      <c r="F3433">
        <v>74.8</v>
      </c>
      <c r="G3433">
        <v>7709</v>
      </c>
      <c r="H3433">
        <v>436.5</v>
      </c>
      <c r="I3433">
        <v>4.8</v>
      </c>
      <c r="J3433">
        <v>81</v>
      </c>
      <c r="K3433" t="s">
        <v>24</v>
      </c>
      <c r="L3433">
        <v>31</v>
      </c>
      <c r="M3433">
        <v>3.07</v>
      </c>
      <c r="N3433">
        <v>5</v>
      </c>
      <c r="O3433" t="s">
        <v>17</v>
      </c>
      <c r="P3433" cm="1">
        <f t="array" ref="P3433">_xlfn.SWITCH(Table2[[#This Row],[mood]], "Tired", 3, "Neutral", 2, "Happy", 1)</f>
        <v>3</v>
      </c>
    </row>
    <row r="3434" spans="1:16" x14ac:dyDescent="0.3">
      <c r="A3434">
        <v>1767</v>
      </c>
      <c r="B3434" s="1">
        <v>45437</v>
      </c>
      <c r="C3434">
        <v>35</v>
      </c>
      <c r="D3434" t="s">
        <v>15</v>
      </c>
      <c r="E3434">
        <v>156.1</v>
      </c>
      <c r="F3434">
        <v>46.5</v>
      </c>
      <c r="G3434">
        <v>10075</v>
      </c>
      <c r="H3434">
        <v>602.6</v>
      </c>
      <c r="I3434">
        <v>8.6</v>
      </c>
      <c r="J3434">
        <v>95</v>
      </c>
      <c r="K3434" t="s">
        <v>24</v>
      </c>
      <c r="L3434">
        <v>79</v>
      </c>
      <c r="M3434">
        <v>2.95</v>
      </c>
      <c r="N3434">
        <v>5</v>
      </c>
      <c r="O3434" t="s">
        <v>17</v>
      </c>
      <c r="P3434" cm="1">
        <f t="array" ref="P3434">_xlfn.SWITCH(Table2[[#This Row],[mood]], "Tired", 3, "Neutral", 2, "Happy", 1)</f>
        <v>3</v>
      </c>
    </row>
    <row r="3435" spans="1:16" x14ac:dyDescent="0.3">
      <c r="A3435">
        <v>1182</v>
      </c>
      <c r="B3435" s="1">
        <v>45438</v>
      </c>
      <c r="C3435">
        <v>35</v>
      </c>
      <c r="D3435" t="s">
        <v>20</v>
      </c>
      <c r="E3435">
        <v>168.9</v>
      </c>
      <c r="F3435">
        <v>72.3</v>
      </c>
      <c r="G3435">
        <v>7616</v>
      </c>
      <c r="H3435">
        <v>431.3</v>
      </c>
      <c r="I3435">
        <v>6.1</v>
      </c>
      <c r="J3435">
        <v>105</v>
      </c>
      <c r="K3435" t="s">
        <v>24</v>
      </c>
      <c r="L3435">
        <v>38</v>
      </c>
      <c r="M3435">
        <v>3.14</v>
      </c>
      <c r="N3435">
        <v>3</v>
      </c>
      <c r="O3435" t="s">
        <v>17</v>
      </c>
      <c r="P3435" cm="1">
        <f t="array" ref="P3435">_xlfn.SWITCH(Table2[[#This Row],[mood]], "Tired", 3, "Neutral", 2, "Happy", 1)</f>
        <v>3</v>
      </c>
    </row>
    <row r="3436" spans="1:16" x14ac:dyDescent="0.3">
      <c r="A3436">
        <v>1628</v>
      </c>
      <c r="B3436" s="1">
        <v>45439</v>
      </c>
      <c r="C3436">
        <v>58</v>
      </c>
      <c r="D3436" t="s">
        <v>15</v>
      </c>
      <c r="E3436">
        <v>171.7</v>
      </c>
      <c r="F3436">
        <v>71.400000000000006</v>
      </c>
      <c r="G3436">
        <v>3419</v>
      </c>
      <c r="H3436">
        <v>348.4</v>
      </c>
      <c r="I3436">
        <v>7.1</v>
      </c>
      <c r="J3436">
        <v>87</v>
      </c>
      <c r="K3436" t="s">
        <v>16</v>
      </c>
      <c r="L3436">
        <v>0</v>
      </c>
      <c r="M3436">
        <v>2.85</v>
      </c>
      <c r="N3436">
        <v>8</v>
      </c>
      <c r="O3436" t="s">
        <v>21</v>
      </c>
      <c r="P3436" cm="1">
        <f t="array" ref="P3436">_xlfn.SWITCH(Table2[[#This Row],[mood]], "Tired", 3, "Neutral", 2, "Happy", 1)</f>
        <v>1</v>
      </c>
    </row>
    <row r="3437" spans="1:16" x14ac:dyDescent="0.3">
      <c r="A3437">
        <v>1793</v>
      </c>
      <c r="B3437" s="1">
        <v>45440</v>
      </c>
      <c r="C3437">
        <v>41</v>
      </c>
      <c r="D3437" t="s">
        <v>20</v>
      </c>
      <c r="E3437">
        <v>170.5</v>
      </c>
      <c r="F3437">
        <v>61.2</v>
      </c>
      <c r="G3437">
        <v>2399</v>
      </c>
      <c r="H3437">
        <v>336</v>
      </c>
      <c r="I3437">
        <v>7.2</v>
      </c>
      <c r="J3437">
        <v>78</v>
      </c>
      <c r="K3437" t="s">
        <v>25</v>
      </c>
      <c r="L3437">
        <v>73</v>
      </c>
      <c r="M3437">
        <v>3.16</v>
      </c>
      <c r="N3437">
        <v>8</v>
      </c>
      <c r="O3437" t="s">
        <v>21</v>
      </c>
      <c r="P3437" cm="1">
        <f t="array" ref="P3437">_xlfn.SWITCH(Table2[[#This Row],[mood]], "Tired", 3, "Neutral", 2, "Happy", 1)</f>
        <v>1</v>
      </c>
    </row>
    <row r="3438" spans="1:16" x14ac:dyDescent="0.3">
      <c r="A3438">
        <v>1509</v>
      </c>
      <c r="B3438" s="1">
        <v>45441</v>
      </c>
      <c r="C3438">
        <v>19</v>
      </c>
      <c r="D3438" t="s">
        <v>20</v>
      </c>
      <c r="E3438">
        <v>183.3</v>
      </c>
      <c r="F3438">
        <v>54.6</v>
      </c>
      <c r="G3438">
        <v>10768</v>
      </c>
      <c r="H3438">
        <v>619.9</v>
      </c>
      <c r="I3438">
        <v>7.3</v>
      </c>
      <c r="J3438">
        <v>81</v>
      </c>
      <c r="K3438" t="s">
        <v>24</v>
      </c>
      <c r="L3438">
        <v>53</v>
      </c>
      <c r="M3438">
        <v>2.04</v>
      </c>
      <c r="N3438">
        <v>1</v>
      </c>
      <c r="O3438" t="s">
        <v>17</v>
      </c>
      <c r="P3438" cm="1">
        <f t="array" ref="P3438">_xlfn.SWITCH(Table2[[#This Row],[mood]], "Tired", 3, "Neutral", 2, "Happy", 1)</f>
        <v>3</v>
      </c>
    </row>
    <row r="3439" spans="1:16" x14ac:dyDescent="0.3">
      <c r="A3439">
        <v>1707</v>
      </c>
      <c r="B3439" s="1">
        <v>45442</v>
      </c>
      <c r="C3439">
        <v>57</v>
      </c>
      <c r="D3439" t="s">
        <v>15</v>
      </c>
      <c r="E3439">
        <v>168.5</v>
      </c>
      <c r="F3439">
        <v>62</v>
      </c>
      <c r="G3439">
        <v>19468</v>
      </c>
      <c r="H3439">
        <v>900</v>
      </c>
      <c r="I3439">
        <v>3</v>
      </c>
      <c r="J3439">
        <v>79</v>
      </c>
      <c r="K3439" t="s">
        <v>23</v>
      </c>
      <c r="L3439">
        <v>26</v>
      </c>
      <c r="M3439">
        <v>3.46</v>
      </c>
      <c r="N3439">
        <v>4</v>
      </c>
      <c r="O3439" t="s">
        <v>17</v>
      </c>
      <c r="P3439" cm="1">
        <f t="array" ref="P3439">_xlfn.SWITCH(Table2[[#This Row],[mood]], "Tired", 3, "Neutral", 2, "Happy", 1)</f>
        <v>3</v>
      </c>
    </row>
    <row r="3440" spans="1:16" x14ac:dyDescent="0.3">
      <c r="A3440">
        <v>1545</v>
      </c>
      <c r="B3440" s="1">
        <v>45443</v>
      </c>
      <c r="C3440">
        <v>37</v>
      </c>
      <c r="D3440" t="s">
        <v>15</v>
      </c>
      <c r="E3440">
        <v>151.1</v>
      </c>
      <c r="F3440">
        <v>64.900000000000006</v>
      </c>
      <c r="G3440">
        <v>15245</v>
      </c>
      <c r="H3440">
        <v>820.5</v>
      </c>
      <c r="I3440">
        <v>7.5</v>
      </c>
      <c r="J3440">
        <v>99</v>
      </c>
      <c r="K3440" t="s">
        <v>18</v>
      </c>
      <c r="L3440">
        <v>61</v>
      </c>
      <c r="M3440">
        <v>3.4</v>
      </c>
      <c r="N3440">
        <v>6</v>
      </c>
      <c r="O3440" t="s">
        <v>21</v>
      </c>
      <c r="P3440" cm="1">
        <f t="array" ref="P3440">_xlfn.SWITCH(Table2[[#This Row],[mood]], "Tired", 3, "Neutral", 2, "Happy", 1)</f>
        <v>1</v>
      </c>
    </row>
    <row r="3441" spans="1:16" x14ac:dyDescent="0.3">
      <c r="A3441">
        <v>1563</v>
      </c>
      <c r="B3441" s="1">
        <v>45444</v>
      </c>
      <c r="C3441">
        <v>51</v>
      </c>
      <c r="D3441" t="s">
        <v>20</v>
      </c>
      <c r="E3441">
        <v>200</v>
      </c>
      <c r="F3441">
        <v>68</v>
      </c>
      <c r="G3441">
        <v>13978</v>
      </c>
      <c r="H3441">
        <v>801.3</v>
      </c>
      <c r="I3441">
        <v>6.2</v>
      </c>
      <c r="J3441">
        <v>76</v>
      </c>
      <c r="K3441" t="s">
        <v>16</v>
      </c>
      <c r="L3441">
        <v>0</v>
      </c>
      <c r="M3441">
        <v>2.77</v>
      </c>
      <c r="N3441">
        <v>9</v>
      </c>
      <c r="O3441" t="s">
        <v>21</v>
      </c>
      <c r="P3441" cm="1">
        <f t="array" ref="P3441">_xlfn.SWITCH(Table2[[#This Row],[mood]], "Tired", 3, "Neutral", 2, "Happy", 1)</f>
        <v>1</v>
      </c>
    </row>
    <row r="3442" spans="1:16" x14ac:dyDescent="0.3">
      <c r="A3442">
        <v>1623</v>
      </c>
      <c r="B3442" s="1">
        <v>45445</v>
      </c>
      <c r="C3442">
        <v>43</v>
      </c>
      <c r="D3442" t="s">
        <v>20</v>
      </c>
      <c r="E3442">
        <v>163.1</v>
      </c>
      <c r="F3442">
        <v>71.599999999999994</v>
      </c>
      <c r="G3442">
        <v>15436</v>
      </c>
      <c r="H3442">
        <v>821.9</v>
      </c>
      <c r="I3442">
        <v>8.3000000000000007</v>
      </c>
      <c r="J3442">
        <v>71</v>
      </c>
      <c r="K3442" t="s">
        <v>25</v>
      </c>
      <c r="L3442">
        <v>72</v>
      </c>
      <c r="M3442">
        <v>2.2999999999999998</v>
      </c>
      <c r="N3442">
        <v>2</v>
      </c>
      <c r="O3442" t="s">
        <v>19</v>
      </c>
      <c r="P3442" cm="1">
        <f t="array" ref="P3442">_xlfn.SWITCH(Table2[[#This Row],[mood]], "Tired", 3, "Neutral", 2, "Happy", 1)</f>
        <v>2</v>
      </c>
    </row>
    <row r="3443" spans="1:16" x14ac:dyDescent="0.3">
      <c r="A3443">
        <v>1763</v>
      </c>
      <c r="B3443" s="1">
        <v>45446</v>
      </c>
      <c r="C3443">
        <v>24</v>
      </c>
      <c r="D3443" t="s">
        <v>15</v>
      </c>
      <c r="E3443">
        <v>179.7</v>
      </c>
      <c r="F3443">
        <v>78.8</v>
      </c>
      <c r="G3443">
        <v>2535</v>
      </c>
      <c r="H3443">
        <v>285.7</v>
      </c>
      <c r="I3443">
        <v>7.3</v>
      </c>
      <c r="J3443">
        <v>80</v>
      </c>
      <c r="K3443" t="s">
        <v>22</v>
      </c>
      <c r="L3443">
        <v>27</v>
      </c>
      <c r="M3443">
        <v>1.64</v>
      </c>
      <c r="N3443">
        <v>7</v>
      </c>
      <c r="O3443" t="s">
        <v>17</v>
      </c>
      <c r="P3443" cm="1">
        <f t="array" ref="P3443">_xlfn.SWITCH(Table2[[#This Row],[mood]], "Tired", 3, "Neutral", 2, "Happy", 1)</f>
        <v>3</v>
      </c>
    </row>
    <row r="3444" spans="1:16" x14ac:dyDescent="0.3">
      <c r="A3444">
        <v>1593</v>
      </c>
      <c r="B3444" s="1">
        <v>45447</v>
      </c>
      <c r="C3444">
        <v>55</v>
      </c>
      <c r="D3444" t="s">
        <v>20</v>
      </c>
      <c r="E3444">
        <v>155</v>
      </c>
      <c r="F3444">
        <v>65.3</v>
      </c>
      <c r="G3444">
        <v>9281</v>
      </c>
      <c r="H3444">
        <v>611.20000000000005</v>
      </c>
      <c r="I3444">
        <v>7.9</v>
      </c>
      <c r="J3444">
        <v>96</v>
      </c>
      <c r="K3444" t="s">
        <v>18</v>
      </c>
      <c r="L3444">
        <v>41</v>
      </c>
      <c r="M3444">
        <v>2.66</v>
      </c>
      <c r="N3444">
        <v>10</v>
      </c>
      <c r="O3444" t="s">
        <v>17</v>
      </c>
      <c r="P3444" cm="1">
        <f t="array" ref="P3444">_xlfn.SWITCH(Table2[[#This Row],[mood]], "Tired", 3, "Neutral", 2, "Happy", 1)</f>
        <v>3</v>
      </c>
    </row>
    <row r="3445" spans="1:16" x14ac:dyDescent="0.3">
      <c r="A3445">
        <v>1743</v>
      </c>
      <c r="B3445" s="1">
        <v>45448</v>
      </c>
      <c r="C3445">
        <v>47</v>
      </c>
      <c r="D3445" t="s">
        <v>15</v>
      </c>
      <c r="E3445">
        <v>172.5</v>
      </c>
      <c r="F3445">
        <v>89.2</v>
      </c>
      <c r="G3445">
        <v>16365</v>
      </c>
      <c r="H3445">
        <v>862.5</v>
      </c>
      <c r="I3445">
        <v>5.9</v>
      </c>
      <c r="J3445">
        <v>65</v>
      </c>
      <c r="K3445" t="s">
        <v>24</v>
      </c>
      <c r="L3445">
        <v>45</v>
      </c>
      <c r="M3445">
        <v>3.68</v>
      </c>
      <c r="N3445">
        <v>1</v>
      </c>
      <c r="O3445" t="s">
        <v>17</v>
      </c>
      <c r="P3445" cm="1">
        <f t="array" ref="P3445">_xlfn.SWITCH(Table2[[#This Row],[mood]], "Tired", 3, "Neutral", 2, "Happy", 1)</f>
        <v>3</v>
      </c>
    </row>
    <row r="3446" spans="1:16" x14ac:dyDescent="0.3">
      <c r="A3446">
        <v>1226</v>
      </c>
      <c r="B3446" s="1">
        <v>45449</v>
      </c>
      <c r="C3446">
        <v>59</v>
      </c>
      <c r="D3446" t="s">
        <v>20</v>
      </c>
      <c r="E3446">
        <v>162.1</v>
      </c>
      <c r="F3446">
        <v>69.400000000000006</v>
      </c>
      <c r="G3446">
        <v>14450</v>
      </c>
      <c r="H3446">
        <v>671.2</v>
      </c>
      <c r="I3446">
        <v>5.3</v>
      </c>
      <c r="J3446">
        <v>68</v>
      </c>
      <c r="K3446" t="s">
        <v>22</v>
      </c>
      <c r="L3446">
        <v>82</v>
      </c>
      <c r="M3446">
        <v>1.69</v>
      </c>
      <c r="N3446">
        <v>10</v>
      </c>
      <c r="O3446" t="s">
        <v>17</v>
      </c>
      <c r="P3446" cm="1">
        <f t="array" ref="P3446">_xlfn.SWITCH(Table2[[#This Row],[mood]], "Tired", 3, "Neutral", 2, "Happy", 1)</f>
        <v>3</v>
      </c>
    </row>
    <row r="3447" spans="1:16" x14ac:dyDescent="0.3">
      <c r="A3447">
        <v>1744</v>
      </c>
      <c r="B3447" s="1">
        <v>45450</v>
      </c>
      <c r="C3447">
        <v>22</v>
      </c>
      <c r="D3447" t="s">
        <v>15</v>
      </c>
      <c r="E3447">
        <v>150</v>
      </c>
      <c r="F3447">
        <v>83.9</v>
      </c>
      <c r="G3447">
        <v>5190</v>
      </c>
      <c r="H3447">
        <v>390.1</v>
      </c>
      <c r="I3447">
        <v>8.3000000000000007</v>
      </c>
      <c r="J3447">
        <v>68</v>
      </c>
      <c r="K3447" t="s">
        <v>22</v>
      </c>
      <c r="L3447">
        <v>65</v>
      </c>
      <c r="M3447">
        <v>3.21</v>
      </c>
      <c r="N3447">
        <v>4</v>
      </c>
      <c r="O3447" t="s">
        <v>17</v>
      </c>
      <c r="P3447" cm="1">
        <f t="array" ref="P3447">_xlfn.SWITCH(Table2[[#This Row],[mood]], "Tired", 3, "Neutral", 2, "Happy", 1)</f>
        <v>3</v>
      </c>
    </row>
    <row r="3448" spans="1:16" x14ac:dyDescent="0.3">
      <c r="A3448">
        <v>1732</v>
      </c>
      <c r="B3448" s="1">
        <v>45451</v>
      </c>
      <c r="C3448">
        <v>28</v>
      </c>
      <c r="D3448" t="s">
        <v>20</v>
      </c>
      <c r="E3448">
        <v>167.2</v>
      </c>
      <c r="F3448">
        <v>65.400000000000006</v>
      </c>
      <c r="G3448">
        <v>19038</v>
      </c>
      <c r="H3448">
        <v>900</v>
      </c>
      <c r="I3448">
        <v>7.8</v>
      </c>
      <c r="J3448">
        <v>63</v>
      </c>
      <c r="K3448" t="s">
        <v>22</v>
      </c>
      <c r="L3448">
        <v>63</v>
      </c>
      <c r="M3448">
        <v>2.17</v>
      </c>
      <c r="N3448">
        <v>10</v>
      </c>
      <c r="O3448" t="s">
        <v>19</v>
      </c>
      <c r="P3448" cm="1">
        <f t="array" ref="P3448">_xlfn.SWITCH(Table2[[#This Row],[mood]], "Tired", 3, "Neutral", 2, "Happy", 1)</f>
        <v>2</v>
      </c>
    </row>
    <row r="3449" spans="1:16" x14ac:dyDescent="0.3">
      <c r="A3449">
        <v>1435</v>
      </c>
      <c r="B3449" s="1">
        <v>45452</v>
      </c>
      <c r="C3449">
        <v>18</v>
      </c>
      <c r="D3449" t="s">
        <v>15</v>
      </c>
      <c r="E3449">
        <v>169.5</v>
      </c>
      <c r="F3449">
        <v>111.2</v>
      </c>
      <c r="G3449">
        <v>11093</v>
      </c>
      <c r="H3449">
        <v>651.1</v>
      </c>
      <c r="I3449">
        <v>7.3</v>
      </c>
      <c r="J3449">
        <v>65</v>
      </c>
      <c r="K3449" t="s">
        <v>16</v>
      </c>
      <c r="L3449">
        <v>0</v>
      </c>
      <c r="M3449">
        <v>2.23</v>
      </c>
      <c r="N3449">
        <v>7</v>
      </c>
      <c r="O3449" t="s">
        <v>21</v>
      </c>
      <c r="P3449" cm="1">
        <f t="array" ref="P3449">_xlfn.SWITCH(Table2[[#This Row],[mood]], "Tired", 3, "Neutral", 2, "Happy", 1)</f>
        <v>1</v>
      </c>
    </row>
    <row r="3450" spans="1:16" x14ac:dyDescent="0.3">
      <c r="A3450">
        <v>1924</v>
      </c>
      <c r="B3450" s="1">
        <v>45453</v>
      </c>
      <c r="C3450">
        <v>51</v>
      </c>
      <c r="D3450" t="s">
        <v>15</v>
      </c>
      <c r="E3450">
        <v>167.8</v>
      </c>
      <c r="F3450">
        <v>77</v>
      </c>
      <c r="G3450">
        <v>11871</v>
      </c>
      <c r="H3450">
        <v>676.8</v>
      </c>
      <c r="I3450">
        <v>7.3</v>
      </c>
      <c r="J3450">
        <v>84</v>
      </c>
      <c r="K3450" t="s">
        <v>18</v>
      </c>
      <c r="L3450">
        <v>55</v>
      </c>
      <c r="M3450">
        <v>1.68</v>
      </c>
      <c r="N3450">
        <v>3</v>
      </c>
      <c r="O3450" t="s">
        <v>19</v>
      </c>
      <c r="P3450" cm="1">
        <f t="array" ref="P3450">_xlfn.SWITCH(Table2[[#This Row],[mood]], "Tired", 3, "Neutral", 2, "Happy", 1)</f>
        <v>2</v>
      </c>
    </row>
    <row r="3451" spans="1:16" x14ac:dyDescent="0.3">
      <c r="A3451">
        <v>1421</v>
      </c>
      <c r="B3451" s="1">
        <v>45454</v>
      </c>
      <c r="C3451">
        <v>18</v>
      </c>
      <c r="D3451" t="s">
        <v>20</v>
      </c>
      <c r="E3451">
        <v>172.4</v>
      </c>
      <c r="F3451">
        <v>94.5</v>
      </c>
      <c r="G3451">
        <v>8452</v>
      </c>
      <c r="H3451">
        <v>440.6</v>
      </c>
      <c r="I3451">
        <v>7.6</v>
      </c>
      <c r="J3451">
        <v>77</v>
      </c>
      <c r="K3451" t="s">
        <v>25</v>
      </c>
      <c r="L3451">
        <v>60</v>
      </c>
      <c r="M3451">
        <v>1.97</v>
      </c>
      <c r="N3451">
        <v>3</v>
      </c>
      <c r="O3451" t="s">
        <v>19</v>
      </c>
      <c r="P3451" cm="1">
        <f t="array" ref="P3451">_xlfn.SWITCH(Table2[[#This Row],[mood]], "Tired", 3, "Neutral", 2, "Happy", 1)</f>
        <v>2</v>
      </c>
    </row>
    <row r="3452" spans="1:16" x14ac:dyDescent="0.3">
      <c r="A3452">
        <v>1553</v>
      </c>
      <c r="B3452" s="1">
        <v>45455</v>
      </c>
      <c r="C3452">
        <v>36</v>
      </c>
      <c r="D3452" t="s">
        <v>15</v>
      </c>
      <c r="E3452">
        <v>167.3</v>
      </c>
      <c r="F3452">
        <v>59.6</v>
      </c>
      <c r="G3452">
        <v>4960</v>
      </c>
      <c r="H3452">
        <v>323.8</v>
      </c>
      <c r="I3452">
        <v>5.0999999999999996</v>
      </c>
      <c r="J3452">
        <v>62</v>
      </c>
      <c r="K3452" t="s">
        <v>18</v>
      </c>
      <c r="L3452">
        <v>46</v>
      </c>
      <c r="M3452">
        <v>2.95</v>
      </c>
      <c r="N3452">
        <v>4</v>
      </c>
      <c r="O3452" t="s">
        <v>17</v>
      </c>
      <c r="P3452" cm="1">
        <f t="array" ref="P3452">_xlfn.SWITCH(Table2[[#This Row],[mood]], "Tired", 3, "Neutral", 2, "Happy", 1)</f>
        <v>3</v>
      </c>
    </row>
    <row r="3453" spans="1:16" x14ac:dyDescent="0.3">
      <c r="A3453">
        <v>1020</v>
      </c>
      <c r="B3453" s="1">
        <v>45456</v>
      </c>
      <c r="C3453">
        <v>19</v>
      </c>
      <c r="D3453" t="s">
        <v>20</v>
      </c>
      <c r="E3453">
        <v>170.7</v>
      </c>
      <c r="F3453">
        <v>63.3</v>
      </c>
      <c r="G3453">
        <v>7834</v>
      </c>
      <c r="H3453">
        <v>465.7</v>
      </c>
      <c r="I3453">
        <v>8.6</v>
      </c>
      <c r="J3453">
        <v>82</v>
      </c>
      <c r="K3453" t="s">
        <v>23</v>
      </c>
      <c r="L3453">
        <v>89</v>
      </c>
      <c r="M3453">
        <v>3.04</v>
      </c>
      <c r="N3453">
        <v>8</v>
      </c>
      <c r="O3453" t="s">
        <v>19</v>
      </c>
      <c r="P3453" cm="1">
        <f t="array" ref="P3453">_xlfn.SWITCH(Table2[[#This Row],[mood]], "Tired", 3, "Neutral", 2, "Happy", 1)</f>
        <v>2</v>
      </c>
    </row>
    <row r="3454" spans="1:16" x14ac:dyDescent="0.3">
      <c r="A3454">
        <v>1553</v>
      </c>
      <c r="B3454" s="1">
        <v>45457</v>
      </c>
      <c r="C3454">
        <v>38</v>
      </c>
      <c r="D3454" t="s">
        <v>15</v>
      </c>
      <c r="E3454">
        <v>171.7</v>
      </c>
      <c r="F3454">
        <v>66.2</v>
      </c>
      <c r="G3454">
        <v>11564</v>
      </c>
      <c r="H3454">
        <v>665.8</v>
      </c>
      <c r="I3454">
        <v>6.8</v>
      </c>
      <c r="J3454">
        <v>78</v>
      </c>
      <c r="K3454" t="s">
        <v>24</v>
      </c>
      <c r="L3454">
        <v>60</v>
      </c>
      <c r="M3454">
        <v>2.67</v>
      </c>
      <c r="N3454">
        <v>3</v>
      </c>
      <c r="O3454" t="s">
        <v>19</v>
      </c>
      <c r="P3454" cm="1">
        <f t="array" ref="P3454">_xlfn.SWITCH(Table2[[#This Row],[mood]], "Tired", 3, "Neutral", 2, "Happy", 1)</f>
        <v>2</v>
      </c>
    </row>
    <row r="3455" spans="1:16" x14ac:dyDescent="0.3">
      <c r="A3455">
        <v>1396</v>
      </c>
      <c r="B3455" s="1">
        <v>45458</v>
      </c>
      <c r="C3455">
        <v>37</v>
      </c>
      <c r="D3455" t="s">
        <v>15</v>
      </c>
      <c r="E3455">
        <v>169.6</v>
      </c>
      <c r="F3455">
        <v>107.1</v>
      </c>
      <c r="G3455">
        <v>15742</v>
      </c>
      <c r="H3455">
        <v>883.4</v>
      </c>
      <c r="I3455">
        <v>6.8</v>
      </c>
      <c r="J3455">
        <v>85</v>
      </c>
      <c r="K3455" t="s">
        <v>16</v>
      </c>
      <c r="L3455">
        <v>0</v>
      </c>
      <c r="M3455">
        <v>2.15</v>
      </c>
      <c r="N3455">
        <v>8</v>
      </c>
      <c r="O3455" t="s">
        <v>17</v>
      </c>
      <c r="P3455" cm="1">
        <f t="array" ref="P3455">_xlfn.SWITCH(Table2[[#This Row],[mood]], "Tired", 3, "Neutral", 2, "Happy", 1)</f>
        <v>3</v>
      </c>
    </row>
    <row r="3456" spans="1:16" x14ac:dyDescent="0.3">
      <c r="A3456">
        <v>1624</v>
      </c>
      <c r="B3456" s="1">
        <v>45459</v>
      </c>
      <c r="C3456">
        <v>40</v>
      </c>
      <c r="D3456" t="s">
        <v>15</v>
      </c>
      <c r="E3456">
        <v>168.3</v>
      </c>
      <c r="F3456">
        <v>66.8</v>
      </c>
      <c r="G3456">
        <v>6091</v>
      </c>
      <c r="H3456">
        <v>363.5</v>
      </c>
      <c r="I3456">
        <v>6.4</v>
      </c>
      <c r="J3456">
        <v>69</v>
      </c>
      <c r="K3456" t="s">
        <v>25</v>
      </c>
      <c r="L3456">
        <v>76</v>
      </c>
      <c r="M3456">
        <v>1.73</v>
      </c>
      <c r="N3456">
        <v>10</v>
      </c>
      <c r="O3456" t="s">
        <v>19</v>
      </c>
      <c r="P3456" cm="1">
        <f t="array" ref="P3456">_xlfn.SWITCH(Table2[[#This Row],[mood]], "Tired", 3, "Neutral", 2, "Happy", 1)</f>
        <v>2</v>
      </c>
    </row>
    <row r="3457" spans="1:16" x14ac:dyDescent="0.3">
      <c r="A3457">
        <v>1104</v>
      </c>
      <c r="B3457" s="1">
        <v>45460</v>
      </c>
      <c r="C3457">
        <v>38</v>
      </c>
      <c r="D3457" t="s">
        <v>20</v>
      </c>
      <c r="E3457">
        <v>161.1</v>
      </c>
      <c r="F3457">
        <v>57.6</v>
      </c>
      <c r="G3457">
        <v>17902</v>
      </c>
      <c r="H3457">
        <v>882.5</v>
      </c>
      <c r="I3457">
        <v>3.3</v>
      </c>
      <c r="J3457">
        <v>63</v>
      </c>
      <c r="K3457" t="s">
        <v>16</v>
      </c>
      <c r="L3457">
        <v>0</v>
      </c>
      <c r="M3457">
        <v>2.54</v>
      </c>
      <c r="N3457">
        <v>9</v>
      </c>
      <c r="O3457" t="s">
        <v>19</v>
      </c>
      <c r="P3457" cm="1">
        <f t="array" ref="P3457">_xlfn.SWITCH(Table2[[#This Row],[mood]], "Tired", 3, "Neutral", 2, "Happy", 1)</f>
        <v>2</v>
      </c>
    </row>
    <row r="3458" spans="1:16" x14ac:dyDescent="0.3">
      <c r="A3458">
        <v>1191</v>
      </c>
      <c r="B3458" s="1">
        <v>45461</v>
      </c>
      <c r="C3458">
        <v>41</v>
      </c>
      <c r="D3458" t="s">
        <v>15</v>
      </c>
      <c r="E3458">
        <v>175.9</v>
      </c>
      <c r="F3458">
        <v>89.5</v>
      </c>
      <c r="G3458">
        <v>4710</v>
      </c>
      <c r="H3458">
        <v>386</v>
      </c>
      <c r="I3458">
        <v>7.9</v>
      </c>
      <c r="J3458">
        <v>82</v>
      </c>
      <c r="K3458" t="s">
        <v>25</v>
      </c>
      <c r="L3458">
        <v>31</v>
      </c>
      <c r="M3458">
        <v>2.2400000000000002</v>
      </c>
      <c r="N3458">
        <v>8</v>
      </c>
      <c r="O3458" t="s">
        <v>21</v>
      </c>
      <c r="P3458" cm="1">
        <f t="array" ref="P3458">_xlfn.SWITCH(Table2[[#This Row],[mood]], "Tired", 3, "Neutral", 2, "Happy", 1)</f>
        <v>1</v>
      </c>
    </row>
    <row r="3459" spans="1:16" x14ac:dyDescent="0.3">
      <c r="A3459">
        <v>1016</v>
      </c>
      <c r="B3459" s="1">
        <v>45462</v>
      </c>
      <c r="C3459">
        <v>21</v>
      </c>
      <c r="D3459" t="s">
        <v>20</v>
      </c>
      <c r="E3459">
        <v>167.2</v>
      </c>
      <c r="F3459">
        <v>70.900000000000006</v>
      </c>
      <c r="G3459">
        <v>18213</v>
      </c>
      <c r="H3459">
        <v>882</v>
      </c>
      <c r="I3459">
        <v>5.5</v>
      </c>
      <c r="J3459">
        <v>83</v>
      </c>
      <c r="K3459" t="s">
        <v>24</v>
      </c>
      <c r="L3459">
        <v>44</v>
      </c>
      <c r="M3459">
        <v>2.65</v>
      </c>
      <c r="N3459">
        <v>8</v>
      </c>
      <c r="O3459" t="s">
        <v>17</v>
      </c>
      <c r="P3459" cm="1">
        <f t="array" ref="P3459">_xlfn.SWITCH(Table2[[#This Row],[mood]], "Tired", 3, "Neutral", 2, "Happy", 1)</f>
        <v>3</v>
      </c>
    </row>
    <row r="3460" spans="1:16" x14ac:dyDescent="0.3">
      <c r="A3460">
        <v>1119</v>
      </c>
      <c r="B3460" s="1">
        <v>45463</v>
      </c>
      <c r="C3460">
        <v>29</v>
      </c>
      <c r="D3460" t="s">
        <v>15</v>
      </c>
      <c r="E3460">
        <v>166.4</v>
      </c>
      <c r="F3460">
        <v>66.7</v>
      </c>
      <c r="G3460">
        <v>7627</v>
      </c>
      <c r="H3460">
        <v>509.4</v>
      </c>
      <c r="I3460">
        <v>7.2</v>
      </c>
      <c r="J3460">
        <v>64</v>
      </c>
      <c r="K3460" t="s">
        <v>23</v>
      </c>
      <c r="L3460">
        <v>53</v>
      </c>
      <c r="M3460">
        <v>2.2799999999999998</v>
      </c>
      <c r="N3460">
        <v>9</v>
      </c>
      <c r="O3460" t="s">
        <v>17</v>
      </c>
      <c r="P3460" cm="1">
        <f t="array" ref="P3460">_xlfn.SWITCH(Table2[[#This Row],[mood]], "Tired", 3, "Neutral", 2, "Happy", 1)</f>
        <v>3</v>
      </c>
    </row>
    <row r="3461" spans="1:16" x14ac:dyDescent="0.3">
      <c r="A3461">
        <v>1392</v>
      </c>
      <c r="B3461" s="1">
        <v>45464</v>
      </c>
      <c r="C3461">
        <v>39</v>
      </c>
      <c r="D3461" t="s">
        <v>20</v>
      </c>
      <c r="E3461">
        <v>175.1</v>
      </c>
      <c r="F3461">
        <v>60.8</v>
      </c>
      <c r="G3461">
        <v>8988</v>
      </c>
      <c r="H3461">
        <v>591.5</v>
      </c>
      <c r="I3461">
        <v>5.8</v>
      </c>
      <c r="J3461">
        <v>77</v>
      </c>
      <c r="K3461" t="s">
        <v>22</v>
      </c>
      <c r="L3461">
        <v>43</v>
      </c>
      <c r="M3461">
        <v>2.29</v>
      </c>
      <c r="N3461">
        <v>4</v>
      </c>
      <c r="O3461" t="s">
        <v>19</v>
      </c>
      <c r="P3461" cm="1">
        <f t="array" ref="P3461">_xlfn.SWITCH(Table2[[#This Row],[mood]], "Tired", 3, "Neutral", 2, "Happy", 1)</f>
        <v>2</v>
      </c>
    </row>
    <row r="3462" spans="1:16" x14ac:dyDescent="0.3">
      <c r="A3462">
        <v>1424</v>
      </c>
      <c r="B3462" s="1">
        <v>45465</v>
      </c>
      <c r="C3462">
        <v>37</v>
      </c>
      <c r="D3462" t="s">
        <v>20</v>
      </c>
      <c r="E3462">
        <v>172.1</v>
      </c>
      <c r="F3462">
        <v>77.3</v>
      </c>
      <c r="G3462">
        <v>3986</v>
      </c>
      <c r="H3462">
        <v>321.60000000000002</v>
      </c>
      <c r="I3462">
        <v>6.5</v>
      </c>
      <c r="J3462">
        <v>69</v>
      </c>
      <c r="K3462" t="s">
        <v>24</v>
      </c>
      <c r="L3462">
        <v>82</v>
      </c>
      <c r="M3462">
        <v>2.61</v>
      </c>
      <c r="N3462">
        <v>3</v>
      </c>
      <c r="O3462" t="s">
        <v>17</v>
      </c>
      <c r="P3462" cm="1">
        <f t="array" ref="P3462">_xlfn.SWITCH(Table2[[#This Row],[mood]], "Tired", 3, "Neutral", 2, "Happy", 1)</f>
        <v>3</v>
      </c>
    </row>
    <row r="3463" spans="1:16" x14ac:dyDescent="0.3">
      <c r="A3463">
        <v>1128</v>
      </c>
      <c r="B3463" s="1">
        <v>45466</v>
      </c>
      <c r="C3463">
        <v>35</v>
      </c>
      <c r="D3463" t="s">
        <v>20</v>
      </c>
      <c r="E3463">
        <v>163</v>
      </c>
      <c r="F3463">
        <v>85.9</v>
      </c>
      <c r="G3463">
        <v>11509</v>
      </c>
      <c r="H3463">
        <v>676.7</v>
      </c>
      <c r="I3463">
        <v>6.4</v>
      </c>
      <c r="J3463">
        <v>85</v>
      </c>
      <c r="K3463" t="s">
        <v>22</v>
      </c>
      <c r="L3463">
        <v>82</v>
      </c>
      <c r="M3463">
        <v>2.75</v>
      </c>
      <c r="N3463">
        <v>8</v>
      </c>
      <c r="O3463" t="s">
        <v>21</v>
      </c>
      <c r="P3463" cm="1">
        <f t="array" ref="P3463">_xlfn.SWITCH(Table2[[#This Row],[mood]], "Tired", 3, "Neutral", 2, "Happy", 1)</f>
        <v>1</v>
      </c>
    </row>
    <row r="3464" spans="1:16" x14ac:dyDescent="0.3">
      <c r="A3464">
        <v>1129</v>
      </c>
      <c r="B3464" s="1">
        <v>45467</v>
      </c>
      <c r="C3464">
        <v>18</v>
      </c>
      <c r="D3464" t="s">
        <v>15</v>
      </c>
      <c r="E3464">
        <v>182.5</v>
      </c>
      <c r="F3464">
        <v>81.8</v>
      </c>
      <c r="G3464">
        <v>16300</v>
      </c>
      <c r="H3464">
        <v>846.3</v>
      </c>
      <c r="I3464">
        <v>5.7</v>
      </c>
      <c r="J3464">
        <v>82</v>
      </c>
      <c r="K3464" t="s">
        <v>24</v>
      </c>
      <c r="L3464">
        <v>29</v>
      </c>
      <c r="M3464">
        <v>3.36</v>
      </c>
      <c r="N3464">
        <v>1</v>
      </c>
      <c r="O3464" t="s">
        <v>19</v>
      </c>
      <c r="P3464" cm="1">
        <f t="array" ref="P3464">_xlfn.SWITCH(Table2[[#This Row],[mood]], "Tired", 3, "Neutral", 2, "Happy", 1)</f>
        <v>2</v>
      </c>
    </row>
    <row r="3465" spans="1:16" x14ac:dyDescent="0.3">
      <c r="A3465">
        <v>1571</v>
      </c>
      <c r="B3465" s="1">
        <v>45468</v>
      </c>
      <c r="C3465">
        <v>47</v>
      </c>
      <c r="D3465" t="s">
        <v>20</v>
      </c>
      <c r="E3465">
        <v>158.1</v>
      </c>
      <c r="F3465">
        <v>62.8</v>
      </c>
      <c r="G3465">
        <v>13665</v>
      </c>
      <c r="H3465">
        <v>689.1</v>
      </c>
      <c r="I3465">
        <v>6.7</v>
      </c>
      <c r="J3465">
        <v>87</v>
      </c>
      <c r="K3465" t="s">
        <v>18</v>
      </c>
      <c r="L3465">
        <v>24</v>
      </c>
      <c r="M3465">
        <v>2.2599999999999998</v>
      </c>
      <c r="N3465">
        <v>10</v>
      </c>
      <c r="O3465" t="s">
        <v>21</v>
      </c>
      <c r="P3465" cm="1">
        <f t="array" ref="P3465">_xlfn.SWITCH(Table2[[#This Row],[mood]], "Tired", 3, "Neutral", 2, "Happy", 1)</f>
        <v>1</v>
      </c>
    </row>
    <row r="3466" spans="1:16" x14ac:dyDescent="0.3">
      <c r="A3466">
        <v>1559</v>
      </c>
      <c r="B3466" s="1">
        <v>45469</v>
      </c>
      <c r="C3466">
        <v>50</v>
      </c>
      <c r="D3466" t="s">
        <v>15</v>
      </c>
      <c r="E3466">
        <v>159.69999999999999</v>
      </c>
      <c r="F3466">
        <v>55.2</v>
      </c>
      <c r="G3466">
        <v>17560</v>
      </c>
      <c r="H3466">
        <v>895.4</v>
      </c>
      <c r="I3466">
        <v>6.3</v>
      </c>
      <c r="J3466">
        <v>67</v>
      </c>
      <c r="K3466" t="s">
        <v>16</v>
      </c>
      <c r="L3466">
        <v>0</v>
      </c>
      <c r="M3466">
        <v>2.88</v>
      </c>
      <c r="N3466">
        <v>1</v>
      </c>
      <c r="O3466" t="s">
        <v>19</v>
      </c>
      <c r="P3466" cm="1">
        <f t="array" ref="P3466">_xlfn.SWITCH(Table2[[#This Row],[mood]], "Tired", 3, "Neutral", 2, "Happy", 1)</f>
        <v>2</v>
      </c>
    </row>
    <row r="3467" spans="1:16" x14ac:dyDescent="0.3">
      <c r="A3467">
        <v>1028</v>
      </c>
      <c r="B3467" s="1">
        <v>45470</v>
      </c>
      <c r="C3467">
        <v>41</v>
      </c>
      <c r="D3467" t="s">
        <v>20</v>
      </c>
      <c r="E3467">
        <v>176.7</v>
      </c>
      <c r="F3467">
        <v>45</v>
      </c>
      <c r="G3467">
        <v>11513</v>
      </c>
      <c r="H3467">
        <v>683.4</v>
      </c>
      <c r="I3467">
        <v>5.4</v>
      </c>
      <c r="J3467">
        <v>68</v>
      </c>
      <c r="K3467" t="s">
        <v>23</v>
      </c>
      <c r="L3467">
        <v>47</v>
      </c>
      <c r="M3467">
        <v>3.76</v>
      </c>
      <c r="N3467">
        <v>4</v>
      </c>
      <c r="O3467" t="s">
        <v>19</v>
      </c>
      <c r="P3467" cm="1">
        <f t="array" ref="P3467">_xlfn.SWITCH(Table2[[#This Row],[mood]], "Tired", 3, "Neutral", 2, "Happy", 1)</f>
        <v>2</v>
      </c>
    </row>
    <row r="3468" spans="1:16" x14ac:dyDescent="0.3">
      <c r="A3468">
        <v>1096</v>
      </c>
      <c r="B3468" s="1">
        <v>45471</v>
      </c>
      <c r="C3468">
        <v>31</v>
      </c>
      <c r="D3468" t="s">
        <v>20</v>
      </c>
      <c r="E3468">
        <v>187.5</v>
      </c>
      <c r="F3468">
        <v>55.8</v>
      </c>
      <c r="G3468">
        <v>10906</v>
      </c>
      <c r="H3468">
        <v>706.9</v>
      </c>
      <c r="I3468">
        <v>8.8000000000000007</v>
      </c>
      <c r="J3468">
        <v>71</v>
      </c>
      <c r="K3468" t="s">
        <v>16</v>
      </c>
      <c r="L3468">
        <v>0</v>
      </c>
      <c r="M3468">
        <v>2.9</v>
      </c>
      <c r="N3468">
        <v>10</v>
      </c>
      <c r="O3468" t="s">
        <v>17</v>
      </c>
      <c r="P3468" cm="1">
        <f t="array" ref="P3468">_xlfn.SWITCH(Table2[[#This Row],[mood]], "Tired", 3, "Neutral", 2, "Happy", 1)</f>
        <v>3</v>
      </c>
    </row>
    <row r="3469" spans="1:16" x14ac:dyDescent="0.3">
      <c r="A3469">
        <v>1009</v>
      </c>
      <c r="B3469" s="1">
        <v>45472</v>
      </c>
      <c r="C3469">
        <v>53</v>
      </c>
      <c r="D3469" t="s">
        <v>20</v>
      </c>
      <c r="E3469">
        <v>164.2</v>
      </c>
      <c r="F3469">
        <v>64.400000000000006</v>
      </c>
      <c r="G3469">
        <v>7170</v>
      </c>
      <c r="H3469">
        <v>569</v>
      </c>
      <c r="I3469">
        <v>5.8</v>
      </c>
      <c r="J3469">
        <v>70</v>
      </c>
      <c r="K3469" t="s">
        <v>23</v>
      </c>
      <c r="L3469">
        <v>64</v>
      </c>
      <c r="M3469">
        <v>3.31</v>
      </c>
      <c r="N3469">
        <v>3</v>
      </c>
      <c r="O3469" t="s">
        <v>17</v>
      </c>
      <c r="P3469" cm="1">
        <f t="array" ref="P3469">_xlfn.SWITCH(Table2[[#This Row],[mood]], "Tired", 3, "Neutral", 2, "Happy", 1)</f>
        <v>3</v>
      </c>
    </row>
    <row r="3470" spans="1:16" x14ac:dyDescent="0.3">
      <c r="A3470">
        <v>1241</v>
      </c>
      <c r="B3470" s="1">
        <v>45473</v>
      </c>
      <c r="C3470">
        <v>22</v>
      </c>
      <c r="D3470" t="s">
        <v>20</v>
      </c>
      <c r="E3470">
        <v>174.1</v>
      </c>
      <c r="F3470">
        <v>69.099999999999994</v>
      </c>
      <c r="G3470">
        <v>3623</v>
      </c>
      <c r="H3470">
        <v>316.5</v>
      </c>
      <c r="I3470">
        <v>7.8</v>
      </c>
      <c r="J3470">
        <v>79</v>
      </c>
      <c r="K3470" t="s">
        <v>24</v>
      </c>
      <c r="L3470">
        <v>85</v>
      </c>
      <c r="M3470">
        <v>2.0699999999999998</v>
      </c>
      <c r="N3470">
        <v>10</v>
      </c>
      <c r="O3470" t="s">
        <v>19</v>
      </c>
      <c r="P3470" cm="1">
        <f t="array" ref="P3470">_xlfn.SWITCH(Table2[[#This Row],[mood]], "Tired", 3, "Neutral", 2, "Happy", 1)</f>
        <v>2</v>
      </c>
    </row>
    <row r="3471" spans="1:16" x14ac:dyDescent="0.3">
      <c r="A3471">
        <v>1825</v>
      </c>
      <c r="B3471" s="1">
        <v>45474</v>
      </c>
      <c r="C3471">
        <v>28</v>
      </c>
      <c r="D3471" t="s">
        <v>15</v>
      </c>
      <c r="E3471">
        <v>158.1</v>
      </c>
      <c r="F3471">
        <v>65.900000000000006</v>
      </c>
      <c r="G3471">
        <v>16576</v>
      </c>
      <c r="H3471">
        <v>831.6</v>
      </c>
      <c r="I3471">
        <v>8</v>
      </c>
      <c r="J3471">
        <v>64</v>
      </c>
      <c r="K3471" t="s">
        <v>23</v>
      </c>
      <c r="L3471">
        <v>68</v>
      </c>
      <c r="M3471">
        <v>2</v>
      </c>
      <c r="N3471">
        <v>2</v>
      </c>
      <c r="O3471" t="s">
        <v>21</v>
      </c>
      <c r="P3471" cm="1">
        <f t="array" ref="P3471">_xlfn.SWITCH(Table2[[#This Row],[mood]], "Tired", 3, "Neutral", 2, "Happy", 1)</f>
        <v>1</v>
      </c>
    </row>
    <row r="3472" spans="1:16" x14ac:dyDescent="0.3">
      <c r="A3472">
        <v>1955</v>
      </c>
      <c r="B3472" s="1">
        <v>45475</v>
      </c>
      <c r="C3472">
        <v>41</v>
      </c>
      <c r="D3472" t="s">
        <v>20</v>
      </c>
      <c r="E3472">
        <v>160.69999999999999</v>
      </c>
      <c r="F3472">
        <v>112</v>
      </c>
      <c r="G3472">
        <v>5365</v>
      </c>
      <c r="H3472">
        <v>416.6</v>
      </c>
      <c r="I3472">
        <v>8.4</v>
      </c>
      <c r="J3472">
        <v>90</v>
      </c>
      <c r="K3472" t="s">
        <v>22</v>
      </c>
      <c r="L3472">
        <v>59</v>
      </c>
      <c r="M3472">
        <v>2.39</v>
      </c>
      <c r="N3472">
        <v>9</v>
      </c>
      <c r="O3472" t="s">
        <v>19</v>
      </c>
      <c r="P3472" cm="1">
        <f t="array" ref="P3472">_xlfn.SWITCH(Table2[[#This Row],[mood]], "Tired", 3, "Neutral", 2, "Happy", 1)</f>
        <v>2</v>
      </c>
    </row>
    <row r="3473" spans="1:16" x14ac:dyDescent="0.3">
      <c r="A3473">
        <v>1231</v>
      </c>
      <c r="B3473" s="1">
        <v>45476</v>
      </c>
      <c r="C3473">
        <v>48</v>
      </c>
      <c r="D3473" t="s">
        <v>20</v>
      </c>
      <c r="E3473">
        <v>181.3</v>
      </c>
      <c r="F3473">
        <v>77.400000000000006</v>
      </c>
      <c r="G3473">
        <v>12379</v>
      </c>
      <c r="H3473">
        <v>668</v>
      </c>
      <c r="I3473">
        <v>6.2</v>
      </c>
      <c r="J3473">
        <v>92</v>
      </c>
      <c r="K3473" t="s">
        <v>23</v>
      </c>
      <c r="L3473">
        <v>85</v>
      </c>
      <c r="M3473">
        <v>2.46</v>
      </c>
      <c r="N3473">
        <v>5</v>
      </c>
      <c r="O3473" t="s">
        <v>19</v>
      </c>
      <c r="P3473" cm="1">
        <f t="array" ref="P3473">_xlfn.SWITCH(Table2[[#This Row],[mood]], "Tired", 3, "Neutral", 2, "Happy", 1)</f>
        <v>2</v>
      </c>
    </row>
    <row r="3474" spans="1:16" x14ac:dyDescent="0.3">
      <c r="A3474">
        <v>1788</v>
      </c>
      <c r="B3474" s="1">
        <v>45477</v>
      </c>
      <c r="C3474">
        <v>30</v>
      </c>
      <c r="D3474" t="s">
        <v>15</v>
      </c>
      <c r="E3474">
        <v>173.7</v>
      </c>
      <c r="F3474">
        <v>51.4</v>
      </c>
      <c r="G3474">
        <v>5340</v>
      </c>
      <c r="H3474">
        <v>474.3</v>
      </c>
      <c r="I3474">
        <v>6.7</v>
      </c>
      <c r="J3474">
        <v>86</v>
      </c>
      <c r="K3474" t="s">
        <v>23</v>
      </c>
      <c r="L3474">
        <v>27</v>
      </c>
      <c r="M3474">
        <v>3.25</v>
      </c>
      <c r="N3474">
        <v>3</v>
      </c>
      <c r="O3474" t="s">
        <v>19</v>
      </c>
      <c r="P3474" cm="1">
        <f t="array" ref="P3474">_xlfn.SWITCH(Table2[[#This Row],[mood]], "Tired", 3, "Neutral", 2, "Happy", 1)</f>
        <v>2</v>
      </c>
    </row>
    <row r="3475" spans="1:16" x14ac:dyDescent="0.3">
      <c r="A3475">
        <v>1283</v>
      </c>
      <c r="B3475" s="1">
        <v>45478</v>
      </c>
      <c r="C3475">
        <v>33</v>
      </c>
      <c r="D3475" t="s">
        <v>20</v>
      </c>
      <c r="E3475">
        <v>181.6</v>
      </c>
      <c r="F3475">
        <v>79.8</v>
      </c>
      <c r="G3475">
        <v>5755</v>
      </c>
      <c r="H3475">
        <v>435.2</v>
      </c>
      <c r="I3475">
        <v>6.7</v>
      </c>
      <c r="J3475">
        <v>80</v>
      </c>
      <c r="K3475" t="s">
        <v>16</v>
      </c>
      <c r="L3475">
        <v>0</v>
      </c>
      <c r="M3475">
        <v>1.99</v>
      </c>
      <c r="N3475">
        <v>9</v>
      </c>
      <c r="O3475" t="s">
        <v>21</v>
      </c>
      <c r="P3475" cm="1">
        <f t="array" ref="P3475">_xlfn.SWITCH(Table2[[#This Row],[mood]], "Tired", 3, "Neutral", 2, "Happy", 1)</f>
        <v>1</v>
      </c>
    </row>
    <row r="3476" spans="1:16" x14ac:dyDescent="0.3">
      <c r="A3476">
        <v>1714</v>
      </c>
      <c r="B3476" s="1">
        <v>45479</v>
      </c>
      <c r="C3476">
        <v>41</v>
      </c>
      <c r="D3476" t="s">
        <v>20</v>
      </c>
      <c r="E3476">
        <v>180.9</v>
      </c>
      <c r="F3476">
        <v>75.900000000000006</v>
      </c>
      <c r="G3476">
        <v>16963</v>
      </c>
      <c r="H3476">
        <v>881.3</v>
      </c>
      <c r="I3476">
        <v>7.8</v>
      </c>
      <c r="J3476">
        <v>74</v>
      </c>
      <c r="K3476" t="s">
        <v>23</v>
      </c>
      <c r="L3476">
        <v>36</v>
      </c>
      <c r="M3476">
        <v>2.44</v>
      </c>
      <c r="N3476">
        <v>8</v>
      </c>
      <c r="O3476" t="s">
        <v>17</v>
      </c>
      <c r="P3476" cm="1">
        <f t="array" ref="P3476">_xlfn.SWITCH(Table2[[#This Row],[mood]], "Tired", 3, "Neutral", 2, "Happy", 1)</f>
        <v>3</v>
      </c>
    </row>
    <row r="3477" spans="1:16" x14ac:dyDescent="0.3">
      <c r="A3477">
        <v>1758</v>
      </c>
      <c r="B3477" s="1">
        <v>45480</v>
      </c>
      <c r="C3477">
        <v>30</v>
      </c>
      <c r="D3477" t="s">
        <v>20</v>
      </c>
      <c r="E3477">
        <v>150</v>
      </c>
      <c r="F3477">
        <v>54.3</v>
      </c>
      <c r="G3477">
        <v>10098</v>
      </c>
      <c r="H3477">
        <v>636.1</v>
      </c>
      <c r="I3477">
        <v>6.6</v>
      </c>
      <c r="J3477">
        <v>77</v>
      </c>
      <c r="K3477" t="s">
        <v>25</v>
      </c>
      <c r="L3477">
        <v>87</v>
      </c>
      <c r="M3477">
        <v>3.25</v>
      </c>
      <c r="N3477">
        <v>4</v>
      </c>
      <c r="O3477" t="s">
        <v>17</v>
      </c>
      <c r="P3477" cm="1">
        <f t="array" ref="P3477">_xlfn.SWITCH(Table2[[#This Row],[mood]], "Tired", 3, "Neutral", 2, "Happy", 1)</f>
        <v>3</v>
      </c>
    </row>
    <row r="3478" spans="1:16" x14ac:dyDescent="0.3">
      <c r="A3478">
        <v>1801</v>
      </c>
      <c r="B3478" s="1">
        <v>45481</v>
      </c>
      <c r="C3478">
        <v>41</v>
      </c>
      <c r="D3478" t="s">
        <v>20</v>
      </c>
      <c r="E3478">
        <v>158</v>
      </c>
      <c r="F3478">
        <v>74.3</v>
      </c>
      <c r="G3478">
        <v>16991</v>
      </c>
      <c r="H3478">
        <v>887.6</v>
      </c>
      <c r="I3478">
        <v>7.7</v>
      </c>
      <c r="J3478">
        <v>67</v>
      </c>
      <c r="K3478" t="s">
        <v>24</v>
      </c>
      <c r="L3478">
        <v>63</v>
      </c>
      <c r="M3478">
        <v>2.65</v>
      </c>
      <c r="N3478">
        <v>10</v>
      </c>
      <c r="O3478" t="s">
        <v>21</v>
      </c>
      <c r="P3478" cm="1">
        <f t="array" ref="P3478">_xlfn.SWITCH(Table2[[#This Row],[mood]], "Tired", 3, "Neutral", 2, "Happy", 1)</f>
        <v>1</v>
      </c>
    </row>
    <row r="3479" spans="1:16" x14ac:dyDescent="0.3">
      <c r="A3479">
        <v>1775</v>
      </c>
      <c r="B3479" s="1">
        <v>45482</v>
      </c>
      <c r="C3479">
        <v>43</v>
      </c>
      <c r="D3479" t="s">
        <v>15</v>
      </c>
      <c r="E3479">
        <v>172.7</v>
      </c>
      <c r="F3479">
        <v>78</v>
      </c>
      <c r="G3479">
        <v>19259</v>
      </c>
      <c r="H3479">
        <v>900</v>
      </c>
      <c r="I3479">
        <v>6.6</v>
      </c>
      <c r="J3479">
        <v>77</v>
      </c>
      <c r="K3479" t="s">
        <v>18</v>
      </c>
      <c r="L3479">
        <v>50</v>
      </c>
      <c r="M3479">
        <v>2.4900000000000002</v>
      </c>
      <c r="N3479">
        <v>5</v>
      </c>
      <c r="O3479" t="s">
        <v>17</v>
      </c>
      <c r="P3479" cm="1">
        <f t="array" ref="P3479">_xlfn.SWITCH(Table2[[#This Row],[mood]], "Tired", 3, "Neutral", 2, "Happy", 1)</f>
        <v>3</v>
      </c>
    </row>
    <row r="3480" spans="1:16" x14ac:dyDescent="0.3">
      <c r="A3480">
        <v>1954</v>
      </c>
      <c r="B3480" s="1">
        <v>45483</v>
      </c>
      <c r="C3480">
        <v>19</v>
      </c>
      <c r="D3480" t="s">
        <v>15</v>
      </c>
      <c r="E3480">
        <v>153</v>
      </c>
      <c r="F3480">
        <v>85.4</v>
      </c>
      <c r="G3480">
        <v>4958</v>
      </c>
      <c r="H3480">
        <v>411.5</v>
      </c>
      <c r="I3480">
        <v>8.6999999999999993</v>
      </c>
      <c r="J3480">
        <v>78</v>
      </c>
      <c r="K3480" t="s">
        <v>18</v>
      </c>
      <c r="L3480">
        <v>24</v>
      </c>
      <c r="M3480">
        <v>2.67</v>
      </c>
      <c r="N3480">
        <v>5</v>
      </c>
      <c r="O3480" t="s">
        <v>19</v>
      </c>
      <c r="P3480" cm="1">
        <f t="array" ref="P3480">_xlfn.SWITCH(Table2[[#This Row],[mood]], "Tired", 3, "Neutral", 2, "Happy", 1)</f>
        <v>2</v>
      </c>
    </row>
    <row r="3481" spans="1:16" x14ac:dyDescent="0.3">
      <c r="A3481">
        <v>1725</v>
      </c>
      <c r="B3481" s="1">
        <v>45484</v>
      </c>
      <c r="C3481">
        <v>33</v>
      </c>
      <c r="D3481" t="s">
        <v>20</v>
      </c>
      <c r="E3481">
        <v>159.5</v>
      </c>
      <c r="F3481">
        <v>45</v>
      </c>
      <c r="G3481">
        <v>3136</v>
      </c>
      <c r="H3481">
        <v>318.2</v>
      </c>
      <c r="I3481">
        <v>7</v>
      </c>
      <c r="J3481">
        <v>67</v>
      </c>
      <c r="K3481" t="s">
        <v>25</v>
      </c>
      <c r="L3481">
        <v>79</v>
      </c>
      <c r="M3481">
        <v>1.71</v>
      </c>
      <c r="N3481">
        <v>8</v>
      </c>
      <c r="O3481" t="s">
        <v>17</v>
      </c>
      <c r="P3481" cm="1">
        <f t="array" ref="P3481">_xlfn.SWITCH(Table2[[#This Row],[mood]], "Tired", 3, "Neutral", 2, "Happy", 1)</f>
        <v>3</v>
      </c>
    </row>
    <row r="3482" spans="1:16" x14ac:dyDescent="0.3">
      <c r="A3482">
        <v>1199</v>
      </c>
      <c r="B3482" s="1">
        <v>45485</v>
      </c>
      <c r="C3482">
        <v>55</v>
      </c>
      <c r="D3482" t="s">
        <v>15</v>
      </c>
      <c r="E3482">
        <v>184.3</v>
      </c>
      <c r="F3482">
        <v>79.7</v>
      </c>
      <c r="G3482">
        <v>11788</v>
      </c>
      <c r="H3482">
        <v>626.4</v>
      </c>
      <c r="I3482">
        <v>6.8</v>
      </c>
      <c r="J3482">
        <v>91</v>
      </c>
      <c r="K3482" t="s">
        <v>16</v>
      </c>
      <c r="L3482">
        <v>0</v>
      </c>
      <c r="M3482">
        <v>1.7</v>
      </c>
      <c r="N3482">
        <v>7</v>
      </c>
      <c r="O3482" t="s">
        <v>17</v>
      </c>
      <c r="P3482" cm="1">
        <f t="array" ref="P3482">_xlfn.SWITCH(Table2[[#This Row],[mood]], "Tired", 3, "Neutral", 2, "Happy", 1)</f>
        <v>3</v>
      </c>
    </row>
    <row r="3483" spans="1:16" x14ac:dyDescent="0.3">
      <c r="A3483">
        <v>1944</v>
      </c>
      <c r="B3483" s="1">
        <v>45486</v>
      </c>
      <c r="C3483">
        <v>18</v>
      </c>
      <c r="D3483" t="s">
        <v>15</v>
      </c>
      <c r="E3483">
        <v>164.6</v>
      </c>
      <c r="F3483">
        <v>91.1</v>
      </c>
      <c r="G3483">
        <v>10045</v>
      </c>
      <c r="H3483">
        <v>689.8</v>
      </c>
      <c r="I3483">
        <v>7.5</v>
      </c>
      <c r="J3483">
        <v>74</v>
      </c>
      <c r="K3483" t="s">
        <v>25</v>
      </c>
      <c r="L3483">
        <v>61</v>
      </c>
      <c r="M3483">
        <v>1.39</v>
      </c>
      <c r="N3483">
        <v>3</v>
      </c>
      <c r="O3483" t="s">
        <v>21</v>
      </c>
      <c r="P3483" cm="1">
        <f t="array" ref="P3483">_xlfn.SWITCH(Table2[[#This Row],[mood]], "Tired", 3, "Neutral", 2, "Happy", 1)</f>
        <v>1</v>
      </c>
    </row>
    <row r="3484" spans="1:16" x14ac:dyDescent="0.3">
      <c r="A3484">
        <v>1078</v>
      </c>
      <c r="B3484" s="1">
        <v>45487</v>
      </c>
      <c r="C3484">
        <v>28</v>
      </c>
      <c r="D3484" t="s">
        <v>20</v>
      </c>
      <c r="E3484">
        <v>177.1</v>
      </c>
      <c r="F3484">
        <v>98.3</v>
      </c>
      <c r="G3484">
        <v>1506</v>
      </c>
      <c r="H3484">
        <v>215</v>
      </c>
      <c r="I3484">
        <v>9.5</v>
      </c>
      <c r="J3484">
        <v>65</v>
      </c>
      <c r="K3484" t="s">
        <v>18</v>
      </c>
      <c r="L3484">
        <v>42</v>
      </c>
      <c r="M3484">
        <v>2.64</v>
      </c>
      <c r="N3484">
        <v>6</v>
      </c>
      <c r="O3484" t="s">
        <v>21</v>
      </c>
      <c r="P3484" cm="1">
        <f t="array" ref="P3484">_xlfn.SWITCH(Table2[[#This Row],[mood]], "Tired", 3, "Neutral", 2, "Happy", 1)</f>
        <v>1</v>
      </c>
    </row>
    <row r="3485" spans="1:16" x14ac:dyDescent="0.3">
      <c r="A3485">
        <v>1912</v>
      </c>
      <c r="B3485" s="1">
        <v>45488</v>
      </c>
      <c r="C3485">
        <v>52</v>
      </c>
      <c r="D3485" t="s">
        <v>15</v>
      </c>
      <c r="E3485">
        <v>169.7</v>
      </c>
      <c r="F3485">
        <v>51.6</v>
      </c>
      <c r="G3485">
        <v>9599</v>
      </c>
      <c r="H3485">
        <v>666.7</v>
      </c>
      <c r="I3485">
        <v>6.1</v>
      </c>
      <c r="J3485">
        <v>73</v>
      </c>
      <c r="K3485" t="s">
        <v>22</v>
      </c>
      <c r="L3485">
        <v>36</v>
      </c>
      <c r="M3485">
        <v>3.14</v>
      </c>
      <c r="N3485">
        <v>6</v>
      </c>
      <c r="O3485" t="s">
        <v>19</v>
      </c>
      <c r="P3485" cm="1">
        <f t="array" ref="P3485">_xlfn.SWITCH(Table2[[#This Row],[mood]], "Tired", 3, "Neutral", 2, "Happy", 1)</f>
        <v>2</v>
      </c>
    </row>
    <row r="3486" spans="1:16" x14ac:dyDescent="0.3">
      <c r="A3486">
        <v>1955</v>
      </c>
      <c r="B3486" s="1">
        <v>45489</v>
      </c>
      <c r="C3486">
        <v>46</v>
      </c>
      <c r="D3486" t="s">
        <v>20</v>
      </c>
      <c r="E3486">
        <v>163.19999999999999</v>
      </c>
      <c r="F3486">
        <v>67.8</v>
      </c>
      <c r="G3486">
        <v>9715</v>
      </c>
      <c r="H3486">
        <v>605.70000000000005</v>
      </c>
      <c r="I3486">
        <v>8.6</v>
      </c>
      <c r="J3486">
        <v>69</v>
      </c>
      <c r="K3486" t="s">
        <v>18</v>
      </c>
      <c r="L3486">
        <v>77</v>
      </c>
      <c r="M3486">
        <v>3.04</v>
      </c>
      <c r="N3486">
        <v>2</v>
      </c>
      <c r="O3486" t="s">
        <v>19</v>
      </c>
      <c r="P3486" cm="1">
        <f t="array" ref="P3486">_xlfn.SWITCH(Table2[[#This Row],[mood]], "Tired", 3, "Neutral", 2, "Happy", 1)</f>
        <v>2</v>
      </c>
    </row>
    <row r="3487" spans="1:16" x14ac:dyDescent="0.3">
      <c r="A3487">
        <v>1854</v>
      </c>
      <c r="B3487" s="1">
        <v>45490</v>
      </c>
      <c r="C3487">
        <v>54</v>
      </c>
      <c r="D3487" t="s">
        <v>15</v>
      </c>
      <c r="E3487">
        <v>153.4</v>
      </c>
      <c r="F3487">
        <v>69.3</v>
      </c>
      <c r="G3487">
        <v>4050</v>
      </c>
      <c r="H3487">
        <v>331.9</v>
      </c>
      <c r="I3487">
        <v>5.8</v>
      </c>
      <c r="J3487">
        <v>67</v>
      </c>
      <c r="K3487" t="s">
        <v>18</v>
      </c>
      <c r="L3487">
        <v>68</v>
      </c>
      <c r="M3487">
        <v>3.3</v>
      </c>
      <c r="N3487">
        <v>1</v>
      </c>
      <c r="O3487" t="s">
        <v>17</v>
      </c>
      <c r="P3487" cm="1">
        <f t="array" ref="P3487">_xlfn.SWITCH(Table2[[#This Row],[mood]], "Tired", 3, "Neutral", 2, "Happy", 1)</f>
        <v>3</v>
      </c>
    </row>
    <row r="3488" spans="1:16" x14ac:dyDescent="0.3">
      <c r="A3488">
        <v>1855</v>
      </c>
      <c r="B3488" s="1">
        <v>45491</v>
      </c>
      <c r="C3488">
        <v>34</v>
      </c>
      <c r="D3488" t="s">
        <v>15</v>
      </c>
      <c r="E3488">
        <v>172.3</v>
      </c>
      <c r="F3488">
        <v>80.099999999999994</v>
      </c>
      <c r="G3488">
        <v>15783</v>
      </c>
      <c r="H3488">
        <v>859.1</v>
      </c>
      <c r="I3488">
        <v>7.1</v>
      </c>
      <c r="J3488">
        <v>91</v>
      </c>
      <c r="K3488" t="s">
        <v>24</v>
      </c>
      <c r="L3488">
        <v>22</v>
      </c>
      <c r="M3488">
        <v>3.52</v>
      </c>
      <c r="N3488">
        <v>7</v>
      </c>
      <c r="O3488" t="s">
        <v>21</v>
      </c>
      <c r="P3488" cm="1">
        <f t="array" ref="P3488">_xlfn.SWITCH(Table2[[#This Row],[mood]], "Tired", 3, "Neutral", 2, "Happy", 1)</f>
        <v>1</v>
      </c>
    </row>
    <row r="3489" spans="1:16" x14ac:dyDescent="0.3">
      <c r="A3489">
        <v>1172</v>
      </c>
      <c r="B3489" s="1">
        <v>45492</v>
      </c>
      <c r="C3489">
        <v>56</v>
      </c>
      <c r="D3489" t="s">
        <v>15</v>
      </c>
      <c r="E3489">
        <v>184.5</v>
      </c>
      <c r="F3489">
        <v>67.5</v>
      </c>
      <c r="G3489">
        <v>3397</v>
      </c>
      <c r="H3489">
        <v>375.2</v>
      </c>
      <c r="I3489">
        <v>5.8</v>
      </c>
      <c r="J3489">
        <v>75</v>
      </c>
      <c r="K3489" t="s">
        <v>18</v>
      </c>
      <c r="L3489">
        <v>64</v>
      </c>
      <c r="M3489">
        <v>2.6</v>
      </c>
      <c r="N3489">
        <v>3</v>
      </c>
      <c r="O3489" t="s">
        <v>21</v>
      </c>
      <c r="P3489" cm="1">
        <f t="array" ref="P3489">_xlfn.SWITCH(Table2[[#This Row],[mood]], "Tired", 3, "Neutral", 2, "Happy", 1)</f>
        <v>1</v>
      </c>
    </row>
    <row r="3490" spans="1:16" x14ac:dyDescent="0.3">
      <c r="A3490">
        <v>1466</v>
      </c>
      <c r="B3490" s="1">
        <v>45493</v>
      </c>
      <c r="C3490">
        <v>59</v>
      </c>
      <c r="D3490" t="s">
        <v>20</v>
      </c>
      <c r="E3490">
        <v>163.5</v>
      </c>
      <c r="F3490">
        <v>59.3</v>
      </c>
      <c r="G3490">
        <v>8912</v>
      </c>
      <c r="H3490">
        <v>642.4</v>
      </c>
      <c r="I3490">
        <v>6.4</v>
      </c>
      <c r="J3490">
        <v>85</v>
      </c>
      <c r="K3490" t="s">
        <v>18</v>
      </c>
      <c r="L3490">
        <v>54</v>
      </c>
      <c r="M3490">
        <v>2.4500000000000002</v>
      </c>
      <c r="N3490">
        <v>5</v>
      </c>
      <c r="O3490" t="s">
        <v>19</v>
      </c>
      <c r="P3490" cm="1">
        <f t="array" ref="P3490">_xlfn.SWITCH(Table2[[#This Row],[mood]], "Tired", 3, "Neutral", 2, "Happy", 1)</f>
        <v>2</v>
      </c>
    </row>
    <row r="3491" spans="1:16" x14ac:dyDescent="0.3">
      <c r="A3491">
        <v>1580</v>
      </c>
      <c r="B3491" s="1">
        <v>45494</v>
      </c>
      <c r="C3491">
        <v>45</v>
      </c>
      <c r="D3491" t="s">
        <v>15</v>
      </c>
      <c r="E3491">
        <v>170.7</v>
      </c>
      <c r="F3491">
        <v>73.3</v>
      </c>
      <c r="G3491">
        <v>2309</v>
      </c>
      <c r="H3491">
        <v>226.6</v>
      </c>
      <c r="I3491">
        <v>6</v>
      </c>
      <c r="J3491">
        <v>79</v>
      </c>
      <c r="K3491" t="s">
        <v>23</v>
      </c>
      <c r="L3491">
        <v>21</v>
      </c>
      <c r="M3491">
        <v>3.53</v>
      </c>
      <c r="N3491">
        <v>8</v>
      </c>
      <c r="O3491" t="s">
        <v>17</v>
      </c>
      <c r="P3491" cm="1">
        <f t="array" ref="P3491">_xlfn.SWITCH(Table2[[#This Row],[mood]], "Tired", 3, "Neutral", 2, "Happy", 1)</f>
        <v>3</v>
      </c>
    </row>
    <row r="3492" spans="1:16" x14ac:dyDescent="0.3">
      <c r="A3492">
        <v>1415</v>
      </c>
      <c r="B3492" s="1">
        <v>45495</v>
      </c>
      <c r="C3492">
        <v>46</v>
      </c>
      <c r="D3492" t="s">
        <v>20</v>
      </c>
      <c r="E3492">
        <v>154.80000000000001</v>
      </c>
      <c r="F3492">
        <v>64.900000000000006</v>
      </c>
      <c r="G3492">
        <v>8202</v>
      </c>
      <c r="H3492">
        <v>521.1</v>
      </c>
      <c r="I3492">
        <v>8</v>
      </c>
      <c r="J3492">
        <v>80</v>
      </c>
      <c r="K3492" t="s">
        <v>25</v>
      </c>
      <c r="L3492">
        <v>66</v>
      </c>
      <c r="M3492">
        <v>2.0099999999999998</v>
      </c>
      <c r="N3492">
        <v>5</v>
      </c>
      <c r="O3492" t="s">
        <v>17</v>
      </c>
      <c r="P3492" cm="1">
        <f t="array" ref="P3492">_xlfn.SWITCH(Table2[[#This Row],[mood]], "Tired", 3, "Neutral", 2, "Happy", 1)</f>
        <v>3</v>
      </c>
    </row>
    <row r="3493" spans="1:16" x14ac:dyDescent="0.3">
      <c r="A3493">
        <v>1939</v>
      </c>
      <c r="B3493" s="1">
        <v>45496</v>
      </c>
      <c r="C3493">
        <v>20</v>
      </c>
      <c r="D3493" t="s">
        <v>20</v>
      </c>
      <c r="E3493">
        <v>163.30000000000001</v>
      </c>
      <c r="F3493">
        <v>78.400000000000006</v>
      </c>
      <c r="G3493">
        <v>8700</v>
      </c>
      <c r="H3493">
        <v>616.9</v>
      </c>
      <c r="I3493">
        <v>6.3</v>
      </c>
      <c r="J3493">
        <v>75</v>
      </c>
      <c r="K3493" t="s">
        <v>18</v>
      </c>
      <c r="L3493">
        <v>22</v>
      </c>
      <c r="M3493">
        <v>1.68</v>
      </c>
      <c r="N3493">
        <v>5</v>
      </c>
      <c r="O3493" t="s">
        <v>21</v>
      </c>
      <c r="P3493" cm="1">
        <f t="array" ref="P3493">_xlfn.SWITCH(Table2[[#This Row],[mood]], "Tired", 3, "Neutral", 2, "Happy", 1)</f>
        <v>1</v>
      </c>
    </row>
    <row r="3494" spans="1:16" x14ac:dyDescent="0.3">
      <c r="A3494">
        <v>1448</v>
      </c>
      <c r="B3494" s="1">
        <v>45497</v>
      </c>
      <c r="C3494">
        <v>27</v>
      </c>
      <c r="D3494" t="s">
        <v>15</v>
      </c>
      <c r="E3494">
        <v>173.4</v>
      </c>
      <c r="F3494">
        <v>57.9</v>
      </c>
      <c r="G3494">
        <v>5718</v>
      </c>
      <c r="H3494">
        <v>466</v>
      </c>
      <c r="I3494">
        <v>7.8</v>
      </c>
      <c r="J3494">
        <v>71</v>
      </c>
      <c r="K3494" t="s">
        <v>18</v>
      </c>
      <c r="L3494">
        <v>48</v>
      </c>
      <c r="M3494">
        <v>2.2599999999999998</v>
      </c>
      <c r="N3494">
        <v>5</v>
      </c>
      <c r="O3494" t="s">
        <v>21</v>
      </c>
      <c r="P3494" cm="1">
        <f t="array" ref="P3494">_xlfn.SWITCH(Table2[[#This Row],[mood]], "Tired", 3, "Neutral", 2, "Happy", 1)</f>
        <v>1</v>
      </c>
    </row>
    <row r="3495" spans="1:16" x14ac:dyDescent="0.3">
      <c r="A3495">
        <v>1086</v>
      </c>
      <c r="B3495" s="1">
        <v>45498</v>
      </c>
      <c r="C3495">
        <v>59</v>
      </c>
      <c r="D3495" t="s">
        <v>20</v>
      </c>
      <c r="E3495">
        <v>177.4</v>
      </c>
      <c r="F3495">
        <v>54.7</v>
      </c>
      <c r="G3495">
        <v>6950</v>
      </c>
      <c r="H3495">
        <v>502.3</v>
      </c>
      <c r="I3495">
        <v>6.2</v>
      </c>
      <c r="J3495">
        <v>88</v>
      </c>
      <c r="K3495" t="s">
        <v>22</v>
      </c>
      <c r="L3495">
        <v>39</v>
      </c>
      <c r="M3495">
        <v>2.1800000000000002</v>
      </c>
      <c r="N3495">
        <v>7</v>
      </c>
      <c r="O3495" t="s">
        <v>21</v>
      </c>
      <c r="P3495" cm="1">
        <f t="array" ref="P3495">_xlfn.SWITCH(Table2[[#This Row],[mood]], "Tired", 3, "Neutral", 2, "Happy", 1)</f>
        <v>1</v>
      </c>
    </row>
    <row r="3496" spans="1:16" x14ac:dyDescent="0.3">
      <c r="A3496">
        <v>1100</v>
      </c>
      <c r="B3496" s="1">
        <v>45499</v>
      </c>
      <c r="C3496">
        <v>31</v>
      </c>
      <c r="D3496" t="s">
        <v>15</v>
      </c>
      <c r="E3496">
        <v>175.6</v>
      </c>
      <c r="F3496">
        <v>89.7</v>
      </c>
      <c r="G3496">
        <v>11233</v>
      </c>
      <c r="H3496">
        <v>723.2</v>
      </c>
      <c r="I3496">
        <v>7</v>
      </c>
      <c r="J3496">
        <v>82</v>
      </c>
      <c r="K3496" t="s">
        <v>18</v>
      </c>
      <c r="L3496">
        <v>53</v>
      </c>
      <c r="M3496">
        <v>2.5299999999999998</v>
      </c>
      <c r="N3496">
        <v>2</v>
      </c>
      <c r="O3496" t="s">
        <v>21</v>
      </c>
      <c r="P3496" cm="1">
        <f t="array" ref="P3496">_xlfn.SWITCH(Table2[[#This Row],[mood]], "Tired", 3, "Neutral", 2, "Happy", 1)</f>
        <v>1</v>
      </c>
    </row>
    <row r="3497" spans="1:16" x14ac:dyDescent="0.3">
      <c r="A3497">
        <v>1007</v>
      </c>
      <c r="B3497" s="1">
        <v>45500</v>
      </c>
      <c r="C3497">
        <v>29</v>
      </c>
      <c r="D3497" t="s">
        <v>20</v>
      </c>
      <c r="E3497">
        <v>150</v>
      </c>
      <c r="F3497">
        <v>104.1</v>
      </c>
      <c r="G3497">
        <v>15171</v>
      </c>
      <c r="H3497">
        <v>797.8</v>
      </c>
      <c r="I3497">
        <v>9.1999999999999993</v>
      </c>
      <c r="J3497">
        <v>73</v>
      </c>
      <c r="K3497" t="s">
        <v>24</v>
      </c>
      <c r="L3497">
        <v>59</v>
      </c>
      <c r="M3497">
        <v>1.9</v>
      </c>
      <c r="N3497">
        <v>1</v>
      </c>
      <c r="O3497" t="s">
        <v>19</v>
      </c>
      <c r="P3497" cm="1">
        <f t="array" ref="P3497">_xlfn.SWITCH(Table2[[#This Row],[mood]], "Tired", 3, "Neutral", 2, "Happy", 1)</f>
        <v>2</v>
      </c>
    </row>
    <row r="3498" spans="1:16" x14ac:dyDescent="0.3">
      <c r="A3498">
        <v>1844</v>
      </c>
      <c r="B3498" s="1">
        <v>45501</v>
      </c>
      <c r="C3498">
        <v>59</v>
      </c>
      <c r="D3498" t="s">
        <v>20</v>
      </c>
      <c r="E3498">
        <v>165.4</v>
      </c>
      <c r="F3498">
        <v>97.3</v>
      </c>
      <c r="G3498">
        <v>11726</v>
      </c>
      <c r="H3498">
        <v>549.1</v>
      </c>
      <c r="I3498">
        <v>5.9</v>
      </c>
      <c r="J3498">
        <v>85</v>
      </c>
      <c r="K3498" t="s">
        <v>16</v>
      </c>
      <c r="L3498">
        <v>0</v>
      </c>
      <c r="M3498">
        <v>2.76</v>
      </c>
      <c r="N3498">
        <v>4</v>
      </c>
      <c r="O3498" t="s">
        <v>19</v>
      </c>
      <c r="P3498" cm="1">
        <f t="array" ref="P3498">_xlfn.SWITCH(Table2[[#This Row],[mood]], "Tired", 3, "Neutral", 2, "Happy", 1)</f>
        <v>2</v>
      </c>
    </row>
    <row r="3499" spans="1:16" x14ac:dyDescent="0.3">
      <c r="A3499">
        <v>1199</v>
      </c>
      <c r="B3499" s="1">
        <v>45502</v>
      </c>
      <c r="C3499">
        <v>47</v>
      </c>
      <c r="D3499" t="s">
        <v>15</v>
      </c>
      <c r="E3499">
        <v>160.30000000000001</v>
      </c>
      <c r="F3499">
        <v>68.900000000000006</v>
      </c>
      <c r="G3499">
        <v>18139</v>
      </c>
      <c r="H3499">
        <v>900</v>
      </c>
      <c r="I3499">
        <v>5.9</v>
      </c>
      <c r="J3499">
        <v>90</v>
      </c>
      <c r="K3499" t="s">
        <v>22</v>
      </c>
      <c r="L3499">
        <v>82</v>
      </c>
      <c r="M3499">
        <v>2.1</v>
      </c>
      <c r="N3499">
        <v>5</v>
      </c>
      <c r="O3499" t="s">
        <v>21</v>
      </c>
      <c r="P3499" cm="1">
        <f t="array" ref="P3499">_xlfn.SWITCH(Table2[[#This Row],[mood]], "Tired", 3, "Neutral", 2, "Happy", 1)</f>
        <v>1</v>
      </c>
    </row>
    <row r="3500" spans="1:16" x14ac:dyDescent="0.3">
      <c r="A3500">
        <v>1504</v>
      </c>
      <c r="B3500" s="1">
        <v>45503</v>
      </c>
      <c r="C3500">
        <v>49</v>
      </c>
      <c r="D3500" t="s">
        <v>15</v>
      </c>
      <c r="E3500">
        <v>166.9</v>
      </c>
      <c r="F3500">
        <v>85.8</v>
      </c>
      <c r="G3500">
        <v>1145</v>
      </c>
      <c r="H3500">
        <v>346.4</v>
      </c>
      <c r="I3500">
        <v>6.6</v>
      </c>
      <c r="J3500">
        <v>79</v>
      </c>
      <c r="K3500" t="s">
        <v>18</v>
      </c>
      <c r="L3500">
        <v>75</v>
      </c>
      <c r="M3500">
        <v>3.36</v>
      </c>
      <c r="N3500">
        <v>7</v>
      </c>
      <c r="O3500" t="s">
        <v>17</v>
      </c>
      <c r="P3500" cm="1">
        <f t="array" ref="P3500">_xlfn.SWITCH(Table2[[#This Row],[mood]], "Tired", 3, "Neutral", 2, "Happy", 1)</f>
        <v>3</v>
      </c>
    </row>
    <row r="3501" spans="1:16" x14ac:dyDescent="0.3">
      <c r="A3501">
        <v>1086</v>
      </c>
      <c r="B3501" s="1">
        <v>45504</v>
      </c>
      <c r="C3501">
        <v>49</v>
      </c>
      <c r="D3501" t="s">
        <v>15</v>
      </c>
      <c r="E3501">
        <v>168.9</v>
      </c>
      <c r="F3501">
        <v>59.7</v>
      </c>
      <c r="G3501">
        <v>13014</v>
      </c>
      <c r="H3501">
        <v>735.5</v>
      </c>
      <c r="I3501">
        <v>7</v>
      </c>
      <c r="J3501">
        <v>91</v>
      </c>
      <c r="K3501" t="s">
        <v>16</v>
      </c>
      <c r="L3501">
        <v>0</v>
      </c>
      <c r="M3501">
        <v>1.66</v>
      </c>
      <c r="N3501">
        <v>1</v>
      </c>
      <c r="O3501" t="s">
        <v>19</v>
      </c>
      <c r="P3501" cm="1">
        <f t="array" ref="P3501">_xlfn.SWITCH(Table2[[#This Row],[mood]], "Tired", 3, "Neutral", 2, "Happy", 1)</f>
        <v>2</v>
      </c>
    </row>
    <row r="3502" spans="1:16" x14ac:dyDescent="0.3">
      <c r="A3502">
        <v>1042</v>
      </c>
      <c r="B3502" s="1">
        <v>45505</v>
      </c>
      <c r="C3502">
        <v>59</v>
      </c>
      <c r="D3502" t="s">
        <v>15</v>
      </c>
      <c r="E3502">
        <v>180.7</v>
      </c>
      <c r="F3502">
        <v>77.599999999999994</v>
      </c>
      <c r="G3502">
        <v>2858</v>
      </c>
      <c r="H3502">
        <v>272.2</v>
      </c>
      <c r="I3502">
        <v>7.9</v>
      </c>
      <c r="J3502">
        <v>70</v>
      </c>
      <c r="K3502" t="s">
        <v>24</v>
      </c>
      <c r="L3502">
        <v>85</v>
      </c>
      <c r="M3502">
        <v>2.4</v>
      </c>
      <c r="N3502">
        <v>9</v>
      </c>
      <c r="O3502" t="s">
        <v>21</v>
      </c>
      <c r="P3502" cm="1">
        <f t="array" ref="P3502">_xlfn.SWITCH(Table2[[#This Row],[mood]], "Tired", 3, "Neutral", 2, "Happy", 1)</f>
        <v>1</v>
      </c>
    </row>
    <row r="3503" spans="1:16" x14ac:dyDescent="0.3">
      <c r="A3503">
        <v>1384</v>
      </c>
      <c r="B3503" s="1">
        <v>45506</v>
      </c>
      <c r="C3503">
        <v>49</v>
      </c>
      <c r="D3503" t="s">
        <v>20</v>
      </c>
      <c r="E3503">
        <v>173</v>
      </c>
      <c r="F3503">
        <v>61.2</v>
      </c>
      <c r="G3503">
        <v>5722</v>
      </c>
      <c r="H3503">
        <v>495.6</v>
      </c>
      <c r="I3503">
        <v>7.1</v>
      </c>
      <c r="J3503">
        <v>66</v>
      </c>
      <c r="K3503" t="s">
        <v>25</v>
      </c>
      <c r="L3503">
        <v>60</v>
      </c>
      <c r="M3503">
        <v>2.27</v>
      </c>
      <c r="N3503">
        <v>10</v>
      </c>
      <c r="O3503" t="s">
        <v>21</v>
      </c>
      <c r="P3503" cm="1">
        <f t="array" ref="P3503">_xlfn.SWITCH(Table2[[#This Row],[mood]], "Tired", 3, "Neutral", 2, "Happy", 1)</f>
        <v>1</v>
      </c>
    </row>
    <row r="3504" spans="1:16" x14ac:dyDescent="0.3">
      <c r="A3504">
        <v>1620</v>
      </c>
      <c r="B3504" s="1">
        <v>45507</v>
      </c>
      <c r="C3504">
        <v>43</v>
      </c>
      <c r="D3504" t="s">
        <v>20</v>
      </c>
      <c r="E3504">
        <v>184.2</v>
      </c>
      <c r="F3504">
        <v>88.8</v>
      </c>
      <c r="G3504">
        <v>4598</v>
      </c>
      <c r="H3504">
        <v>426.2</v>
      </c>
      <c r="I3504">
        <v>7.4</v>
      </c>
      <c r="J3504">
        <v>72</v>
      </c>
      <c r="K3504" t="s">
        <v>18</v>
      </c>
      <c r="L3504">
        <v>48</v>
      </c>
      <c r="M3504">
        <v>2.66</v>
      </c>
      <c r="N3504">
        <v>4</v>
      </c>
      <c r="O3504" t="s">
        <v>17</v>
      </c>
      <c r="P3504" cm="1">
        <f t="array" ref="P3504">_xlfn.SWITCH(Table2[[#This Row],[mood]], "Tired", 3, "Neutral", 2, "Happy", 1)</f>
        <v>3</v>
      </c>
    </row>
    <row r="3505" spans="1:16" x14ac:dyDescent="0.3">
      <c r="A3505">
        <v>1434</v>
      </c>
      <c r="B3505" s="1">
        <v>45508</v>
      </c>
      <c r="C3505">
        <v>18</v>
      </c>
      <c r="D3505" t="s">
        <v>20</v>
      </c>
      <c r="E3505">
        <v>163</v>
      </c>
      <c r="F3505">
        <v>86.9</v>
      </c>
      <c r="G3505">
        <v>14583</v>
      </c>
      <c r="H3505">
        <v>790.7</v>
      </c>
      <c r="I3505">
        <v>5.3</v>
      </c>
      <c r="J3505">
        <v>75</v>
      </c>
      <c r="K3505" t="s">
        <v>25</v>
      </c>
      <c r="L3505">
        <v>70</v>
      </c>
      <c r="M3505">
        <v>3.15</v>
      </c>
      <c r="N3505">
        <v>6</v>
      </c>
      <c r="O3505" t="s">
        <v>17</v>
      </c>
      <c r="P3505" cm="1">
        <f t="array" ref="P3505">_xlfn.SWITCH(Table2[[#This Row],[mood]], "Tired", 3, "Neutral", 2, "Happy", 1)</f>
        <v>3</v>
      </c>
    </row>
    <row r="3506" spans="1:16" x14ac:dyDescent="0.3">
      <c r="A3506">
        <v>1407</v>
      </c>
      <c r="B3506" s="1">
        <v>45509</v>
      </c>
      <c r="C3506">
        <v>59</v>
      </c>
      <c r="D3506" t="s">
        <v>15</v>
      </c>
      <c r="E3506">
        <v>155.80000000000001</v>
      </c>
      <c r="F3506">
        <v>101.1</v>
      </c>
      <c r="G3506">
        <v>15869</v>
      </c>
      <c r="H3506">
        <v>864</v>
      </c>
      <c r="I3506">
        <v>7.5</v>
      </c>
      <c r="J3506">
        <v>91</v>
      </c>
      <c r="K3506" t="s">
        <v>18</v>
      </c>
      <c r="L3506">
        <v>31</v>
      </c>
      <c r="M3506">
        <v>2.69</v>
      </c>
      <c r="N3506">
        <v>1</v>
      </c>
      <c r="O3506" t="s">
        <v>21</v>
      </c>
      <c r="P3506" cm="1">
        <f t="array" ref="P3506">_xlfn.SWITCH(Table2[[#This Row],[mood]], "Tired", 3, "Neutral", 2, "Happy", 1)</f>
        <v>1</v>
      </c>
    </row>
    <row r="3507" spans="1:16" x14ac:dyDescent="0.3">
      <c r="A3507">
        <v>1482</v>
      </c>
      <c r="B3507" s="1">
        <v>45510</v>
      </c>
      <c r="C3507">
        <v>19</v>
      </c>
      <c r="D3507" t="s">
        <v>20</v>
      </c>
      <c r="E3507">
        <v>184.6</v>
      </c>
      <c r="F3507">
        <v>66.599999999999994</v>
      </c>
      <c r="G3507">
        <v>18013</v>
      </c>
      <c r="H3507">
        <v>869.7</v>
      </c>
      <c r="I3507">
        <v>7.5</v>
      </c>
      <c r="J3507">
        <v>71</v>
      </c>
      <c r="K3507" t="s">
        <v>22</v>
      </c>
      <c r="L3507">
        <v>63</v>
      </c>
      <c r="M3507">
        <v>2.41</v>
      </c>
      <c r="N3507">
        <v>9</v>
      </c>
      <c r="O3507" t="s">
        <v>19</v>
      </c>
      <c r="P3507" cm="1">
        <f t="array" ref="P3507">_xlfn.SWITCH(Table2[[#This Row],[mood]], "Tired", 3, "Neutral", 2, "Happy", 1)</f>
        <v>2</v>
      </c>
    </row>
    <row r="3508" spans="1:16" x14ac:dyDescent="0.3">
      <c r="A3508">
        <v>1663</v>
      </c>
      <c r="B3508" s="1">
        <v>45511</v>
      </c>
      <c r="C3508">
        <v>34</v>
      </c>
      <c r="D3508" t="s">
        <v>15</v>
      </c>
      <c r="E3508">
        <v>174.3</v>
      </c>
      <c r="F3508">
        <v>93.7</v>
      </c>
      <c r="G3508">
        <v>16216</v>
      </c>
      <c r="H3508">
        <v>830.5</v>
      </c>
      <c r="I3508">
        <v>8</v>
      </c>
      <c r="J3508">
        <v>79</v>
      </c>
      <c r="K3508" t="s">
        <v>22</v>
      </c>
      <c r="L3508">
        <v>29</v>
      </c>
      <c r="M3508">
        <v>2.98</v>
      </c>
      <c r="N3508">
        <v>4</v>
      </c>
      <c r="O3508" t="s">
        <v>19</v>
      </c>
      <c r="P3508" cm="1">
        <f t="array" ref="P3508">_xlfn.SWITCH(Table2[[#This Row],[mood]], "Tired", 3, "Neutral", 2, "Happy", 1)</f>
        <v>2</v>
      </c>
    </row>
    <row r="3509" spans="1:16" x14ac:dyDescent="0.3">
      <c r="A3509">
        <v>1016</v>
      </c>
      <c r="B3509" s="1">
        <v>45512</v>
      </c>
      <c r="C3509">
        <v>47</v>
      </c>
      <c r="D3509" t="s">
        <v>20</v>
      </c>
      <c r="E3509">
        <v>162.6</v>
      </c>
      <c r="F3509">
        <v>77.599999999999994</v>
      </c>
      <c r="G3509">
        <v>12358</v>
      </c>
      <c r="H3509">
        <v>691.1</v>
      </c>
      <c r="I3509">
        <v>6.5</v>
      </c>
      <c r="J3509">
        <v>86</v>
      </c>
      <c r="K3509" t="s">
        <v>16</v>
      </c>
      <c r="L3509">
        <v>0</v>
      </c>
      <c r="M3509">
        <v>3.09</v>
      </c>
      <c r="N3509">
        <v>5</v>
      </c>
      <c r="O3509" t="s">
        <v>17</v>
      </c>
      <c r="P3509" cm="1">
        <f t="array" ref="P3509">_xlfn.SWITCH(Table2[[#This Row],[mood]], "Tired", 3, "Neutral", 2, "Happy", 1)</f>
        <v>3</v>
      </c>
    </row>
    <row r="3510" spans="1:16" x14ac:dyDescent="0.3">
      <c r="A3510">
        <v>1644</v>
      </c>
      <c r="B3510" s="1">
        <v>45513</v>
      </c>
      <c r="C3510">
        <v>56</v>
      </c>
      <c r="D3510" t="s">
        <v>15</v>
      </c>
      <c r="E3510">
        <v>174.4</v>
      </c>
      <c r="F3510">
        <v>71.099999999999994</v>
      </c>
      <c r="G3510">
        <v>4518</v>
      </c>
      <c r="H3510">
        <v>435.7</v>
      </c>
      <c r="I3510">
        <v>7</v>
      </c>
      <c r="J3510">
        <v>80</v>
      </c>
      <c r="K3510" t="s">
        <v>24</v>
      </c>
      <c r="L3510">
        <v>48</v>
      </c>
      <c r="M3510">
        <v>2.69</v>
      </c>
      <c r="N3510">
        <v>8</v>
      </c>
      <c r="O3510" t="s">
        <v>19</v>
      </c>
      <c r="P3510" cm="1">
        <f t="array" ref="P3510">_xlfn.SWITCH(Table2[[#This Row],[mood]], "Tired", 3, "Neutral", 2, "Happy", 1)</f>
        <v>2</v>
      </c>
    </row>
    <row r="3511" spans="1:16" x14ac:dyDescent="0.3">
      <c r="A3511">
        <v>1147</v>
      </c>
      <c r="B3511" s="1">
        <v>45514</v>
      </c>
      <c r="C3511">
        <v>24</v>
      </c>
      <c r="D3511" t="s">
        <v>20</v>
      </c>
      <c r="E3511">
        <v>178.4</v>
      </c>
      <c r="F3511">
        <v>75.099999999999994</v>
      </c>
      <c r="G3511">
        <v>5352</v>
      </c>
      <c r="H3511">
        <v>386.6</v>
      </c>
      <c r="I3511">
        <v>8.1</v>
      </c>
      <c r="J3511">
        <v>70</v>
      </c>
      <c r="K3511" t="s">
        <v>23</v>
      </c>
      <c r="L3511">
        <v>48</v>
      </c>
      <c r="M3511">
        <v>2.77</v>
      </c>
      <c r="N3511">
        <v>6</v>
      </c>
      <c r="O3511" t="s">
        <v>19</v>
      </c>
      <c r="P3511" cm="1">
        <f t="array" ref="P3511">_xlfn.SWITCH(Table2[[#This Row],[mood]], "Tired", 3, "Neutral", 2, "Happy", 1)</f>
        <v>2</v>
      </c>
    </row>
    <row r="3512" spans="1:16" x14ac:dyDescent="0.3">
      <c r="A3512">
        <v>1276</v>
      </c>
      <c r="B3512" s="1">
        <v>45515</v>
      </c>
      <c r="C3512">
        <v>44</v>
      </c>
      <c r="D3512" t="s">
        <v>20</v>
      </c>
      <c r="E3512">
        <v>171.2</v>
      </c>
      <c r="F3512">
        <v>95.5</v>
      </c>
      <c r="G3512">
        <v>13106</v>
      </c>
      <c r="H3512">
        <v>723</v>
      </c>
      <c r="I3512">
        <v>5.4</v>
      </c>
      <c r="J3512">
        <v>62</v>
      </c>
      <c r="K3512" t="s">
        <v>16</v>
      </c>
      <c r="L3512">
        <v>0</v>
      </c>
      <c r="M3512">
        <v>2.95</v>
      </c>
      <c r="N3512">
        <v>10</v>
      </c>
      <c r="O3512" t="s">
        <v>19</v>
      </c>
      <c r="P3512" cm="1">
        <f t="array" ref="P3512">_xlfn.SWITCH(Table2[[#This Row],[mood]], "Tired", 3, "Neutral", 2, "Happy", 1)</f>
        <v>2</v>
      </c>
    </row>
    <row r="3513" spans="1:16" x14ac:dyDescent="0.3">
      <c r="A3513">
        <v>1231</v>
      </c>
      <c r="B3513" s="1">
        <v>45516</v>
      </c>
      <c r="C3513">
        <v>26</v>
      </c>
      <c r="D3513" t="s">
        <v>15</v>
      </c>
      <c r="E3513">
        <v>162.69999999999999</v>
      </c>
      <c r="F3513">
        <v>68</v>
      </c>
      <c r="G3513">
        <v>8429</v>
      </c>
      <c r="H3513">
        <v>609.20000000000005</v>
      </c>
      <c r="I3513">
        <v>4.3</v>
      </c>
      <c r="J3513">
        <v>87</v>
      </c>
      <c r="K3513" t="s">
        <v>16</v>
      </c>
      <c r="L3513">
        <v>0</v>
      </c>
      <c r="M3513">
        <v>1.35</v>
      </c>
      <c r="N3513">
        <v>3</v>
      </c>
      <c r="O3513" t="s">
        <v>21</v>
      </c>
      <c r="P3513" cm="1">
        <f t="array" ref="P3513">_xlfn.SWITCH(Table2[[#This Row],[mood]], "Tired", 3, "Neutral", 2, "Happy", 1)</f>
        <v>1</v>
      </c>
    </row>
    <row r="3514" spans="1:16" x14ac:dyDescent="0.3">
      <c r="A3514">
        <v>1825</v>
      </c>
      <c r="B3514" s="1">
        <v>45517</v>
      </c>
      <c r="C3514">
        <v>39</v>
      </c>
      <c r="D3514" t="s">
        <v>20</v>
      </c>
      <c r="E3514">
        <v>165.6</v>
      </c>
      <c r="F3514">
        <v>68.8</v>
      </c>
      <c r="G3514">
        <v>10096</v>
      </c>
      <c r="H3514">
        <v>730.1</v>
      </c>
      <c r="I3514">
        <v>5.3</v>
      </c>
      <c r="J3514">
        <v>64</v>
      </c>
      <c r="K3514" t="s">
        <v>24</v>
      </c>
      <c r="L3514">
        <v>22</v>
      </c>
      <c r="M3514">
        <v>2.25</v>
      </c>
      <c r="N3514">
        <v>10</v>
      </c>
      <c r="O3514" t="s">
        <v>21</v>
      </c>
      <c r="P3514" cm="1">
        <f t="array" ref="P3514">_xlfn.SWITCH(Table2[[#This Row],[mood]], "Tired", 3, "Neutral", 2, "Happy", 1)</f>
        <v>1</v>
      </c>
    </row>
    <row r="3515" spans="1:16" x14ac:dyDescent="0.3">
      <c r="A3515">
        <v>1926</v>
      </c>
      <c r="B3515" s="1">
        <v>45518</v>
      </c>
      <c r="C3515">
        <v>51</v>
      </c>
      <c r="D3515" t="s">
        <v>15</v>
      </c>
      <c r="E3515">
        <v>172.9</v>
      </c>
      <c r="F3515">
        <v>45</v>
      </c>
      <c r="G3515">
        <v>6555</v>
      </c>
      <c r="H3515">
        <v>418.7</v>
      </c>
      <c r="I3515">
        <v>6</v>
      </c>
      <c r="J3515">
        <v>71</v>
      </c>
      <c r="K3515" t="s">
        <v>18</v>
      </c>
      <c r="L3515">
        <v>23</v>
      </c>
      <c r="M3515">
        <v>2.76</v>
      </c>
      <c r="N3515">
        <v>8</v>
      </c>
      <c r="O3515" t="s">
        <v>19</v>
      </c>
      <c r="P3515" cm="1">
        <f t="array" ref="P3515">_xlfn.SWITCH(Table2[[#This Row],[mood]], "Tired", 3, "Neutral", 2, "Happy", 1)</f>
        <v>2</v>
      </c>
    </row>
    <row r="3516" spans="1:16" x14ac:dyDescent="0.3">
      <c r="A3516">
        <v>1365</v>
      </c>
      <c r="B3516" s="1">
        <v>45519</v>
      </c>
      <c r="C3516">
        <v>18</v>
      </c>
      <c r="D3516" t="s">
        <v>20</v>
      </c>
      <c r="E3516">
        <v>172</v>
      </c>
      <c r="F3516">
        <v>67.8</v>
      </c>
      <c r="G3516">
        <v>8997</v>
      </c>
      <c r="H3516">
        <v>566.9</v>
      </c>
      <c r="I3516">
        <v>8.6</v>
      </c>
      <c r="J3516">
        <v>75</v>
      </c>
      <c r="K3516" t="s">
        <v>25</v>
      </c>
      <c r="L3516">
        <v>74</v>
      </c>
      <c r="M3516">
        <v>2.2999999999999998</v>
      </c>
      <c r="N3516">
        <v>6</v>
      </c>
      <c r="O3516" t="s">
        <v>21</v>
      </c>
      <c r="P3516" cm="1">
        <f t="array" ref="P3516">_xlfn.SWITCH(Table2[[#This Row],[mood]], "Tired", 3, "Neutral", 2, "Happy", 1)</f>
        <v>1</v>
      </c>
    </row>
    <row r="3517" spans="1:16" x14ac:dyDescent="0.3">
      <c r="A3517">
        <v>1227</v>
      </c>
      <c r="B3517" s="1">
        <v>45520</v>
      </c>
      <c r="C3517">
        <v>26</v>
      </c>
      <c r="D3517" t="s">
        <v>20</v>
      </c>
      <c r="E3517">
        <v>182.1</v>
      </c>
      <c r="F3517">
        <v>74</v>
      </c>
      <c r="G3517">
        <v>11809</v>
      </c>
      <c r="H3517">
        <v>597</v>
      </c>
      <c r="I3517">
        <v>10</v>
      </c>
      <c r="J3517">
        <v>88</v>
      </c>
      <c r="K3517" t="s">
        <v>25</v>
      </c>
      <c r="L3517">
        <v>33</v>
      </c>
      <c r="M3517">
        <v>2.2999999999999998</v>
      </c>
      <c r="N3517">
        <v>2</v>
      </c>
      <c r="O3517" t="s">
        <v>17</v>
      </c>
      <c r="P3517" cm="1">
        <f t="array" ref="P3517">_xlfn.SWITCH(Table2[[#This Row],[mood]], "Tired", 3, "Neutral", 2, "Happy", 1)</f>
        <v>3</v>
      </c>
    </row>
    <row r="3518" spans="1:16" x14ac:dyDescent="0.3">
      <c r="A3518">
        <v>1650</v>
      </c>
      <c r="B3518" s="1">
        <v>45521</v>
      </c>
      <c r="C3518">
        <v>37</v>
      </c>
      <c r="D3518" t="s">
        <v>15</v>
      </c>
      <c r="E3518">
        <v>167.2</v>
      </c>
      <c r="F3518">
        <v>58.6</v>
      </c>
      <c r="G3518">
        <v>17491</v>
      </c>
      <c r="H3518">
        <v>898.9</v>
      </c>
      <c r="I3518">
        <v>5.6</v>
      </c>
      <c r="J3518">
        <v>85</v>
      </c>
      <c r="K3518" t="s">
        <v>18</v>
      </c>
      <c r="L3518">
        <v>47</v>
      </c>
      <c r="M3518">
        <v>2.76</v>
      </c>
      <c r="N3518">
        <v>5</v>
      </c>
      <c r="O3518" t="s">
        <v>19</v>
      </c>
      <c r="P3518" cm="1">
        <f t="array" ref="P3518">_xlfn.SWITCH(Table2[[#This Row],[mood]], "Tired", 3, "Neutral", 2, "Happy", 1)</f>
        <v>2</v>
      </c>
    </row>
    <row r="3519" spans="1:16" x14ac:dyDescent="0.3">
      <c r="A3519">
        <v>1435</v>
      </c>
      <c r="B3519" s="1">
        <v>45522</v>
      </c>
      <c r="C3519">
        <v>36</v>
      </c>
      <c r="D3519" t="s">
        <v>15</v>
      </c>
      <c r="E3519">
        <v>160.4</v>
      </c>
      <c r="F3519">
        <v>54.9</v>
      </c>
      <c r="G3519">
        <v>10868</v>
      </c>
      <c r="H3519">
        <v>620.20000000000005</v>
      </c>
      <c r="I3519">
        <v>6.9</v>
      </c>
      <c r="J3519">
        <v>76</v>
      </c>
      <c r="K3519" t="s">
        <v>23</v>
      </c>
      <c r="L3519">
        <v>82</v>
      </c>
      <c r="M3519">
        <v>2.78</v>
      </c>
      <c r="N3519">
        <v>3</v>
      </c>
      <c r="O3519" t="s">
        <v>19</v>
      </c>
      <c r="P3519" cm="1">
        <f t="array" ref="P3519">_xlfn.SWITCH(Table2[[#This Row],[mood]], "Tired", 3, "Neutral", 2, "Happy", 1)</f>
        <v>2</v>
      </c>
    </row>
    <row r="3520" spans="1:16" x14ac:dyDescent="0.3">
      <c r="A3520">
        <v>1398</v>
      </c>
      <c r="B3520" s="1">
        <v>45523</v>
      </c>
      <c r="C3520">
        <v>53</v>
      </c>
      <c r="D3520" t="s">
        <v>20</v>
      </c>
      <c r="E3520">
        <v>195.8</v>
      </c>
      <c r="F3520">
        <v>45</v>
      </c>
      <c r="G3520">
        <v>5195</v>
      </c>
      <c r="H3520">
        <v>470.4</v>
      </c>
      <c r="I3520">
        <v>6.2</v>
      </c>
      <c r="J3520">
        <v>87</v>
      </c>
      <c r="K3520" t="s">
        <v>23</v>
      </c>
      <c r="L3520">
        <v>58</v>
      </c>
      <c r="M3520">
        <v>2.83</v>
      </c>
      <c r="N3520">
        <v>4</v>
      </c>
      <c r="O3520" t="s">
        <v>17</v>
      </c>
      <c r="P3520" cm="1">
        <f t="array" ref="P3520">_xlfn.SWITCH(Table2[[#This Row],[mood]], "Tired", 3, "Neutral", 2, "Happy", 1)</f>
        <v>3</v>
      </c>
    </row>
    <row r="3521" spans="1:16" x14ac:dyDescent="0.3">
      <c r="A3521">
        <v>1210</v>
      </c>
      <c r="B3521" s="1">
        <v>45524</v>
      </c>
      <c r="C3521">
        <v>57</v>
      </c>
      <c r="D3521" t="s">
        <v>20</v>
      </c>
      <c r="E3521">
        <v>171.7</v>
      </c>
      <c r="F3521">
        <v>61.2</v>
      </c>
      <c r="G3521">
        <v>9456</v>
      </c>
      <c r="H3521">
        <v>519.6</v>
      </c>
      <c r="I3521">
        <v>7.7</v>
      </c>
      <c r="J3521">
        <v>89</v>
      </c>
      <c r="K3521" t="s">
        <v>23</v>
      </c>
      <c r="L3521">
        <v>83</v>
      </c>
      <c r="M3521">
        <v>1.95</v>
      </c>
      <c r="N3521">
        <v>9</v>
      </c>
      <c r="O3521" t="s">
        <v>19</v>
      </c>
      <c r="P3521" cm="1">
        <f t="array" ref="P3521">_xlfn.SWITCH(Table2[[#This Row],[mood]], "Tired", 3, "Neutral", 2, "Happy", 1)</f>
        <v>2</v>
      </c>
    </row>
    <row r="3522" spans="1:16" x14ac:dyDescent="0.3">
      <c r="A3522">
        <v>1390</v>
      </c>
      <c r="B3522" s="1">
        <v>45525</v>
      </c>
      <c r="C3522">
        <v>21</v>
      </c>
      <c r="D3522" t="s">
        <v>20</v>
      </c>
      <c r="E3522">
        <v>178.3</v>
      </c>
      <c r="F3522">
        <v>91.3</v>
      </c>
      <c r="G3522">
        <v>4821</v>
      </c>
      <c r="H3522">
        <v>327.3</v>
      </c>
      <c r="I3522">
        <v>7.4</v>
      </c>
      <c r="J3522">
        <v>70</v>
      </c>
      <c r="K3522" t="s">
        <v>18</v>
      </c>
      <c r="L3522">
        <v>79</v>
      </c>
      <c r="M3522">
        <v>1.51</v>
      </c>
      <c r="N3522">
        <v>3</v>
      </c>
      <c r="O3522" t="s">
        <v>19</v>
      </c>
      <c r="P3522" cm="1">
        <f t="array" ref="P3522">_xlfn.SWITCH(Table2[[#This Row],[mood]], "Tired", 3, "Neutral", 2, "Happy", 1)</f>
        <v>2</v>
      </c>
    </row>
    <row r="3523" spans="1:16" x14ac:dyDescent="0.3">
      <c r="A3523">
        <v>1498</v>
      </c>
      <c r="B3523" s="1">
        <v>45526</v>
      </c>
      <c r="C3523">
        <v>26</v>
      </c>
      <c r="D3523" t="s">
        <v>20</v>
      </c>
      <c r="E3523">
        <v>175.2</v>
      </c>
      <c r="F3523">
        <v>47.8</v>
      </c>
      <c r="G3523">
        <v>18060</v>
      </c>
      <c r="H3523">
        <v>900</v>
      </c>
      <c r="I3523">
        <v>5.7</v>
      </c>
      <c r="J3523">
        <v>71</v>
      </c>
      <c r="K3523" t="s">
        <v>22</v>
      </c>
      <c r="L3523">
        <v>39</v>
      </c>
      <c r="M3523">
        <v>3.06</v>
      </c>
      <c r="N3523">
        <v>5</v>
      </c>
      <c r="O3523" t="s">
        <v>19</v>
      </c>
      <c r="P3523" cm="1">
        <f t="array" ref="P3523">_xlfn.SWITCH(Table2[[#This Row],[mood]], "Tired", 3, "Neutral", 2, "Happy", 1)</f>
        <v>2</v>
      </c>
    </row>
    <row r="3524" spans="1:16" x14ac:dyDescent="0.3">
      <c r="A3524">
        <v>1539</v>
      </c>
      <c r="B3524" s="1">
        <v>45527</v>
      </c>
      <c r="C3524">
        <v>58</v>
      </c>
      <c r="D3524" t="s">
        <v>20</v>
      </c>
      <c r="E3524">
        <v>171.9</v>
      </c>
      <c r="F3524">
        <v>81.8</v>
      </c>
      <c r="G3524">
        <v>12678</v>
      </c>
      <c r="H3524">
        <v>675.5</v>
      </c>
      <c r="I3524">
        <v>6.1</v>
      </c>
      <c r="J3524">
        <v>82</v>
      </c>
      <c r="K3524" t="s">
        <v>16</v>
      </c>
      <c r="L3524">
        <v>0</v>
      </c>
      <c r="M3524">
        <v>1.98</v>
      </c>
      <c r="N3524">
        <v>8</v>
      </c>
      <c r="O3524" t="s">
        <v>17</v>
      </c>
      <c r="P3524" cm="1">
        <f t="array" ref="P3524">_xlfn.SWITCH(Table2[[#This Row],[mood]], "Tired", 3, "Neutral", 2, "Happy", 1)</f>
        <v>3</v>
      </c>
    </row>
    <row r="3525" spans="1:16" x14ac:dyDescent="0.3">
      <c r="A3525">
        <v>1562</v>
      </c>
      <c r="B3525" s="1">
        <v>45528</v>
      </c>
      <c r="C3525">
        <v>39</v>
      </c>
      <c r="D3525" t="s">
        <v>20</v>
      </c>
      <c r="E3525">
        <v>167.7</v>
      </c>
      <c r="F3525">
        <v>83.2</v>
      </c>
      <c r="G3525">
        <v>6178</v>
      </c>
      <c r="H3525">
        <v>457</v>
      </c>
      <c r="I3525">
        <v>6.8</v>
      </c>
      <c r="J3525">
        <v>92</v>
      </c>
      <c r="K3525" t="s">
        <v>22</v>
      </c>
      <c r="L3525">
        <v>33</v>
      </c>
      <c r="M3525">
        <v>1.93</v>
      </c>
      <c r="N3525">
        <v>9</v>
      </c>
      <c r="O3525" t="s">
        <v>21</v>
      </c>
      <c r="P3525" cm="1">
        <f t="array" ref="P3525">_xlfn.SWITCH(Table2[[#This Row],[mood]], "Tired", 3, "Neutral", 2, "Happy", 1)</f>
        <v>1</v>
      </c>
    </row>
    <row r="3526" spans="1:16" x14ac:dyDescent="0.3">
      <c r="A3526">
        <v>1490</v>
      </c>
      <c r="B3526" s="1">
        <v>45529</v>
      </c>
      <c r="C3526">
        <v>35</v>
      </c>
      <c r="D3526" t="s">
        <v>15</v>
      </c>
      <c r="E3526">
        <v>150</v>
      </c>
      <c r="F3526">
        <v>106.8</v>
      </c>
      <c r="G3526">
        <v>11898</v>
      </c>
      <c r="H3526">
        <v>690.7</v>
      </c>
      <c r="I3526">
        <v>8.8000000000000007</v>
      </c>
      <c r="J3526">
        <v>68</v>
      </c>
      <c r="K3526" t="s">
        <v>18</v>
      </c>
      <c r="L3526">
        <v>77</v>
      </c>
      <c r="M3526">
        <v>1.87</v>
      </c>
      <c r="N3526">
        <v>7</v>
      </c>
      <c r="O3526" t="s">
        <v>21</v>
      </c>
      <c r="P3526" cm="1">
        <f t="array" ref="P3526">_xlfn.SWITCH(Table2[[#This Row],[mood]], "Tired", 3, "Neutral", 2, "Happy", 1)</f>
        <v>1</v>
      </c>
    </row>
    <row r="3527" spans="1:16" x14ac:dyDescent="0.3">
      <c r="A3527">
        <v>1441</v>
      </c>
      <c r="B3527" s="1">
        <v>45530</v>
      </c>
      <c r="C3527">
        <v>29</v>
      </c>
      <c r="D3527" t="s">
        <v>15</v>
      </c>
      <c r="E3527">
        <v>159.4</v>
      </c>
      <c r="F3527">
        <v>85.6</v>
      </c>
      <c r="G3527">
        <v>6566</v>
      </c>
      <c r="H3527">
        <v>423.3</v>
      </c>
      <c r="I3527">
        <v>6</v>
      </c>
      <c r="J3527">
        <v>57</v>
      </c>
      <c r="K3527" t="s">
        <v>22</v>
      </c>
      <c r="L3527">
        <v>58</v>
      </c>
      <c r="M3527">
        <v>3.31</v>
      </c>
      <c r="N3527">
        <v>4</v>
      </c>
      <c r="O3527" t="s">
        <v>19</v>
      </c>
      <c r="P3527" cm="1">
        <f t="array" ref="P3527">_xlfn.SWITCH(Table2[[#This Row],[mood]], "Tired", 3, "Neutral", 2, "Happy", 1)</f>
        <v>2</v>
      </c>
    </row>
    <row r="3528" spans="1:16" x14ac:dyDescent="0.3">
      <c r="A3528">
        <v>1260</v>
      </c>
      <c r="B3528" s="1">
        <v>45531</v>
      </c>
      <c r="C3528">
        <v>59</v>
      </c>
      <c r="D3528" t="s">
        <v>15</v>
      </c>
      <c r="E3528">
        <v>173.3</v>
      </c>
      <c r="F3528">
        <v>84.3</v>
      </c>
      <c r="G3528">
        <v>6420</v>
      </c>
      <c r="H3528">
        <v>417.5</v>
      </c>
      <c r="I3528">
        <v>4.7</v>
      </c>
      <c r="J3528">
        <v>81</v>
      </c>
      <c r="K3528" t="s">
        <v>23</v>
      </c>
      <c r="L3528">
        <v>77</v>
      </c>
      <c r="M3528">
        <v>2.65</v>
      </c>
      <c r="N3528">
        <v>9</v>
      </c>
      <c r="O3528" t="s">
        <v>21</v>
      </c>
      <c r="P3528" cm="1">
        <f t="array" ref="P3528">_xlfn.SWITCH(Table2[[#This Row],[mood]], "Tired", 3, "Neutral", 2, "Happy", 1)</f>
        <v>1</v>
      </c>
    </row>
    <row r="3529" spans="1:16" x14ac:dyDescent="0.3">
      <c r="A3529">
        <v>1772</v>
      </c>
      <c r="B3529" s="1">
        <v>45532</v>
      </c>
      <c r="C3529">
        <v>56</v>
      </c>
      <c r="D3529" t="s">
        <v>20</v>
      </c>
      <c r="E3529">
        <v>150</v>
      </c>
      <c r="F3529">
        <v>75.5</v>
      </c>
      <c r="G3529">
        <v>1607</v>
      </c>
      <c r="H3529">
        <v>320.60000000000002</v>
      </c>
      <c r="I3529">
        <v>9</v>
      </c>
      <c r="J3529">
        <v>89</v>
      </c>
      <c r="K3529" t="s">
        <v>22</v>
      </c>
      <c r="L3529">
        <v>34</v>
      </c>
      <c r="M3529">
        <v>2.74</v>
      </c>
      <c r="N3529">
        <v>2</v>
      </c>
      <c r="O3529" t="s">
        <v>19</v>
      </c>
      <c r="P3529" cm="1">
        <f t="array" ref="P3529">_xlfn.SWITCH(Table2[[#This Row],[mood]], "Tired", 3, "Neutral", 2, "Happy", 1)</f>
        <v>2</v>
      </c>
    </row>
    <row r="3530" spans="1:16" x14ac:dyDescent="0.3">
      <c r="A3530">
        <v>1349</v>
      </c>
      <c r="B3530" s="1">
        <v>45533</v>
      </c>
      <c r="C3530">
        <v>26</v>
      </c>
      <c r="D3530" t="s">
        <v>20</v>
      </c>
      <c r="E3530">
        <v>170.7</v>
      </c>
      <c r="F3530">
        <v>70</v>
      </c>
      <c r="G3530">
        <v>6674</v>
      </c>
      <c r="H3530">
        <v>500.8</v>
      </c>
      <c r="I3530">
        <v>7.7</v>
      </c>
      <c r="J3530">
        <v>76</v>
      </c>
      <c r="K3530" t="s">
        <v>18</v>
      </c>
      <c r="L3530">
        <v>22</v>
      </c>
      <c r="M3530">
        <v>2.98</v>
      </c>
      <c r="N3530">
        <v>2</v>
      </c>
      <c r="O3530" t="s">
        <v>17</v>
      </c>
      <c r="P3530" cm="1">
        <f t="array" ref="P3530">_xlfn.SWITCH(Table2[[#This Row],[mood]], "Tired", 3, "Neutral", 2, "Happy", 1)</f>
        <v>3</v>
      </c>
    </row>
    <row r="3531" spans="1:16" x14ac:dyDescent="0.3">
      <c r="A3531">
        <v>1351</v>
      </c>
      <c r="B3531" s="1">
        <v>45534</v>
      </c>
      <c r="C3531">
        <v>23</v>
      </c>
      <c r="D3531" t="s">
        <v>20</v>
      </c>
      <c r="E3531">
        <v>176.6</v>
      </c>
      <c r="F3531">
        <v>82.8</v>
      </c>
      <c r="G3531">
        <v>3394</v>
      </c>
      <c r="H3531">
        <v>335</v>
      </c>
      <c r="I3531">
        <v>5.3</v>
      </c>
      <c r="J3531">
        <v>101</v>
      </c>
      <c r="K3531" t="s">
        <v>16</v>
      </c>
      <c r="L3531">
        <v>0</v>
      </c>
      <c r="M3531">
        <v>2.4700000000000002</v>
      </c>
      <c r="N3531">
        <v>4</v>
      </c>
      <c r="O3531" t="s">
        <v>17</v>
      </c>
      <c r="P3531" cm="1">
        <f t="array" ref="P3531">_xlfn.SWITCH(Table2[[#This Row],[mood]], "Tired", 3, "Neutral", 2, "Happy", 1)</f>
        <v>3</v>
      </c>
    </row>
    <row r="3532" spans="1:16" x14ac:dyDescent="0.3">
      <c r="A3532">
        <v>1519</v>
      </c>
      <c r="B3532" s="1">
        <v>45535</v>
      </c>
      <c r="C3532">
        <v>36</v>
      </c>
      <c r="D3532" t="s">
        <v>15</v>
      </c>
      <c r="E3532">
        <v>178.3</v>
      </c>
      <c r="F3532">
        <v>88.7</v>
      </c>
      <c r="G3532">
        <v>12051</v>
      </c>
      <c r="H3532">
        <v>675.2</v>
      </c>
      <c r="I3532">
        <v>7.5</v>
      </c>
      <c r="J3532">
        <v>67</v>
      </c>
      <c r="K3532" t="s">
        <v>22</v>
      </c>
      <c r="L3532">
        <v>61</v>
      </c>
      <c r="M3532">
        <v>3.21</v>
      </c>
      <c r="N3532">
        <v>2</v>
      </c>
      <c r="O3532" t="s">
        <v>19</v>
      </c>
      <c r="P3532" cm="1">
        <f t="array" ref="P3532">_xlfn.SWITCH(Table2[[#This Row],[mood]], "Tired", 3, "Neutral", 2, "Happy", 1)</f>
        <v>2</v>
      </c>
    </row>
    <row r="3533" spans="1:16" x14ac:dyDescent="0.3">
      <c r="A3533">
        <v>1319</v>
      </c>
      <c r="B3533" s="1">
        <v>45536</v>
      </c>
      <c r="C3533">
        <v>24</v>
      </c>
      <c r="D3533" t="s">
        <v>15</v>
      </c>
      <c r="E3533">
        <v>176</v>
      </c>
      <c r="F3533">
        <v>72.599999999999994</v>
      </c>
      <c r="G3533">
        <v>9070</v>
      </c>
      <c r="H3533">
        <v>578.6</v>
      </c>
      <c r="I3533">
        <v>8.1999999999999993</v>
      </c>
      <c r="J3533">
        <v>68</v>
      </c>
      <c r="K3533" t="s">
        <v>22</v>
      </c>
      <c r="L3533">
        <v>34</v>
      </c>
      <c r="M3533">
        <v>1.66</v>
      </c>
      <c r="N3533">
        <v>3</v>
      </c>
      <c r="O3533" t="s">
        <v>19</v>
      </c>
      <c r="P3533" cm="1">
        <f t="array" ref="P3533">_xlfn.SWITCH(Table2[[#This Row],[mood]], "Tired", 3, "Neutral", 2, "Happy", 1)</f>
        <v>2</v>
      </c>
    </row>
    <row r="3534" spans="1:16" x14ac:dyDescent="0.3">
      <c r="A3534">
        <v>1137</v>
      </c>
      <c r="B3534" s="1">
        <v>45537</v>
      </c>
      <c r="C3534">
        <v>33</v>
      </c>
      <c r="D3534" t="s">
        <v>20</v>
      </c>
      <c r="E3534">
        <v>179.6</v>
      </c>
      <c r="F3534">
        <v>89.4</v>
      </c>
      <c r="G3534">
        <v>11039</v>
      </c>
      <c r="H3534">
        <v>660.7</v>
      </c>
      <c r="I3534">
        <v>7.1</v>
      </c>
      <c r="J3534">
        <v>67</v>
      </c>
      <c r="K3534" t="s">
        <v>22</v>
      </c>
      <c r="L3534">
        <v>22</v>
      </c>
      <c r="M3534">
        <v>1.74</v>
      </c>
      <c r="N3534">
        <v>5</v>
      </c>
      <c r="O3534" t="s">
        <v>19</v>
      </c>
      <c r="P3534" cm="1">
        <f t="array" ref="P3534">_xlfn.SWITCH(Table2[[#This Row],[mood]], "Tired", 3, "Neutral", 2, "Happy", 1)</f>
        <v>2</v>
      </c>
    </row>
    <row r="3535" spans="1:16" x14ac:dyDescent="0.3">
      <c r="A3535">
        <v>1549</v>
      </c>
      <c r="B3535" s="1">
        <v>45538</v>
      </c>
      <c r="C3535">
        <v>22</v>
      </c>
      <c r="D3535" t="s">
        <v>20</v>
      </c>
      <c r="E3535">
        <v>186.1</v>
      </c>
      <c r="F3535">
        <v>113.2</v>
      </c>
      <c r="G3535">
        <v>3021</v>
      </c>
      <c r="H3535">
        <v>383.9</v>
      </c>
      <c r="I3535">
        <v>9</v>
      </c>
      <c r="J3535">
        <v>76</v>
      </c>
      <c r="K3535" t="s">
        <v>22</v>
      </c>
      <c r="L3535">
        <v>54</v>
      </c>
      <c r="M3535">
        <v>1.7</v>
      </c>
      <c r="N3535">
        <v>3</v>
      </c>
      <c r="O3535" t="s">
        <v>21</v>
      </c>
      <c r="P3535" cm="1">
        <f t="array" ref="P3535">_xlfn.SWITCH(Table2[[#This Row],[mood]], "Tired", 3, "Neutral", 2, "Happy", 1)</f>
        <v>1</v>
      </c>
    </row>
    <row r="3536" spans="1:16" x14ac:dyDescent="0.3">
      <c r="A3536">
        <v>1622</v>
      </c>
      <c r="B3536" s="1">
        <v>45539</v>
      </c>
      <c r="C3536">
        <v>33</v>
      </c>
      <c r="D3536" t="s">
        <v>15</v>
      </c>
      <c r="E3536">
        <v>181</v>
      </c>
      <c r="F3536">
        <v>71.099999999999994</v>
      </c>
      <c r="G3536">
        <v>17110</v>
      </c>
      <c r="H3536">
        <v>883.4</v>
      </c>
      <c r="I3536">
        <v>7.8</v>
      </c>
      <c r="J3536">
        <v>76</v>
      </c>
      <c r="K3536" t="s">
        <v>16</v>
      </c>
      <c r="L3536">
        <v>0</v>
      </c>
      <c r="M3536">
        <v>2.8</v>
      </c>
      <c r="N3536">
        <v>1</v>
      </c>
      <c r="O3536" t="s">
        <v>17</v>
      </c>
      <c r="P3536" cm="1">
        <f t="array" ref="P3536">_xlfn.SWITCH(Table2[[#This Row],[mood]], "Tired", 3, "Neutral", 2, "Happy", 1)</f>
        <v>3</v>
      </c>
    </row>
    <row r="3537" spans="1:16" x14ac:dyDescent="0.3">
      <c r="A3537">
        <v>1991</v>
      </c>
      <c r="B3537" s="1">
        <v>45540</v>
      </c>
      <c r="C3537">
        <v>18</v>
      </c>
      <c r="D3537" t="s">
        <v>15</v>
      </c>
      <c r="E3537">
        <v>172</v>
      </c>
      <c r="F3537">
        <v>71.5</v>
      </c>
      <c r="G3537">
        <v>3048</v>
      </c>
      <c r="H3537">
        <v>344.1</v>
      </c>
      <c r="I3537">
        <v>7.5</v>
      </c>
      <c r="J3537">
        <v>67</v>
      </c>
      <c r="K3537" t="s">
        <v>18</v>
      </c>
      <c r="L3537">
        <v>43</v>
      </c>
      <c r="M3537">
        <v>2.85</v>
      </c>
      <c r="N3537">
        <v>3</v>
      </c>
      <c r="O3537" t="s">
        <v>19</v>
      </c>
      <c r="P3537" cm="1">
        <f t="array" ref="P3537">_xlfn.SWITCH(Table2[[#This Row],[mood]], "Tired", 3, "Neutral", 2, "Happy", 1)</f>
        <v>2</v>
      </c>
    </row>
    <row r="3538" spans="1:16" x14ac:dyDescent="0.3">
      <c r="A3538">
        <v>1367</v>
      </c>
      <c r="B3538" s="1">
        <v>45541</v>
      </c>
      <c r="C3538">
        <v>54</v>
      </c>
      <c r="D3538" t="s">
        <v>15</v>
      </c>
      <c r="E3538">
        <v>168.7</v>
      </c>
      <c r="F3538">
        <v>68.599999999999994</v>
      </c>
      <c r="G3538">
        <v>1893</v>
      </c>
      <c r="H3538">
        <v>311.60000000000002</v>
      </c>
      <c r="I3538">
        <v>7.3</v>
      </c>
      <c r="J3538">
        <v>86</v>
      </c>
      <c r="K3538" t="s">
        <v>24</v>
      </c>
      <c r="L3538">
        <v>50</v>
      </c>
      <c r="M3538">
        <v>2.17</v>
      </c>
      <c r="N3538">
        <v>6</v>
      </c>
      <c r="O3538" t="s">
        <v>21</v>
      </c>
      <c r="P3538" cm="1">
        <f t="array" ref="P3538">_xlfn.SWITCH(Table2[[#This Row],[mood]], "Tired", 3, "Neutral", 2, "Happy", 1)</f>
        <v>1</v>
      </c>
    </row>
    <row r="3539" spans="1:16" x14ac:dyDescent="0.3">
      <c r="A3539">
        <v>1219</v>
      </c>
      <c r="B3539" s="1">
        <v>45542</v>
      </c>
      <c r="C3539">
        <v>56</v>
      </c>
      <c r="D3539" t="s">
        <v>20</v>
      </c>
      <c r="E3539">
        <v>171.1</v>
      </c>
      <c r="F3539">
        <v>72</v>
      </c>
      <c r="G3539">
        <v>14043</v>
      </c>
      <c r="H3539">
        <v>798.5</v>
      </c>
      <c r="I3539">
        <v>7.2</v>
      </c>
      <c r="J3539">
        <v>78</v>
      </c>
      <c r="K3539" t="s">
        <v>22</v>
      </c>
      <c r="L3539">
        <v>23</v>
      </c>
      <c r="M3539">
        <v>2.34</v>
      </c>
      <c r="N3539">
        <v>3</v>
      </c>
      <c r="O3539" t="s">
        <v>19</v>
      </c>
      <c r="P3539" cm="1">
        <f t="array" ref="P3539">_xlfn.SWITCH(Table2[[#This Row],[mood]], "Tired", 3, "Neutral", 2, "Happy", 1)</f>
        <v>2</v>
      </c>
    </row>
    <row r="3540" spans="1:16" x14ac:dyDescent="0.3">
      <c r="A3540">
        <v>1336</v>
      </c>
      <c r="B3540" s="1">
        <v>45543</v>
      </c>
      <c r="C3540">
        <v>36</v>
      </c>
      <c r="D3540" t="s">
        <v>20</v>
      </c>
      <c r="E3540">
        <v>167.2</v>
      </c>
      <c r="F3540">
        <v>88.3</v>
      </c>
      <c r="G3540">
        <v>12792</v>
      </c>
      <c r="H3540">
        <v>784.2</v>
      </c>
      <c r="I3540">
        <v>8.3000000000000007</v>
      </c>
      <c r="J3540">
        <v>65</v>
      </c>
      <c r="K3540" t="s">
        <v>24</v>
      </c>
      <c r="L3540">
        <v>22</v>
      </c>
      <c r="M3540">
        <v>3.39</v>
      </c>
      <c r="N3540">
        <v>9</v>
      </c>
      <c r="O3540" t="s">
        <v>17</v>
      </c>
      <c r="P3540" cm="1">
        <f t="array" ref="P3540">_xlfn.SWITCH(Table2[[#This Row],[mood]], "Tired", 3, "Neutral", 2, "Happy", 1)</f>
        <v>3</v>
      </c>
    </row>
    <row r="3541" spans="1:16" x14ac:dyDescent="0.3">
      <c r="A3541">
        <v>1222</v>
      </c>
      <c r="B3541" s="1">
        <v>45544</v>
      </c>
      <c r="C3541">
        <v>54</v>
      </c>
      <c r="D3541" t="s">
        <v>20</v>
      </c>
      <c r="E3541">
        <v>181.2</v>
      </c>
      <c r="F3541">
        <v>71.3</v>
      </c>
      <c r="G3541">
        <v>14613</v>
      </c>
      <c r="H3541">
        <v>783.9</v>
      </c>
      <c r="I3541">
        <v>6.8</v>
      </c>
      <c r="J3541">
        <v>81</v>
      </c>
      <c r="K3541" t="s">
        <v>16</v>
      </c>
      <c r="L3541">
        <v>0</v>
      </c>
      <c r="M3541">
        <v>2.0099999999999998</v>
      </c>
      <c r="N3541">
        <v>3</v>
      </c>
      <c r="O3541" t="s">
        <v>17</v>
      </c>
      <c r="P3541" cm="1">
        <f t="array" ref="P3541">_xlfn.SWITCH(Table2[[#This Row],[mood]], "Tired", 3, "Neutral", 2, "Happy", 1)</f>
        <v>3</v>
      </c>
    </row>
    <row r="3542" spans="1:16" x14ac:dyDescent="0.3">
      <c r="A3542">
        <v>1647</v>
      </c>
      <c r="B3542" s="1">
        <v>45545</v>
      </c>
      <c r="C3542">
        <v>34</v>
      </c>
      <c r="D3542" t="s">
        <v>15</v>
      </c>
      <c r="E3542">
        <v>175.7</v>
      </c>
      <c r="F3542">
        <v>72.8</v>
      </c>
      <c r="G3542">
        <v>15316</v>
      </c>
      <c r="H3542">
        <v>784.3</v>
      </c>
      <c r="I3542">
        <v>8.4</v>
      </c>
      <c r="J3542">
        <v>71</v>
      </c>
      <c r="K3542" t="s">
        <v>18</v>
      </c>
      <c r="L3542">
        <v>87</v>
      </c>
      <c r="M3542">
        <v>2.71</v>
      </c>
      <c r="N3542">
        <v>3</v>
      </c>
      <c r="O3542" t="s">
        <v>17</v>
      </c>
      <c r="P3542" cm="1">
        <f t="array" ref="P3542">_xlfn.SWITCH(Table2[[#This Row],[mood]], "Tired", 3, "Neutral", 2, "Happy", 1)</f>
        <v>3</v>
      </c>
    </row>
    <row r="3543" spans="1:16" x14ac:dyDescent="0.3">
      <c r="A3543">
        <v>1767</v>
      </c>
      <c r="B3543" s="1">
        <v>45546</v>
      </c>
      <c r="C3543">
        <v>43</v>
      </c>
      <c r="D3543" t="s">
        <v>15</v>
      </c>
      <c r="E3543">
        <v>166.2</v>
      </c>
      <c r="F3543">
        <v>66.3</v>
      </c>
      <c r="G3543">
        <v>7087</v>
      </c>
      <c r="H3543">
        <v>465.6</v>
      </c>
      <c r="I3543">
        <v>7.5</v>
      </c>
      <c r="J3543">
        <v>76</v>
      </c>
      <c r="K3543" t="s">
        <v>25</v>
      </c>
      <c r="L3543">
        <v>79</v>
      </c>
      <c r="M3543">
        <v>2.02</v>
      </c>
      <c r="N3543">
        <v>3</v>
      </c>
      <c r="O3543" t="s">
        <v>19</v>
      </c>
      <c r="P3543" cm="1">
        <f t="array" ref="P3543">_xlfn.SWITCH(Table2[[#This Row],[mood]], "Tired", 3, "Neutral", 2, "Happy", 1)</f>
        <v>2</v>
      </c>
    </row>
    <row r="3544" spans="1:16" x14ac:dyDescent="0.3">
      <c r="A3544">
        <v>1359</v>
      </c>
      <c r="B3544" s="1">
        <v>45547</v>
      </c>
      <c r="C3544">
        <v>39</v>
      </c>
      <c r="D3544" t="s">
        <v>20</v>
      </c>
      <c r="E3544">
        <v>183.2</v>
      </c>
      <c r="F3544">
        <v>77.3</v>
      </c>
      <c r="G3544">
        <v>3933</v>
      </c>
      <c r="H3544">
        <v>389.4</v>
      </c>
      <c r="I3544">
        <v>7.2</v>
      </c>
      <c r="J3544">
        <v>84</v>
      </c>
      <c r="K3544" t="s">
        <v>24</v>
      </c>
      <c r="L3544">
        <v>30</v>
      </c>
      <c r="M3544">
        <v>3.27</v>
      </c>
      <c r="N3544">
        <v>5</v>
      </c>
      <c r="O3544" t="s">
        <v>17</v>
      </c>
      <c r="P3544" cm="1">
        <f t="array" ref="P3544">_xlfn.SWITCH(Table2[[#This Row],[mood]], "Tired", 3, "Neutral", 2, "Happy", 1)</f>
        <v>3</v>
      </c>
    </row>
    <row r="3545" spans="1:16" x14ac:dyDescent="0.3">
      <c r="A3545">
        <v>1920</v>
      </c>
      <c r="B3545" s="1">
        <v>45548</v>
      </c>
      <c r="C3545">
        <v>25</v>
      </c>
      <c r="D3545" t="s">
        <v>20</v>
      </c>
      <c r="E3545">
        <v>167.1</v>
      </c>
      <c r="F3545">
        <v>62.5</v>
      </c>
      <c r="G3545">
        <v>19665</v>
      </c>
      <c r="H3545">
        <v>900</v>
      </c>
      <c r="I3545">
        <v>6.5</v>
      </c>
      <c r="J3545">
        <v>85</v>
      </c>
      <c r="K3545" t="s">
        <v>18</v>
      </c>
      <c r="L3545">
        <v>55</v>
      </c>
      <c r="M3545">
        <v>2.94</v>
      </c>
      <c r="N3545">
        <v>7</v>
      </c>
      <c r="O3545" t="s">
        <v>19</v>
      </c>
      <c r="P3545" cm="1">
        <f t="array" ref="P3545">_xlfn.SWITCH(Table2[[#This Row],[mood]], "Tired", 3, "Neutral", 2, "Happy", 1)</f>
        <v>2</v>
      </c>
    </row>
    <row r="3546" spans="1:16" x14ac:dyDescent="0.3">
      <c r="A3546">
        <v>1328</v>
      </c>
      <c r="B3546" s="1">
        <v>45549</v>
      </c>
      <c r="C3546">
        <v>50</v>
      </c>
      <c r="D3546" t="s">
        <v>15</v>
      </c>
      <c r="E3546">
        <v>160.5</v>
      </c>
      <c r="F3546">
        <v>51.6</v>
      </c>
      <c r="G3546">
        <v>9264</v>
      </c>
      <c r="H3546">
        <v>684.9</v>
      </c>
      <c r="I3546">
        <v>6.6</v>
      </c>
      <c r="J3546">
        <v>84</v>
      </c>
      <c r="K3546" t="s">
        <v>25</v>
      </c>
      <c r="L3546">
        <v>21</v>
      </c>
      <c r="M3546">
        <v>1.52</v>
      </c>
      <c r="N3546">
        <v>5</v>
      </c>
      <c r="O3546" t="s">
        <v>21</v>
      </c>
      <c r="P3546" cm="1">
        <f t="array" ref="P3546">_xlfn.SWITCH(Table2[[#This Row],[mood]], "Tired", 3, "Neutral", 2, "Happy", 1)</f>
        <v>1</v>
      </c>
    </row>
    <row r="3547" spans="1:16" x14ac:dyDescent="0.3">
      <c r="A3547">
        <v>1961</v>
      </c>
      <c r="B3547" s="1">
        <v>45550</v>
      </c>
      <c r="C3547">
        <v>19</v>
      </c>
      <c r="D3547" t="s">
        <v>20</v>
      </c>
      <c r="E3547">
        <v>169.9</v>
      </c>
      <c r="F3547">
        <v>76.7</v>
      </c>
      <c r="G3547">
        <v>2380</v>
      </c>
      <c r="H3547">
        <v>295.8</v>
      </c>
      <c r="I3547">
        <v>7.5</v>
      </c>
      <c r="J3547">
        <v>75</v>
      </c>
      <c r="K3547" t="s">
        <v>22</v>
      </c>
      <c r="L3547">
        <v>69</v>
      </c>
      <c r="M3547">
        <v>2.3199999999999998</v>
      </c>
      <c r="N3547">
        <v>9</v>
      </c>
      <c r="O3547" t="s">
        <v>21</v>
      </c>
      <c r="P3547" cm="1">
        <f t="array" ref="P3547">_xlfn.SWITCH(Table2[[#This Row],[mood]], "Tired", 3, "Neutral", 2, "Happy", 1)</f>
        <v>1</v>
      </c>
    </row>
    <row r="3548" spans="1:16" x14ac:dyDescent="0.3">
      <c r="A3548">
        <v>1462</v>
      </c>
      <c r="B3548" s="1">
        <v>45551</v>
      </c>
      <c r="C3548">
        <v>47</v>
      </c>
      <c r="D3548" t="s">
        <v>15</v>
      </c>
      <c r="E3548">
        <v>161.80000000000001</v>
      </c>
      <c r="F3548">
        <v>99.7</v>
      </c>
      <c r="G3548">
        <v>17867</v>
      </c>
      <c r="H3548">
        <v>866.9</v>
      </c>
      <c r="I3548">
        <v>8.5</v>
      </c>
      <c r="J3548">
        <v>65</v>
      </c>
      <c r="K3548" t="s">
        <v>16</v>
      </c>
      <c r="L3548">
        <v>0</v>
      </c>
      <c r="M3548">
        <v>1.04</v>
      </c>
      <c r="N3548">
        <v>6</v>
      </c>
      <c r="O3548" t="s">
        <v>21</v>
      </c>
      <c r="P3548" cm="1">
        <f t="array" ref="P3548">_xlfn.SWITCH(Table2[[#This Row],[mood]], "Tired", 3, "Neutral", 2, "Happy", 1)</f>
        <v>1</v>
      </c>
    </row>
    <row r="3549" spans="1:16" x14ac:dyDescent="0.3">
      <c r="A3549">
        <v>1945</v>
      </c>
      <c r="B3549" s="1">
        <v>45552</v>
      </c>
      <c r="C3549">
        <v>37</v>
      </c>
      <c r="D3549" t="s">
        <v>15</v>
      </c>
      <c r="E3549">
        <v>179.4</v>
      </c>
      <c r="F3549">
        <v>65.7</v>
      </c>
      <c r="G3549">
        <v>10221</v>
      </c>
      <c r="H3549">
        <v>625</v>
      </c>
      <c r="I3549">
        <v>7.8</v>
      </c>
      <c r="J3549">
        <v>72</v>
      </c>
      <c r="K3549" t="s">
        <v>16</v>
      </c>
      <c r="L3549">
        <v>0</v>
      </c>
      <c r="M3549">
        <v>3.13</v>
      </c>
      <c r="N3549">
        <v>1</v>
      </c>
      <c r="O3549" t="s">
        <v>19</v>
      </c>
      <c r="P3549" cm="1">
        <f t="array" ref="P3549">_xlfn.SWITCH(Table2[[#This Row],[mood]], "Tired", 3, "Neutral", 2, "Happy", 1)</f>
        <v>2</v>
      </c>
    </row>
    <row r="3550" spans="1:16" x14ac:dyDescent="0.3">
      <c r="A3550">
        <v>1962</v>
      </c>
      <c r="B3550" s="1">
        <v>45553</v>
      </c>
      <c r="C3550">
        <v>35</v>
      </c>
      <c r="D3550" t="s">
        <v>20</v>
      </c>
      <c r="E3550">
        <v>161.5</v>
      </c>
      <c r="F3550">
        <v>54.4</v>
      </c>
      <c r="G3550">
        <v>12973</v>
      </c>
      <c r="H3550">
        <v>795.9</v>
      </c>
      <c r="I3550">
        <v>5.9</v>
      </c>
      <c r="J3550">
        <v>75</v>
      </c>
      <c r="K3550" t="s">
        <v>18</v>
      </c>
      <c r="L3550">
        <v>81</v>
      </c>
      <c r="M3550">
        <v>3.93</v>
      </c>
      <c r="N3550">
        <v>9</v>
      </c>
      <c r="O3550" t="s">
        <v>17</v>
      </c>
      <c r="P3550" cm="1">
        <f t="array" ref="P3550">_xlfn.SWITCH(Table2[[#This Row],[mood]], "Tired", 3, "Neutral", 2, "Happy", 1)</f>
        <v>3</v>
      </c>
    </row>
    <row r="3551" spans="1:16" x14ac:dyDescent="0.3">
      <c r="A3551">
        <v>1560</v>
      </c>
      <c r="B3551" s="1">
        <v>45554</v>
      </c>
      <c r="C3551">
        <v>27</v>
      </c>
      <c r="D3551" t="s">
        <v>15</v>
      </c>
      <c r="E3551">
        <v>168.8</v>
      </c>
      <c r="F3551">
        <v>98.7</v>
      </c>
      <c r="G3551">
        <v>14164</v>
      </c>
      <c r="H3551">
        <v>725.8</v>
      </c>
      <c r="I3551">
        <v>4.5999999999999996</v>
      </c>
      <c r="J3551">
        <v>90</v>
      </c>
      <c r="K3551" t="s">
        <v>23</v>
      </c>
      <c r="L3551">
        <v>33</v>
      </c>
      <c r="M3551">
        <v>0.97</v>
      </c>
      <c r="N3551">
        <v>3</v>
      </c>
      <c r="O3551" t="s">
        <v>17</v>
      </c>
      <c r="P3551" cm="1">
        <f t="array" ref="P3551">_xlfn.SWITCH(Table2[[#This Row],[mood]], "Tired", 3, "Neutral", 2, "Happy", 1)</f>
        <v>3</v>
      </c>
    </row>
    <row r="3552" spans="1:16" x14ac:dyDescent="0.3">
      <c r="A3552">
        <v>1803</v>
      </c>
      <c r="B3552" s="1">
        <v>45555</v>
      </c>
      <c r="C3552">
        <v>41</v>
      </c>
      <c r="D3552" t="s">
        <v>20</v>
      </c>
      <c r="E3552">
        <v>179.4</v>
      </c>
      <c r="F3552">
        <v>70.7</v>
      </c>
      <c r="G3552">
        <v>7101</v>
      </c>
      <c r="H3552">
        <v>441.8</v>
      </c>
      <c r="I3552">
        <v>8.1</v>
      </c>
      <c r="J3552">
        <v>70</v>
      </c>
      <c r="K3552" t="s">
        <v>25</v>
      </c>
      <c r="L3552">
        <v>42</v>
      </c>
      <c r="M3552">
        <v>1.5</v>
      </c>
      <c r="N3552">
        <v>8</v>
      </c>
      <c r="O3552" t="s">
        <v>19</v>
      </c>
      <c r="P3552" cm="1">
        <f t="array" ref="P3552">_xlfn.SWITCH(Table2[[#This Row],[mood]], "Tired", 3, "Neutral", 2, "Happy", 1)</f>
        <v>2</v>
      </c>
    </row>
    <row r="3553" spans="1:16" x14ac:dyDescent="0.3">
      <c r="A3553">
        <v>1381</v>
      </c>
      <c r="B3553" s="1">
        <v>45556</v>
      </c>
      <c r="C3553">
        <v>21</v>
      </c>
      <c r="D3553" t="s">
        <v>15</v>
      </c>
      <c r="E3553">
        <v>162.9</v>
      </c>
      <c r="F3553">
        <v>84.2</v>
      </c>
      <c r="G3553">
        <v>5954</v>
      </c>
      <c r="H3553">
        <v>428.8</v>
      </c>
      <c r="I3553">
        <v>10</v>
      </c>
      <c r="J3553">
        <v>77</v>
      </c>
      <c r="K3553" t="s">
        <v>23</v>
      </c>
      <c r="L3553">
        <v>35</v>
      </c>
      <c r="M3553">
        <v>2.62</v>
      </c>
      <c r="N3553">
        <v>3</v>
      </c>
      <c r="O3553" t="s">
        <v>21</v>
      </c>
      <c r="P3553" cm="1">
        <f t="array" ref="P3553">_xlfn.SWITCH(Table2[[#This Row],[mood]], "Tired", 3, "Neutral", 2, "Happy", 1)</f>
        <v>1</v>
      </c>
    </row>
    <row r="3554" spans="1:16" x14ac:dyDescent="0.3">
      <c r="A3554">
        <v>1835</v>
      </c>
      <c r="B3554" s="1">
        <v>45557</v>
      </c>
      <c r="C3554">
        <v>54</v>
      </c>
      <c r="D3554" t="s">
        <v>15</v>
      </c>
      <c r="E3554">
        <v>174.1</v>
      </c>
      <c r="F3554">
        <v>59.1</v>
      </c>
      <c r="G3554">
        <v>6953</v>
      </c>
      <c r="H3554">
        <v>445.8</v>
      </c>
      <c r="I3554">
        <v>6.6</v>
      </c>
      <c r="J3554">
        <v>63</v>
      </c>
      <c r="K3554" t="s">
        <v>16</v>
      </c>
      <c r="L3554">
        <v>0</v>
      </c>
      <c r="M3554">
        <v>2.4900000000000002</v>
      </c>
      <c r="N3554">
        <v>8</v>
      </c>
      <c r="O3554" t="s">
        <v>21</v>
      </c>
      <c r="P3554" cm="1">
        <f t="array" ref="P3554">_xlfn.SWITCH(Table2[[#This Row],[mood]], "Tired", 3, "Neutral", 2, "Happy", 1)</f>
        <v>1</v>
      </c>
    </row>
    <row r="3555" spans="1:16" x14ac:dyDescent="0.3">
      <c r="A3555">
        <v>1589</v>
      </c>
      <c r="B3555" s="1">
        <v>45558</v>
      </c>
      <c r="C3555">
        <v>21</v>
      </c>
      <c r="D3555" t="s">
        <v>20</v>
      </c>
      <c r="E3555">
        <v>160.30000000000001</v>
      </c>
      <c r="F3555">
        <v>70.099999999999994</v>
      </c>
      <c r="G3555">
        <v>7280</v>
      </c>
      <c r="H3555">
        <v>423.7</v>
      </c>
      <c r="I3555">
        <v>6.3</v>
      </c>
      <c r="J3555">
        <v>78</v>
      </c>
      <c r="K3555" t="s">
        <v>16</v>
      </c>
      <c r="L3555">
        <v>0</v>
      </c>
      <c r="M3555">
        <v>2.21</v>
      </c>
      <c r="N3555">
        <v>4</v>
      </c>
      <c r="O3555" t="s">
        <v>19</v>
      </c>
      <c r="P3555" cm="1">
        <f t="array" ref="P3555">_xlfn.SWITCH(Table2[[#This Row],[mood]], "Tired", 3, "Neutral", 2, "Happy", 1)</f>
        <v>2</v>
      </c>
    </row>
    <row r="3556" spans="1:16" x14ac:dyDescent="0.3">
      <c r="A3556">
        <v>1616</v>
      </c>
      <c r="B3556" s="1">
        <v>45559</v>
      </c>
      <c r="C3556">
        <v>30</v>
      </c>
      <c r="D3556" t="s">
        <v>15</v>
      </c>
      <c r="E3556">
        <v>172.4</v>
      </c>
      <c r="F3556">
        <v>91</v>
      </c>
      <c r="G3556">
        <v>1778</v>
      </c>
      <c r="H3556">
        <v>194.1</v>
      </c>
      <c r="I3556">
        <v>8.1999999999999993</v>
      </c>
      <c r="J3556">
        <v>75</v>
      </c>
      <c r="K3556" t="s">
        <v>22</v>
      </c>
      <c r="L3556">
        <v>75</v>
      </c>
      <c r="M3556">
        <v>1.28</v>
      </c>
      <c r="N3556">
        <v>1</v>
      </c>
      <c r="O3556" t="s">
        <v>17</v>
      </c>
      <c r="P3556" cm="1">
        <f t="array" ref="P3556">_xlfn.SWITCH(Table2[[#This Row],[mood]], "Tired", 3, "Neutral", 2, "Happy", 1)</f>
        <v>3</v>
      </c>
    </row>
    <row r="3557" spans="1:16" x14ac:dyDescent="0.3">
      <c r="A3557">
        <v>1168</v>
      </c>
      <c r="B3557" s="1">
        <v>45560</v>
      </c>
      <c r="C3557">
        <v>42</v>
      </c>
      <c r="D3557" t="s">
        <v>20</v>
      </c>
      <c r="E3557">
        <v>175.7</v>
      </c>
      <c r="F3557">
        <v>72</v>
      </c>
      <c r="G3557">
        <v>4475</v>
      </c>
      <c r="H3557">
        <v>390.6</v>
      </c>
      <c r="I3557">
        <v>5.7</v>
      </c>
      <c r="J3557">
        <v>74</v>
      </c>
      <c r="K3557" t="s">
        <v>22</v>
      </c>
      <c r="L3557">
        <v>64</v>
      </c>
      <c r="M3557">
        <v>2.73</v>
      </c>
      <c r="N3557">
        <v>6</v>
      </c>
      <c r="O3557" t="s">
        <v>17</v>
      </c>
      <c r="P3557" cm="1">
        <f t="array" ref="P3557">_xlfn.SWITCH(Table2[[#This Row],[mood]], "Tired", 3, "Neutral", 2, "Happy", 1)</f>
        <v>3</v>
      </c>
    </row>
    <row r="3558" spans="1:16" x14ac:dyDescent="0.3">
      <c r="A3558">
        <v>1216</v>
      </c>
      <c r="B3558" s="1">
        <v>45561</v>
      </c>
      <c r="C3558">
        <v>30</v>
      </c>
      <c r="D3558" t="s">
        <v>20</v>
      </c>
      <c r="E3558">
        <v>169.6</v>
      </c>
      <c r="F3558">
        <v>72.099999999999994</v>
      </c>
      <c r="G3558">
        <v>5723</v>
      </c>
      <c r="H3558">
        <v>464.7</v>
      </c>
      <c r="I3558">
        <v>9.1999999999999993</v>
      </c>
      <c r="J3558">
        <v>83</v>
      </c>
      <c r="K3558" t="s">
        <v>24</v>
      </c>
      <c r="L3558">
        <v>59</v>
      </c>
      <c r="M3558">
        <v>3.12</v>
      </c>
      <c r="N3558">
        <v>7</v>
      </c>
      <c r="O3558" t="s">
        <v>17</v>
      </c>
      <c r="P3558" cm="1">
        <f t="array" ref="P3558">_xlfn.SWITCH(Table2[[#This Row],[mood]], "Tired", 3, "Neutral", 2, "Happy", 1)</f>
        <v>3</v>
      </c>
    </row>
    <row r="3559" spans="1:16" x14ac:dyDescent="0.3">
      <c r="A3559">
        <v>1377</v>
      </c>
      <c r="B3559" s="1">
        <v>45562</v>
      </c>
      <c r="C3559">
        <v>35</v>
      </c>
      <c r="D3559" t="s">
        <v>15</v>
      </c>
      <c r="E3559">
        <v>170.3</v>
      </c>
      <c r="F3559">
        <v>47.7</v>
      </c>
      <c r="G3559">
        <v>15890</v>
      </c>
      <c r="H3559">
        <v>800.5</v>
      </c>
      <c r="I3559">
        <v>7.6</v>
      </c>
      <c r="J3559">
        <v>68</v>
      </c>
      <c r="K3559" t="s">
        <v>16</v>
      </c>
      <c r="L3559">
        <v>0</v>
      </c>
      <c r="M3559">
        <v>4.49</v>
      </c>
      <c r="N3559">
        <v>8</v>
      </c>
      <c r="O3559" t="s">
        <v>17</v>
      </c>
      <c r="P3559" cm="1">
        <f t="array" ref="P3559">_xlfn.SWITCH(Table2[[#This Row],[mood]], "Tired", 3, "Neutral", 2, "Happy", 1)</f>
        <v>3</v>
      </c>
    </row>
    <row r="3560" spans="1:16" x14ac:dyDescent="0.3">
      <c r="A3560">
        <v>1118</v>
      </c>
      <c r="B3560" s="1">
        <v>45563</v>
      </c>
      <c r="C3560">
        <v>41</v>
      </c>
      <c r="D3560" t="s">
        <v>20</v>
      </c>
      <c r="E3560">
        <v>174.4</v>
      </c>
      <c r="F3560">
        <v>81.8</v>
      </c>
      <c r="G3560">
        <v>7713</v>
      </c>
      <c r="H3560">
        <v>505</v>
      </c>
      <c r="I3560">
        <v>7</v>
      </c>
      <c r="J3560">
        <v>89</v>
      </c>
      <c r="K3560" t="s">
        <v>22</v>
      </c>
      <c r="L3560">
        <v>51</v>
      </c>
      <c r="M3560">
        <v>3.42</v>
      </c>
      <c r="N3560">
        <v>6</v>
      </c>
      <c r="O3560" t="s">
        <v>21</v>
      </c>
      <c r="P3560" cm="1">
        <f t="array" ref="P3560">_xlfn.SWITCH(Table2[[#This Row],[mood]], "Tired", 3, "Neutral", 2, "Happy", 1)</f>
        <v>1</v>
      </c>
    </row>
    <row r="3561" spans="1:16" x14ac:dyDescent="0.3">
      <c r="A3561">
        <v>1189</v>
      </c>
      <c r="B3561" s="1">
        <v>45564</v>
      </c>
      <c r="C3561">
        <v>19</v>
      </c>
      <c r="D3561" t="s">
        <v>20</v>
      </c>
      <c r="E3561">
        <v>167.2</v>
      </c>
      <c r="F3561">
        <v>58.2</v>
      </c>
      <c r="G3561">
        <v>9601</v>
      </c>
      <c r="H3561">
        <v>593.29999999999995</v>
      </c>
      <c r="I3561">
        <v>5.8</v>
      </c>
      <c r="J3561">
        <v>67</v>
      </c>
      <c r="K3561" t="s">
        <v>24</v>
      </c>
      <c r="L3561">
        <v>20</v>
      </c>
      <c r="M3561">
        <v>1.59</v>
      </c>
      <c r="N3561">
        <v>1</v>
      </c>
      <c r="O3561" t="s">
        <v>17</v>
      </c>
      <c r="P3561" cm="1">
        <f t="array" ref="P3561">_xlfn.SWITCH(Table2[[#This Row],[mood]], "Tired", 3, "Neutral", 2, "Happy", 1)</f>
        <v>3</v>
      </c>
    </row>
    <row r="3562" spans="1:16" x14ac:dyDescent="0.3">
      <c r="A3562">
        <v>1766</v>
      </c>
      <c r="B3562" s="1">
        <v>45565</v>
      </c>
      <c r="C3562">
        <v>50</v>
      </c>
      <c r="D3562" t="s">
        <v>20</v>
      </c>
      <c r="E3562">
        <v>178.9</v>
      </c>
      <c r="F3562">
        <v>86.8</v>
      </c>
      <c r="G3562">
        <v>18443</v>
      </c>
      <c r="H3562">
        <v>882.5</v>
      </c>
      <c r="I3562">
        <v>8.3000000000000007</v>
      </c>
      <c r="J3562">
        <v>89</v>
      </c>
      <c r="K3562" t="s">
        <v>25</v>
      </c>
      <c r="L3562">
        <v>54</v>
      </c>
      <c r="M3562">
        <v>2.4900000000000002</v>
      </c>
      <c r="N3562">
        <v>5</v>
      </c>
      <c r="O3562" t="s">
        <v>19</v>
      </c>
      <c r="P3562" cm="1">
        <f t="array" ref="P3562">_xlfn.SWITCH(Table2[[#This Row],[mood]], "Tired", 3, "Neutral", 2, "Happy", 1)</f>
        <v>2</v>
      </c>
    </row>
    <row r="3563" spans="1:16" x14ac:dyDescent="0.3">
      <c r="A3563">
        <v>1369</v>
      </c>
      <c r="B3563" s="1">
        <v>45566</v>
      </c>
      <c r="C3563">
        <v>36</v>
      </c>
      <c r="D3563" t="s">
        <v>20</v>
      </c>
      <c r="E3563">
        <v>183.7</v>
      </c>
      <c r="F3563">
        <v>73</v>
      </c>
      <c r="G3563">
        <v>19693</v>
      </c>
      <c r="H3563">
        <v>900</v>
      </c>
      <c r="I3563">
        <v>6.3</v>
      </c>
      <c r="J3563">
        <v>59</v>
      </c>
      <c r="K3563" t="s">
        <v>23</v>
      </c>
      <c r="L3563">
        <v>55</v>
      </c>
      <c r="M3563">
        <v>2.91</v>
      </c>
      <c r="N3563">
        <v>9</v>
      </c>
      <c r="O3563" t="s">
        <v>17</v>
      </c>
      <c r="P3563" cm="1">
        <f t="array" ref="P3563">_xlfn.SWITCH(Table2[[#This Row],[mood]], "Tired", 3, "Neutral", 2, "Happy", 1)</f>
        <v>3</v>
      </c>
    </row>
    <row r="3564" spans="1:16" x14ac:dyDescent="0.3">
      <c r="A3564">
        <v>1777</v>
      </c>
      <c r="B3564" s="1">
        <v>45567</v>
      </c>
      <c r="C3564">
        <v>26</v>
      </c>
      <c r="D3564" t="s">
        <v>20</v>
      </c>
      <c r="E3564">
        <v>160.69999999999999</v>
      </c>
      <c r="F3564">
        <v>74.400000000000006</v>
      </c>
      <c r="G3564">
        <v>18984</v>
      </c>
      <c r="H3564">
        <v>900</v>
      </c>
      <c r="I3564">
        <v>8.1</v>
      </c>
      <c r="J3564">
        <v>78</v>
      </c>
      <c r="K3564" t="s">
        <v>25</v>
      </c>
      <c r="L3564">
        <v>85</v>
      </c>
      <c r="M3564">
        <v>2.02</v>
      </c>
      <c r="N3564">
        <v>3</v>
      </c>
      <c r="O3564" t="s">
        <v>21</v>
      </c>
      <c r="P3564" cm="1">
        <f t="array" ref="P3564">_xlfn.SWITCH(Table2[[#This Row],[mood]], "Tired", 3, "Neutral", 2, "Happy", 1)</f>
        <v>1</v>
      </c>
    </row>
    <row r="3565" spans="1:16" x14ac:dyDescent="0.3">
      <c r="A3565">
        <v>1148</v>
      </c>
      <c r="B3565" s="1">
        <v>45568</v>
      </c>
      <c r="C3565">
        <v>45</v>
      </c>
      <c r="D3565" t="s">
        <v>20</v>
      </c>
      <c r="E3565">
        <v>187.7</v>
      </c>
      <c r="F3565">
        <v>81.599999999999994</v>
      </c>
      <c r="G3565">
        <v>13735</v>
      </c>
      <c r="H3565">
        <v>775.6</v>
      </c>
      <c r="I3565">
        <v>7.6</v>
      </c>
      <c r="J3565">
        <v>81</v>
      </c>
      <c r="K3565" t="s">
        <v>23</v>
      </c>
      <c r="L3565">
        <v>48</v>
      </c>
      <c r="M3565">
        <v>3.05</v>
      </c>
      <c r="N3565">
        <v>5</v>
      </c>
      <c r="O3565" t="s">
        <v>17</v>
      </c>
      <c r="P3565" cm="1">
        <f t="array" ref="P3565">_xlfn.SWITCH(Table2[[#This Row],[mood]], "Tired", 3, "Neutral", 2, "Happy", 1)</f>
        <v>3</v>
      </c>
    </row>
    <row r="3566" spans="1:16" x14ac:dyDescent="0.3">
      <c r="A3566">
        <v>1675</v>
      </c>
      <c r="B3566" s="1">
        <v>45569</v>
      </c>
      <c r="C3566">
        <v>52</v>
      </c>
      <c r="D3566" t="s">
        <v>15</v>
      </c>
      <c r="E3566">
        <v>167</v>
      </c>
      <c r="F3566">
        <v>75.599999999999994</v>
      </c>
      <c r="G3566">
        <v>19617</v>
      </c>
      <c r="H3566">
        <v>900</v>
      </c>
      <c r="I3566">
        <v>8.9</v>
      </c>
      <c r="J3566">
        <v>71</v>
      </c>
      <c r="K3566" t="s">
        <v>18</v>
      </c>
      <c r="L3566">
        <v>62</v>
      </c>
      <c r="M3566">
        <v>2.99</v>
      </c>
      <c r="N3566">
        <v>6</v>
      </c>
      <c r="O3566" t="s">
        <v>17</v>
      </c>
      <c r="P3566" cm="1">
        <f t="array" ref="P3566">_xlfn.SWITCH(Table2[[#This Row],[mood]], "Tired", 3, "Neutral", 2, "Happy", 1)</f>
        <v>3</v>
      </c>
    </row>
    <row r="3567" spans="1:16" x14ac:dyDescent="0.3">
      <c r="A3567">
        <v>1651</v>
      </c>
      <c r="B3567" s="1">
        <v>45570</v>
      </c>
      <c r="C3567">
        <v>56</v>
      </c>
      <c r="D3567" t="s">
        <v>20</v>
      </c>
      <c r="E3567">
        <v>189.9</v>
      </c>
      <c r="F3567">
        <v>95.8</v>
      </c>
      <c r="G3567">
        <v>10489</v>
      </c>
      <c r="H3567">
        <v>740.8</v>
      </c>
      <c r="I3567">
        <v>7.2</v>
      </c>
      <c r="J3567">
        <v>78</v>
      </c>
      <c r="K3567" t="s">
        <v>25</v>
      </c>
      <c r="L3567">
        <v>48</v>
      </c>
      <c r="M3567">
        <v>3.37</v>
      </c>
      <c r="N3567">
        <v>5</v>
      </c>
      <c r="O3567" t="s">
        <v>19</v>
      </c>
      <c r="P3567" cm="1">
        <f t="array" ref="P3567">_xlfn.SWITCH(Table2[[#This Row],[mood]], "Tired", 3, "Neutral", 2, "Happy", 1)</f>
        <v>2</v>
      </c>
    </row>
    <row r="3568" spans="1:16" x14ac:dyDescent="0.3">
      <c r="A3568">
        <v>1858</v>
      </c>
      <c r="B3568" s="1">
        <v>45571</v>
      </c>
      <c r="C3568">
        <v>27</v>
      </c>
      <c r="D3568" t="s">
        <v>15</v>
      </c>
      <c r="E3568">
        <v>167.1</v>
      </c>
      <c r="F3568">
        <v>93.4</v>
      </c>
      <c r="G3568">
        <v>14974</v>
      </c>
      <c r="H3568">
        <v>747.7</v>
      </c>
      <c r="I3568">
        <v>10</v>
      </c>
      <c r="J3568">
        <v>71</v>
      </c>
      <c r="K3568" t="s">
        <v>18</v>
      </c>
      <c r="L3568">
        <v>62</v>
      </c>
      <c r="M3568">
        <v>3.06</v>
      </c>
      <c r="N3568">
        <v>4</v>
      </c>
      <c r="O3568" t="s">
        <v>17</v>
      </c>
      <c r="P3568" cm="1">
        <f t="array" ref="P3568">_xlfn.SWITCH(Table2[[#This Row],[mood]], "Tired", 3, "Neutral", 2, "Happy", 1)</f>
        <v>3</v>
      </c>
    </row>
    <row r="3569" spans="1:16" x14ac:dyDescent="0.3">
      <c r="A3569">
        <v>1487</v>
      </c>
      <c r="B3569" s="1">
        <v>45572</v>
      </c>
      <c r="C3569">
        <v>18</v>
      </c>
      <c r="D3569" t="s">
        <v>15</v>
      </c>
      <c r="E3569">
        <v>177.1</v>
      </c>
      <c r="F3569">
        <v>51.7</v>
      </c>
      <c r="G3569">
        <v>17735</v>
      </c>
      <c r="H3569">
        <v>864.8</v>
      </c>
      <c r="I3569">
        <v>7.8</v>
      </c>
      <c r="J3569">
        <v>79</v>
      </c>
      <c r="K3569" t="s">
        <v>23</v>
      </c>
      <c r="L3569">
        <v>38</v>
      </c>
      <c r="M3569">
        <v>2.7</v>
      </c>
      <c r="N3569">
        <v>2</v>
      </c>
      <c r="O3569" t="s">
        <v>17</v>
      </c>
      <c r="P3569" cm="1">
        <f t="array" ref="P3569">_xlfn.SWITCH(Table2[[#This Row],[mood]], "Tired", 3, "Neutral", 2, "Happy", 1)</f>
        <v>3</v>
      </c>
    </row>
    <row r="3570" spans="1:16" x14ac:dyDescent="0.3">
      <c r="A3570">
        <v>1769</v>
      </c>
      <c r="B3570" s="1">
        <v>45573</v>
      </c>
      <c r="C3570">
        <v>59</v>
      </c>
      <c r="D3570" t="s">
        <v>20</v>
      </c>
      <c r="E3570">
        <v>177</v>
      </c>
      <c r="F3570">
        <v>67.400000000000006</v>
      </c>
      <c r="G3570">
        <v>14724</v>
      </c>
      <c r="H3570">
        <v>873.1</v>
      </c>
      <c r="I3570">
        <v>7.2</v>
      </c>
      <c r="J3570">
        <v>78</v>
      </c>
      <c r="K3570" t="s">
        <v>16</v>
      </c>
      <c r="L3570">
        <v>0</v>
      </c>
      <c r="M3570">
        <v>2.0499999999999998</v>
      </c>
      <c r="N3570">
        <v>5</v>
      </c>
      <c r="O3570" t="s">
        <v>19</v>
      </c>
      <c r="P3570" cm="1">
        <f t="array" ref="P3570">_xlfn.SWITCH(Table2[[#This Row],[mood]], "Tired", 3, "Neutral", 2, "Happy", 1)</f>
        <v>2</v>
      </c>
    </row>
    <row r="3571" spans="1:16" x14ac:dyDescent="0.3">
      <c r="A3571">
        <v>1373</v>
      </c>
      <c r="B3571" s="1">
        <v>45574</v>
      </c>
      <c r="C3571">
        <v>38</v>
      </c>
      <c r="D3571" t="s">
        <v>15</v>
      </c>
      <c r="E3571">
        <v>166.1</v>
      </c>
      <c r="F3571">
        <v>82.5</v>
      </c>
      <c r="G3571">
        <v>12414</v>
      </c>
      <c r="H3571">
        <v>729.2</v>
      </c>
      <c r="I3571">
        <v>6.4</v>
      </c>
      <c r="J3571">
        <v>97</v>
      </c>
      <c r="K3571" t="s">
        <v>16</v>
      </c>
      <c r="L3571">
        <v>0</v>
      </c>
      <c r="M3571">
        <v>1.59</v>
      </c>
      <c r="N3571">
        <v>10</v>
      </c>
      <c r="O3571" t="s">
        <v>19</v>
      </c>
      <c r="P3571" cm="1">
        <f t="array" ref="P3571">_xlfn.SWITCH(Table2[[#This Row],[mood]], "Tired", 3, "Neutral", 2, "Happy", 1)</f>
        <v>2</v>
      </c>
    </row>
    <row r="3572" spans="1:16" x14ac:dyDescent="0.3">
      <c r="A3572">
        <v>1780</v>
      </c>
      <c r="B3572" s="1">
        <v>45575</v>
      </c>
      <c r="C3572">
        <v>26</v>
      </c>
      <c r="D3572" t="s">
        <v>15</v>
      </c>
      <c r="E3572">
        <v>170.7</v>
      </c>
      <c r="F3572">
        <v>55.9</v>
      </c>
      <c r="G3572">
        <v>11623</v>
      </c>
      <c r="H3572">
        <v>668.4</v>
      </c>
      <c r="I3572">
        <v>8.3000000000000007</v>
      </c>
      <c r="J3572">
        <v>61</v>
      </c>
      <c r="K3572" t="s">
        <v>24</v>
      </c>
      <c r="L3572">
        <v>38</v>
      </c>
      <c r="M3572">
        <v>2.65</v>
      </c>
      <c r="N3572">
        <v>1</v>
      </c>
      <c r="O3572" t="s">
        <v>19</v>
      </c>
      <c r="P3572" cm="1">
        <f t="array" ref="P3572">_xlfn.SWITCH(Table2[[#This Row],[mood]], "Tired", 3, "Neutral", 2, "Happy", 1)</f>
        <v>2</v>
      </c>
    </row>
    <row r="3573" spans="1:16" x14ac:dyDescent="0.3">
      <c r="A3573">
        <v>1692</v>
      </c>
      <c r="B3573" s="1">
        <v>45576</v>
      </c>
      <c r="C3573">
        <v>32</v>
      </c>
      <c r="D3573" t="s">
        <v>20</v>
      </c>
      <c r="E3573">
        <v>184.4</v>
      </c>
      <c r="F3573">
        <v>46.5</v>
      </c>
      <c r="G3573">
        <v>16395</v>
      </c>
      <c r="H3573">
        <v>831.9</v>
      </c>
      <c r="I3573">
        <v>6.5</v>
      </c>
      <c r="J3573">
        <v>77</v>
      </c>
      <c r="K3573" t="s">
        <v>25</v>
      </c>
      <c r="L3573">
        <v>48</v>
      </c>
      <c r="M3573">
        <v>2.2200000000000002</v>
      </c>
      <c r="N3573">
        <v>1</v>
      </c>
      <c r="O3573" t="s">
        <v>19</v>
      </c>
      <c r="P3573" cm="1">
        <f t="array" ref="P3573">_xlfn.SWITCH(Table2[[#This Row],[mood]], "Tired", 3, "Neutral", 2, "Happy", 1)</f>
        <v>2</v>
      </c>
    </row>
    <row r="3574" spans="1:16" x14ac:dyDescent="0.3">
      <c r="A3574">
        <v>1159</v>
      </c>
      <c r="B3574" s="1">
        <v>45577</v>
      </c>
      <c r="C3574">
        <v>52</v>
      </c>
      <c r="D3574" t="s">
        <v>20</v>
      </c>
      <c r="E3574">
        <v>166.8</v>
      </c>
      <c r="F3574">
        <v>58.6</v>
      </c>
      <c r="G3574">
        <v>7469</v>
      </c>
      <c r="H3574">
        <v>487.2</v>
      </c>
      <c r="I3574">
        <v>5.8</v>
      </c>
      <c r="J3574">
        <v>71</v>
      </c>
      <c r="K3574" t="s">
        <v>25</v>
      </c>
      <c r="L3574">
        <v>26</v>
      </c>
      <c r="M3574">
        <v>2.2799999999999998</v>
      </c>
      <c r="N3574">
        <v>8</v>
      </c>
      <c r="O3574" t="s">
        <v>21</v>
      </c>
      <c r="P3574" cm="1">
        <f t="array" ref="P3574">_xlfn.SWITCH(Table2[[#This Row],[mood]], "Tired", 3, "Neutral", 2, "Happy", 1)</f>
        <v>1</v>
      </c>
    </row>
    <row r="3575" spans="1:16" x14ac:dyDescent="0.3">
      <c r="A3575">
        <v>1350</v>
      </c>
      <c r="B3575" s="1">
        <v>45578</v>
      </c>
      <c r="C3575">
        <v>22</v>
      </c>
      <c r="D3575" t="s">
        <v>20</v>
      </c>
      <c r="E3575">
        <v>165.8</v>
      </c>
      <c r="F3575">
        <v>68.3</v>
      </c>
      <c r="G3575">
        <v>11705</v>
      </c>
      <c r="H3575">
        <v>657.6</v>
      </c>
      <c r="I3575">
        <v>6.3</v>
      </c>
      <c r="J3575">
        <v>76</v>
      </c>
      <c r="K3575" t="s">
        <v>24</v>
      </c>
      <c r="L3575">
        <v>77</v>
      </c>
      <c r="M3575">
        <v>3.29</v>
      </c>
      <c r="N3575">
        <v>4</v>
      </c>
      <c r="O3575" t="s">
        <v>17</v>
      </c>
      <c r="P3575" cm="1">
        <f t="array" ref="P3575">_xlfn.SWITCH(Table2[[#This Row],[mood]], "Tired", 3, "Neutral", 2, "Happy", 1)</f>
        <v>3</v>
      </c>
    </row>
    <row r="3576" spans="1:16" x14ac:dyDescent="0.3">
      <c r="A3576">
        <v>1911</v>
      </c>
      <c r="B3576" s="1">
        <v>45579</v>
      </c>
      <c r="C3576">
        <v>58</v>
      </c>
      <c r="D3576" t="s">
        <v>15</v>
      </c>
      <c r="E3576">
        <v>158.5</v>
      </c>
      <c r="F3576">
        <v>45</v>
      </c>
      <c r="G3576">
        <v>4166</v>
      </c>
      <c r="H3576">
        <v>291.89999999999998</v>
      </c>
      <c r="I3576">
        <v>6.7</v>
      </c>
      <c r="J3576">
        <v>74</v>
      </c>
      <c r="K3576" t="s">
        <v>24</v>
      </c>
      <c r="L3576">
        <v>79</v>
      </c>
      <c r="M3576">
        <v>3.46</v>
      </c>
      <c r="N3576">
        <v>1</v>
      </c>
      <c r="O3576" t="s">
        <v>17</v>
      </c>
      <c r="P3576" cm="1">
        <f t="array" ref="P3576">_xlfn.SWITCH(Table2[[#This Row],[mood]], "Tired", 3, "Neutral", 2, "Happy", 1)</f>
        <v>3</v>
      </c>
    </row>
    <row r="3577" spans="1:16" x14ac:dyDescent="0.3">
      <c r="A3577">
        <v>1287</v>
      </c>
      <c r="B3577" s="1">
        <v>45580</v>
      </c>
      <c r="C3577">
        <v>39</v>
      </c>
      <c r="D3577" t="s">
        <v>15</v>
      </c>
      <c r="E3577">
        <v>185.7</v>
      </c>
      <c r="F3577">
        <v>53.3</v>
      </c>
      <c r="G3577">
        <v>3209</v>
      </c>
      <c r="H3577">
        <v>377</v>
      </c>
      <c r="I3577">
        <v>10</v>
      </c>
      <c r="J3577">
        <v>72</v>
      </c>
      <c r="K3577" t="s">
        <v>22</v>
      </c>
      <c r="L3577">
        <v>70</v>
      </c>
      <c r="M3577">
        <v>1.64</v>
      </c>
      <c r="N3577">
        <v>2</v>
      </c>
      <c r="O3577" t="s">
        <v>21</v>
      </c>
      <c r="P3577" cm="1">
        <f t="array" ref="P3577">_xlfn.SWITCH(Table2[[#This Row],[mood]], "Tired", 3, "Neutral", 2, "Happy", 1)</f>
        <v>1</v>
      </c>
    </row>
    <row r="3578" spans="1:16" x14ac:dyDescent="0.3">
      <c r="A3578">
        <v>1287</v>
      </c>
      <c r="B3578" s="1">
        <v>45581</v>
      </c>
      <c r="C3578">
        <v>58</v>
      </c>
      <c r="D3578" t="s">
        <v>20</v>
      </c>
      <c r="E3578">
        <v>165.2</v>
      </c>
      <c r="F3578">
        <v>45</v>
      </c>
      <c r="G3578">
        <v>9747</v>
      </c>
      <c r="H3578">
        <v>489.3</v>
      </c>
      <c r="I3578">
        <v>7.4</v>
      </c>
      <c r="J3578">
        <v>70</v>
      </c>
      <c r="K3578" t="s">
        <v>16</v>
      </c>
      <c r="L3578">
        <v>0</v>
      </c>
      <c r="M3578">
        <v>2.35</v>
      </c>
      <c r="N3578">
        <v>5</v>
      </c>
      <c r="O3578" t="s">
        <v>19</v>
      </c>
      <c r="P3578" cm="1">
        <f t="array" ref="P3578">_xlfn.SWITCH(Table2[[#This Row],[mood]], "Tired", 3, "Neutral", 2, "Happy", 1)</f>
        <v>2</v>
      </c>
    </row>
    <row r="3579" spans="1:16" x14ac:dyDescent="0.3">
      <c r="A3579">
        <v>1891</v>
      </c>
      <c r="B3579" s="1">
        <v>45582</v>
      </c>
      <c r="C3579">
        <v>40</v>
      </c>
      <c r="D3579" t="s">
        <v>20</v>
      </c>
      <c r="E3579">
        <v>182</v>
      </c>
      <c r="F3579">
        <v>87.2</v>
      </c>
      <c r="G3579">
        <v>1299</v>
      </c>
      <c r="H3579">
        <v>209.5</v>
      </c>
      <c r="I3579">
        <v>6</v>
      </c>
      <c r="J3579">
        <v>82</v>
      </c>
      <c r="K3579" t="s">
        <v>22</v>
      </c>
      <c r="L3579">
        <v>40</v>
      </c>
      <c r="M3579">
        <v>2.2000000000000002</v>
      </c>
      <c r="N3579">
        <v>7</v>
      </c>
      <c r="O3579" t="s">
        <v>17</v>
      </c>
      <c r="P3579" cm="1">
        <f t="array" ref="P3579">_xlfn.SWITCH(Table2[[#This Row],[mood]], "Tired", 3, "Neutral", 2, "Happy", 1)</f>
        <v>3</v>
      </c>
    </row>
    <row r="3580" spans="1:16" x14ac:dyDescent="0.3">
      <c r="A3580">
        <v>1225</v>
      </c>
      <c r="B3580" s="1">
        <v>45583</v>
      </c>
      <c r="C3580">
        <v>24</v>
      </c>
      <c r="D3580" t="s">
        <v>15</v>
      </c>
      <c r="E3580">
        <v>164</v>
      </c>
      <c r="F3580">
        <v>84</v>
      </c>
      <c r="G3580">
        <v>14551</v>
      </c>
      <c r="H3580">
        <v>760.5</v>
      </c>
      <c r="I3580">
        <v>8.6</v>
      </c>
      <c r="J3580">
        <v>71</v>
      </c>
      <c r="K3580" t="s">
        <v>23</v>
      </c>
      <c r="L3580">
        <v>28</v>
      </c>
      <c r="M3580">
        <v>2.72</v>
      </c>
      <c r="N3580">
        <v>5</v>
      </c>
      <c r="O3580" t="s">
        <v>19</v>
      </c>
      <c r="P3580" cm="1">
        <f t="array" ref="P3580">_xlfn.SWITCH(Table2[[#This Row],[mood]], "Tired", 3, "Neutral", 2, "Happy", 1)</f>
        <v>2</v>
      </c>
    </row>
    <row r="3581" spans="1:16" x14ac:dyDescent="0.3">
      <c r="A3581">
        <v>1522</v>
      </c>
      <c r="B3581" s="1">
        <v>45584</v>
      </c>
      <c r="C3581">
        <v>40</v>
      </c>
      <c r="D3581" t="s">
        <v>15</v>
      </c>
      <c r="E3581">
        <v>181.7</v>
      </c>
      <c r="F3581">
        <v>74.2</v>
      </c>
      <c r="G3581">
        <v>1563</v>
      </c>
      <c r="H3581">
        <v>369.7</v>
      </c>
      <c r="I3581">
        <v>7.3</v>
      </c>
      <c r="J3581">
        <v>75</v>
      </c>
      <c r="K3581" t="s">
        <v>16</v>
      </c>
      <c r="L3581">
        <v>0</v>
      </c>
      <c r="M3581">
        <v>0.91</v>
      </c>
      <c r="N3581">
        <v>10</v>
      </c>
      <c r="O3581" t="s">
        <v>19</v>
      </c>
      <c r="P3581" cm="1">
        <f t="array" ref="P3581">_xlfn.SWITCH(Table2[[#This Row],[mood]], "Tired", 3, "Neutral", 2, "Happy", 1)</f>
        <v>2</v>
      </c>
    </row>
    <row r="3582" spans="1:16" x14ac:dyDescent="0.3">
      <c r="A3582">
        <v>1521</v>
      </c>
      <c r="B3582" s="1">
        <v>45585</v>
      </c>
      <c r="C3582">
        <v>42</v>
      </c>
      <c r="D3582" t="s">
        <v>15</v>
      </c>
      <c r="E3582">
        <v>178.1</v>
      </c>
      <c r="F3582">
        <v>71.5</v>
      </c>
      <c r="G3582">
        <v>13201</v>
      </c>
      <c r="H3582">
        <v>723</v>
      </c>
      <c r="I3582">
        <v>8.9</v>
      </c>
      <c r="J3582">
        <v>77</v>
      </c>
      <c r="K3582" t="s">
        <v>25</v>
      </c>
      <c r="L3582">
        <v>53</v>
      </c>
      <c r="M3582">
        <v>1.48</v>
      </c>
      <c r="N3582">
        <v>6</v>
      </c>
      <c r="O3582" t="s">
        <v>21</v>
      </c>
      <c r="P3582" cm="1">
        <f t="array" ref="P3582">_xlfn.SWITCH(Table2[[#This Row],[mood]], "Tired", 3, "Neutral", 2, "Happy", 1)</f>
        <v>1</v>
      </c>
    </row>
    <row r="3583" spans="1:16" x14ac:dyDescent="0.3">
      <c r="A3583">
        <v>1782</v>
      </c>
      <c r="B3583" s="1">
        <v>45586</v>
      </c>
      <c r="C3583">
        <v>44</v>
      </c>
      <c r="D3583" t="s">
        <v>15</v>
      </c>
      <c r="E3583">
        <v>167.7</v>
      </c>
      <c r="F3583">
        <v>78.2</v>
      </c>
      <c r="G3583">
        <v>10214</v>
      </c>
      <c r="H3583">
        <v>624.4</v>
      </c>
      <c r="I3583">
        <v>9.9</v>
      </c>
      <c r="J3583">
        <v>68</v>
      </c>
      <c r="K3583" t="s">
        <v>24</v>
      </c>
      <c r="L3583">
        <v>66</v>
      </c>
      <c r="M3583">
        <v>2.42</v>
      </c>
      <c r="N3583">
        <v>7</v>
      </c>
      <c r="O3583" t="s">
        <v>21</v>
      </c>
      <c r="P3583" cm="1">
        <f t="array" ref="P3583">_xlfn.SWITCH(Table2[[#This Row],[mood]], "Tired", 3, "Neutral", 2, "Happy", 1)</f>
        <v>1</v>
      </c>
    </row>
    <row r="3584" spans="1:16" x14ac:dyDescent="0.3">
      <c r="A3584">
        <v>1272</v>
      </c>
      <c r="B3584" s="1">
        <v>45587</v>
      </c>
      <c r="C3584">
        <v>58</v>
      </c>
      <c r="D3584" t="s">
        <v>20</v>
      </c>
      <c r="E3584">
        <v>162.69999999999999</v>
      </c>
      <c r="F3584">
        <v>55</v>
      </c>
      <c r="G3584">
        <v>18574</v>
      </c>
      <c r="H3584">
        <v>899.1</v>
      </c>
      <c r="I3584">
        <v>4.8</v>
      </c>
      <c r="J3584">
        <v>81</v>
      </c>
      <c r="K3584" t="s">
        <v>24</v>
      </c>
      <c r="L3584">
        <v>43</v>
      </c>
      <c r="M3584">
        <v>3.05</v>
      </c>
      <c r="N3584">
        <v>3</v>
      </c>
      <c r="O3584" t="s">
        <v>19</v>
      </c>
      <c r="P3584" cm="1">
        <f t="array" ref="P3584">_xlfn.SWITCH(Table2[[#This Row],[mood]], "Tired", 3, "Neutral", 2, "Happy", 1)</f>
        <v>2</v>
      </c>
    </row>
    <row r="3585" spans="1:16" x14ac:dyDescent="0.3">
      <c r="A3585">
        <v>1935</v>
      </c>
      <c r="B3585" s="1">
        <v>45588</v>
      </c>
      <c r="C3585">
        <v>23</v>
      </c>
      <c r="D3585" t="s">
        <v>15</v>
      </c>
      <c r="E3585">
        <v>163.5</v>
      </c>
      <c r="F3585">
        <v>88.8</v>
      </c>
      <c r="G3585">
        <v>11096</v>
      </c>
      <c r="H3585">
        <v>687.3</v>
      </c>
      <c r="I3585">
        <v>3.4</v>
      </c>
      <c r="J3585">
        <v>65</v>
      </c>
      <c r="K3585" t="s">
        <v>16</v>
      </c>
      <c r="L3585">
        <v>0</v>
      </c>
      <c r="M3585">
        <v>2.5499999999999998</v>
      </c>
      <c r="N3585">
        <v>10</v>
      </c>
      <c r="O3585" t="s">
        <v>17</v>
      </c>
      <c r="P3585" cm="1">
        <f t="array" ref="P3585">_xlfn.SWITCH(Table2[[#This Row],[mood]], "Tired", 3, "Neutral", 2, "Happy", 1)</f>
        <v>3</v>
      </c>
    </row>
    <row r="3586" spans="1:16" x14ac:dyDescent="0.3">
      <c r="A3586">
        <v>1401</v>
      </c>
      <c r="B3586" s="1">
        <v>45589</v>
      </c>
      <c r="C3586">
        <v>51</v>
      </c>
      <c r="D3586" t="s">
        <v>15</v>
      </c>
      <c r="E3586">
        <v>163.30000000000001</v>
      </c>
      <c r="F3586">
        <v>71.400000000000006</v>
      </c>
      <c r="G3586">
        <v>11228</v>
      </c>
      <c r="H3586">
        <v>796.7</v>
      </c>
      <c r="I3586">
        <v>10</v>
      </c>
      <c r="J3586">
        <v>80</v>
      </c>
      <c r="K3586" t="s">
        <v>18</v>
      </c>
      <c r="L3586">
        <v>65</v>
      </c>
      <c r="M3586">
        <v>2.97</v>
      </c>
      <c r="N3586">
        <v>5</v>
      </c>
      <c r="O3586" t="s">
        <v>19</v>
      </c>
      <c r="P3586" cm="1">
        <f t="array" ref="P3586">_xlfn.SWITCH(Table2[[#This Row],[mood]], "Tired", 3, "Neutral", 2, "Happy", 1)</f>
        <v>2</v>
      </c>
    </row>
    <row r="3587" spans="1:16" x14ac:dyDescent="0.3">
      <c r="A3587">
        <v>1182</v>
      </c>
      <c r="B3587" s="1">
        <v>45590</v>
      </c>
      <c r="C3587">
        <v>26</v>
      </c>
      <c r="D3587" t="s">
        <v>15</v>
      </c>
      <c r="E3587">
        <v>180.7</v>
      </c>
      <c r="F3587">
        <v>83.8</v>
      </c>
      <c r="G3587">
        <v>10218</v>
      </c>
      <c r="H3587">
        <v>633.29999999999995</v>
      </c>
      <c r="I3587">
        <v>6</v>
      </c>
      <c r="J3587">
        <v>79</v>
      </c>
      <c r="K3587" t="s">
        <v>22</v>
      </c>
      <c r="L3587">
        <v>70</v>
      </c>
      <c r="M3587">
        <v>2.64</v>
      </c>
      <c r="N3587">
        <v>8</v>
      </c>
      <c r="O3587" t="s">
        <v>17</v>
      </c>
      <c r="P3587" cm="1">
        <f t="array" ref="P3587">_xlfn.SWITCH(Table2[[#This Row],[mood]], "Tired", 3, "Neutral", 2, "Happy", 1)</f>
        <v>3</v>
      </c>
    </row>
    <row r="3588" spans="1:16" x14ac:dyDescent="0.3">
      <c r="A3588">
        <v>1968</v>
      </c>
      <c r="B3588" s="1">
        <v>45591</v>
      </c>
      <c r="C3588">
        <v>50</v>
      </c>
      <c r="D3588" t="s">
        <v>15</v>
      </c>
      <c r="E3588">
        <v>171.6</v>
      </c>
      <c r="F3588">
        <v>83.1</v>
      </c>
      <c r="G3588">
        <v>19802</v>
      </c>
      <c r="H3588">
        <v>900</v>
      </c>
      <c r="I3588">
        <v>4.5</v>
      </c>
      <c r="J3588">
        <v>74</v>
      </c>
      <c r="K3588" t="s">
        <v>16</v>
      </c>
      <c r="L3588">
        <v>0</v>
      </c>
      <c r="M3588">
        <v>3.39</v>
      </c>
      <c r="N3588">
        <v>6</v>
      </c>
      <c r="O3588" t="s">
        <v>19</v>
      </c>
      <c r="P3588" cm="1">
        <f t="array" ref="P3588">_xlfn.SWITCH(Table2[[#This Row],[mood]], "Tired", 3, "Neutral", 2, "Happy", 1)</f>
        <v>2</v>
      </c>
    </row>
    <row r="3589" spans="1:16" x14ac:dyDescent="0.3">
      <c r="A3589">
        <v>1664</v>
      </c>
      <c r="B3589" s="1">
        <v>45592</v>
      </c>
      <c r="C3589">
        <v>23</v>
      </c>
      <c r="D3589" t="s">
        <v>20</v>
      </c>
      <c r="E3589">
        <v>158.80000000000001</v>
      </c>
      <c r="F3589">
        <v>78</v>
      </c>
      <c r="G3589">
        <v>15613</v>
      </c>
      <c r="H3589">
        <v>722.9</v>
      </c>
      <c r="I3589">
        <v>6.2</v>
      </c>
      <c r="J3589">
        <v>64</v>
      </c>
      <c r="K3589" t="s">
        <v>16</v>
      </c>
      <c r="L3589">
        <v>0</v>
      </c>
      <c r="M3589">
        <v>3.54</v>
      </c>
      <c r="N3589">
        <v>2</v>
      </c>
      <c r="O3589" t="s">
        <v>19</v>
      </c>
      <c r="P3589" cm="1">
        <f t="array" ref="P3589">_xlfn.SWITCH(Table2[[#This Row],[mood]], "Tired", 3, "Neutral", 2, "Happy", 1)</f>
        <v>2</v>
      </c>
    </row>
    <row r="3590" spans="1:16" x14ac:dyDescent="0.3">
      <c r="A3590">
        <v>1487</v>
      </c>
      <c r="B3590" s="1">
        <v>45593</v>
      </c>
      <c r="C3590">
        <v>54</v>
      </c>
      <c r="D3590" t="s">
        <v>20</v>
      </c>
      <c r="E3590">
        <v>167.5</v>
      </c>
      <c r="F3590">
        <v>74.7</v>
      </c>
      <c r="G3590">
        <v>19947</v>
      </c>
      <c r="H3590">
        <v>900</v>
      </c>
      <c r="I3590">
        <v>5.5</v>
      </c>
      <c r="J3590">
        <v>75</v>
      </c>
      <c r="K3590" t="s">
        <v>18</v>
      </c>
      <c r="L3590">
        <v>72</v>
      </c>
      <c r="M3590">
        <v>1.97</v>
      </c>
      <c r="N3590">
        <v>9</v>
      </c>
      <c r="O3590" t="s">
        <v>17</v>
      </c>
      <c r="P3590" cm="1">
        <f t="array" ref="P3590">_xlfn.SWITCH(Table2[[#This Row],[mood]], "Tired", 3, "Neutral", 2, "Happy", 1)</f>
        <v>3</v>
      </c>
    </row>
    <row r="3591" spans="1:16" x14ac:dyDescent="0.3">
      <c r="A3591">
        <v>1826</v>
      </c>
      <c r="B3591" s="1">
        <v>45594</v>
      </c>
      <c r="C3591">
        <v>48</v>
      </c>
      <c r="D3591" t="s">
        <v>15</v>
      </c>
      <c r="E3591">
        <v>168.7</v>
      </c>
      <c r="F3591">
        <v>73.599999999999994</v>
      </c>
      <c r="G3591">
        <v>15093</v>
      </c>
      <c r="H3591">
        <v>754.4</v>
      </c>
      <c r="I3591">
        <v>5.8</v>
      </c>
      <c r="J3591">
        <v>65</v>
      </c>
      <c r="K3591" t="s">
        <v>24</v>
      </c>
      <c r="L3591">
        <v>83</v>
      </c>
      <c r="M3591">
        <v>3.12</v>
      </c>
      <c r="N3591">
        <v>2</v>
      </c>
      <c r="O3591" t="s">
        <v>21</v>
      </c>
      <c r="P3591" cm="1">
        <f t="array" ref="P3591">_xlfn.SWITCH(Table2[[#This Row],[mood]], "Tired", 3, "Neutral", 2, "Happy", 1)</f>
        <v>1</v>
      </c>
    </row>
    <row r="3592" spans="1:16" x14ac:dyDescent="0.3">
      <c r="A3592">
        <v>1845</v>
      </c>
      <c r="B3592" s="1">
        <v>45595</v>
      </c>
      <c r="C3592">
        <v>51</v>
      </c>
      <c r="D3592" t="s">
        <v>15</v>
      </c>
      <c r="E3592">
        <v>150</v>
      </c>
      <c r="F3592">
        <v>69.099999999999994</v>
      </c>
      <c r="G3592">
        <v>17653</v>
      </c>
      <c r="H3592">
        <v>868.3</v>
      </c>
      <c r="I3592">
        <v>8.3000000000000007</v>
      </c>
      <c r="J3592">
        <v>74</v>
      </c>
      <c r="K3592" t="s">
        <v>25</v>
      </c>
      <c r="L3592">
        <v>71</v>
      </c>
      <c r="M3592">
        <v>2.86</v>
      </c>
      <c r="N3592">
        <v>6</v>
      </c>
      <c r="O3592" t="s">
        <v>21</v>
      </c>
      <c r="P3592" cm="1">
        <f t="array" ref="P3592">_xlfn.SWITCH(Table2[[#This Row],[mood]], "Tired", 3, "Neutral", 2, "Happy", 1)</f>
        <v>1</v>
      </c>
    </row>
    <row r="3593" spans="1:16" x14ac:dyDescent="0.3">
      <c r="A3593">
        <v>1123</v>
      </c>
      <c r="B3593" s="1">
        <v>45596</v>
      </c>
      <c r="C3593">
        <v>58</v>
      </c>
      <c r="D3593" t="s">
        <v>20</v>
      </c>
      <c r="E3593">
        <v>168</v>
      </c>
      <c r="F3593">
        <v>77.2</v>
      </c>
      <c r="G3593">
        <v>7619</v>
      </c>
      <c r="H3593">
        <v>551.29999999999995</v>
      </c>
      <c r="I3593">
        <v>6.5</v>
      </c>
      <c r="J3593">
        <v>83</v>
      </c>
      <c r="K3593" t="s">
        <v>25</v>
      </c>
      <c r="L3593">
        <v>79</v>
      </c>
      <c r="M3593">
        <v>4.25</v>
      </c>
      <c r="N3593">
        <v>2</v>
      </c>
      <c r="O3593" t="s">
        <v>19</v>
      </c>
      <c r="P3593" cm="1">
        <f t="array" ref="P3593">_xlfn.SWITCH(Table2[[#This Row],[mood]], "Tired", 3, "Neutral", 2, "Happy", 1)</f>
        <v>2</v>
      </c>
    </row>
    <row r="3594" spans="1:16" x14ac:dyDescent="0.3">
      <c r="A3594">
        <v>1984</v>
      </c>
      <c r="B3594" s="1">
        <v>45597</v>
      </c>
      <c r="C3594">
        <v>46</v>
      </c>
      <c r="D3594" t="s">
        <v>20</v>
      </c>
      <c r="E3594">
        <v>177.2</v>
      </c>
      <c r="F3594">
        <v>73.099999999999994</v>
      </c>
      <c r="G3594">
        <v>10119</v>
      </c>
      <c r="H3594">
        <v>581.1</v>
      </c>
      <c r="I3594">
        <v>4.5999999999999996</v>
      </c>
      <c r="J3594">
        <v>75</v>
      </c>
      <c r="K3594" t="s">
        <v>18</v>
      </c>
      <c r="L3594">
        <v>60</v>
      </c>
      <c r="M3594">
        <v>1.94</v>
      </c>
      <c r="N3594">
        <v>10</v>
      </c>
      <c r="O3594" t="s">
        <v>17</v>
      </c>
      <c r="P3594" cm="1">
        <f t="array" ref="P3594">_xlfn.SWITCH(Table2[[#This Row],[mood]], "Tired", 3, "Neutral", 2, "Happy", 1)</f>
        <v>3</v>
      </c>
    </row>
    <row r="3595" spans="1:16" x14ac:dyDescent="0.3">
      <c r="A3595">
        <v>1625</v>
      </c>
      <c r="B3595" s="1">
        <v>45598</v>
      </c>
      <c r="C3595">
        <v>31</v>
      </c>
      <c r="D3595" t="s">
        <v>15</v>
      </c>
      <c r="E3595">
        <v>168.6</v>
      </c>
      <c r="F3595">
        <v>62.7</v>
      </c>
      <c r="G3595">
        <v>5555</v>
      </c>
      <c r="H3595">
        <v>417.5</v>
      </c>
      <c r="I3595">
        <v>7</v>
      </c>
      <c r="J3595">
        <v>88</v>
      </c>
      <c r="K3595" t="s">
        <v>22</v>
      </c>
      <c r="L3595">
        <v>30</v>
      </c>
      <c r="M3595">
        <v>2.42</v>
      </c>
      <c r="N3595">
        <v>7</v>
      </c>
      <c r="O3595" t="s">
        <v>21</v>
      </c>
      <c r="P3595" cm="1">
        <f t="array" ref="P3595">_xlfn.SWITCH(Table2[[#This Row],[mood]], "Tired", 3, "Neutral", 2, "Happy", 1)</f>
        <v>1</v>
      </c>
    </row>
    <row r="3596" spans="1:16" x14ac:dyDescent="0.3">
      <c r="A3596">
        <v>1789</v>
      </c>
      <c r="B3596" s="1">
        <v>45599</v>
      </c>
      <c r="C3596">
        <v>53</v>
      </c>
      <c r="D3596" t="s">
        <v>15</v>
      </c>
      <c r="E3596">
        <v>172.5</v>
      </c>
      <c r="F3596">
        <v>79.099999999999994</v>
      </c>
      <c r="G3596">
        <v>14327</v>
      </c>
      <c r="H3596">
        <v>810.6</v>
      </c>
      <c r="I3596">
        <v>5.7</v>
      </c>
      <c r="J3596">
        <v>78</v>
      </c>
      <c r="K3596" t="s">
        <v>23</v>
      </c>
      <c r="L3596">
        <v>23</v>
      </c>
      <c r="M3596">
        <v>1.78</v>
      </c>
      <c r="N3596">
        <v>1</v>
      </c>
      <c r="O3596" t="s">
        <v>17</v>
      </c>
      <c r="P3596" cm="1">
        <f t="array" ref="P3596">_xlfn.SWITCH(Table2[[#This Row],[mood]], "Tired", 3, "Neutral", 2, "Happy", 1)</f>
        <v>3</v>
      </c>
    </row>
    <row r="3597" spans="1:16" x14ac:dyDescent="0.3">
      <c r="A3597">
        <v>1413</v>
      </c>
      <c r="B3597" s="1">
        <v>45600</v>
      </c>
      <c r="C3597">
        <v>53</v>
      </c>
      <c r="D3597" t="s">
        <v>20</v>
      </c>
      <c r="E3597">
        <v>174.8</v>
      </c>
      <c r="F3597">
        <v>74.2</v>
      </c>
      <c r="G3597">
        <v>2042</v>
      </c>
      <c r="H3597">
        <v>246.4</v>
      </c>
      <c r="I3597">
        <v>6.6</v>
      </c>
      <c r="J3597">
        <v>83</v>
      </c>
      <c r="K3597" t="s">
        <v>16</v>
      </c>
      <c r="L3597">
        <v>0</v>
      </c>
      <c r="M3597">
        <v>1.82</v>
      </c>
      <c r="N3597">
        <v>4</v>
      </c>
      <c r="O3597" t="s">
        <v>21</v>
      </c>
      <c r="P3597" cm="1">
        <f t="array" ref="P3597">_xlfn.SWITCH(Table2[[#This Row],[mood]], "Tired", 3, "Neutral", 2, "Happy", 1)</f>
        <v>1</v>
      </c>
    </row>
    <row r="3598" spans="1:16" x14ac:dyDescent="0.3">
      <c r="A3598">
        <v>1979</v>
      </c>
      <c r="B3598" s="1">
        <v>45601</v>
      </c>
      <c r="C3598">
        <v>32</v>
      </c>
      <c r="D3598" t="s">
        <v>20</v>
      </c>
      <c r="E3598">
        <v>166.6</v>
      </c>
      <c r="F3598">
        <v>88.1</v>
      </c>
      <c r="G3598">
        <v>6444</v>
      </c>
      <c r="H3598">
        <v>393.3</v>
      </c>
      <c r="I3598">
        <v>6.7</v>
      </c>
      <c r="J3598">
        <v>82</v>
      </c>
      <c r="K3598" t="s">
        <v>25</v>
      </c>
      <c r="L3598">
        <v>32</v>
      </c>
      <c r="M3598">
        <v>2.77</v>
      </c>
      <c r="N3598">
        <v>8</v>
      </c>
      <c r="O3598" t="s">
        <v>17</v>
      </c>
      <c r="P3598" cm="1">
        <f t="array" ref="P3598">_xlfn.SWITCH(Table2[[#This Row],[mood]], "Tired", 3, "Neutral", 2, "Happy", 1)</f>
        <v>3</v>
      </c>
    </row>
    <row r="3599" spans="1:16" x14ac:dyDescent="0.3">
      <c r="A3599">
        <v>1724</v>
      </c>
      <c r="B3599" s="1">
        <v>45602</v>
      </c>
      <c r="C3599">
        <v>25</v>
      </c>
      <c r="D3599" t="s">
        <v>20</v>
      </c>
      <c r="E3599">
        <v>177.3</v>
      </c>
      <c r="F3599">
        <v>45</v>
      </c>
      <c r="G3599">
        <v>5188</v>
      </c>
      <c r="H3599">
        <v>430.7</v>
      </c>
      <c r="I3599">
        <v>8.3000000000000007</v>
      </c>
      <c r="J3599">
        <v>89</v>
      </c>
      <c r="K3599" t="s">
        <v>23</v>
      </c>
      <c r="L3599">
        <v>34</v>
      </c>
      <c r="M3599">
        <v>2.64</v>
      </c>
      <c r="N3599">
        <v>9</v>
      </c>
      <c r="O3599" t="s">
        <v>19</v>
      </c>
      <c r="P3599" cm="1">
        <f t="array" ref="P3599">_xlfn.SWITCH(Table2[[#This Row],[mood]], "Tired", 3, "Neutral", 2, "Happy", 1)</f>
        <v>2</v>
      </c>
    </row>
    <row r="3600" spans="1:16" x14ac:dyDescent="0.3">
      <c r="A3600">
        <v>1171</v>
      </c>
      <c r="B3600" s="1">
        <v>45603</v>
      </c>
      <c r="C3600">
        <v>43</v>
      </c>
      <c r="D3600" t="s">
        <v>20</v>
      </c>
      <c r="E3600">
        <v>184.6</v>
      </c>
      <c r="F3600">
        <v>70.5</v>
      </c>
      <c r="G3600">
        <v>14060</v>
      </c>
      <c r="H3600">
        <v>800.1</v>
      </c>
      <c r="I3600">
        <v>6.2</v>
      </c>
      <c r="J3600">
        <v>62</v>
      </c>
      <c r="K3600" t="s">
        <v>16</v>
      </c>
      <c r="L3600">
        <v>0</v>
      </c>
      <c r="M3600">
        <v>2.88</v>
      </c>
      <c r="N3600">
        <v>10</v>
      </c>
      <c r="O3600" t="s">
        <v>17</v>
      </c>
      <c r="P3600" cm="1">
        <f t="array" ref="P3600">_xlfn.SWITCH(Table2[[#This Row],[mood]], "Tired", 3, "Neutral", 2, "Happy", 1)</f>
        <v>3</v>
      </c>
    </row>
    <row r="3601" spans="1:16" x14ac:dyDescent="0.3">
      <c r="A3601">
        <v>1287</v>
      </c>
      <c r="B3601" s="1">
        <v>45604</v>
      </c>
      <c r="C3601">
        <v>53</v>
      </c>
      <c r="D3601" t="s">
        <v>20</v>
      </c>
      <c r="E3601">
        <v>154.80000000000001</v>
      </c>
      <c r="F3601">
        <v>59.1</v>
      </c>
      <c r="G3601">
        <v>11233</v>
      </c>
      <c r="H3601">
        <v>620.4</v>
      </c>
      <c r="I3601">
        <v>8</v>
      </c>
      <c r="J3601">
        <v>70</v>
      </c>
      <c r="K3601" t="s">
        <v>22</v>
      </c>
      <c r="L3601">
        <v>30</v>
      </c>
      <c r="M3601">
        <v>2.86</v>
      </c>
      <c r="N3601">
        <v>3</v>
      </c>
      <c r="O3601" t="s">
        <v>19</v>
      </c>
      <c r="P3601" cm="1">
        <f t="array" ref="P3601">_xlfn.SWITCH(Table2[[#This Row],[mood]], "Tired", 3, "Neutral", 2, "Happy", 1)</f>
        <v>2</v>
      </c>
    </row>
    <row r="3602" spans="1:16" x14ac:dyDescent="0.3">
      <c r="A3602">
        <v>1434</v>
      </c>
      <c r="B3602" s="1">
        <v>45605</v>
      </c>
      <c r="C3602">
        <v>38</v>
      </c>
      <c r="D3602" t="s">
        <v>20</v>
      </c>
      <c r="E3602">
        <v>166.6</v>
      </c>
      <c r="F3602">
        <v>62.2</v>
      </c>
      <c r="G3602">
        <v>4088</v>
      </c>
      <c r="H3602">
        <v>332.2</v>
      </c>
      <c r="I3602">
        <v>4.5999999999999996</v>
      </c>
      <c r="J3602">
        <v>75</v>
      </c>
      <c r="K3602" t="s">
        <v>18</v>
      </c>
      <c r="L3602">
        <v>42</v>
      </c>
      <c r="M3602">
        <v>2.34</v>
      </c>
      <c r="N3602">
        <v>9</v>
      </c>
      <c r="O3602" t="s">
        <v>21</v>
      </c>
      <c r="P3602" cm="1">
        <f t="array" ref="P3602">_xlfn.SWITCH(Table2[[#This Row],[mood]], "Tired", 3, "Neutral", 2, "Happy", 1)</f>
        <v>1</v>
      </c>
    </row>
    <row r="3603" spans="1:16" x14ac:dyDescent="0.3">
      <c r="A3603">
        <v>1685</v>
      </c>
      <c r="B3603" s="1">
        <v>45606</v>
      </c>
      <c r="C3603">
        <v>45</v>
      </c>
      <c r="D3603" t="s">
        <v>15</v>
      </c>
      <c r="E3603">
        <v>193.3</v>
      </c>
      <c r="F3603">
        <v>78.400000000000006</v>
      </c>
      <c r="G3603">
        <v>2646</v>
      </c>
      <c r="H3603">
        <v>250.8</v>
      </c>
      <c r="I3603">
        <v>8.3000000000000007</v>
      </c>
      <c r="J3603">
        <v>83</v>
      </c>
      <c r="K3603" t="s">
        <v>22</v>
      </c>
      <c r="L3603">
        <v>26</v>
      </c>
      <c r="M3603">
        <v>2.33</v>
      </c>
      <c r="N3603">
        <v>8</v>
      </c>
      <c r="O3603" t="s">
        <v>17</v>
      </c>
      <c r="P3603" cm="1">
        <f t="array" ref="P3603">_xlfn.SWITCH(Table2[[#This Row],[mood]], "Tired", 3, "Neutral", 2, "Happy", 1)</f>
        <v>3</v>
      </c>
    </row>
    <row r="3604" spans="1:16" x14ac:dyDescent="0.3">
      <c r="A3604">
        <v>1112</v>
      </c>
      <c r="B3604" s="1">
        <v>45607</v>
      </c>
      <c r="C3604">
        <v>21</v>
      </c>
      <c r="D3604" t="s">
        <v>20</v>
      </c>
      <c r="E3604">
        <v>171.7</v>
      </c>
      <c r="F3604">
        <v>48.5</v>
      </c>
      <c r="G3604">
        <v>14127</v>
      </c>
      <c r="H3604">
        <v>800.8</v>
      </c>
      <c r="I3604">
        <v>8.9</v>
      </c>
      <c r="J3604">
        <v>77</v>
      </c>
      <c r="K3604" t="s">
        <v>24</v>
      </c>
      <c r="L3604">
        <v>88</v>
      </c>
      <c r="M3604">
        <v>1.82</v>
      </c>
      <c r="N3604">
        <v>4</v>
      </c>
      <c r="O3604" t="s">
        <v>21</v>
      </c>
      <c r="P3604" cm="1">
        <f t="array" ref="P3604">_xlfn.SWITCH(Table2[[#This Row],[mood]], "Tired", 3, "Neutral", 2, "Happy", 1)</f>
        <v>1</v>
      </c>
    </row>
    <row r="3605" spans="1:16" x14ac:dyDescent="0.3">
      <c r="A3605">
        <v>1887</v>
      </c>
      <c r="B3605" s="1">
        <v>45608</v>
      </c>
      <c r="C3605">
        <v>33</v>
      </c>
      <c r="D3605" t="s">
        <v>20</v>
      </c>
      <c r="E3605">
        <v>169.7</v>
      </c>
      <c r="F3605">
        <v>72</v>
      </c>
      <c r="G3605">
        <v>1487</v>
      </c>
      <c r="H3605">
        <v>355.4</v>
      </c>
      <c r="I3605">
        <v>6.7</v>
      </c>
      <c r="J3605">
        <v>75</v>
      </c>
      <c r="K3605" t="s">
        <v>22</v>
      </c>
      <c r="L3605">
        <v>51</v>
      </c>
      <c r="M3605">
        <v>2.0099999999999998</v>
      </c>
      <c r="N3605">
        <v>1</v>
      </c>
      <c r="O3605" t="s">
        <v>21</v>
      </c>
      <c r="P3605" cm="1">
        <f t="array" ref="P3605">_xlfn.SWITCH(Table2[[#This Row],[mood]], "Tired", 3, "Neutral", 2, "Happy", 1)</f>
        <v>1</v>
      </c>
    </row>
    <row r="3606" spans="1:16" x14ac:dyDescent="0.3">
      <c r="A3606">
        <v>1916</v>
      </c>
      <c r="B3606" s="1">
        <v>45609</v>
      </c>
      <c r="C3606">
        <v>39</v>
      </c>
      <c r="D3606" t="s">
        <v>20</v>
      </c>
      <c r="E3606">
        <v>167.4</v>
      </c>
      <c r="F3606">
        <v>70.5</v>
      </c>
      <c r="G3606">
        <v>16453</v>
      </c>
      <c r="H3606">
        <v>900</v>
      </c>
      <c r="I3606">
        <v>5.8</v>
      </c>
      <c r="J3606">
        <v>85</v>
      </c>
      <c r="K3606" t="s">
        <v>18</v>
      </c>
      <c r="L3606">
        <v>63</v>
      </c>
      <c r="M3606">
        <v>2.46</v>
      </c>
      <c r="N3606">
        <v>10</v>
      </c>
      <c r="O3606" t="s">
        <v>19</v>
      </c>
      <c r="P3606" cm="1">
        <f t="array" ref="P3606">_xlfn.SWITCH(Table2[[#This Row],[mood]], "Tired", 3, "Neutral", 2, "Happy", 1)</f>
        <v>2</v>
      </c>
    </row>
    <row r="3607" spans="1:16" x14ac:dyDescent="0.3">
      <c r="A3607">
        <v>1994</v>
      </c>
      <c r="B3607" s="1">
        <v>45610</v>
      </c>
      <c r="C3607">
        <v>29</v>
      </c>
      <c r="D3607" t="s">
        <v>20</v>
      </c>
      <c r="E3607">
        <v>182.7</v>
      </c>
      <c r="F3607">
        <v>54.3</v>
      </c>
      <c r="G3607">
        <v>2747</v>
      </c>
      <c r="H3607">
        <v>305.3</v>
      </c>
      <c r="I3607">
        <v>5.4</v>
      </c>
      <c r="J3607">
        <v>72</v>
      </c>
      <c r="K3607" t="s">
        <v>18</v>
      </c>
      <c r="L3607">
        <v>22</v>
      </c>
      <c r="M3607">
        <v>2.64</v>
      </c>
      <c r="N3607">
        <v>5</v>
      </c>
      <c r="O3607" t="s">
        <v>17</v>
      </c>
      <c r="P3607" cm="1">
        <f t="array" ref="P3607">_xlfn.SWITCH(Table2[[#This Row],[mood]], "Tired", 3, "Neutral", 2, "Happy", 1)</f>
        <v>3</v>
      </c>
    </row>
    <row r="3608" spans="1:16" x14ac:dyDescent="0.3">
      <c r="A3608">
        <v>1121</v>
      </c>
      <c r="B3608" s="1">
        <v>45611</v>
      </c>
      <c r="C3608">
        <v>33</v>
      </c>
      <c r="D3608" t="s">
        <v>15</v>
      </c>
      <c r="E3608">
        <v>160.6</v>
      </c>
      <c r="F3608">
        <v>72.400000000000006</v>
      </c>
      <c r="G3608">
        <v>17911</v>
      </c>
      <c r="H3608">
        <v>900</v>
      </c>
      <c r="I3608">
        <v>7</v>
      </c>
      <c r="J3608">
        <v>71</v>
      </c>
      <c r="K3608" t="s">
        <v>22</v>
      </c>
      <c r="L3608">
        <v>63</v>
      </c>
      <c r="M3608">
        <v>3</v>
      </c>
      <c r="N3608">
        <v>7</v>
      </c>
      <c r="O3608" t="s">
        <v>19</v>
      </c>
      <c r="P3608" cm="1">
        <f t="array" ref="P3608">_xlfn.SWITCH(Table2[[#This Row],[mood]], "Tired", 3, "Neutral", 2, "Happy", 1)</f>
        <v>2</v>
      </c>
    </row>
    <row r="3609" spans="1:16" x14ac:dyDescent="0.3">
      <c r="A3609">
        <v>1543</v>
      </c>
      <c r="B3609" s="1">
        <v>45612</v>
      </c>
      <c r="C3609">
        <v>57</v>
      </c>
      <c r="D3609" t="s">
        <v>15</v>
      </c>
      <c r="E3609">
        <v>179.3</v>
      </c>
      <c r="F3609">
        <v>58.6</v>
      </c>
      <c r="G3609">
        <v>18551</v>
      </c>
      <c r="H3609">
        <v>900</v>
      </c>
      <c r="I3609">
        <v>8.8000000000000007</v>
      </c>
      <c r="J3609">
        <v>80</v>
      </c>
      <c r="K3609" t="s">
        <v>16</v>
      </c>
      <c r="L3609">
        <v>0</v>
      </c>
      <c r="M3609">
        <v>2.93</v>
      </c>
      <c r="N3609">
        <v>5</v>
      </c>
      <c r="O3609" t="s">
        <v>17</v>
      </c>
      <c r="P3609" cm="1">
        <f t="array" ref="P3609">_xlfn.SWITCH(Table2[[#This Row],[mood]], "Tired", 3, "Neutral", 2, "Happy", 1)</f>
        <v>3</v>
      </c>
    </row>
    <row r="3610" spans="1:16" x14ac:dyDescent="0.3">
      <c r="A3610">
        <v>1221</v>
      </c>
      <c r="B3610" s="1">
        <v>45613</v>
      </c>
      <c r="C3610">
        <v>55</v>
      </c>
      <c r="D3610" t="s">
        <v>20</v>
      </c>
      <c r="E3610">
        <v>167.2</v>
      </c>
      <c r="F3610">
        <v>103</v>
      </c>
      <c r="G3610">
        <v>17278</v>
      </c>
      <c r="H3610">
        <v>900</v>
      </c>
      <c r="I3610">
        <v>6.4</v>
      </c>
      <c r="J3610">
        <v>99</v>
      </c>
      <c r="K3610" t="s">
        <v>18</v>
      </c>
      <c r="L3610">
        <v>70</v>
      </c>
      <c r="M3610">
        <v>3.59</v>
      </c>
      <c r="N3610">
        <v>5</v>
      </c>
      <c r="O3610" t="s">
        <v>21</v>
      </c>
      <c r="P3610" cm="1">
        <f t="array" ref="P3610">_xlfn.SWITCH(Table2[[#This Row],[mood]], "Tired", 3, "Neutral", 2, "Happy", 1)</f>
        <v>1</v>
      </c>
    </row>
    <row r="3611" spans="1:16" x14ac:dyDescent="0.3">
      <c r="A3611">
        <v>1630</v>
      </c>
      <c r="B3611" s="1">
        <v>45614</v>
      </c>
      <c r="C3611">
        <v>59</v>
      </c>
      <c r="D3611" t="s">
        <v>15</v>
      </c>
      <c r="E3611">
        <v>162.5</v>
      </c>
      <c r="F3611">
        <v>88</v>
      </c>
      <c r="G3611">
        <v>12931</v>
      </c>
      <c r="H3611">
        <v>663</v>
      </c>
      <c r="I3611">
        <v>8.6999999999999993</v>
      </c>
      <c r="J3611">
        <v>75</v>
      </c>
      <c r="K3611" t="s">
        <v>24</v>
      </c>
      <c r="L3611">
        <v>80</v>
      </c>
      <c r="M3611">
        <v>1.82</v>
      </c>
      <c r="N3611">
        <v>5</v>
      </c>
      <c r="O3611" t="s">
        <v>21</v>
      </c>
      <c r="P3611" cm="1">
        <f t="array" ref="P3611">_xlfn.SWITCH(Table2[[#This Row],[mood]], "Tired", 3, "Neutral", 2, "Happy", 1)</f>
        <v>1</v>
      </c>
    </row>
    <row r="3612" spans="1:16" x14ac:dyDescent="0.3">
      <c r="A3612">
        <v>1038</v>
      </c>
      <c r="B3612" s="1">
        <v>45615</v>
      </c>
      <c r="C3612">
        <v>54</v>
      </c>
      <c r="D3612" t="s">
        <v>15</v>
      </c>
      <c r="E3612">
        <v>167.7</v>
      </c>
      <c r="F3612">
        <v>71</v>
      </c>
      <c r="G3612">
        <v>1483</v>
      </c>
      <c r="H3612">
        <v>253.2</v>
      </c>
      <c r="I3612">
        <v>5.3</v>
      </c>
      <c r="J3612">
        <v>69</v>
      </c>
      <c r="K3612" t="s">
        <v>23</v>
      </c>
      <c r="L3612">
        <v>70</v>
      </c>
      <c r="M3612">
        <v>2.34</v>
      </c>
      <c r="N3612">
        <v>3</v>
      </c>
      <c r="O3612" t="s">
        <v>17</v>
      </c>
      <c r="P3612" cm="1">
        <f t="array" ref="P3612">_xlfn.SWITCH(Table2[[#This Row],[mood]], "Tired", 3, "Neutral", 2, "Happy", 1)</f>
        <v>3</v>
      </c>
    </row>
    <row r="3613" spans="1:16" x14ac:dyDescent="0.3">
      <c r="A3613">
        <v>1496</v>
      </c>
      <c r="B3613" s="1">
        <v>45616</v>
      </c>
      <c r="C3613">
        <v>46</v>
      </c>
      <c r="D3613" t="s">
        <v>15</v>
      </c>
      <c r="E3613">
        <v>169.5</v>
      </c>
      <c r="F3613">
        <v>63.5</v>
      </c>
      <c r="G3613">
        <v>1451</v>
      </c>
      <c r="H3613">
        <v>311.8</v>
      </c>
      <c r="I3613">
        <v>6.5</v>
      </c>
      <c r="J3613">
        <v>69</v>
      </c>
      <c r="K3613" t="s">
        <v>22</v>
      </c>
      <c r="L3613">
        <v>52</v>
      </c>
      <c r="M3613">
        <v>1.88</v>
      </c>
      <c r="N3613">
        <v>6</v>
      </c>
      <c r="O3613" t="s">
        <v>21</v>
      </c>
      <c r="P3613" cm="1">
        <f t="array" ref="P3613">_xlfn.SWITCH(Table2[[#This Row],[mood]], "Tired", 3, "Neutral", 2, "Happy", 1)</f>
        <v>1</v>
      </c>
    </row>
    <row r="3614" spans="1:16" x14ac:dyDescent="0.3">
      <c r="A3614">
        <v>1779</v>
      </c>
      <c r="B3614" s="1">
        <v>45617</v>
      </c>
      <c r="C3614">
        <v>35</v>
      </c>
      <c r="D3614" t="s">
        <v>15</v>
      </c>
      <c r="E3614">
        <v>165</v>
      </c>
      <c r="F3614">
        <v>77.599999999999994</v>
      </c>
      <c r="G3614">
        <v>5069</v>
      </c>
      <c r="H3614">
        <v>443.4</v>
      </c>
      <c r="I3614">
        <v>6.9</v>
      </c>
      <c r="J3614">
        <v>71</v>
      </c>
      <c r="K3614" t="s">
        <v>18</v>
      </c>
      <c r="L3614">
        <v>39</v>
      </c>
      <c r="M3614">
        <v>3.39</v>
      </c>
      <c r="N3614">
        <v>4</v>
      </c>
      <c r="O3614" t="s">
        <v>21</v>
      </c>
      <c r="P3614" cm="1">
        <f t="array" ref="P3614">_xlfn.SWITCH(Table2[[#This Row],[mood]], "Tired", 3, "Neutral", 2, "Happy", 1)</f>
        <v>1</v>
      </c>
    </row>
    <row r="3615" spans="1:16" x14ac:dyDescent="0.3">
      <c r="A3615">
        <v>1232</v>
      </c>
      <c r="B3615" s="1">
        <v>45618</v>
      </c>
      <c r="C3615">
        <v>27</v>
      </c>
      <c r="D3615" t="s">
        <v>15</v>
      </c>
      <c r="E3615">
        <v>181.1</v>
      </c>
      <c r="F3615">
        <v>81.5</v>
      </c>
      <c r="G3615">
        <v>14386</v>
      </c>
      <c r="H3615">
        <v>803.9</v>
      </c>
      <c r="I3615">
        <v>7.3</v>
      </c>
      <c r="J3615">
        <v>88</v>
      </c>
      <c r="K3615" t="s">
        <v>16</v>
      </c>
      <c r="L3615">
        <v>0</v>
      </c>
      <c r="M3615">
        <v>2.15</v>
      </c>
      <c r="N3615">
        <v>10</v>
      </c>
      <c r="O3615" t="s">
        <v>19</v>
      </c>
      <c r="P3615" cm="1">
        <f t="array" ref="P3615">_xlfn.SWITCH(Table2[[#This Row],[mood]], "Tired", 3, "Neutral", 2, "Happy", 1)</f>
        <v>2</v>
      </c>
    </row>
    <row r="3616" spans="1:16" x14ac:dyDescent="0.3">
      <c r="A3616">
        <v>1942</v>
      </c>
      <c r="B3616" s="1">
        <v>45619</v>
      </c>
      <c r="C3616">
        <v>59</v>
      </c>
      <c r="D3616" t="s">
        <v>15</v>
      </c>
      <c r="E3616">
        <v>162.6</v>
      </c>
      <c r="F3616">
        <v>73.8</v>
      </c>
      <c r="G3616">
        <v>8207</v>
      </c>
      <c r="H3616">
        <v>549.1</v>
      </c>
      <c r="I3616">
        <v>6.5</v>
      </c>
      <c r="J3616">
        <v>71</v>
      </c>
      <c r="K3616" t="s">
        <v>16</v>
      </c>
      <c r="L3616">
        <v>0</v>
      </c>
      <c r="M3616">
        <v>3.31</v>
      </c>
      <c r="N3616">
        <v>2</v>
      </c>
      <c r="O3616" t="s">
        <v>21</v>
      </c>
      <c r="P3616" cm="1">
        <f t="array" ref="P3616">_xlfn.SWITCH(Table2[[#This Row],[mood]], "Tired", 3, "Neutral", 2, "Happy", 1)</f>
        <v>1</v>
      </c>
    </row>
    <row r="3617" spans="1:16" x14ac:dyDescent="0.3">
      <c r="A3617">
        <v>1529</v>
      </c>
      <c r="B3617" s="1">
        <v>45620</v>
      </c>
      <c r="C3617">
        <v>56</v>
      </c>
      <c r="D3617" t="s">
        <v>20</v>
      </c>
      <c r="E3617">
        <v>171.4</v>
      </c>
      <c r="F3617">
        <v>54.8</v>
      </c>
      <c r="G3617">
        <v>5397</v>
      </c>
      <c r="H3617">
        <v>379.1</v>
      </c>
      <c r="I3617">
        <v>8.9</v>
      </c>
      <c r="J3617">
        <v>78</v>
      </c>
      <c r="K3617" t="s">
        <v>16</v>
      </c>
      <c r="L3617">
        <v>0</v>
      </c>
      <c r="M3617">
        <v>3.52</v>
      </c>
      <c r="N3617">
        <v>4</v>
      </c>
      <c r="O3617" t="s">
        <v>21</v>
      </c>
      <c r="P3617" cm="1">
        <f t="array" ref="P3617">_xlfn.SWITCH(Table2[[#This Row],[mood]], "Tired", 3, "Neutral", 2, "Happy", 1)</f>
        <v>1</v>
      </c>
    </row>
    <row r="3618" spans="1:16" x14ac:dyDescent="0.3">
      <c r="A3618">
        <v>1148</v>
      </c>
      <c r="B3618" s="1">
        <v>45621</v>
      </c>
      <c r="C3618">
        <v>35</v>
      </c>
      <c r="D3618" t="s">
        <v>20</v>
      </c>
      <c r="E3618">
        <v>175.4</v>
      </c>
      <c r="F3618">
        <v>66.900000000000006</v>
      </c>
      <c r="G3618">
        <v>6671</v>
      </c>
      <c r="H3618">
        <v>474</v>
      </c>
      <c r="I3618">
        <v>8.9</v>
      </c>
      <c r="J3618">
        <v>74</v>
      </c>
      <c r="K3618" t="s">
        <v>23</v>
      </c>
      <c r="L3618">
        <v>40</v>
      </c>
      <c r="M3618">
        <v>2.79</v>
      </c>
      <c r="N3618">
        <v>6</v>
      </c>
      <c r="O3618" t="s">
        <v>21</v>
      </c>
      <c r="P3618" cm="1">
        <f t="array" ref="P3618">_xlfn.SWITCH(Table2[[#This Row],[mood]], "Tired", 3, "Neutral", 2, "Happy", 1)</f>
        <v>1</v>
      </c>
    </row>
    <row r="3619" spans="1:16" x14ac:dyDescent="0.3">
      <c r="A3619">
        <v>1396</v>
      </c>
      <c r="B3619" s="1">
        <v>45622</v>
      </c>
      <c r="C3619">
        <v>18</v>
      </c>
      <c r="D3619" t="s">
        <v>20</v>
      </c>
      <c r="E3619">
        <v>171.3</v>
      </c>
      <c r="F3619">
        <v>71.2</v>
      </c>
      <c r="G3619">
        <v>19157</v>
      </c>
      <c r="H3619">
        <v>900</v>
      </c>
      <c r="I3619">
        <v>6.7</v>
      </c>
      <c r="J3619">
        <v>62</v>
      </c>
      <c r="K3619" t="s">
        <v>24</v>
      </c>
      <c r="L3619">
        <v>72</v>
      </c>
      <c r="M3619">
        <v>2.71</v>
      </c>
      <c r="N3619">
        <v>6</v>
      </c>
      <c r="O3619" t="s">
        <v>17</v>
      </c>
      <c r="P3619" cm="1">
        <f t="array" ref="P3619">_xlfn.SWITCH(Table2[[#This Row],[mood]], "Tired", 3, "Neutral", 2, "Happy", 1)</f>
        <v>3</v>
      </c>
    </row>
    <row r="3620" spans="1:16" x14ac:dyDescent="0.3">
      <c r="A3620">
        <v>1660</v>
      </c>
      <c r="B3620" s="1">
        <v>45623</v>
      </c>
      <c r="C3620">
        <v>56</v>
      </c>
      <c r="D3620" t="s">
        <v>20</v>
      </c>
      <c r="E3620">
        <v>177.7</v>
      </c>
      <c r="F3620">
        <v>74.400000000000006</v>
      </c>
      <c r="G3620">
        <v>10190</v>
      </c>
      <c r="H3620">
        <v>595.4</v>
      </c>
      <c r="I3620">
        <v>6.2</v>
      </c>
      <c r="J3620">
        <v>72</v>
      </c>
      <c r="K3620" t="s">
        <v>22</v>
      </c>
      <c r="L3620">
        <v>30</v>
      </c>
      <c r="M3620">
        <v>2.5299999999999998</v>
      </c>
      <c r="N3620">
        <v>9</v>
      </c>
      <c r="O3620" t="s">
        <v>21</v>
      </c>
      <c r="P3620" cm="1">
        <f t="array" ref="P3620">_xlfn.SWITCH(Table2[[#This Row],[mood]], "Tired", 3, "Neutral", 2, "Happy", 1)</f>
        <v>1</v>
      </c>
    </row>
    <row r="3621" spans="1:16" x14ac:dyDescent="0.3">
      <c r="A3621">
        <v>1637</v>
      </c>
      <c r="B3621" s="1">
        <v>45624</v>
      </c>
      <c r="C3621">
        <v>38</v>
      </c>
      <c r="D3621" t="s">
        <v>20</v>
      </c>
      <c r="E3621">
        <v>165.7</v>
      </c>
      <c r="F3621">
        <v>74.7</v>
      </c>
      <c r="G3621">
        <v>8412</v>
      </c>
      <c r="H3621">
        <v>526.29999999999995</v>
      </c>
      <c r="I3621">
        <v>6.1</v>
      </c>
      <c r="J3621">
        <v>50</v>
      </c>
      <c r="K3621" t="s">
        <v>18</v>
      </c>
      <c r="L3621">
        <v>29</v>
      </c>
      <c r="M3621">
        <v>2.2799999999999998</v>
      </c>
      <c r="N3621">
        <v>8</v>
      </c>
      <c r="O3621" t="s">
        <v>19</v>
      </c>
      <c r="P3621" cm="1">
        <f t="array" ref="P3621">_xlfn.SWITCH(Table2[[#This Row],[mood]], "Tired", 3, "Neutral", 2, "Happy", 1)</f>
        <v>2</v>
      </c>
    </row>
    <row r="3622" spans="1:16" x14ac:dyDescent="0.3">
      <c r="A3622">
        <v>1903</v>
      </c>
      <c r="B3622" s="1">
        <v>45625</v>
      </c>
      <c r="C3622">
        <v>18</v>
      </c>
      <c r="D3622" t="s">
        <v>15</v>
      </c>
      <c r="E3622">
        <v>176.2</v>
      </c>
      <c r="F3622">
        <v>81</v>
      </c>
      <c r="G3622">
        <v>19449</v>
      </c>
      <c r="H3622">
        <v>900</v>
      </c>
      <c r="I3622">
        <v>8.6</v>
      </c>
      <c r="J3622">
        <v>77</v>
      </c>
      <c r="K3622" t="s">
        <v>23</v>
      </c>
      <c r="L3622">
        <v>54</v>
      </c>
      <c r="M3622">
        <v>2.19</v>
      </c>
      <c r="N3622">
        <v>5</v>
      </c>
      <c r="O3622" t="s">
        <v>19</v>
      </c>
      <c r="P3622" cm="1">
        <f t="array" ref="P3622">_xlfn.SWITCH(Table2[[#This Row],[mood]], "Tired", 3, "Neutral", 2, "Happy", 1)</f>
        <v>2</v>
      </c>
    </row>
    <row r="3623" spans="1:16" x14ac:dyDescent="0.3">
      <c r="A3623">
        <v>1301</v>
      </c>
      <c r="B3623" s="1">
        <v>45626</v>
      </c>
      <c r="C3623">
        <v>32</v>
      </c>
      <c r="D3623" t="s">
        <v>20</v>
      </c>
      <c r="E3623">
        <v>176.5</v>
      </c>
      <c r="F3623">
        <v>90.1</v>
      </c>
      <c r="G3623">
        <v>9589</v>
      </c>
      <c r="H3623">
        <v>569.29999999999995</v>
      </c>
      <c r="I3623">
        <v>6</v>
      </c>
      <c r="J3623">
        <v>80</v>
      </c>
      <c r="K3623" t="s">
        <v>24</v>
      </c>
      <c r="L3623">
        <v>45</v>
      </c>
      <c r="M3623">
        <v>2.4</v>
      </c>
      <c r="N3623">
        <v>10</v>
      </c>
      <c r="O3623" t="s">
        <v>19</v>
      </c>
      <c r="P3623" cm="1">
        <f t="array" ref="P3623">_xlfn.SWITCH(Table2[[#This Row],[mood]], "Tired", 3, "Neutral", 2, "Happy", 1)</f>
        <v>2</v>
      </c>
    </row>
    <row r="3624" spans="1:16" x14ac:dyDescent="0.3">
      <c r="A3624">
        <v>1359</v>
      </c>
      <c r="B3624" s="1">
        <v>45627</v>
      </c>
      <c r="C3624">
        <v>21</v>
      </c>
      <c r="D3624" t="s">
        <v>20</v>
      </c>
      <c r="E3624">
        <v>179.7</v>
      </c>
      <c r="F3624">
        <v>85.2</v>
      </c>
      <c r="G3624">
        <v>15929</v>
      </c>
      <c r="H3624">
        <v>798.5</v>
      </c>
      <c r="I3624">
        <v>4.8</v>
      </c>
      <c r="J3624">
        <v>67</v>
      </c>
      <c r="K3624" t="s">
        <v>25</v>
      </c>
      <c r="L3624">
        <v>63</v>
      </c>
      <c r="M3624">
        <v>3.78</v>
      </c>
      <c r="N3624">
        <v>3</v>
      </c>
      <c r="O3624" t="s">
        <v>19</v>
      </c>
      <c r="P3624" cm="1">
        <f t="array" ref="P3624">_xlfn.SWITCH(Table2[[#This Row],[mood]], "Tired", 3, "Neutral", 2, "Happy", 1)</f>
        <v>2</v>
      </c>
    </row>
    <row r="3625" spans="1:16" x14ac:dyDescent="0.3">
      <c r="A3625">
        <v>1237</v>
      </c>
      <c r="B3625" s="1">
        <v>45628</v>
      </c>
      <c r="C3625">
        <v>37</v>
      </c>
      <c r="D3625" t="s">
        <v>15</v>
      </c>
      <c r="E3625">
        <v>151.1</v>
      </c>
      <c r="F3625">
        <v>78.900000000000006</v>
      </c>
      <c r="G3625">
        <v>7332</v>
      </c>
      <c r="H3625">
        <v>494.5</v>
      </c>
      <c r="I3625">
        <v>5</v>
      </c>
      <c r="J3625">
        <v>70</v>
      </c>
      <c r="K3625" t="s">
        <v>18</v>
      </c>
      <c r="L3625">
        <v>23</v>
      </c>
      <c r="M3625">
        <v>1.77</v>
      </c>
      <c r="N3625">
        <v>4</v>
      </c>
      <c r="O3625" t="s">
        <v>21</v>
      </c>
      <c r="P3625" cm="1">
        <f t="array" ref="P3625">_xlfn.SWITCH(Table2[[#This Row],[mood]], "Tired", 3, "Neutral", 2, "Happy", 1)</f>
        <v>1</v>
      </c>
    </row>
    <row r="3626" spans="1:16" x14ac:dyDescent="0.3">
      <c r="A3626">
        <v>1646</v>
      </c>
      <c r="B3626" s="1">
        <v>45629</v>
      </c>
      <c r="C3626">
        <v>27</v>
      </c>
      <c r="D3626" t="s">
        <v>15</v>
      </c>
      <c r="E3626">
        <v>175.1</v>
      </c>
      <c r="F3626">
        <v>51.1</v>
      </c>
      <c r="G3626">
        <v>16979</v>
      </c>
      <c r="H3626">
        <v>863.1</v>
      </c>
      <c r="I3626">
        <v>8</v>
      </c>
      <c r="J3626">
        <v>62</v>
      </c>
      <c r="K3626" t="s">
        <v>16</v>
      </c>
      <c r="L3626">
        <v>0</v>
      </c>
      <c r="M3626">
        <v>2.64</v>
      </c>
      <c r="N3626">
        <v>5</v>
      </c>
      <c r="O3626" t="s">
        <v>19</v>
      </c>
      <c r="P3626" cm="1">
        <f t="array" ref="P3626">_xlfn.SWITCH(Table2[[#This Row],[mood]], "Tired", 3, "Neutral", 2, "Happy", 1)</f>
        <v>2</v>
      </c>
    </row>
    <row r="3627" spans="1:16" x14ac:dyDescent="0.3">
      <c r="A3627">
        <v>1662</v>
      </c>
      <c r="B3627" s="1">
        <v>45630</v>
      </c>
      <c r="C3627">
        <v>40</v>
      </c>
      <c r="D3627" t="s">
        <v>20</v>
      </c>
      <c r="E3627">
        <v>179</v>
      </c>
      <c r="F3627">
        <v>87.8</v>
      </c>
      <c r="G3627">
        <v>8913</v>
      </c>
      <c r="H3627">
        <v>482.8</v>
      </c>
      <c r="I3627">
        <v>5</v>
      </c>
      <c r="J3627">
        <v>53</v>
      </c>
      <c r="K3627" t="s">
        <v>16</v>
      </c>
      <c r="L3627">
        <v>0</v>
      </c>
      <c r="M3627">
        <v>3</v>
      </c>
      <c r="N3627">
        <v>1</v>
      </c>
      <c r="O3627" t="s">
        <v>17</v>
      </c>
      <c r="P3627" cm="1">
        <f t="array" ref="P3627">_xlfn.SWITCH(Table2[[#This Row],[mood]], "Tired", 3, "Neutral", 2, "Happy", 1)</f>
        <v>3</v>
      </c>
    </row>
    <row r="3628" spans="1:16" x14ac:dyDescent="0.3">
      <c r="A3628">
        <v>1235</v>
      </c>
      <c r="B3628" s="1">
        <v>45631</v>
      </c>
      <c r="C3628">
        <v>58</v>
      </c>
      <c r="D3628" t="s">
        <v>15</v>
      </c>
      <c r="E3628">
        <v>165.9</v>
      </c>
      <c r="F3628">
        <v>82.3</v>
      </c>
      <c r="G3628">
        <v>10995</v>
      </c>
      <c r="H3628">
        <v>769.8</v>
      </c>
      <c r="I3628">
        <v>6.4</v>
      </c>
      <c r="J3628">
        <v>60</v>
      </c>
      <c r="K3628" t="s">
        <v>24</v>
      </c>
      <c r="L3628">
        <v>60</v>
      </c>
      <c r="M3628">
        <v>2.2999999999999998</v>
      </c>
      <c r="N3628">
        <v>9</v>
      </c>
      <c r="O3628" t="s">
        <v>17</v>
      </c>
      <c r="P3628" cm="1">
        <f t="array" ref="P3628">_xlfn.SWITCH(Table2[[#This Row],[mood]], "Tired", 3, "Neutral", 2, "Happy", 1)</f>
        <v>3</v>
      </c>
    </row>
    <row r="3629" spans="1:16" x14ac:dyDescent="0.3">
      <c r="A3629">
        <v>1735</v>
      </c>
      <c r="B3629" s="1">
        <v>45632</v>
      </c>
      <c r="C3629">
        <v>51</v>
      </c>
      <c r="D3629" t="s">
        <v>15</v>
      </c>
      <c r="E3629">
        <v>164.5</v>
      </c>
      <c r="F3629">
        <v>66.2</v>
      </c>
      <c r="G3629">
        <v>2946</v>
      </c>
      <c r="H3629">
        <v>266</v>
      </c>
      <c r="I3629">
        <v>7.2</v>
      </c>
      <c r="J3629">
        <v>82</v>
      </c>
      <c r="K3629" t="s">
        <v>23</v>
      </c>
      <c r="L3629">
        <v>86</v>
      </c>
      <c r="M3629">
        <v>2.79</v>
      </c>
      <c r="N3629">
        <v>4</v>
      </c>
      <c r="O3629" t="s">
        <v>21</v>
      </c>
      <c r="P3629" cm="1">
        <f t="array" ref="P3629">_xlfn.SWITCH(Table2[[#This Row],[mood]], "Tired", 3, "Neutral", 2, "Happy", 1)</f>
        <v>1</v>
      </c>
    </row>
    <row r="3630" spans="1:16" x14ac:dyDescent="0.3">
      <c r="A3630">
        <v>1202</v>
      </c>
      <c r="B3630" s="1">
        <v>45633</v>
      </c>
      <c r="C3630">
        <v>50</v>
      </c>
      <c r="D3630" t="s">
        <v>15</v>
      </c>
      <c r="E3630">
        <v>163</v>
      </c>
      <c r="F3630">
        <v>70.400000000000006</v>
      </c>
      <c r="G3630">
        <v>4415</v>
      </c>
      <c r="H3630">
        <v>369.9</v>
      </c>
      <c r="I3630">
        <v>4.5</v>
      </c>
      <c r="J3630">
        <v>72</v>
      </c>
      <c r="K3630" t="s">
        <v>16</v>
      </c>
      <c r="L3630">
        <v>0</v>
      </c>
      <c r="M3630">
        <v>1.45</v>
      </c>
      <c r="N3630">
        <v>8</v>
      </c>
      <c r="O3630" t="s">
        <v>17</v>
      </c>
      <c r="P3630" cm="1">
        <f t="array" ref="P3630">_xlfn.SWITCH(Table2[[#This Row],[mood]], "Tired", 3, "Neutral", 2, "Happy", 1)</f>
        <v>3</v>
      </c>
    </row>
    <row r="3631" spans="1:16" x14ac:dyDescent="0.3">
      <c r="A3631">
        <v>1255</v>
      </c>
      <c r="B3631" s="1">
        <v>45634</v>
      </c>
      <c r="C3631">
        <v>51</v>
      </c>
      <c r="D3631" t="s">
        <v>15</v>
      </c>
      <c r="E3631">
        <v>159.69999999999999</v>
      </c>
      <c r="F3631">
        <v>71</v>
      </c>
      <c r="G3631">
        <v>2394</v>
      </c>
      <c r="H3631">
        <v>298.8</v>
      </c>
      <c r="I3631">
        <v>7.3</v>
      </c>
      <c r="J3631">
        <v>77</v>
      </c>
      <c r="K3631" t="s">
        <v>22</v>
      </c>
      <c r="L3631">
        <v>23</v>
      </c>
      <c r="M3631">
        <v>3.43</v>
      </c>
      <c r="N3631">
        <v>5</v>
      </c>
      <c r="O3631" t="s">
        <v>17</v>
      </c>
      <c r="P3631" cm="1">
        <f t="array" ref="P3631">_xlfn.SWITCH(Table2[[#This Row],[mood]], "Tired", 3, "Neutral", 2, "Happy", 1)</f>
        <v>3</v>
      </c>
    </row>
    <row r="3632" spans="1:16" x14ac:dyDescent="0.3">
      <c r="A3632">
        <v>1597</v>
      </c>
      <c r="B3632" s="1">
        <v>45635</v>
      </c>
      <c r="C3632">
        <v>56</v>
      </c>
      <c r="D3632" t="s">
        <v>20</v>
      </c>
      <c r="E3632">
        <v>176.7</v>
      </c>
      <c r="F3632">
        <v>63.4</v>
      </c>
      <c r="G3632">
        <v>16084</v>
      </c>
      <c r="H3632">
        <v>816.6</v>
      </c>
      <c r="I3632">
        <v>6.5</v>
      </c>
      <c r="J3632">
        <v>95</v>
      </c>
      <c r="K3632" t="s">
        <v>23</v>
      </c>
      <c r="L3632">
        <v>32</v>
      </c>
      <c r="M3632">
        <v>3.29</v>
      </c>
      <c r="N3632">
        <v>5</v>
      </c>
      <c r="O3632" t="s">
        <v>21</v>
      </c>
      <c r="P3632" cm="1">
        <f t="array" ref="P3632">_xlfn.SWITCH(Table2[[#This Row],[mood]], "Tired", 3, "Neutral", 2, "Happy", 1)</f>
        <v>1</v>
      </c>
    </row>
    <row r="3633" spans="1:16" x14ac:dyDescent="0.3">
      <c r="A3633">
        <v>1661</v>
      </c>
      <c r="B3633" s="1">
        <v>45636</v>
      </c>
      <c r="C3633">
        <v>27</v>
      </c>
      <c r="D3633" t="s">
        <v>15</v>
      </c>
      <c r="E3633">
        <v>192.8</v>
      </c>
      <c r="F3633">
        <v>45</v>
      </c>
      <c r="G3633">
        <v>3421</v>
      </c>
      <c r="H3633">
        <v>332.4</v>
      </c>
      <c r="I3633">
        <v>4.0999999999999996</v>
      </c>
      <c r="J3633">
        <v>85</v>
      </c>
      <c r="K3633" t="s">
        <v>16</v>
      </c>
      <c r="L3633">
        <v>0</v>
      </c>
      <c r="M3633">
        <v>2.4300000000000002</v>
      </c>
      <c r="N3633">
        <v>2</v>
      </c>
      <c r="O3633" t="s">
        <v>21</v>
      </c>
      <c r="P3633" cm="1">
        <f t="array" ref="P3633">_xlfn.SWITCH(Table2[[#This Row],[mood]], "Tired", 3, "Neutral", 2, "Happy", 1)</f>
        <v>1</v>
      </c>
    </row>
    <row r="3634" spans="1:16" x14ac:dyDescent="0.3">
      <c r="A3634">
        <v>1234</v>
      </c>
      <c r="B3634" s="1">
        <v>45637</v>
      </c>
      <c r="C3634">
        <v>37</v>
      </c>
      <c r="D3634" t="s">
        <v>20</v>
      </c>
      <c r="E3634">
        <v>164.4</v>
      </c>
      <c r="F3634">
        <v>53.3</v>
      </c>
      <c r="G3634">
        <v>8345</v>
      </c>
      <c r="H3634">
        <v>492.9</v>
      </c>
      <c r="I3634">
        <v>7.3</v>
      </c>
      <c r="J3634">
        <v>80</v>
      </c>
      <c r="K3634" t="s">
        <v>22</v>
      </c>
      <c r="L3634">
        <v>26</v>
      </c>
      <c r="M3634">
        <v>1.88</v>
      </c>
      <c r="N3634">
        <v>8</v>
      </c>
      <c r="O3634" t="s">
        <v>19</v>
      </c>
      <c r="P3634" cm="1">
        <f t="array" ref="P3634">_xlfn.SWITCH(Table2[[#This Row],[mood]], "Tired", 3, "Neutral", 2, "Happy", 1)</f>
        <v>2</v>
      </c>
    </row>
    <row r="3635" spans="1:16" x14ac:dyDescent="0.3">
      <c r="A3635">
        <v>1344</v>
      </c>
      <c r="B3635" s="1">
        <v>45638</v>
      </c>
      <c r="C3635">
        <v>18</v>
      </c>
      <c r="D3635" t="s">
        <v>20</v>
      </c>
      <c r="E3635">
        <v>165.3</v>
      </c>
      <c r="F3635">
        <v>56.4</v>
      </c>
      <c r="G3635">
        <v>9030</v>
      </c>
      <c r="H3635">
        <v>597.6</v>
      </c>
      <c r="I3635">
        <v>7.6</v>
      </c>
      <c r="J3635">
        <v>70</v>
      </c>
      <c r="K3635" t="s">
        <v>24</v>
      </c>
      <c r="L3635">
        <v>47</v>
      </c>
      <c r="M3635">
        <v>3.06</v>
      </c>
      <c r="N3635">
        <v>10</v>
      </c>
      <c r="O3635" t="s">
        <v>19</v>
      </c>
      <c r="P3635" cm="1">
        <f t="array" ref="P3635">_xlfn.SWITCH(Table2[[#This Row],[mood]], "Tired", 3, "Neutral", 2, "Happy", 1)</f>
        <v>2</v>
      </c>
    </row>
    <row r="3636" spans="1:16" x14ac:dyDescent="0.3">
      <c r="A3636">
        <v>1533</v>
      </c>
      <c r="B3636" s="1">
        <v>45639</v>
      </c>
      <c r="C3636">
        <v>30</v>
      </c>
      <c r="D3636" t="s">
        <v>15</v>
      </c>
      <c r="E3636">
        <v>170.2</v>
      </c>
      <c r="F3636">
        <v>45</v>
      </c>
      <c r="G3636">
        <v>11980</v>
      </c>
      <c r="H3636">
        <v>678.1</v>
      </c>
      <c r="I3636">
        <v>7.3</v>
      </c>
      <c r="J3636">
        <v>91</v>
      </c>
      <c r="K3636" t="s">
        <v>24</v>
      </c>
      <c r="L3636">
        <v>78</v>
      </c>
      <c r="M3636">
        <v>1.7</v>
      </c>
      <c r="N3636">
        <v>7</v>
      </c>
      <c r="O3636" t="s">
        <v>21</v>
      </c>
      <c r="P3636" cm="1">
        <f t="array" ref="P3636">_xlfn.SWITCH(Table2[[#This Row],[mood]], "Tired", 3, "Neutral", 2, "Happy", 1)</f>
        <v>1</v>
      </c>
    </row>
    <row r="3637" spans="1:16" x14ac:dyDescent="0.3">
      <c r="A3637">
        <v>1859</v>
      </c>
      <c r="B3637" s="1">
        <v>45640</v>
      </c>
      <c r="C3637">
        <v>18</v>
      </c>
      <c r="D3637" t="s">
        <v>15</v>
      </c>
      <c r="E3637">
        <v>154</v>
      </c>
      <c r="F3637">
        <v>53.3</v>
      </c>
      <c r="G3637">
        <v>2844</v>
      </c>
      <c r="H3637">
        <v>349.7</v>
      </c>
      <c r="I3637">
        <v>7.8</v>
      </c>
      <c r="J3637">
        <v>87</v>
      </c>
      <c r="K3637" t="s">
        <v>23</v>
      </c>
      <c r="L3637">
        <v>56</v>
      </c>
      <c r="M3637">
        <v>1.8</v>
      </c>
      <c r="N3637">
        <v>2</v>
      </c>
      <c r="O3637" t="s">
        <v>17</v>
      </c>
      <c r="P3637" cm="1">
        <f t="array" ref="P3637">_xlfn.SWITCH(Table2[[#This Row],[mood]], "Tired", 3, "Neutral", 2, "Happy", 1)</f>
        <v>3</v>
      </c>
    </row>
    <row r="3638" spans="1:16" x14ac:dyDescent="0.3">
      <c r="A3638">
        <v>1796</v>
      </c>
      <c r="B3638" s="1">
        <v>45641</v>
      </c>
      <c r="C3638">
        <v>22</v>
      </c>
      <c r="D3638" t="s">
        <v>15</v>
      </c>
      <c r="E3638">
        <v>163</v>
      </c>
      <c r="F3638">
        <v>87.1</v>
      </c>
      <c r="G3638">
        <v>2804</v>
      </c>
      <c r="H3638">
        <v>385.7</v>
      </c>
      <c r="I3638">
        <v>7.4</v>
      </c>
      <c r="J3638">
        <v>84</v>
      </c>
      <c r="K3638" t="s">
        <v>23</v>
      </c>
      <c r="L3638">
        <v>34</v>
      </c>
      <c r="M3638">
        <v>2.46</v>
      </c>
      <c r="N3638">
        <v>6</v>
      </c>
      <c r="O3638" t="s">
        <v>21</v>
      </c>
      <c r="P3638" cm="1">
        <f t="array" ref="P3638">_xlfn.SWITCH(Table2[[#This Row],[mood]], "Tired", 3, "Neutral", 2, "Happy", 1)</f>
        <v>1</v>
      </c>
    </row>
    <row r="3639" spans="1:16" x14ac:dyDescent="0.3">
      <c r="A3639">
        <v>1780</v>
      </c>
      <c r="B3639" s="1">
        <v>45642</v>
      </c>
      <c r="C3639">
        <v>33</v>
      </c>
      <c r="D3639" t="s">
        <v>20</v>
      </c>
      <c r="E3639">
        <v>169.4</v>
      </c>
      <c r="F3639">
        <v>77.3</v>
      </c>
      <c r="G3639">
        <v>10081</v>
      </c>
      <c r="H3639">
        <v>589.20000000000005</v>
      </c>
      <c r="I3639">
        <v>8.1</v>
      </c>
      <c r="J3639">
        <v>75</v>
      </c>
      <c r="K3639" t="s">
        <v>22</v>
      </c>
      <c r="L3639">
        <v>49</v>
      </c>
      <c r="M3639">
        <v>3.56</v>
      </c>
      <c r="N3639">
        <v>9</v>
      </c>
      <c r="O3639" t="s">
        <v>19</v>
      </c>
      <c r="P3639" cm="1">
        <f t="array" ref="P3639">_xlfn.SWITCH(Table2[[#This Row],[mood]], "Tired", 3, "Neutral", 2, "Happy", 1)</f>
        <v>2</v>
      </c>
    </row>
    <row r="3640" spans="1:16" x14ac:dyDescent="0.3">
      <c r="A3640">
        <v>1465</v>
      </c>
      <c r="B3640" s="1">
        <v>45643</v>
      </c>
      <c r="C3640">
        <v>32</v>
      </c>
      <c r="D3640" t="s">
        <v>15</v>
      </c>
      <c r="E3640">
        <v>161.1</v>
      </c>
      <c r="F3640">
        <v>55.4</v>
      </c>
      <c r="G3640">
        <v>19887</v>
      </c>
      <c r="H3640">
        <v>900</v>
      </c>
      <c r="I3640">
        <v>5.6</v>
      </c>
      <c r="J3640">
        <v>66</v>
      </c>
      <c r="K3640" t="s">
        <v>18</v>
      </c>
      <c r="L3640">
        <v>31</v>
      </c>
      <c r="M3640">
        <v>2.95</v>
      </c>
      <c r="N3640">
        <v>8</v>
      </c>
      <c r="O3640" t="s">
        <v>21</v>
      </c>
      <c r="P3640" cm="1">
        <f t="array" ref="P3640">_xlfn.SWITCH(Table2[[#This Row],[mood]], "Tired", 3, "Neutral", 2, "Happy", 1)</f>
        <v>1</v>
      </c>
    </row>
    <row r="3641" spans="1:16" x14ac:dyDescent="0.3">
      <c r="A3641">
        <v>1769</v>
      </c>
      <c r="B3641" s="1">
        <v>45644</v>
      </c>
      <c r="C3641">
        <v>45</v>
      </c>
      <c r="D3641" t="s">
        <v>15</v>
      </c>
      <c r="E3641">
        <v>182</v>
      </c>
      <c r="F3641">
        <v>59.7</v>
      </c>
      <c r="G3641">
        <v>19277</v>
      </c>
      <c r="H3641">
        <v>900</v>
      </c>
      <c r="I3641">
        <v>4.9000000000000004</v>
      </c>
      <c r="J3641">
        <v>90</v>
      </c>
      <c r="K3641" t="s">
        <v>23</v>
      </c>
      <c r="L3641">
        <v>49</v>
      </c>
      <c r="M3641">
        <v>2.0499999999999998</v>
      </c>
      <c r="N3641">
        <v>10</v>
      </c>
      <c r="O3641" t="s">
        <v>21</v>
      </c>
      <c r="P3641" cm="1">
        <f t="array" ref="P3641">_xlfn.SWITCH(Table2[[#This Row],[mood]], "Tired", 3, "Neutral", 2, "Happy", 1)</f>
        <v>1</v>
      </c>
    </row>
    <row r="3642" spans="1:16" x14ac:dyDescent="0.3">
      <c r="A3642">
        <v>1540</v>
      </c>
      <c r="B3642" s="1">
        <v>45645</v>
      </c>
      <c r="C3642">
        <v>48</v>
      </c>
      <c r="D3642" t="s">
        <v>15</v>
      </c>
      <c r="E3642">
        <v>157.1</v>
      </c>
      <c r="F3642">
        <v>88.4</v>
      </c>
      <c r="G3642">
        <v>19050</v>
      </c>
      <c r="H3642">
        <v>900</v>
      </c>
      <c r="I3642">
        <v>5.3</v>
      </c>
      <c r="J3642">
        <v>84</v>
      </c>
      <c r="K3642" t="s">
        <v>16</v>
      </c>
      <c r="L3642">
        <v>0</v>
      </c>
      <c r="M3642">
        <v>1.32</v>
      </c>
      <c r="N3642">
        <v>3</v>
      </c>
      <c r="O3642" t="s">
        <v>17</v>
      </c>
      <c r="P3642" cm="1">
        <f t="array" ref="P3642">_xlfn.SWITCH(Table2[[#This Row],[mood]], "Tired", 3, "Neutral", 2, "Happy", 1)</f>
        <v>3</v>
      </c>
    </row>
    <row r="3643" spans="1:16" x14ac:dyDescent="0.3">
      <c r="A3643">
        <v>1212</v>
      </c>
      <c r="B3643" s="1">
        <v>45646</v>
      </c>
      <c r="C3643">
        <v>40</v>
      </c>
      <c r="D3643" t="s">
        <v>15</v>
      </c>
      <c r="E3643">
        <v>179</v>
      </c>
      <c r="F3643">
        <v>88.1</v>
      </c>
      <c r="G3643">
        <v>5344</v>
      </c>
      <c r="H3643">
        <v>448.3</v>
      </c>
      <c r="I3643">
        <v>5.8</v>
      </c>
      <c r="J3643">
        <v>73</v>
      </c>
      <c r="K3643" t="s">
        <v>18</v>
      </c>
      <c r="L3643">
        <v>55</v>
      </c>
      <c r="M3643">
        <v>2.5299999999999998</v>
      </c>
      <c r="N3643">
        <v>7</v>
      </c>
      <c r="O3643" t="s">
        <v>21</v>
      </c>
      <c r="P3643" cm="1">
        <f t="array" ref="P3643">_xlfn.SWITCH(Table2[[#This Row],[mood]], "Tired", 3, "Neutral", 2, "Happy", 1)</f>
        <v>1</v>
      </c>
    </row>
    <row r="3644" spans="1:16" x14ac:dyDescent="0.3">
      <c r="A3644">
        <v>1462</v>
      </c>
      <c r="B3644" s="1">
        <v>45647</v>
      </c>
      <c r="C3644">
        <v>34</v>
      </c>
      <c r="D3644" t="s">
        <v>15</v>
      </c>
      <c r="E3644">
        <v>184.7</v>
      </c>
      <c r="F3644">
        <v>71</v>
      </c>
      <c r="G3644">
        <v>12833</v>
      </c>
      <c r="H3644">
        <v>690.1</v>
      </c>
      <c r="I3644">
        <v>10</v>
      </c>
      <c r="J3644">
        <v>72</v>
      </c>
      <c r="K3644" t="s">
        <v>18</v>
      </c>
      <c r="L3644">
        <v>40</v>
      </c>
      <c r="M3644">
        <v>2.68</v>
      </c>
      <c r="N3644">
        <v>4</v>
      </c>
      <c r="O3644" t="s">
        <v>19</v>
      </c>
      <c r="P3644" cm="1">
        <f t="array" ref="P3644">_xlfn.SWITCH(Table2[[#This Row],[mood]], "Tired", 3, "Neutral", 2, "Happy", 1)</f>
        <v>2</v>
      </c>
    </row>
    <row r="3645" spans="1:16" x14ac:dyDescent="0.3">
      <c r="A3645">
        <v>1435</v>
      </c>
      <c r="B3645" s="1">
        <v>45648</v>
      </c>
      <c r="C3645">
        <v>51</v>
      </c>
      <c r="D3645" t="s">
        <v>20</v>
      </c>
      <c r="E3645">
        <v>173.8</v>
      </c>
      <c r="F3645">
        <v>87.6</v>
      </c>
      <c r="G3645">
        <v>2259</v>
      </c>
      <c r="H3645">
        <v>350.2</v>
      </c>
      <c r="I3645">
        <v>5.8</v>
      </c>
      <c r="J3645">
        <v>63</v>
      </c>
      <c r="K3645" t="s">
        <v>18</v>
      </c>
      <c r="L3645">
        <v>51</v>
      </c>
      <c r="M3645">
        <v>2.4500000000000002</v>
      </c>
      <c r="N3645">
        <v>4</v>
      </c>
      <c r="O3645" t="s">
        <v>21</v>
      </c>
      <c r="P3645" cm="1">
        <f t="array" ref="P3645">_xlfn.SWITCH(Table2[[#This Row],[mood]], "Tired", 3, "Neutral", 2, "Happy", 1)</f>
        <v>1</v>
      </c>
    </row>
    <row r="3646" spans="1:16" x14ac:dyDescent="0.3">
      <c r="A3646">
        <v>1282</v>
      </c>
      <c r="B3646" s="1">
        <v>45649</v>
      </c>
      <c r="C3646">
        <v>30</v>
      </c>
      <c r="D3646" t="s">
        <v>15</v>
      </c>
      <c r="E3646">
        <v>168.6</v>
      </c>
      <c r="F3646">
        <v>58.5</v>
      </c>
      <c r="G3646">
        <v>19604</v>
      </c>
      <c r="H3646">
        <v>900</v>
      </c>
      <c r="I3646">
        <v>6.2</v>
      </c>
      <c r="J3646">
        <v>83</v>
      </c>
      <c r="K3646" t="s">
        <v>24</v>
      </c>
      <c r="L3646">
        <v>82</v>
      </c>
      <c r="M3646">
        <v>3.76</v>
      </c>
      <c r="N3646">
        <v>7</v>
      </c>
      <c r="O3646" t="s">
        <v>17</v>
      </c>
      <c r="P3646" cm="1">
        <f t="array" ref="P3646">_xlfn.SWITCH(Table2[[#This Row],[mood]], "Tired", 3, "Neutral", 2, "Happy", 1)</f>
        <v>3</v>
      </c>
    </row>
    <row r="3647" spans="1:16" x14ac:dyDescent="0.3">
      <c r="A3647">
        <v>1561</v>
      </c>
      <c r="B3647" s="1">
        <v>45650</v>
      </c>
      <c r="C3647">
        <v>31</v>
      </c>
      <c r="D3647" t="s">
        <v>15</v>
      </c>
      <c r="E3647">
        <v>172.5</v>
      </c>
      <c r="F3647">
        <v>73.400000000000006</v>
      </c>
      <c r="G3647">
        <v>14859</v>
      </c>
      <c r="H3647">
        <v>829.5</v>
      </c>
      <c r="I3647">
        <v>6.6</v>
      </c>
      <c r="J3647">
        <v>77</v>
      </c>
      <c r="K3647" t="s">
        <v>24</v>
      </c>
      <c r="L3647">
        <v>32</v>
      </c>
      <c r="M3647">
        <v>2.41</v>
      </c>
      <c r="N3647">
        <v>7</v>
      </c>
      <c r="O3647" t="s">
        <v>21</v>
      </c>
      <c r="P3647" cm="1">
        <f t="array" ref="P3647">_xlfn.SWITCH(Table2[[#This Row],[mood]], "Tired", 3, "Neutral", 2, "Happy", 1)</f>
        <v>1</v>
      </c>
    </row>
    <row r="3648" spans="1:16" x14ac:dyDescent="0.3">
      <c r="A3648">
        <v>1606</v>
      </c>
      <c r="B3648" s="1">
        <v>45651</v>
      </c>
      <c r="C3648">
        <v>28</v>
      </c>
      <c r="D3648" t="s">
        <v>15</v>
      </c>
      <c r="E3648">
        <v>165.6</v>
      </c>
      <c r="F3648">
        <v>47.9</v>
      </c>
      <c r="G3648">
        <v>12030</v>
      </c>
      <c r="H3648">
        <v>731</v>
      </c>
      <c r="I3648">
        <v>6.5</v>
      </c>
      <c r="J3648">
        <v>79</v>
      </c>
      <c r="K3648" t="s">
        <v>18</v>
      </c>
      <c r="L3648">
        <v>56</v>
      </c>
      <c r="M3648">
        <v>0.9</v>
      </c>
      <c r="N3648">
        <v>1</v>
      </c>
      <c r="O3648" t="s">
        <v>17</v>
      </c>
      <c r="P3648" cm="1">
        <f t="array" ref="P3648">_xlfn.SWITCH(Table2[[#This Row],[mood]], "Tired", 3, "Neutral", 2, "Happy", 1)</f>
        <v>3</v>
      </c>
    </row>
    <row r="3649" spans="1:16" x14ac:dyDescent="0.3">
      <c r="A3649">
        <v>1462</v>
      </c>
      <c r="B3649" s="1">
        <v>45652</v>
      </c>
      <c r="C3649">
        <v>45</v>
      </c>
      <c r="D3649" t="s">
        <v>20</v>
      </c>
      <c r="E3649">
        <v>150</v>
      </c>
      <c r="F3649">
        <v>64.5</v>
      </c>
      <c r="G3649">
        <v>3447</v>
      </c>
      <c r="H3649">
        <v>278.89999999999998</v>
      </c>
      <c r="I3649">
        <v>9.6999999999999993</v>
      </c>
      <c r="J3649">
        <v>84</v>
      </c>
      <c r="K3649" t="s">
        <v>18</v>
      </c>
      <c r="L3649">
        <v>63</v>
      </c>
      <c r="M3649">
        <v>2.2200000000000002</v>
      </c>
      <c r="N3649">
        <v>1</v>
      </c>
      <c r="O3649" t="s">
        <v>21</v>
      </c>
      <c r="P3649" cm="1">
        <f t="array" ref="P3649">_xlfn.SWITCH(Table2[[#This Row],[mood]], "Tired", 3, "Neutral", 2, "Happy", 1)</f>
        <v>1</v>
      </c>
    </row>
    <row r="3650" spans="1:16" x14ac:dyDescent="0.3">
      <c r="A3650">
        <v>1406</v>
      </c>
      <c r="B3650" s="1">
        <v>45653</v>
      </c>
      <c r="C3650">
        <v>59</v>
      </c>
      <c r="D3650" t="s">
        <v>15</v>
      </c>
      <c r="E3650">
        <v>160.19999999999999</v>
      </c>
      <c r="F3650">
        <v>70.400000000000006</v>
      </c>
      <c r="G3650">
        <v>4129</v>
      </c>
      <c r="H3650">
        <v>331.8</v>
      </c>
      <c r="I3650">
        <v>4.4000000000000004</v>
      </c>
      <c r="J3650">
        <v>82</v>
      </c>
      <c r="K3650" t="s">
        <v>24</v>
      </c>
      <c r="L3650">
        <v>40</v>
      </c>
      <c r="M3650">
        <v>2.82</v>
      </c>
      <c r="N3650">
        <v>6</v>
      </c>
      <c r="O3650" t="s">
        <v>17</v>
      </c>
      <c r="P3650" cm="1">
        <f t="array" ref="P3650">_xlfn.SWITCH(Table2[[#This Row],[mood]], "Tired", 3, "Neutral", 2, "Happy", 1)</f>
        <v>3</v>
      </c>
    </row>
    <row r="3651" spans="1:16" x14ac:dyDescent="0.3">
      <c r="A3651">
        <v>1087</v>
      </c>
      <c r="B3651" s="1">
        <v>45654</v>
      </c>
      <c r="C3651">
        <v>49</v>
      </c>
      <c r="D3651" t="s">
        <v>20</v>
      </c>
      <c r="E3651">
        <v>169.9</v>
      </c>
      <c r="F3651">
        <v>45</v>
      </c>
      <c r="G3651">
        <v>19282</v>
      </c>
      <c r="H3651">
        <v>900</v>
      </c>
      <c r="I3651">
        <v>10</v>
      </c>
      <c r="J3651">
        <v>66</v>
      </c>
      <c r="K3651" t="s">
        <v>22</v>
      </c>
      <c r="L3651">
        <v>37</v>
      </c>
      <c r="M3651">
        <v>2.77</v>
      </c>
      <c r="N3651">
        <v>2</v>
      </c>
      <c r="O3651" t="s">
        <v>21</v>
      </c>
      <c r="P3651" cm="1">
        <f t="array" ref="P3651">_xlfn.SWITCH(Table2[[#This Row],[mood]], "Tired", 3, "Neutral", 2, "Happy", 1)</f>
        <v>1</v>
      </c>
    </row>
    <row r="3652" spans="1:16" x14ac:dyDescent="0.3">
      <c r="A3652">
        <v>1043</v>
      </c>
      <c r="B3652" s="1">
        <v>45655</v>
      </c>
      <c r="C3652">
        <v>52</v>
      </c>
      <c r="D3652" t="s">
        <v>20</v>
      </c>
      <c r="E3652">
        <v>160.6</v>
      </c>
      <c r="F3652">
        <v>78.900000000000006</v>
      </c>
      <c r="G3652">
        <v>8697</v>
      </c>
      <c r="H3652">
        <v>601.9</v>
      </c>
      <c r="I3652">
        <v>7.2</v>
      </c>
      <c r="J3652">
        <v>75</v>
      </c>
      <c r="K3652" t="s">
        <v>16</v>
      </c>
      <c r="L3652">
        <v>0</v>
      </c>
      <c r="M3652">
        <v>2.38</v>
      </c>
      <c r="N3652">
        <v>3</v>
      </c>
      <c r="O3652" t="s">
        <v>21</v>
      </c>
      <c r="P3652" cm="1">
        <f t="array" ref="P3652">_xlfn.SWITCH(Table2[[#This Row],[mood]], "Tired", 3, "Neutral", 2, "Happy", 1)</f>
        <v>1</v>
      </c>
    </row>
    <row r="3653" spans="1:16" x14ac:dyDescent="0.3">
      <c r="A3653">
        <v>1460</v>
      </c>
      <c r="B3653" s="1">
        <v>45656</v>
      </c>
      <c r="C3653">
        <v>48</v>
      </c>
      <c r="D3653" t="s">
        <v>15</v>
      </c>
      <c r="E3653">
        <v>165.9</v>
      </c>
      <c r="F3653">
        <v>81.400000000000006</v>
      </c>
      <c r="G3653">
        <v>4949</v>
      </c>
      <c r="H3653">
        <v>339.2</v>
      </c>
      <c r="I3653">
        <v>8.4</v>
      </c>
      <c r="J3653">
        <v>79</v>
      </c>
      <c r="K3653" t="s">
        <v>25</v>
      </c>
      <c r="L3653">
        <v>66</v>
      </c>
      <c r="M3653">
        <v>2.2599999999999998</v>
      </c>
      <c r="N3653">
        <v>2</v>
      </c>
      <c r="O3653" t="s">
        <v>21</v>
      </c>
      <c r="P3653" cm="1">
        <f t="array" ref="P3653">_xlfn.SWITCH(Table2[[#This Row],[mood]], "Tired", 3, "Neutral", 2, "Happy", 1)</f>
        <v>1</v>
      </c>
    </row>
    <row r="3654" spans="1:16" x14ac:dyDescent="0.3">
      <c r="A3654">
        <v>1277</v>
      </c>
      <c r="B3654" s="1">
        <v>45657</v>
      </c>
      <c r="C3654">
        <v>34</v>
      </c>
      <c r="D3654" t="s">
        <v>15</v>
      </c>
      <c r="E3654">
        <v>174.8</v>
      </c>
      <c r="F3654">
        <v>85.2</v>
      </c>
      <c r="G3654">
        <v>11659</v>
      </c>
      <c r="H3654">
        <v>682.6</v>
      </c>
      <c r="I3654">
        <v>7</v>
      </c>
      <c r="J3654">
        <v>80</v>
      </c>
      <c r="K3654" t="s">
        <v>23</v>
      </c>
      <c r="L3654">
        <v>45</v>
      </c>
      <c r="M3654">
        <v>1.1000000000000001</v>
      </c>
      <c r="N3654">
        <v>2</v>
      </c>
      <c r="O3654" t="s">
        <v>21</v>
      </c>
      <c r="P3654" cm="1">
        <f t="array" ref="P3654">_xlfn.SWITCH(Table2[[#This Row],[mood]], "Tired", 3, "Neutral", 2, "Happy", 1)</f>
        <v>1</v>
      </c>
    </row>
    <row r="3655" spans="1:16" x14ac:dyDescent="0.3">
      <c r="A3655">
        <v>1682</v>
      </c>
      <c r="B3655" s="1">
        <v>45658</v>
      </c>
      <c r="C3655">
        <v>26</v>
      </c>
      <c r="D3655" t="s">
        <v>15</v>
      </c>
      <c r="E3655">
        <v>171.5</v>
      </c>
      <c r="F3655">
        <v>105</v>
      </c>
      <c r="G3655">
        <v>9010</v>
      </c>
      <c r="H3655">
        <v>596.70000000000005</v>
      </c>
      <c r="I3655">
        <v>8.1999999999999993</v>
      </c>
      <c r="J3655">
        <v>59</v>
      </c>
      <c r="K3655" t="s">
        <v>18</v>
      </c>
      <c r="L3655">
        <v>24</v>
      </c>
      <c r="M3655">
        <v>2.56</v>
      </c>
      <c r="N3655">
        <v>8</v>
      </c>
      <c r="O3655" t="s">
        <v>21</v>
      </c>
      <c r="P3655" cm="1">
        <f t="array" ref="P3655">_xlfn.SWITCH(Table2[[#This Row],[mood]], "Tired", 3, "Neutral", 2, "Happy", 1)</f>
        <v>1</v>
      </c>
    </row>
    <row r="3656" spans="1:16" x14ac:dyDescent="0.3">
      <c r="A3656">
        <v>1420</v>
      </c>
      <c r="B3656" s="1">
        <v>45659</v>
      </c>
      <c r="C3656">
        <v>27</v>
      </c>
      <c r="D3656" t="s">
        <v>20</v>
      </c>
      <c r="E3656">
        <v>180.6</v>
      </c>
      <c r="F3656">
        <v>76.3</v>
      </c>
      <c r="G3656">
        <v>17400</v>
      </c>
      <c r="H3656">
        <v>900</v>
      </c>
      <c r="I3656">
        <v>5.6</v>
      </c>
      <c r="J3656">
        <v>65</v>
      </c>
      <c r="K3656" t="s">
        <v>24</v>
      </c>
      <c r="L3656">
        <v>24</v>
      </c>
      <c r="M3656">
        <v>2.2599999999999998</v>
      </c>
      <c r="N3656">
        <v>8</v>
      </c>
      <c r="O3656" t="s">
        <v>19</v>
      </c>
      <c r="P3656" cm="1">
        <f t="array" ref="P3656">_xlfn.SWITCH(Table2[[#This Row],[mood]], "Tired", 3, "Neutral", 2, "Happy", 1)</f>
        <v>2</v>
      </c>
    </row>
    <row r="3657" spans="1:16" x14ac:dyDescent="0.3">
      <c r="A3657">
        <v>1700</v>
      </c>
      <c r="B3657" s="1">
        <v>45660</v>
      </c>
      <c r="C3657">
        <v>25</v>
      </c>
      <c r="D3657" t="s">
        <v>20</v>
      </c>
      <c r="E3657">
        <v>172.9</v>
      </c>
      <c r="F3657">
        <v>69</v>
      </c>
      <c r="G3657">
        <v>8959</v>
      </c>
      <c r="H3657">
        <v>622.1</v>
      </c>
      <c r="I3657">
        <v>5</v>
      </c>
      <c r="J3657">
        <v>82</v>
      </c>
      <c r="K3657" t="s">
        <v>18</v>
      </c>
      <c r="L3657">
        <v>50</v>
      </c>
      <c r="M3657">
        <v>2.67</v>
      </c>
      <c r="N3657">
        <v>6</v>
      </c>
      <c r="O3657" t="s">
        <v>19</v>
      </c>
      <c r="P3657" cm="1">
        <f t="array" ref="P3657">_xlfn.SWITCH(Table2[[#This Row],[mood]], "Tired", 3, "Neutral", 2, "Happy", 1)</f>
        <v>2</v>
      </c>
    </row>
    <row r="3658" spans="1:16" x14ac:dyDescent="0.3">
      <c r="A3658">
        <v>1352</v>
      </c>
      <c r="B3658" s="1">
        <v>45661</v>
      </c>
      <c r="C3658">
        <v>38</v>
      </c>
      <c r="D3658" t="s">
        <v>20</v>
      </c>
      <c r="E3658">
        <v>173.5</v>
      </c>
      <c r="F3658">
        <v>46</v>
      </c>
      <c r="G3658">
        <v>7241</v>
      </c>
      <c r="H3658">
        <v>393.4</v>
      </c>
      <c r="I3658">
        <v>10</v>
      </c>
      <c r="J3658">
        <v>81</v>
      </c>
      <c r="K3658" t="s">
        <v>18</v>
      </c>
      <c r="L3658">
        <v>47</v>
      </c>
      <c r="M3658">
        <v>2.84</v>
      </c>
      <c r="N3658">
        <v>3</v>
      </c>
      <c r="O3658" t="s">
        <v>21</v>
      </c>
      <c r="P3658" cm="1">
        <f t="array" ref="P3658">_xlfn.SWITCH(Table2[[#This Row],[mood]], "Tired", 3, "Neutral", 2, "Happy", 1)</f>
        <v>1</v>
      </c>
    </row>
    <row r="3659" spans="1:16" x14ac:dyDescent="0.3">
      <c r="A3659">
        <v>1695</v>
      </c>
      <c r="B3659" s="1">
        <v>45662</v>
      </c>
      <c r="C3659">
        <v>30</v>
      </c>
      <c r="D3659" t="s">
        <v>20</v>
      </c>
      <c r="E3659">
        <v>162.9</v>
      </c>
      <c r="F3659">
        <v>75.900000000000006</v>
      </c>
      <c r="G3659">
        <v>15787</v>
      </c>
      <c r="H3659">
        <v>861.9</v>
      </c>
      <c r="I3659">
        <v>9.9</v>
      </c>
      <c r="J3659">
        <v>91</v>
      </c>
      <c r="K3659" t="s">
        <v>18</v>
      </c>
      <c r="L3659">
        <v>84</v>
      </c>
      <c r="M3659">
        <v>3.37</v>
      </c>
      <c r="N3659">
        <v>5</v>
      </c>
      <c r="O3659" t="s">
        <v>17</v>
      </c>
      <c r="P3659" cm="1">
        <f t="array" ref="P3659">_xlfn.SWITCH(Table2[[#This Row],[mood]], "Tired", 3, "Neutral", 2, "Happy", 1)</f>
        <v>3</v>
      </c>
    </row>
    <row r="3660" spans="1:16" x14ac:dyDescent="0.3">
      <c r="A3660">
        <v>1514</v>
      </c>
      <c r="B3660" s="1">
        <v>45663</v>
      </c>
      <c r="C3660">
        <v>22</v>
      </c>
      <c r="D3660" t="s">
        <v>20</v>
      </c>
      <c r="E3660">
        <v>156.69999999999999</v>
      </c>
      <c r="F3660">
        <v>78.400000000000006</v>
      </c>
      <c r="G3660">
        <v>8906</v>
      </c>
      <c r="H3660">
        <v>547.20000000000005</v>
      </c>
      <c r="I3660">
        <v>5.4</v>
      </c>
      <c r="J3660">
        <v>59</v>
      </c>
      <c r="K3660" t="s">
        <v>18</v>
      </c>
      <c r="L3660">
        <v>32</v>
      </c>
      <c r="M3660">
        <v>1.83</v>
      </c>
      <c r="N3660">
        <v>7</v>
      </c>
      <c r="O3660" t="s">
        <v>17</v>
      </c>
      <c r="P3660" cm="1">
        <f t="array" ref="P3660">_xlfn.SWITCH(Table2[[#This Row],[mood]], "Tired", 3, "Neutral", 2, "Happy", 1)</f>
        <v>3</v>
      </c>
    </row>
    <row r="3661" spans="1:16" x14ac:dyDescent="0.3">
      <c r="A3661">
        <v>1702</v>
      </c>
      <c r="B3661" s="1">
        <v>45664</v>
      </c>
      <c r="C3661">
        <v>23</v>
      </c>
      <c r="D3661" t="s">
        <v>20</v>
      </c>
      <c r="E3661">
        <v>165.9</v>
      </c>
      <c r="F3661">
        <v>49.7</v>
      </c>
      <c r="G3661">
        <v>14185</v>
      </c>
      <c r="H3661">
        <v>692.1</v>
      </c>
      <c r="I3661">
        <v>8.1</v>
      </c>
      <c r="J3661">
        <v>84</v>
      </c>
      <c r="K3661" t="s">
        <v>22</v>
      </c>
      <c r="L3661">
        <v>37</v>
      </c>
      <c r="M3661">
        <v>1.59</v>
      </c>
      <c r="N3661">
        <v>5</v>
      </c>
      <c r="O3661" t="s">
        <v>19</v>
      </c>
      <c r="P3661" cm="1">
        <f t="array" ref="P3661">_xlfn.SWITCH(Table2[[#This Row],[mood]], "Tired", 3, "Neutral", 2, "Happy", 1)</f>
        <v>2</v>
      </c>
    </row>
    <row r="3662" spans="1:16" x14ac:dyDescent="0.3">
      <c r="A3662">
        <v>1629</v>
      </c>
      <c r="B3662" s="1">
        <v>45665</v>
      </c>
      <c r="C3662">
        <v>47</v>
      </c>
      <c r="D3662" t="s">
        <v>15</v>
      </c>
      <c r="E3662">
        <v>162.69999999999999</v>
      </c>
      <c r="F3662">
        <v>66.400000000000006</v>
      </c>
      <c r="G3662">
        <v>14303</v>
      </c>
      <c r="H3662">
        <v>718.1</v>
      </c>
      <c r="I3662">
        <v>8.6999999999999993</v>
      </c>
      <c r="J3662">
        <v>79</v>
      </c>
      <c r="K3662" t="s">
        <v>23</v>
      </c>
      <c r="L3662">
        <v>43</v>
      </c>
      <c r="M3662">
        <v>2.1</v>
      </c>
      <c r="N3662">
        <v>7</v>
      </c>
      <c r="O3662" t="s">
        <v>19</v>
      </c>
      <c r="P3662" cm="1">
        <f t="array" ref="P3662">_xlfn.SWITCH(Table2[[#This Row],[mood]], "Tired", 3, "Neutral", 2, "Happy", 1)</f>
        <v>2</v>
      </c>
    </row>
    <row r="3663" spans="1:16" x14ac:dyDescent="0.3">
      <c r="A3663">
        <v>1018</v>
      </c>
      <c r="B3663" s="1">
        <v>45666</v>
      </c>
      <c r="C3663">
        <v>48</v>
      </c>
      <c r="D3663" t="s">
        <v>15</v>
      </c>
      <c r="E3663">
        <v>168.3</v>
      </c>
      <c r="F3663">
        <v>70.2</v>
      </c>
      <c r="G3663">
        <v>2266</v>
      </c>
      <c r="H3663">
        <v>368.9</v>
      </c>
      <c r="I3663">
        <v>8</v>
      </c>
      <c r="J3663">
        <v>64</v>
      </c>
      <c r="K3663" t="s">
        <v>23</v>
      </c>
      <c r="L3663">
        <v>48</v>
      </c>
      <c r="M3663">
        <v>1.99</v>
      </c>
      <c r="N3663">
        <v>10</v>
      </c>
      <c r="O3663" t="s">
        <v>19</v>
      </c>
      <c r="P3663" cm="1">
        <f t="array" ref="P3663">_xlfn.SWITCH(Table2[[#This Row],[mood]], "Tired", 3, "Neutral", 2, "Happy", 1)</f>
        <v>2</v>
      </c>
    </row>
    <row r="3664" spans="1:16" x14ac:dyDescent="0.3">
      <c r="A3664">
        <v>1022</v>
      </c>
      <c r="B3664" s="1">
        <v>45667</v>
      </c>
      <c r="C3664">
        <v>34</v>
      </c>
      <c r="D3664" t="s">
        <v>20</v>
      </c>
      <c r="E3664">
        <v>159.30000000000001</v>
      </c>
      <c r="F3664">
        <v>77.900000000000006</v>
      </c>
      <c r="G3664">
        <v>1478</v>
      </c>
      <c r="H3664">
        <v>290.7</v>
      </c>
      <c r="I3664">
        <v>6.7</v>
      </c>
      <c r="J3664">
        <v>57</v>
      </c>
      <c r="K3664" t="s">
        <v>24</v>
      </c>
      <c r="L3664">
        <v>47</v>
      </c>
      <c r="M3664">
        <v>1.92</v>
      </c>
      <c r="N3664">
        <v>7</v>
      </c>
      <c r="O3664" t="s">
        <v>17</v>
      </c>
      <c r="P3664" cm="1">
        <f t="array" ref="P3664">_xlfn.SWITCH(Table2[[#This Row],[mood]], "Tired", 3, "Neutral", 2, "Happy", 1)</f>
        <v>3</v>
      </c>
    </row>
    <row r="3665" spans="1:16" x14ac:dyDescent="0.3">
      <c r="A3665">
        <v>1412</v>
      </c>
      <c r="B3665" s="1">
        <v>45668</v>
      </c>
      <c r="C3665">
        <v>28</v>
      </c>
      <c r="D3665" t="s">
        <v>15</v>
      </c>
      <c r="E3665">
        <v>178.4</v>
      </c>
      <c r="F3665">
        <v>82.8</v>
      </c>
      <c r="G3665">
        <v>4977</v>
      </c>
      <c r="H3665">
        <v>439.2</v>
      </c>
      <c r="I3665">
        <v>10</v>
      </c>
      <c r="J3665">
        <v>84</v>
      </c>
      <c r="K3665" t="s">
        <v>22</v>
      </c>
      <c r="L3665">
        <v>64</v>
      </c>
      <c r="M3665">
        <v>3.51</v>
      </c>
      <c r="N3665">
        <v>4</v>
      </c>
      <c r="O3665" t="s">
        <v>19</v>
      </c>
      <c r="P3665" cm="1">
        <f t="array" ref="P3665">_xlfn.SWITCH(Table2[[#This Row],[mood]], "Tired", 3, "Neutral", 2, "Happy", 1)</f>
        <v>2</v>
      </c>
    </row>
    <row r="3666" spans="1:16" x14ac:dyDescent="0.3">
      <c r="A3666">
        <v>1029</v>
      </c>
      <c r="B3666" s="1">
        <v>45669</v>
      </c>
      <c r="C3666">
        <v>37</v>
      </c>
      <c r="D3666" t="s">
        <v>15</v>
      </c>
      <c r="E3666">
        <v>162.69999999999999</v>
      </c>
      <c r="F3666">
        <v>62</v>
      </c>
      <c r="G3666">
        <v>7068</v>
      </c>
      <c r="H3666">
        <v>530.70000000000005</v>
      </c>
      <c r="I3666">
        <v>8</v>
      </c>
      <c r="J3666">
        <v>65</v>
      </c>
      <c r="K3666" t="s">
        <v>22</v>
      </c>
      <c r="L3666">
        <v>30</v>
      </c>
      <c r="M3666">
        <v>2.6</v>
      </c>
      <c r="N3666">
        <v>10</v>
      </c>
      <c r="O3666" t="s">
        <v>19</v>
      </c>
      <c r="P3666" cm="1">
        <f t="array" ref="P3666">_xlfn.SWITCH(Table2[[#This Row],[mood]], "Tired", 3, "Neutral", 2, "Happy", 1)</f>
        <v>2</v>
      </c>
    </row>
    <row r="3667" spans="1:16" x14ac:dyDescent="0.3">
      <c r="A3667">
        <v>1806</v>
      </c>
      <c r="B3667" s="1">
        <v>45670</v>
      </c>
      <c r="C3667">
        <v>26</v>
      </c>
      <c r="D3667" t="s">
        <v>20</v>
      </c>
      <c r="E3667">
        <v>166.4</v>
      </c>
      <c r="F3667">
        <v>73</v>
      </c>
      <c r="G3667">
        <v>12736</v>
      </c>
      <c r="H3667">
        <v>641.6</v>
      </c>
      <c r="I3667">
        <v>5.6</v>
      </c>
      <c r="J3667">
        <v>62</v>
      </c>
      <c r="K3667" t="s">
        <v>23</v>
      </c>
      <c r="L3667">
        <v>70</v>
      </c>
      <c r="M3667">
        <v>3.88</v>
      </c>
      <c r="N3667">
        <v>10</v>
      </c>
      <c r="O3667" t="s">
        <v>19</v>
      </c>
      <c r="P3667" cm="1">
        <f t="array" ref="P3667">_xlfn.SWITCH(Table2[[#This Row],[mood]], "Tired", 3, "Neutral", 2, "Happy", 1)</f>
        <v>2</v>
      </c>
    </row>
    <row r="3668" spans="1:16" x14ac:dyDescent="0.3">
      <c r="A3668">
        <v>1107</v>
      </c>
      <c r="B3668" s="1">
        <v>45671</v>
      </c>
      <c r="C3668">
        <v>19</v>
      </c>
      <c r="D3668" t="s">
        <v>20</v>
      </c>
      <c r="E3668">
        <v>169.8</v>
      </c>
      <c r="F3668">
        <v>78.599999999999994</v>
      </c>
      <c r="G3668">
        <v>13740</v>
      </c>
      <c r="H3668">
        <v>761.9</v>
      </c>
      <c r="I3668">
        <v>6.4</v>
      </c>
      <c r="J3668">
        <v>80</v>
      </c>
      <c r="K3668" t="s">
        <v>24</v>
      </c>
      <c r="L3668">
        <v>78</v>
      </c>
      <c r="M3668">
        <v>2.5</v>
      </c>
      <c r="N3668">
        <v>6</v>
      </c>
      <c r="O3668" t="s">
        <v>21</v>
      </c>
      <c r="P3668" cm="1">
        <f t="array" ref="P3668">_xlfn.SWITCH(Table2[[#This Row],[mood]], "Tired", 3, "Neutral", 2, "Happy", 1)</f>
        <v>1</v>
      </c>
    </row>
    <row r="3669" spans="1:16" x14ac:dyDescent="0.3">
      <c r="A3669">
        <v>1366</v>
      </c>
      <c r="B3669" s="1">
        <v>45672</v>
      </c>
      <c r="C3669">
        <v>54</v>
      </c>
      <c r="D3669" t="s">
        <v>15</v>
      </c>
      <c r="E3669">
        <v>181.2</v>
      </c>
      <c r="F3669">
        <v>67.3</v>
      </c>
      <c r="G3669">
        <v>8791</v>
      </c>
      <c r="H3669">
        <v>606.6</v>
      </c>
      <c r="I3669">
        <v>5.4</v>
      </c>
      <c r="J3669">
        <v>75</v>
      </c>
      <c r="K3669" t="s">
        <v>22</v>
      </c>
      <c r="L3669">
        <v>32</v>
      </c>
      <c r="M3669">
        <v>1.68</v>
      </c>
      <c r="N3669">
        <v>9</v>
      </c>
      <c r="O3669" t="s">
        <v>21</v>
      </c>
      <c r="P3669" cm="1">
        <f t="array" ref="P3669">_xlfn.SWITCH(Table2[[#This Row],[mood]], "Tired", 3, "Neutral", 2, "Happy", 1)</f>
        <v>1</v>
      </c>
    </row>
    <row r="3670" spans="1:16" x14ac:dyDescent="0.3">
      <c r="A3670">
        <v>1280</v>
      </c>
      <c r="B3670" s="1">
        <v>45673</v>
      </c>
      <c r="C3670">
        <v>18</v>
      </c>
      <c r="D3670" t="s">
        <v>20</v>
      </c>
      <c r="E3670">
        <v>187.6</v>
      </c>
      <c r="F3670">
        <v>63.7</v>
      </c>
      <c r="G3670">
        <v>1485</v>
      </c>
      <c r="H3670">
        <v>239.3</v>
      </c>
      <c r="I3670">
        <v>6.8</v>
      </c>
      <c r="J3670">
        <v>81</v>
      </c>
      <c r="K3670" t="s">
        <v>24</v>
      </c>
      <c r="L3670">
        <v>66</v>
      </c>
      <c r="M3670">
        <v>1.93</v>
      </c>
      <c r="N3670">
        <v>4</v>
      </c>
      <c r="O3670" t="s">
        <v>19</v>
      </c>
      <c r="P3670" cm="1">
        <f t="array" ref="P3670">_xlfn.SWITCH(Table2[[#This Row],[mood]], "Tired", 3, "Neutral", 2, "Happy", 1)</f>
        <v>2</v>
      </c>
    </row>
    <row r="3671" spans="1:16" x14ac:dyDescent="0.3">
      <c r="A3671">
        <v>1127</v>
      </c>
      <c r="B3671" s="1">
        <v>45674</v>
      </c>
      <c r="C3671">
        <v>21</v>
      </c>
      <c r="D3671" t="s">
        <v>20</v>
      </c>
      <c r="E3671">
        <v>188.3</v>
      </c>
      <c r="F3671">
        <v>80.7</v>
      </c>
      <c r="G3671">
        <v>13280</v>
      </c>
      <c r="H3671">
        <v>799.3</v>
      </c>
      <c r="I3671">
        <v>6.8</v>
      </c>
      <c r="J3671">
        <v>79</v>
      </c>
      <c r="K3671" t="s">
        <v>23</v>
      </c>
      <c r="L3671">
        <v>62</v>
      </c>
      <c r="M3671">
        <v>3.22</v>
      </c>
      <c r="N3671">
        <v>10</v>
      </c>
      <c r="O3671" t="s">
        <v>17</v>
      </c>
      <c r="P3671" cm="1">
        <f t="array" ref="P3671">_xlfn.SWITCH(Table2[[#This Row],[mood]], "Tired", 3, "Neutral", 2, "Happy", 1)</f>
        <v>3</v>
      </c>
    </row>
    <row r="3672" spans="1:16" x14ac:dyDescent="0.3">
      <c r="A3672">
        <v>1228</v>
      </c>
      <c r="B3672" s="1">
        <v>45675</v>
      </c>
      <c r="C3672">
        <v>53</v>
      </c>
      <c r="D3672" t="s">
        <v>15</v>
      </c>
      <c r="E3672">
        <v>157.19999999999999</v>
      </c>
      <c r="F3672">
        <v>67.3</v>
      </c>
      <c r="G3672">
        <v>5673</v>
      </c>
      <c r="H3672">
        <v>396.3</v>
      </c>
      <c r="I3672">
        <v>8.1</v>
      </c>
      <c r="J3672">
        <v>108</v>
      </c>
      <c r="K3672" t="s">
        <v>18</v>
      </c>
      <c r="L3672">
        <v>43</v>
      </c>
      <c r="M3672">
        <v>1.71</v>
      </c>
      <c r="N3672">
        <v>1</v>
      </c>
      <c r="O3672" t="s">
        <v>21</v>
      </c>
      <c r="P3672" cm="1">
        <f t="array" ref="P3672">_xlfn.SWITCH(Table2[[#This Row],[mood]], "Tired", 3, "Neutral", 2, "Happy", 1)</f>
        <v>1</v>
      </c>
    </row>
    <row r="3673" spans="1:16" x14ac:dyDescent="0.3">
      <c r="A3673">
        <v>1110</v>
      </c>
      <c r="B3673" s="1">
        <v>45676</v>
      </c>
      <c r="C3673">
        <v>42</v>
      </c>
      <c r="D3673" t="s">
        <v>20</v>
      </c>
      <c r="E3673">
        <v>166.3</v>
      </c>
      <c r="F3673">
        <v>52</v>
      </c>
      <c r="G3673">
        <v>1337</v>
      </c>
      <c r="H3673">
        <v>259.7</v>
      </c>
      <c r="I3673">
        <v>8.1</v>
      </c>
      <c r="J3673">
        <v>82</v>
      </c>
      <c r="K3673" t="s">
        <v>16</v>
      </c>
      <c r="L3673">
        <v>0</v>
      </c>
      <c r="M3673">
        <v>2.89</v>
      </c>
      <c r="N3673">
        <v>8</v>
      </c>
      <c r="O3673" t="s">
        <v>19</v>
      </c>
      <c r="P3673" cm="1">
        <f t="array" ref="P3673">_xlfn.SWITCH(Table2[[#This Row],[mood]], "Tired", 3, "Neutral", 2, "Happy", 1)</f>
        <v>2</v>
      </c>
    </row>
    <row r="3674" spans="1:16" x14ac:dyDescent="0.3">
      <c r="A3674">
        <v>1135</v>
      </c>
      <c r="B3674" s="1">
        <v>45677</v>
      </c>
      <c r="C3674">
        <v>20</v>
      </c>
      <c r="D3674" t="s">
        <v>15</v>
      </c>
      <c r="E3674">
        <v>164.4</v>
      </c>
      <c r="F3674">
        <v>90.6</v>
      </c>
      <c r="G3674">
        <v>16092</v>
      </c>
      <c r="H3674">
        <v>863.6</v>
      </c>
      <c r="I3674">
        <v>7.6</v>
      </c>
      <c r="J3674">
        <v>82</v>
      </c>
      <c r="K3674" t="s">
        <v>16</v>
      </c>
      <c r="L3674">
        <v>0</v>
      </c>
      <c r="M3674">
        <v>2.25</v>
      </c>
      <c r="N3674">
        <v>4</v>
      </c>
      <c r="O3674" t="s">
        <v>21</v>
      </c>
      <c r="P3674" cm="1">
        <f t="array" ref="P3674">_xlfn.SWITCH(Table2[[#This Row],[mood]], "Tired", 3, "Neutral", 2, "Happy", 1)</f>
        <v>1</v>
      </c>
    </row>
    <row r="3675" spans="1:16" x14ac:dyDescent="0.3">
      <c r="A3675">
        <v>1361</v>
      </c>
      <c r="B3675" s="1">
        <v>45678</v>
      </c>
      <c r="C3675">
        <v>26</v>
      </c>
      <c r="D3675" t="s">
        <v>15</v>
      </c>
      <c r="E3675">
        <v>173.7</v>
      </c>
      <c r="F3675">
        <v>53.7</v>
      </c>
      <c r="G3675">
        <v>3003</v>
      </c>
      <c r="H3675">
        <v>357.8</v>
      </c>
      <c r="I3675">
        <v>7.5</v>
      </c>
      <c r="J3675">
        <v>66</v>
      </c>
      <c r="K3675" t="s">
        <v>16</v>
      </c>
      <c r="L3675">
        <v>0</v>
      </c>
      <c r="M3675">
        <v>1.85</v>
      </c>
      <c r="N3675">
        <v>8</v>
      </c>
      <c r="O3675" t="s">
        <v>17</v>
      </c>
      <c r="P3675" cm="1">
        <f t="array" ref="P3675">_xlfn.SWITCH(Table2[[#This Row],[mood]], "Tired", 3, "Neutral", 2, "Happy", 1)</f>
        <v>3</v>
      </c>
    </row>
    <row r="3676" spans="1:16" x14ac:dyDescent="0.3">
      <c r="A3676">
        <v>1185</v>
      </c>
      <c r="B3676" s="1">
        <v>45679</v>
      </c>
      <c r="C3676">
        <v>39</v>
      </c>
      <c r="D3676" t="s">
        <v>15</v>
      </c>
      <c r="E3676">
        <v>173.1</v>
      </c>
      <c r="F3676">
        <v>68.599999999999994</v>
      </c>
      <c r="G3676">
        <v>2471</v>
      </c>
      <c r="H3676">
        <v>284.5</v>
      </c>
      <c r="I3676">
        <v>8.6</v>
      </c>
      <c r="J3676">
        <v>91</v>
      </c>
      <c r="K3676" t="s">
        <v>22</v>
      </c>
      <c r="L3676">
        <v>88</v>
      </c>
      <c r="M3676">
        <v>3.47</v>
      </c>
      <c r="N3676">
        <v>9</v>
      </c>
      <c r="O3676" t="s">
        <v>19</v>
      </c>
      <c r="P3676" cm="1">
        <f t="array" ref="P3676">_xlfn.SWITCH(Table2[[#This Row],[mood]], "Tired", 3, "Neutral", 2, "Happy", 1)</f>
        <v>2</v>
      </c>
    </row>
    <row r="3677" spans="1:16" x14ac:dyDescent="0.3">
      <c r="A3677">
        <v>1655</v>
      </c>
      <c r="B3677" s="1">
        <v>45680</v>
      </c>
      <c r="C3677">
        <v>40</v>
      </c>
      <c r="D3677" t="s">
        <v>15</v>
      </c>
      <c r="E3677">
        <v>164.2</v>
      </c>
      <c r="F3677">
        <v>74.8</v>
      </c>
      <c r="G3677">
        <v>19426</v>
      </c>
      <c r="H3677">
        <v>900</v>
      </c>
      <c r="I3677">
        <v>6.7</v>
      </c>
      <c r="J3677">
        <v>70</v>
      </c>
      <c r="K3677" t="s">
        <v>24</v>
      </c>
      <c r="L3677">
        <v>73</v>
      </c>
      <c r="M3677">
        <v>2.09</v>
      </c>
      <c r="N3677">
        <v>8</v>
      </c>
      <c r="O3677" t="s">
        <v>19</v>
      </c>
      <c r="P3677" cm="1">
        <f t="array" ref="P3677">_xlfn.SWITCH(Table2[[#This Row],[mood]], "Tired", 3, "Neutral", 2, "Happy", 1)</f>
        <v>2</v>
      </c>
    </row>
    <row r="3678" spans="1:16" x14ac:dyDescent="0.3">
      <c r="A3678">
        <v>1583</v>
      </c>
      <c r="B3678" s="1">
        <v>45681</v>
      </c>
      <c r="C3678">
        <v>29</v>
      </c>
      <c r="D3678" t="s">
        <v>15</v>
      </c>
      <c r="E3678">
        <v>163.4</v>
      </c>
      <c r="F3678">
        <v>76.8</v>
      </c>
      <c r="G3678">
        <v>12620</v>
      </c>
      <c r="H3678">
        <v>726.2</v>
      </c>
      <c r="I3678">
        <v>3.4</v>
      </c>
      <c r="J3678">
        <v>66</v>
      </c>
      <c r="K3678" t="s">
        <v>18</v>
      </c>
      <c r="L3678">
        <v>33</v>
      </c>
      <c r="M3678">
        <v>1.92</v>
      </c>
      <c r="N3678">
        <v>1</v>
      </c>
      <c r="O3678" t="s">
        <v>21</v>
      </c>
      <c r="P3678" cm="1">
        <f t="array" ref="P3678">_xlfn.SWITCH(Table2[[#This Row],[mood]], "Tired", 3, "Neutral", 2, "Happy", 1)</f>
        <v>1</v>
      </c>
    </row>
    <row r="3679" spans="1:16" x14ac:dyDescent="0.3">
      <c r="A3679">
        <v>1128</v>
      </c>
      <c r="B3679" s="1">
        <v>45682</v>
      </c>
      <c r="C3679">
        <v>27</v>
      </c>
      <c r="D3679" t="s">
        <v>20</v>
      </c>
      <c r="E3679">
        <v>160</v>
      </c>
      <c r="F3679">
        <v>72.5</v>
      </c>
      <c r="G3679">
        <v>18903</v>
      </c>
      <c r="H3679">
        <v>874.2</v>
      </c>
      <c r="I3679">
        <v>10</v>
      </c>
      <c r="J3679">
        <v>73</v>
      </c>
      <c r="K3679" t="s">
        <v>23</v>
      </c>
      <c r="L3679">
        <v>34</v>
      </c>
      <c r="M3679">
        <v>2.44</v>
      </c>
      <c r="N3679">
        <v>9</v>
      </c>
      <c r="O3679" t="s">
        <v>19</v>
      </c>
      <c r="P3679" cm="1">
        <f t="array" ref="P3679">_xlfn.SWITCH(Table2[[#This Row],[mood]], "Tired", 3, "Neutral", 2, "Happy", 1)</f>
        <v>2</v>
      </c>
    </row>
    <row r="3680" spans="1:16" x14ac:dyDescent="0.3">
      <c r="A3680">
        <v>1875</v>
      </c>
      <c r="B3680" s="1">
        <v>45683</v>
      </c>
      <c r="C3680">
        <v>51</v>
      </c>
      <c r="D3680" t="s">
        <v>20</v>
      </c>
      <c r="E3680">
        <v>150</v>
      </c>
      <c r="F3680">
        <v>45</v>
      </c>
      <c r="G3680">
        <v>7489</v>
      </c>
      <c r="H3680">
        <v>591.4</v>
      </c>
      <c r="I3680">
        <v>5.6</v>
      </c>
      <c r="J3680">
        <v>79</v>
      </c>
      <c r="K3680" t="s">
        <v>25</v>
      </c>
      <c r="L3680">
        <v>29</v>
      </c>
      <c r="M3680">
        <v>2.14</v>
      </c>
      <c r="N3680">
        <v>5</v>
      </c>
      <c r="O3680" t="s">
        <v>21</v>
      </c>
      <c r="P3680" cm="1">
        <f t="array" ref="P3680">_xlfn.SWITCH(Table2[[#This Row],[mood]], "Tired", 3, "Neutral", 2, "Happy", 1)</f>
        <v>1</v>
      </c>
    </row>
    <row r="3681" spans="1:16" x14ac:dyDescent="0.3">
      <c r="A3681">
        <v>1260</v>
      </c>
      <c r="B3681" s="1">
        <v>45684</v>
      </c>
      <c r="C3681">
        <v>27</v>
      </c>
      <c r="D3681" t="s">
        <v>20</v>
      </c>
      <c r="E3681">
        <v>157</v>
      </c>
      <c r="F3681">
        <v>59.5</v>
      </c>
      <c r="G3681">
        <v>8856</v>
      </c>
      <c r="H3681">
        <v>506.3</v>
      </c>
      <c r="I3681">
        <v>8</v>
      </c>
      <c r="J3681">
        <v>70</v>
      </c>
      <c r="K3681" t="s">
        <v>16</v>
      </c>
      <c r="L3681">
        <v>0</v>
      </c>
      <c r="M3681">
        <v>4.05</v>
      </c>
      <c r="N3681">
        <v>8</v>
      </c>
      <c r="O3681" t="s">
        <v>17</v>
      </c>
      <c r="P3681" cm="1">
        <f t="array" ref="P3681">_xlfn.SWITCH(Table2[[#This Row],[mood]], "Tired", 3, "Neutral", 2, "Happy", 1)</f>
        <v>3</v>
      </c>
    </row>
    <row r="3682" spans="1:16" x14ac:dyDescent="0.3">
      <c r="A3682">
        <v>1514</v>
      </c>
      <c r="B3682" s="1">
        <v>45685</v>
      </c>
      <c r="C3682">
        <v>47</v>
      </c>
      <c r="D3682" t="s">
        <v>20</v>
      </c>
      <c r="E3682">
        <v>178.7</v>
      </c>
      <c r="F3682">
        <v>74.400000000000006</v>
      </c>
      <c r="G3682">
        <v>10365</v>
      </c>
      <c r="H3682">
        <v>710.6</v>
      </c>
      <c r="I3682">
        <v>6.5</v>
      </c>
      <c r="J3682">
        <v>66</v>
      </c>
      <c r="K3682" t="s">
        <v>22</v>
      </c>
      <c r="L3682">
        <v>32</v>
      </c>
      <c r="M3682">
        <v>3.24</v>
      </c>
      <c r="N3682">
        <v>6</v>
      </c>
      <c r="O3682" t="s">
        <v>21</v>
      </c>
      <c r="P3682" cm="1">
        <f t="array" ref="P3682">_xlfn.SWITCH(Table2[[#This Row],[mood]], "Tired", 3, "Neutral", 2, "Happy", 1)</f>
        <v>1</v>
      </c>
    </row>
    <row r="3683" spans="1:16" x14ac:dyDescent="0.3">
      <c r="A3683">
        <v>1448</v>
      </c>
      <c r="B3683" s="1">
        <v>45686</v>
      </c>
      <c r="C3683">
        <v>39</v>
      </c>
      <c r="D3683" t="s">
        <v>15</v>
      </c>
      <c r="E3683">
        <v>184.6</v>
      </c>
      <c r="F3683">
        <v>68.400000000000006</v>
      </c>
      <c r="G3683">
        <v>2605</v>
      </c>
      <c r="H3683">
        <v>296.3</v>
      </c>
      <c r="I3683">
        <v>9.1</v>
      </c>
      <c r="J3683">
        <v>66</v>
      </c>
      <c r="K3683" t="s">
        <v>22</v>
      </c>
      <c r="L3683">
        <v>84</v>
      </c>
      <c r="M3683">
        <v>2.09</v>
      </c>
      <c r="N3683">
        <v>7</v>
      </c>
      <c r="O3683" t="s">
        <v>19</v>
      </c>
      <c r="P3683" cm="1">
        <f t="array" ref="P3683">_xlfn.SWITCH(Table2[[#This Row],[mood]], "Tired", 3, "Neutral", 2, "Happy", 1)</f>
        <v>2</v>
      </c>
    </row>
    <row r="3684" spans="1:16" x14ac:dyDescent="0.3">
      <c r="A3684">
        <v>1899</v>
      </c>
      <c r="B3684" s="1">
        <v>45687</v>
      </c>
      <c r="C3684">
        <v>23</v>
      </c>
      <c r="D3684" t="s">
        <v>15</v>
      </c>
      <c r="E3684">
        <v>183.5</v>
      </c>
      <c r="F3684">
        <v>77.7</v>
      </c>
      <c r="G3684">
        <v>6664</v>
      </c>
      <c r="H3684">
        <v>449.4</v>
      </c>
      <c r="I3684">
        <v>5.6</v>
      </c>
      <c r="J3684">
        <v>77</v>
      </c>
      <c r="K3684" t="s">
        <v>24</v>
      </c>
      <c r="L3684">
        <v>33</v>
      </c>
      <c r="M3684">
        <v>2.17</v>
      </c>
      <c r="N3684">
        <v>3</v>
      </c>
      <c r="O3684" t="s">
        <v>17</v>
      </c>
      <c r="P3684" cm="1">
        <f t="array" ref="P3684">_xlfn.SWITCH(Table2[[#This Row],[mood]], "Tired", 3, "Neutral", 2, "Happy", 1)</f>
        <v>3</v>
      </c>
    </row>
    <row r="3685" spans="1:16" x14ac:dyDescent="0.3">
      <c r="A3685">
        <v>1103</v>
      </c>
      <c r="B3685" s="1">
        <v>45688</v>
      </c>
      <c r="C3685">
        <v>19</v>
      </c>
      <c r="D3685" t="s">
        <v>20</v>
      </c>
      <c r="E3685">
        <v>179.1</v>
      </c>
      <c r="F3685">
        <v>85.3</v>
      </c>
      <c r="G3685">
        <v>6379</v>
      </c>
      <c r="H3685">
        <v>475.1</v>
      </c>
      <c r="I3685">
        <v>5.9</v>
      </c>
      <c r="J3685">
        <v>81</v>
      </c>
      <c r="K3685" t="s">
        <v>23</v>
      </c>
      <c r="L3685">
        <v>63</v>
      </c>
      <c r="M3685">
        <v>1.0900000000000001</v>
      </c>
      <c r="N3685">
        <v>9</v>
      </c>
      <c r="O3685" t="s">
        <v>17</v>
      </c>
      <c r="P3685" cm="1">
        <f t="array" ref="P3685">_xlfn.SWITCH(Table2[[#This Row],[mood]], "Tired", 3, "Neutral", 2, "Happy", 1)</f>
        <v>3</v>
      </c>
    </row>
    <row r="3686" spans="1:16" x14ac:dyDescent="0.3">
      <c r="A3686">
        <v>1482</v>
      </c>
      <c r="B3686" s="1">
        <v>45689</v>
      </c>
      <c r="C3686">
        <v>47</v>
      </c>
      <c r="D3686" t="s">
        <v>15</v>
      </c>
      <c r="E3686">
        <v>159.9</v>
      </c>
      <c r="F3686">
        <v>77.599999999999994</v>
      </c>
      <c r="G3686">
        <v>12585</v>
      </c>
      <c r="H3686">
        <v>668.5</v>
      </c>
      <c r="I3686">
        <v>6.3</v>
      </c>
      <c r="J3686">
        <v>81</v>
      </c>
      <c r="K3686" t="s">
        <v>16</v>
      </c>
      <c r="L3686">
        <v>0</v>
      </c>
      <c r="M3686">
        <v>2.6</v>
      </c>
      <c r="N3686">
        <v>9</v>
      </c>
      <c r="O3686" t="s">
        <v>17</v>
      </c>
      <c r="P3686" cm="1">
        <f t="array" ref="P3686">_xlfn.SWITCH(Table2[[#This Row],[mood]], "Tired", 3, "Neutral", 2, "Happy", 1)</f>
        <v>3</v>
      </c>
    </row>
    <row r="3687" spans="1:16" x14ac:dyDescent="0.3">
      <c r="A3687">
        <v>1223</v>
      </c>
      <c r="B3687" s="1">
        <v>45690</v>
      </c>
      <c r="C3687">
        <v>19</v>
      </c>
      <c r="D3687" t="s">
        <v>20</v>
      </c>
      <c r="E3687">
        <v>158.19999999999999</v>
      </c>
      <c r="F3687">
        <v>59.1</v>
      </c>
      <c r="G3687">
        <v>3124</v>
      </c>
      <c r="H3687">
        <v>230.7</v>
      </c>
      <c r="I3687">
        <v>7.8</v>
      </c>
      <c r="J3687">
        <v>59</v>
      </c>
      <c r="K3687" t="s">
        <v>23</v>
      </c>
      <c r="L3687">
        <v>54</v>
      </c>
      <c r="M3687">
        <v>1.98</v>
      </c>
      <c r="N3687">
        <v>10</v>
      </c>
      <c r="O3687" t="s">
        <v>21</v>
      </c>
      <c r="P3687" cm="1">
        <f t="array" ref="P3687">_xlfn.SWITCH(Table2[[#This Row],[mood]], "Tired", 3, "Neutral", 2, "Happy", 1)</f>
        <v>1</v>
      </c>
    </row>
    <row r="3688" spans="1:16" x14ac:dyDescent="0.3">
      <c r="A3688">
        <v>1831</v>
      </c>
      <c r="B3688" s="1">
        <v>45691</v>
      </c>
      <c r="C3688">
        <v>49</v>
      </c>
      <c r="D3688" t="s">
        <v>20</v>
      </c>
      <c r="E3688">
        <v>151.9</v>
      </c>
      <c r="F3688">
        <v>61.9</v>
      </c>
      <c r="G3688">
        <v>14421</v>
      </c>
      <c r="H3688">
        <v>771.4</v>
      </c>
      <c r="I3688">
        <v>7.3</v>
      </c>
      <c r="J3688">
        <v>67</v>
      </c>
      <c r="K3688" t="s">
        <v>22</v>
      </c>
      <c r="L3688">
        <v>84</v>
      </c>
      <c r="M3688">
        <v>2.56</v>
      </c>
      <c r="N3688">
        <v>2</v>
      </c>
      <c r="O3688" t="s">
        <v>17</v>
      </c>
      <c r="P3688" cm="1">
        <f t="array" ref="P3688">_xlfn.SWITCH(Table2[[#This Row],[mood]], "Tired", 3, "Neutral", 2, "Happy", 1)</f>
        <v>3</v>
      </c>
    </row>
    <row r="3689" spans="1:16" x14ac:dyDescent="0.3">
      <c r="A3689">
        <v>1873</v>
      </c>
      <c r="B3689" s="1">
        <v>45692</v>
      </c>
      <c r="C3689">
        <v>59</v>
      </c>
      <c r="D3689" t="s">
        <v>20</v>
      </c>
      <c r="E3689">
        <v>164.2</v>
      </c>
      <c r="F3689">
        <v>94.5</v>
      </c>
      <c r="G3689">
        <v>5991</v>
      </c>
      <c r="H3689">
        <v>458.4</v>
      </c>
      <c r="I3689">
        <v>7.8</v>
      </c>
      <c r="J3689">
        <v>84</v>
      </c>
      <c r="K3689" t="s">
        <v>22</v>
      </c>
      <c r="L3689">
        <v>46</v>
      </c>
      <c r="M3689">
        <v>1.1200000000000001</v>
      </c>
      <c r="N3689">
        <v>4</v>
      </c>
      <c r="O3689" t="s">
        <v>19</v>
      </c>
      <c r="P3689" cm="1">
        <f t="array" ref="P3689">_xlfn.SWITCH(Table2[[#This Row],[mood]], "Tired", 3, "Neutral", 2, "Happy", 1)</f>
        <v>2</v>
      </c>
    </row>
    <row r="3690" spans="1:16" x14ac:dyDescent="0.3">
      <c r="A3690">
        <v>1865</v>
      </c>
      <c r="B3690" s="1">
        <v>45693</v>
      </c>
      <c r="C3690">
        <v>33</v>
      </c>
      <c r="D3690" t="s">
        <v>15</v>
      </c>
      <c r="E3690">
        <v>170.9</v>
      </c>
      <c r="F3690">
        <v>67.3</v>
      </c>
      <c r="G3690">
        <v>7794</v>
      </c>
      <c r="H3690">
        <v>588.6</v>
      </c>
      <c r="I3690">
        <v>7.2</v>
      </c>
      <c r="J3690">
        <v>71</v>
      </c>
      <c r="K3690" t="s">
        <v>16</v>
      </c>
      <c r="L3690">
        <v>0</v>
      </c>
      <c r="M3690">
        <v>2.48</v>
      </c>
      <c r="N3690">
        <v>4</v>
      </c>
      <c r="O3690" t="s">
        <v>17</v>
      </c>
      <c r="P3690" cm="1">
        <f t="array" ref="P3690">_xlfn.SWITCH(Table2[[#This Row],[mood]], "Tired", 3, "Neutral", 2, "Happy", 1)</f>
        <v>3</v>
      </c>
    </row>
    <row r="3691" spans="1:16" x14ac:dyDescent="0.3">
      <c r="A3691">
        <v>1490</v>
      </c>
      <c r="B3691" s="1">
        <v>45694</v>
      </c>
      <c r="C3691">
        <v>29</v>
      </c>
      <c r="D3691" t="s">
        <v>15</v>
      </c>
      <c r="E3691">
        <v>159.9</v>
      </c>
      <c r="F3691">
        <v>68.599999999999994</v>
      </c>
      <c r="G3691">
        <v>18830</v>
      </c>
      <c r="H3691">
        <v>893.6</v>
      </c>
      <c r="I3691">
        <v>8.4</v>
      </c>
      <c r="J3691">
        <v>77</v>
      </c>
      <c r="K3691" t="s">
        <v>16</v>
      </c>
      <c r="L3691">
        <v>0</v>
      </c>
      <c r="M3691">
        <v>3.69</v>
      </c>
      <c r="N3691">
        <v>1</v>
      </c>
      <c r="O3691" t="s">
        <v>17</v>
      </c>
      <c r="P3691" cm="1">
        <f t="array" ref="P3691">_xlfn.SWITCH(Table2[[#This Row],[mood]], "Tired", 3, "Neutral", 2, "Happy", 1)</f>
        <v>3</v>
      </c>
    </row>
    <row r="3692" spans="1:16" x14ac:dyDescent="0.3">
      <c r="A3692">
        <v>1472</v>
      </c>
      <c r="B3692" s="1">
        <v>45695</v>
      </c>
      <c r="C3692">
        <v>18</v>
      </c>
      <c r="D3692" t="s">
        <v>15</v>
      </c>
      <c r="E3692">
        <v>174.3</v>
      </c>
      <c r="F3692">
        <v>77.599999999999994</v>
      </c>
      <c r="G3692">
        <v>4306</v>
      </c>
      <c r="H3692">
        <v>401.3</v>
      </c>
      <c r="I3692">
        <v>8.4</v>
      </c>
      <c r="J3692">
        <v>101</v>
      </c>
      <c r="K3692" t="s">
        <v>24</v>
      </c>
      <c r="L3692">
        <v>41</v>
      </c>
      <c r="M3692">
        <v>2.54</v>
      </c>
      <c r="N3692">
        <v>4</v>
      </c>
      <c r="O3692" t="s">
        <v>21</v>
      </c>
      <c r="P3692" cm="1">
        <f t="array" ref="P3692">_xlfn.SWITCH(Table2[[#This Row],[mood]], "Tired", 3, "Neutral", 2, "Happy", 1)</f>
        <v>1</v>
      </c>
    </row>
    <row r="3693" spans="1:16" x14ac:dyDescent="0.3">
      <c r="A3693">
        <v>1009</v>
      </c>
      <c r="B3693" s="1">
        <v>45696</v>
      </c>
      <c r="C3693">
        <v>25</v>
      </c>
      <c r="D3693" t="s">
        <v>15</v>
      </c>
      <c r="E3693">
        <v>176.5</v>
      </c>
      <c r="F3693">
        <v>88.6</v>
      </c>
      <c r="G3693">
        <v>19756</v>
      </c>
      <c r="H3693">
        <v>900</v>
      </c>
      <c r="I3693">
        <v>9.3000000000000007</v>
      </c>
      <c r="J3693">
        <v>52</v>
      </c>
      <c r="K3693" t="s">
        <v>24</v>
      </c>
      <c r="L3693">
        <v>53</v>
      </c>
      <c r="M3693">
        <v>1.96</v>
      </c>
      <c r="N3693">
        <v>3</v>
      </c>
      <c r="O3693" t="s">
        <v>21</v>
      </c>
      <c r="P3693" cm="1">
        <f t="array" ref="P3693">_xlfn.SWITCH(Table2[[#This Row],[mood]], "Tired", 3, "Neutral", 2, "Happy", 1)</f>
        <v>1</v>
      </c>
    </row>
    <row r="3694" spans="1:16" x14ac:dyDescent="0.3">
      <c r="A3694">
        <v>1404</v>
      </c>
      <c r="B3694" s="1">
        <v>45697</v>
      </c>
      <c r="C3694">
        <v>30</v>
      </c>
      <c r="D3694" t="s">
        <v>20</v>
      </c>
      <c r="E3694">
        <v>165.3</v>
      </c>
      <c r="F3694">
        <v>56.5</v>
      </c>
      <c r="G3694">
        <v>17534</v>
      </c>
      <c r="H3694">
        <v>900</v>
      </c>
      <c r="I3694">
        <v>7.5</v>
      </c>
      <c r="J3694">
        <v>74</v>
      </c>
      <c r="K3694" t="s">
        <v>25</v>
      </c>
      <c r="L3694">
        <v>28</v>
      </c>
      <c r="M3694">
        <v>2.4900000000000002</v>
      </c>
      <c r="N3694">
        <v>2</v>
      </c>
      <c r="O3694" t="s">
        <v>19</v>
      </c>
      <c r="P3694" cm="1">
        <f t="array" ref="P3694">_xlfn.SWITCH(Table2[[#This Row],[mood]], "Tired", 3, "Neutral", 2, "Happy", 1)</f>
        <v>2</v>
      </c>
    </row>
    <row r="3695" spans="1:16" x14ac:dyDescent="0.3">
      <c r="A3695">
        <v>1895</v>
      </c>
      <c r="B3695" s="1">
        <v>45698</v>
      </c>
      <c r="C3695">
        <v>32</v>
      </c>
      <c r="D3695" t="s">
        <v>15</v>
      </c>
      <c r="E3695">
        <v>156.6</v>
      </c>
      <c r="F3695">
        <v>62.6</v>
      </c>
      <c r="G3695">
        <v>16905</v>
      </c>
      <c r="H3695">
        <v>900</v>
      </c>
      <c r="I3695">
        <v>7.5</v>
      </c>
      <c r="J3695">
        <v>82</v>
      </c>
      <c r="K3695" t="s">
        <v>18</v>
      </c>
      <c r="L3695">
        <v>69</v>
      </c>
      <c r="M3695">
        <v>2.46</v>
      </c>
      <c r="N3695">
        <v>6</v>
      </c>
      <c r="O3695" t="s">
        <v>19</v>
      </c>
      <c r="P3695" cm="1">
        <f t="array" ref="P3695">_xlfn.SWITCH(Table2[[#This Row],[mood]], "Tired", 3, "Neutral", 2, "Happy", 1)</f>
        <v>2</v>
      </c>
    </row>
    <row r="3696" spans="1:16" x14ac:dyDescent="0.3">
      <c r="A3696">
        <v>1301</v>
      </c>
      <c r="B3696" s="1">
        <v>45699</v>
      </c>
      <c r="C3696">
        <v>25</v>
      </c>
      <c r="D3696" t="s">
        <v>15</v>
      </c>
      <c r="E3696">
        <v>183.8</v>
      </c>
      <c r="F3696">
        <v>45.9</v>
      </c>
      <c r="G3696">
        <v>19043</v>
      </c>
      <c r="H3696">
        <v>900</v>
      </c>
      <c r="I3696">
        <v>9.6999999999999993</v>
      </c>
      <c r="J3696">
        <v>65</v>
      </c>
      <c r="K3696" t="s">
        <v>24</v>
      </c>
      <c r="L3696">
        <v>73</v>
      </c>
      <c r="M3696">
        <v>4.03</v>
      </c>
      <c r="N3696">
        <v>3</v>
      </c>
      <c r="O3696" t="s">
        <v>21</v>
      </c>
      <c r="P3696" cm="1">
        <f t="array" ref="P3696">_xlfn.SWITCH(Table2[[#This Row],[mood]], "Tired", 3, "Neutral", 2, "Happy", 1)</f>
        <v>1</v>
      </c>
    </row>
    <row r="3697" spans="1:16" x14ac:dyDescent="0.3">
      <c r="A3697">
        <v>1230</v>
      </c>
      <c r="B3697" s="1">
        <v>45700</v>
      </c>
      <c r="C3697">
        <v>27</v>
      </c>
      <c r="D3697" t="s">
        <v>15</v>
      </c>
      <c r="E3697">
        <v>170.4</v>
      </c>
      <c r="F3697">
        <v>65.599999999999994</v>
      </c>
      <c r="G3697">
        <v>10070</v>
      </c>
      <c r="H3697">
        <v>611.20000000000005</v>
      </c>
      <c r="I3697">
        <v>8.8000000000000007</v>
      </c>
      <c r="J3697">
        <v>74</v>
      </c>
      <c r="K3697" t="s">
        <v>18</v>
      </c>
      <c r="L3697">
        <v>77</v>
      </c>
      <c r="M3697">
        <v>2.27</v>
      </c>
      <c r="N3697">
        <v>10</v>
      </c>
      <c r="O3697" t="s">
        <v>17</v>
      </c>
      <c r="P3697" cm="1">
        <f t="array" ref="P3697">_xlfn.SWITCH(Table2[[#This Row],[mood]], "Tired", 3, "Neutral", 2, "Happy", 1)</f>
        <v>3</v>
      </c>
    </row>
    <row r="3698" spans="1:16" x14ac:dyDescent="0.3">
      <c r="A3698">
        <v>1730</v>
      </c>
      <c r="B3698" s="1">
        <v>45701</v>
      </c>
      <c r="C3698">
        <v>22</v>
      </c>
      <c r="D3698" t="s">
        <v>20</v>
      </c>
      <c r="E3698">
        <v>189.4</v>
      </c>
      <c r="F3698">
        <v>78.5</v>
      </c>
      <c r="G3698">
        <v>8199</v>
      </c>
      <c r="H3698">
        <v>582.5</v>
      </c>
      <c r="I3698">
        <v>7.8</v>
      </c>
      <c r="J3698">
        <v>63</v>
      </c>
      <c r="K3698" t="s">
        <v>22</v>
      </c>
      <c r="L3698">
        <v>81</v>
      </c>
      <c r="M3698">
        <v>1.66</v>
      </c>
      <c r="N3698">
        <v>9</v>
      </c>
      <c r="O3698" t="s">
        <v>21</v>
      </c>
      <c r="P3698" cm="1">
        <f t="array" ref="P3698">_xlfn.SWITCH(Table2[[#This Row],[mood]], "Tired", 3, "Neutral", 2, "Happy", 1)</f>
        <v>1</v>
      </c>
    </row>
    <row r="3699" spans="1:16" x14ac:dyDescent="0.3">
      <c r="A3699">
        <v>1922</v>
      </c>
      <c r="B3699" s="1">
        <v>45702</v>
      </c>
      <c r="C3699">
        <v>36</v>
      </c>
      <c r="D3699" t="s">
        <v>20</v>
      </c>
      <c r="E3699">
        <v>170.9</v>
      </c>
      <c r="F3699">
        <v>64.5</v>
      </c>
      <c r="G3699">
        <v>19703</v>
      </c>
      <c r="H3699">
        <v>900</v>
      </c>
      <c r="I3699">
        <v>4.9000000000000004</v>
      </c>
      <c r="J3699">
        <v>81</v>
      </c>
      <c r="K3699" t="s">
        <v>25</v>
      </c>
      <c r="L3699">
        <v>57</v>
      </c>
      <c r="M3699">
        <v>2.52</v>
      </c>
      <c r="N3699">
        <v>9</v>
      </c>
      <c r="O3699" t="s">
        <v>21</v>
      </c>
      <c r="P3699" cm="1">
        <f t="array" ref="P3699">_xlfn.SWITCH(Table2[[#This Row],[mood]], "Tired", 3, "Neutral", 2, "Happy", 1)</f>
        <v>1</v>
      </c>
    </row>
    <row r="3700" spans="1:16" x14ac:dyDescent="0.3">
      <c r="A3700">
        <v>1065</v>
      </c>
      <c r="B3700" s="1">
        <v>45703</v>
      </c>
      <c r="C3700">
        <v>55</v>
      </c>
      <c r="D3700" t="s">
        <v>15</v>
      </c>
      <c r="E3700">
        <v>171.6</v>
      </c>
      <c r="F3700">
        <v>96.4</v>
      </c>
      <c r="G3700">
        <v>15133</v>
      </c>
      <c r="H3700">
        <v>744.3</v>
      </c>
      <c r="I3700">
        <v>4.5</v>
      </c>
      <c r="J3700">
        <v>68</v>
      </c>
      <c r="K3700" t="s">
        <v>25</v>
      </c>
      <c r="L3700">
        <v>46</v>
      </c>
      <c r="M3700">
        <v>2.64</v>
      </c>
      <c r="N3700">
        <v>8</v>
      </c>
      <c r="O3700" t="s">
        <v>21</v>
      </c>
      <c r="P3700" cm="1">
        <f t="array" ref="P3700">_xlfn.SWITCH(Table2[[#This Row],[mood]], "Tired", 3, "Neutral", 2, "Happy", 1)</f>
        <v>1</v>
      </c>
    </row>
    <row r="3701" spans="1:16" x14ac:dyDescent="0.3">
      <c r="A3701">
        <v>1936</v>
      </c>
      <c r="B3701" s="1">
        <v>45704</v>
      </c>
      <c r="C3701">
        <v>28</v>
      </c>
      <c r="D3701" t="s">
        <v>15</v>
      </c>
      <c r="E3701">
        <v>160.4</v>
      </c>
      <c r="F3701">
        <v>71.7</v>
      </c>
      <c r="G3701">
        <v>18899</v>
      </c>
      <c r="H3701">
        <v>900</v>
      </c>
      <c r="I3701">
        <v>7.9</v>
      </c>
      <c r="J3701">
        <v>71</v>
      </c>
      <c r="K3701" t="s">
        <v>25</v>
      </c>
      <c r="L3701">
        <v>83</v>
      </c>
      <c r="M3701">
        <v>2.89</v>
      </c>
      <c r="N3701">
        <v>8</v>
      </c>
      <c r="O3701" t="s">
        <v>19</v>
      </c>
      <c r="P3701" cm="1">
        <f t="array" ref="P3701">_xlfn.SWITCH(Table2[[#This Row],[mood]], "Tired", 3, "Neutral", 2, "Happy", 1)</f>
        <v>2</v>
      </c>
    </row>
    <row r="3702" spans="1:16" x14ac:dyDescent="0.3">
      <c r="A3702">
        <v>1111</v>
      </c>
      <c r="B3702" s="1">
        <v>45705</v>
      </c>
      <c r="C3702">
        <v>37</v>
      </c>
      <c r="D3702" t="s">
        <v>15</v>
      </c>
      <c r="E3702">
        <v>165.8</v>
      </c>
      <c r="F3702">
        <v>68.5</v>
      </c>
      <c r="G3702">
        <v>12579</v>
      </c>
      <c r="H3702">
        <v>696</v>
      </c>
      <c r="I3702">
        <v>8</v>
      </c>
      <c r="J3702">
        <v>84</v>
      </c>
      <c r="K3702" t="s">
        <v>23</v>
      </c>
      <c r="L3702">
        <v>22</v>
      </c>
      <c r="M3702">
        <v>3.03</v>
      </c>
      <c r="N3702">
        <v>2</v>
      </c>
      <c r="O3702" t="s">
        <v>19</v>
      </c>
      <c r="P3702" cm="1">
        <f t="array" ref="P3702">_xlfn.SWITCH(Table2[[#This Row],[mood]], "Tired", 3, "Neutral", 2, "Happy", 1)</f>
        <v>2</v>
      </c>
    </row>
    <row r="3703" spans="1:16" x14ac:dyDescent="0.3">
      <c r="A3703">
        <v>1012</v>
      </c>
      <c r="B3703" s="1">
        <v>45706</v>
      </c>
      <c r="C3703">
        <v>37</v>
      </c>
      <c r="D3703" t="s">
        <v>15</v>
      </c>
      <c r="E3703">
        <v>154.4</v>
      </c>
      <c r="F3703">
        <v>64.7</v>
      </c>
      <c r="G3703">
        <v>17973</v>
      </c>
      <c r="H3703">
        <v>900</v>
      </c>
      <c r="I3703">
        <v>5.9</v>
      </c>
      <c r="J3703">
        <v>81</v>
      </c>
      <c r="K3703" t="s">
        <v>16</v>
      </c>
      <c r="L3703">
        <v>0</v>
      </c>
      <c r="M3703">
        <v>3.87</v>
      </c>
      <c r="N3703">
        <v>6</v>
      </c>
      <c r="O3703" t="s">
        <v>19</v>
      </c>
      <c r="P3703" cm="1">
        <f t="array" ref="P3703">_xlfn.SWITCH(Table2[[#This Row],[mood]], "Tired", 3, "Neutral", 2, "Happy", 1)</f>
        <v>2</v>
      </c>
    </row>
    <row r="3704" spans="1:16" x14ac:dyDescent="0.3">
      <c r="A3704">
        <v>1392</v>
      </c>
      <c r="B3704" s="1">
        <v>45707</v>
      </c>
      <c r="C3704">
        <v>38</v>
      </c>
      <c r="D3704" t="s">
        <v>20</v>
      </c>
      <c r="E3704">
        <v>156.6</v>
      </c>
      <c r="F3704">
        <v>49.6</v>
      </c>
      <c r="G3704">
        <v>1587</v>
      </c>
      <c r="H3704">
        <v>250.9</v>
      </c>
      <c r="I3704">
        <v>7.5</v>
      </c>
      <c r="J3704">
        <v>85</v>
      </c>
      <c r="K3704" t="s">
        <v>16</v>
      </c>
      <c r="L3704">
        <v>0</v>
      </c>
      <c r="M3704">
        <v>2.08</v>
      </c>
      <c r="N3704">
        <v>4</v>
      </c>
      <c r="O3704" t="s">
        <v>19</v>
      </c>
      <c r="P3704" cm="1">
        <f t="array" ref="P3704">_xlfn.SWITCH(Table2[[#This Row],[mood]], "Tired", 3, "Neutral", 2, "Happy", 1)</f>
        <v>2</v>
      </c>
    </row>
    <row r="3705" spans="1:16" x14ac:dyDescent="0.3">
      <c r="A3705">
        <v>1499</v>
      </c>
      <c r="B3705" s="1">
        <v>45708</v>
      </c>
      <c r="C3705">
        <v>35</v>
      </c>
      <c r="D3705" t="s">
        <v>15</v>
      </c>
      <c r="E3705">
        <v>177.4</v>
      </c>
      <c r="F3705">
        <v>68.599999999999994</v>
      </c>
      <c r="G3705">
        <v>7223</v>
      </c>
      <c r="H3705">
        <v>493.1</v>
      </c>
      <c r="I3705">
        <v>5.6</v>
      </c>
      <c r="J3705">
        <v>93</v>
      </c>
      <c r="K3705" t="s">
        <v>22</v>
      </c>
      <c r="L3705">
        <v>48</v>
      </c>
      <c r="M3705">
        <v>2.02</v>
      </c>
      <c r="N3705">
        <v>10</v>
      </c>
      <c r="O3705" t="s">
        <v>17</v>
      </c>
      <c r="P3705" cm="1">
        <f t="array" ref="P3705">_xlfn.SWITCH(Table2[[#This Row],[mood]], "Tired", 3, "Neutral", 2, "Happy", 1)</f>
        <v>3</v>
      </c>
    </row>
    <row r="3706" spans="1:16" x14ac:dyDescent="0.3">
      <c r="A3706">
        <v>1931</v>
      </c>
      <c r="B3706" s="1">
        <v>45709</v>
      </c>
      <c r="C3706">
        <v>27</v>
      </c>
      <c r="D3706" t="s">
        <v>15</v>
      </c>
      <c r="E3706">
        <v>167.2</v>
      </c>
      <c r="F3706">
        <v>75.400000000000006</v>
      </c>
      <c r="G3706">
        <v>15197</v>
      </c>
      <c r="H3706">
        <v>870.4</v>
      </c>
      <c r="I3706">
        <v>7.9</v>
      </c>
      <c r="J3706">
        <v>76</v>
      </c>
      <c r="K3706" t="s">
        <v>23</v>
      </c>
      <c r="L3706">
        <v>88</v>
      </c>
      <c r="M3706">
        <v>1.2</v>
      </c>
      <c r="N3706">
        <v>2</v>
      </c>
      <c r="O3706" t="s">
        <v>19</v>
      </c>
      <c r="P3706" cm="1">
        <f t="array" ref="P3706">_xlfn.SWITCH(Table2[[#This Row],[mood]], "Tired", 3, "Neutral", 2, "Happy", 1)</f>
        <v>2</v>
      </c>
    </row>
    <row r="3707" spans="1:16" x14ac:dyDescent="0.3">
      <c r="A3707">
        <v>1597</v>
      </c>
      <c r="B3707" s="1">
        <v>45710</v>
      </c>
      <c r="C3707">
        <v>51</v>
      </c>
      <c r="D3707" t="s">
        <v>15</v>
      </c>
      <c r="E3707">
        <v>165.8</v>
      </c>
      <c r="F3707">
        <v>68.2</v>
      </c>
      <c r="G3707">
        <v>10387</v>
      </c>
      <c r="H3707">
        <v>598.5</v>
      </c>
      <c r="I3707">
        <v>7.9</v>
      </c>
      <c r="J3707">
        <v>96</v>
      </c>
      <c r="K3707" t="s">
        <v>23</v>
      </c>
      <c r="L3707">
        <v>27</v>
      </c>
      <c r="M3707">
        <v>2.96</v>
      </c>
      <c r="N3707">
        <v>2</v>
      </c>
      <c r="O3707" t="s">
        <v>19</v>
      </c>
      <c r="P3707" cm="1">
        <f t="array" ref="P3707">_xlfn.SWITCH(Table2[[#This Row],[mood]], "Tired", 3, "Neutral", 2, "Happy", 1)</f>
        <v>2</v>
      </c>
    </row>
    <row r="3708" spans="1:16" x14ac:dyDescent="0.3">
      <c r="A3708">
        <v>1233</v>
      </c>
      <c r="B3708" s="1">
        <v>45711</v>
      </c>
      <c r="C3708">
        <v>43</v>
      </c>
      <c r="D3708" t="s">
        <v>20</v>
      </c>
      <c r="E3708">
        <v>162.6</v>
      </c>
      <c r="F3708">
        <v>73.5</v>
      </c>
      <c r="G3708">
        <v>5353</v>
      </c>
      <c r="H3708">
        <v>487.8</v>
      </c>
      <c r="I3708">
        <v>7.9</v>
      </c>
      <c r="J3708">
        <v>77</v>
      </c>
      <c r="K3708" t="s">
        <v>25</v>
      </c>
      <c r="L3708">
        <v>38</v>
      </c>
      <c r="M3708">
        <v>1.88</v>
      </c>
      <c r="N3708">
        <v>10</v>
      </c>
      <c r="O3708" t="s">
        <v>17</v>
      </c>
      <c r="P3708" cm="1">
        <f t="array" ref="P3708">_xlfn.SWITCH(Table2[[#This Row],[mood]], "Tired", 3, "Neutral", 2, "Happy", 1)</f>
        <v>3</v>
      </c>
    </row>
    <row r="3709" spans="1:16" x14ac:dyDescent="0.3">
      <c r="A3709">
        <v>1601</v>
      </c>
      <c r="B3709" s="1">
        <v>45712</v>
      </c>
      <c r="C3709">
        <v>47</v>
      </c>
      <c r="D3709" t="s">
        <v>20</v>
      </c>
      <c r="E3709">
        <v>166.1</v>
      </c>
      <c r="F3709">
        <v>59.9</v>
      </c>
      <c r="G3709">
        <v>15839</v>
      </c>
      <c r="H3709">
        <v>753.3</v>
      </c>
      <c r="I3709">
        <v>7.5</v>
      </c>
      <c r="J3709">
        <v>88</v>
      </c>
      <c r="K3709" t="s">
        <v>23</v>
      </c>
      <c r="L3709">
        <v>87</v>
      </c>
      <c r="M3709">
        <v>3.12</v>
      </c>
      <c r="N3709">
        <v>7</v>
      </c>
      <c r="O3709" t="s">
        <v>17</v>
      </c>
      <c r="P3709" cm="1">
        <f t="array" ref="P3709">_xlfn.SWITCH(Table2[[#This Row],[mood]], "Tired", 3, "Neutral", 2, "Happy", 1)</f>
        <v>3</v>
      </c>
    </row>
    <row r="3710" spans="1:16" x14ac:dyDescent="0.3">
      <c r="A3710">
        <v>1313</v>
      </c>
      <c r="B3710" s="1">
        <v>45713</v>
      </c>
      <c r="C3710">
        <v>26</v>
      </c>
      <c r="D3710" t="s">
        <v>15</v>
      </c>
      <c r="E3710">
        <v>181.3</v>
      </c>
      <c r="F3710">
        <v>51.3</v>
      </c>
      <c r="G3710">
        <v>3605</v>
      </c>
      <c r="H3710">
        <v>324.60000000000002</v>
      </c>
      <c r="I3710">
        <v>6.6</v>
      </c>
      <c r="J3710">
        <v>75</v>
      </c>
      <c r="K3710" t="s">
        <v>22</v>
      </c>
      <c r="L3710">
        <v>88</v>
      </c>
      <c r="M3710">
        <v>2.16</v>
      </c>
      <c r="N3710">
        <v>1</v>
      </c>
      <c r="O3710" t="s">
        <v>21</v>
      </c>
      <c r="P3710" cm="1">
        <f t="array" ref="P3710">_xlfn.SWITCH(Table2[[#This Row],[mood]], "Tired", 3, "Neutral", 2, "Happy", 1)</f>
        <v>1</v>
      </c>
    </row>
    <row r="3711" spans="1:16" x14ac:dyDescent="0.3">
      <c r="A3711">
        <v>1565</v>
      </c>
      <c r="B3711" s="1">
        <v>45714</v>
      </c>
      <c r="C3711">
        <v>48</v>
      </c>
      <c r="D3711" t="s">
        <v>15</v>
      </c>
      <c r="E3711">
        <v>171.4</v>
      </c>
      <c r="F3711">
        <v>68.400000000000006</v>
      </c>
      <c r="G3711">
        <v>3538</v>
      </c>
      <c r="H3711">
        <v>273.3</v>
      </c>
      <c r="I3711">
        <v>6.7</v>
      </c>
      <c r="J3711">
        <v>83</v>
      </c>
      <c r="K3711" t="s">
        <v>22</v>
      </c>
      <c r="L3711">
        <v>67</v>
      </c>
      <c r="M3711">
        <v>3.71</v>
      </c>
      <c r="N3711">
        <v>8</v>
      </c>
      <c r="O3711" t="s">
        <v>17</v>
      </c>
      <c r="P3711" cm="1">
        <f t="array" ref="P3711">_xlfn.SWITCH(Table2[[#This Row],[mood]], "Tired", 3, "Neutral", 2, "Happy", 1)</f>
        <v>3</v>
      </c>
    </row>
    <row r="3712" spans="1:16" x14ac:dyDescent="0.3">
      <c r="A3712">
        <v>1011</v>
      </c>
      <c r="B3712" s="1">
        <v>45715</v>
      </c>
      <c r="C3712">
        <v>59</v>
      </c>
      <c r="D3712" t="s">
        <v>15</v>
      </c>
      <c r="E3712">
        <v>158.19999999999999</v>
      </c>
      <c r="F3712">
        <v>73.3</v>
      </c>
      <c r="G3712">
        <v>14896</v>
      </c>
      <c r="H3712">
        <v>801.7</v>
      </c>
      <c r="I3712">
        <v>8.6999999999999993</v>
      </c>
      <c r="J3712">
        <v>71</v>
      </c>
      <c r="K3712" t="s">
        <v>23</v>
      </c>
      <c r="L3712">
        <v>59</v>
      </c>
      <c r="M3712">
        <v>1.5</v>
      </c>
      <c r="N3712">
        <v>5</v>
      </c>
      <c r="O3712" t="s">
        <v>17</v>
      </c>
      <c r="P3712" cm="1">
        <f t="array" ref="P3712">_xlfn.SWITCH(Table2[[#This Row],[mood]], "Tired", 3, "Neutral", 2, "Happy", 1)</f>
        <v>3</v>
      </c>
    </row>
    <row r="3713" spans="1:16" x14ac:dyDescent="0.3">
      <c r="A3713">
        <v>1208</v>
      </c>
      <c r="B3713" s="1">
        <v>45716</v>
      </c>
      <c r="C3713">
        <v>21</v>
      </c>
      <c r="D3713" t="s">
        <v>15</v>
      </c>
      <c r="E3713">
        <v>180.3</v>
      </c>
      <c r="F3713">
        <v>67.5</v>
      </c>
      <c r="G3713">
        <v>9757</v>
      </c>
      <c r="H3713">
        <v>627.79999999999995</v>
      </c>
      <c r="I3713">
        <v>7.6</v>
      </c>
      <c r="J3713">
        <v>88</v>
      </c>
      <c r="K3713" t="s">
        <v>16</v>
      </c>
      <c r="L3713">
        <v>0</v>
      </c>
      <c r="M3713">
        <v>3.22</v>
      </c>
      <c r="N3713">
        <v>10</v>
      </c>
      <c r="O3713" t="s">
        <v>19</v>
      </c>
      <c r="P3713" cm="1">
        <f t="array" ref="P3713">_xlfn.SWITCH(Table2[[#This Row],[mood]], "Tired", 3, "Neutral", 2, "Happy", 1)</f>
        <v>2</v>
      </c>
    </row>
    <row r="3714" spans="1:16" x14ac:dyDescent="0.3">
      <c r="A3714">
        <v>1973</v>
      </c>
      <c r="B3714" s="1">
        <v>45717</v>
      </c>
      <c r="C3714">
        <v>23</v>
      </c>
      <c r="D3714" t="s">
        <v>15</v>
      </c>
      <c r="E3714">
        <v>187.3</v>
      </c>
      <c r="F3714">
        <v>73.099999999999994</v>
      </c>
      <c r="G3714">
        <v>17198</v>
      </c>
      <c r="H3714">
        <v>879.9</v>
      </c>
      <c r="I3714">
        <v>7.7</v>
      </c>
      <c r="J3714">
        <v>87</v>
      </c>
      <c r="K3714" t="s">
        <v>22</v>
      </c>
      <c r="L3714">
        <v>35</v>
      </c>
      <c r="M3714">
        <v>3.13</v>
      </c>
      <c r="N3714">
        <v>8</v>
      </c>
      <c r="O3714" t="s">
        <v>19</v>
      </c>
      <c r="P3714" cm="1">
        <f t="array" ref="P3714">_xlfn.SWITCH(Table2[[#This Row],[mood]], "Tired", 3, "Neutral", 2, "Happy", 1)</f>
        <v>2</v>
      </c>
    </row>
    <row r="3715" spans="1:16" x14ac:dyDescent="0.3">
      <c r="A3715">
        <v>1013</v>
      </c>
      <c r="B3715" s="1">
        <v>45718</v>
      </c>
      <c r="C3715">
        <v>31</v>
      </c>
      <c r="D3715" t="s">
        <v>20</v>
      </c>
      <c r="E3715">
        <v>174.9</v>
      </c>
      <c r="F3715">
        <v>81.599999999999994</v>
      </c>
      <c r="G3715">
        <v>2756</v>
      </c>
      <c r="H3715">
        <v>286.5</v>
      </c>
      <c r="I3715">
        <v>7.1</v>
      </c>
      <c r="J3715">
        <v>73</v>
      </c>
      <c r="K3715" t="s">
        <v>16</v>
      </c>
      <c r="L3715">
        <v>0</v>
      </c>
      <c r="M3715">
        <v>2.87</v>
      </c>
      <c r="N3715">
        <v>2</v>
      </c>
      <c r="O3715" t="s">
        <v>19</v>
      </c>
      <c r="P3715" cm="1">
        <f t="array" ref="P3715">_xlfn.SWITCH(Table2[[#This Row],[mood]], "Tired", 3, "Neutral", 2, "Happy", 1)</f>
        <v>2</v>
      </c>
    </row>
    <row r="3716" spans="1:16" x14ac:dyDescent="0.3">
      <c r="A3716">
        <v>1632</v>
      </c>
      <c r="B3716" s="1">
        <v>45719</v>
      </c>
      <c r="C3716">
        <v>21</v>
      </c>
      <c r="D3716" t="s">
        <v>20</v>
      </c>
      <c r="E3716">
        <v>178.9</v>
      </c>
      <c r="F3716">
        <v>81.599999999999994</v>
      </c>
      <c r="G3716">
        <v>2360</v>
      </c>
      <c r="H3716">
        <v>226.4</v>
      </c>
      <c r="I3716">
        <v>8</v>
      </c>
      <c r="J3716">
        <v>77</v>
      </c>
      <c r="K3716" t="s">
        <v>18</v>
      </c>
      <c r="L3716">
        <v>27</v>
      </c>
      <c r="M3716">
        <v>1.72</v>
      </c>
      <c r="N3716">
        <v>1</v>
      </c>
      <c r="O3716" t="s">
        <v>19</v>
      </c>
      <c r="P3716" cm="1">
        <f t="array" ref="P3716">_xlfn.SWITCH(Table2[[#This Row],[mood]], "Tired", 3, "Neutral", 2, "Happy", 1)</f>
        <v>2</v>
      </c>
    </row>
    <row r="3717" spans="1:16" x14ac:dyDescent="0.3">
      <c r="A3717">
        <v>1417</v>
      </c>
      <c r="B3717" s="1">
        <v>45720</v>
      </c>
      <c r="C3717">
        <v>43</v>
      </c>
      <c r="D3717" t="s">
        <v>20</v>
      </c>
      <c r="E3717">
        <v>182.2</v>
      </c>
      <c r="F3717">
        <v>82.9</v>
      </c>
      <c r="G3717">
        <v>19757</v>
      </c>
      <c r="H3717">
        <v>900</v>
      </c>
      <c r="I3717">
        <v>8.4</v>
      </c>
      <c r="J3717">
        <v>66</v>
      </c>
      <c r="K3717" t="s">
        <v>23</v>
      </c>
      <c r="L3717">
        <v>24</v>
      </c>
      <c r="M3717">
        <v>2.87</v>
      </c>
      <c r="N3717">
        <v>2</v>
      </c>
      <c r="O3717" t="s">
        <v>17</v>
      </c>
      <c r="P3717" cm="1">
        <f t="array" ref="P3717">_xlfn.SWITCH(Table2[[#This Row],[mood]], "Tired", 3, "Neutral", 2, "Happy", 1)</f>
        <v>3</v>
      </c>
    </row>
    <row r="3718" spans="1:16" x14ac:dyDescent="0.3">
      <c r="A3718">
        <v>1436</v>
      </c>
      <c r="B3718" s="1">
        <v>45721</v>
      </c>
      <c r="C3718">
        <v>56</v>
      </c>
      <c r="D3718" t="s">
        <v>15</v>
      </c>
      <c r="E3718">
        <v>153.4</v>
      </c>
      <c r="F3718">
        <v>85.1</v>
      </c>
      <c r="G3718">
        <v>2195</v>
      </c>
      <c r="H3718">
        <v>286.7</v>
      </c>
      <c r="I3718">
        <v>6.1</v>
      </c>
      <c r="J3718">
        <v>84</v>
      </c>
      <c r="K3718" t="s">
        <v>25</v>
      </c>
      <c r="L3718">
        <v>44</v>
      </c>
      <c r="M3718">
        <v>2.59</v>
      </c>
      <c r="N3718">
        <v>6</v>
      </c>
      <c r="O3718" t="s">
        <v>19</v>
      </c>
      <c r="P3718" cm="1">
        <f t="array" ref="P3718">_xlfn.SWITCH(Table2[[#This Row],[mood]], "Tired", 3, "Neutral", 2, "Happy", 1)</f>
        <v>2</v>
      </c>
    </row>
    <row r="3719" spans="1:16" x14ac:dyDescent="0.3">
      <c r="A3719">
        <v>1376</v>
      </c>
      <c r="B3719" s="1">
        <v>45722</v>
      </c>
      <c r="C3719">
        <v>34</v>
      </c>
      <c r="D3719" t="s">
        <v>20</v>
      </c>
      <c r="E3719">
        <v>188.6</v>
      </c>
      <c r="F3719">
        <v>77.5</v>
      </c>
      <c r="G3719">
        <v>19515</v>
      </c>
      <c r="H3719">
        <v>900</v>
      </c>
      <c r="I3719">
        <v>7.9</v>
      </c>
      <c r="J3719">
        <v>83</v>
      </c>
      <c r="K3719" t="s">
        <v>25</v>
      </c>
      <c r="L3719">
        <v>72</v>
      </c>
      <c r="M3719">
        <v>1.22</v>
      </c>
      <c r="N3719">
        <v>4</v>
      </c>
      <c r="O3719" t="s">
        <v>19</v>
      </c>
      <c r="P3719" cm="1">
        <f t="array" ref="P3719">_xlfn.SWITCH(Table2[[#This Row],[mood]], "Tired", 3, "Neutral", 2, "Happy", 1)</f>
        <v>2</v>
      </c>
    </row>
    <row r="3720" spans="1:16" x14ac:dyDescent="0.3">
      <c r="A3720">
        <v>1019</v>
      </c>
      <c r="B3720" s="1">
        <v>45723</v>
      </c>
      <c r="C3720">
        <v>36</v>
      </c>
      <c r="D3720" t="s">
        <v>20</v>
      </c>
      <c r="E3720">
        <v>181</v>
      </c>
      <c r="F3720">
        <v>75.3</v>
      </c>
      <c r="G3720">
        <v>9009</v>
      </c>
      <c r="H3720">
        <v>638.5</v>
      </c>
      <c r="I3720">
        <v>6.7</v>
      </c>
      <c r="J3720">
        <v>63</v>
      </c>
      <c r="K3720" t="s">
        <v>22</v>
      </c>
      <c r="L3720">
        <v>68</v>
      </c>
      <c r="M3720">
        <v>3.59</v>
      </c>
      <c r="N3720">
        <v>8</v>
      </c>
      <c r="O3720" t="s">
        <v>21</v>
      </c>
      <c r="P3720" cm="1">
        <f t="array" ref="P3720">_xlfn.SWITCH(Table2[[#This Row],[mood]], "Tired", 3, "Neutral", 2, "Happy", 1)</f>
        <v>1</v>
      </c>
    </row>
    <row r="3721" spans="1:16" x14ac:dyDescent="0.3">
      <c r="A3721">
        <v>1586</v>
      </c>
      <c r="B3721" s="1">
        <v>45724</v>
      </c>
      <c r="C3721">
        <v>23</v>
      </c>
      <c r="D3721" t="s">
        <v>20</v>
      </c>
      <c r="E3721">
        <v>174.9</v>
      </c>
      <c r="F3721">
        <v>99.1</v>
      </c>
      <c r="G3721">
        <v>14792</v>
      </c>
      <c r="H3721">
        <v>774.1</v>
      </c>
      <c r="I3721">
        <v>7.5</v>
      </c>
      <c r="J3721">
        <v>97</v>
      </c>
      <c r="K3721" t="s">
        <v>22</v>
      </c>
      <c r="L3721">
        <v>40</v>
      </c>
      <c r="M3721">
        <v>2.2599999999999998</v>
      </c>
      <c r="N3721">
        <v>9</v>
      </c>
      <c r="O3721" t="s">
        <v>17</v>
      </c>
      <c r="P3721" cm="1">
        <f t="array" ref="P3721">_xlfn.SWITCH(Table2[[#This Row],[mood]], "Tired", 3, "Neutral", 2, "Happy", 1)</f>
        <v>3</v>
      </c>
    </row>
    <row r="3722" spans="1:16" x14ac:dyDescent="0.3">
      <c r="A3722">
        <v>1911</v>
      </c>
      <c r="B3722" s="1">
        <v>45725</v>
      </c>
      <c r="C3722">
        <v>46</v>
      </c>
      <c r="D3722" t="s">
        <v>15</v>
      </c>
      <c r="E3722">
        <v>168.7</v>
      </c>
      <c r="F3722">
        <v>81.8</v>
      </c>
      <c r="G3722">
        <v>16777</v>
      </c>
      <c r="H3722">
        <v>825.6</v>
      </c>
      <c r="I3722">
        <v>8.3000000000000007</v>
      </c>
      <c r="J3722">
        <v>79</v>
      </c>
      <c r="K3722" t="s">
        <v>25</v>
      </c>
      <c r="L3722">
        <v>70</v>
      </c>
      <c r="M3722">
        <v>3.54</v>
      </c>
      <c r="N3722">
        <v>9</v>
      </c>
      <c r="O3722" t="s">
        <v>17</v>
      </c>
      <c r="P3722" cm="1">
        <f t="array" ref="P3722">_xlfn.SWITCH(Table2[[#This Row],[mood]], "Tired", 3, "Neutral", 2, "Happy", 1)</f>
        <v>3</v>
      </c>
    </row>
    <row r="3723" spans="1:16" x14ac:dyDescent="0.3">
      <c r="A3723">
        <v>1754</v>
      </c>
      <c r="B3723" s="1">
        <v>45726</v>
      </c>
      <c r="C3723">
        <v>28</v>
      </c>
      <c r="D3723" t="s">
        <v>15</v>
      </c>
      <c r="E3723">
        <v>156.6</v>
      </c>
      <c r="F3723">
        <v>57.3</v>
      </c>
      <c r="G3723">
        <v>19751</v>
      </c>
      <c r="H3723">
        <v>900</v>
      </c>
      <c r="I3723">
        <v>4.8</v>
      </c>
      <c r="J3723">
        <v>73</v>
      </c>
      <c r="K3723" t="s">
        <v>18</v>
      </c>
      <c r="L3723">
        <v>65</v>
      </c>
      <c r="M3723">
        <v>2.4500000000000002</v>
      </c>
      <c r="N3723">
        <v>5</v>
      </c>
      <c r="O3723" t="s">
        <v>17</v>
      </c>
      <c r="P3723" cm="1">
        <f t="array" ref="P3723">_xlfn.SWITCH(Table2[[#This Row],[mood]], "Tired", 3, "Neutral", 2, "Happy", 1)</f>
        <v>3</v>
      </c>
    </row>
    <row r="3724" spans="1:16" x14ac:dyDescent="0.3">
      <c r="A3724">
        <v>1734</v>
      </c>
      <c r="B3724" s="1">
        <v>45727</v>
      </c>
      <c r="C3724">
        <v>33</v>
      </c>
      <c r="D3724" t="s">
        <v>20</v>
      </c>
      <c r="E3724">
        <v>166.7</v>
      </c>
      <c r="F3724">
        <v>45</v>
      </c>
      <c r="G3724">
        <v>16025</v>
      </c>
      <c r="H3724">
        <v>798.1</v>
      </c>
      <c r="I3724">
        <v>5.4</v>
      </c>
      <c r="J3724">
        <v>87</v>
      </c>
      <c r="K3724" t="s">
        <v>25</v>
      </c>
      <c r="L3724">
        <v>28</v>
      </c>
      <c r="M3724">
        <v>3.19</v>
      </c>
      <c r="N3724">
        <v>6</v>
      </c>
      <c r="O3724" t="s">
        <v>21</v>
      </c>
      <c r="P3724" cm="1">
        <f t="array" ref="P3724">_xlfn.SWITCH(Table2[[#This Row],[mood]], "Tired", 3, "Neutral", 2, "Happy", 1)</f>
        <v>1</v>
      </c>
    </row>
    <row r="3725" spans="1:16" x14ac:dyDescent="0.3">
      <c r="A3725">
        <v>1069</v>
      </c>
      <c r="B3725" s="1">
        <v>45728</v>
      </c>
      <c r="C3725">
        <v>47</v>
      </c>
      <c r="D3725" t="s">
        <v>15</v>
      </c>
      <c r="E3725">
        <v>174.5</v>
      </c>
      <c r="F3725">
        <v>66.400000000000006</v>
      </c>
      <c r="G3725">
        <v>2333</v>
      </c>
      <c r="H3725">
        <v>240</v>
      </c>
      <c r="I3725">
        <v>6</v>
      </c>
      <c r="J3725">
        <v>70</v>
      </c>
      <c r="K3725" t="s">
        <v>23</v>
      </c>
      <c r="L3725">
        <v>83</v>
      </c>
      <c r="M3725">
        <v>1.9</v>
      </c>
      <c r="N3725">
        <v>7</v>
      </c>
      <c r="O3725" t="s">
        <v>17</v>
      </c>
      <c r="P3725" cm="1">
        <f t="array" ref="P3725">_xlfn.SWITCH(Table2[[#This Row],[mood]], "Tired", 3, "Neutral", 2, "Happy", 1)</f>
        <v>3</v>
      </c>
    </row>
    <row r="3726" spans="1:16" x14ac:dyDescent="0.3">
      <c r="A3726">
        <v>1823</v>
      </c>
      <c r="B3726" s="1">
        <v>45729</v>
      </c>
      <c r="C3726">
        <v>42</v>
      </c>
      <c r="D3726" t="s">
        <v>20</v>
      </c>
      <c r="E3726">
        <v>159</v>
      </c>
      <c r="F3726">
        <v>79.400000000000006</v>
      </c>
      <c r="G3726">
        <v>13836</v>
      </c>
      <c r="H3726">
        <v>718.8</v>
      </c>
      <c r="I3726">
        <v>5.9</v>
      </c>
      <c r="J3726">
        <v>88</v>
      </c>
      <c r="K3726" t="s">
        <v>25</v>
      </c>
      <c r="L3726">
        <v>42</v>
      </c>
      <c r="M3726">
        <v>2.65</v>
      </c>
      <c r="N3726">
        <v>4</v>
      </c>
      <c r="O3726" t="s">
        <v>17</v>
      </c>
      <c r="P3726" cm="1">
        <f t="array" ref="P3726">_xlfn.SWITCH(Table2[[#This Row],[mood]], "Tired", 3, "Neutral", 2, "Happy", 1)</f>
        <v>3</v>
      </c>
    </row>
    <row r="3727" spans="1:16" x14ac:dyDescent="0.3">
      <c r="A3727">
        <v>1210</v>
      </c>
      <c r="B3727" s="1">
        <v>45730</v>
      </c>
      <c r="C3727">
        <v>57</v>
      </c>
      <c r="D3727" t="s">
        <v>20</v>
      </c>
      <c r="E3727">
        <v>169.3</v>
      </c>
      <c r="F3727">
        <v>84.4</v>
      </c>
      <c r="G3727">
        <v>4336</v>
      </c>
      <c r="H3727">
        <v>494.2</v>
      </c>
      <c r="I3727">
        <v>6.8</v>
      </c>
      <c r="J3727">
        <v>63</v>
      </c>
      <c r="K3727" t="s">
        <v>24</v>
      </c>
      <c r="L3727">
        <v>79</v>
      </c>
      <c r="M3727">
        <v>2.6</v>
      </c>
      <c r="N3727">
        <v>10</v>
      </c>
      <c r="O3727" t="s">
        <v>19</v>
      </c>
      <c r="P3727" cm="1">
        <f t="array" ref="P3727">_xlfn.SWITCH(Table2[[#This Row],[mood]], "Tired", 3, "Neutral", 2, "Happy", 1)</f>
        <v>2</v>
      </c>
    </row>
    <row r="3728" spans="1:16" x14ac:dyDescent="0.3">
      <c r="A3728">
        <v>1100</v>
      </c>
      <c r="B3728" s="1">
        <v>45731</v>
      </c>
      <c r="C3728">
        <v>28</v>
      </c>
      <c r="D3728" t="s">
        <v>20</v>
      </c>
      <c r="E3728">
        <v>158.19999999999999</v>
      </c>
      <c r="F3728">
        <v>51.2</v>
      </c>
      <c r="G3728">
        <v>9157</v>
      </c>
      <c r="H3728">
        <v>508.8</v>
      </c>
      <c r="I3728">
        <v>9.5</v>
      </c>
      <c r="J3728">
        <v>73</v>
      </c>
      <c r="K3728" t="s">
        <v>18</v>
      </c>
      <c r="L3728">
        <v>78</v>
      </c>
      <c r="M3728">
        <v>2.27</v>
      </c>
      <c r="N3728">
        <v>3</v>
      </c>
      <c r="O3728" t="s">
        <v>17</v>
      </c>
      <c r="P3728" cm="1">
        <f t="array" ref="P3728">_xlfn.SWITCH(Table2[[#This Row],[mood]], "Tired", 3, "Neutral", 2, "Happy", 1)</f>
        <v>3</v>
      </c>
    </row>
    <row r="3729" spans="1:16" x14ac:dyDescent="0.3">
      <c r="A3729">
        <v>1697</v>
      </c>
      <c r="B3729" s="1">
        <v>45732</v>
      </c>
      <c r="C3729">
        <v>24</v>
      </c>
      <c r="D3729" t="s">
        <v>20</v>
      </c>
      <c r="E3729">
        <v>166.2</v>
      </c>
      <c r="F3729">
        <v>80.900000000000006</v>
      </c>
      <c r="G3729">
        <v>4387</v>
      </c>
      <c r="H3729">
        <v>300.89999999999998</v>
      </c>
      <c r="I3729">
        <v>8.8000000000000007</v>
      </c>
      <c r="J3729">
        <v>74</v>
      </c>
      <c r="K3729" t="s">
        <v>18</v>
      </c>
      <c r="L3729">
        <v>27</v>
      </c>
      <c r="M3729">
        <v>1.89</v>
      </c>
      <c r="N3729">
        <v>2</v>
      </c>
      <c r="O3729" t="s">
        <v>19</v>
      </c>
      <c r="P3729" cm="1">
        <f t="array" ref="P3729">_xlfn.SWITCH(Table2[[#This Row],[mood]], "Tired", 3, "Neutral", 2, "Happy", 1)</f>
        <v>2</v>
      </c>
    </row>
    <row r="3730" spans="1:16" x14ac:dyDescent="0.3">
      <c r="A3730">
        <v>1131</v>
      </c>
      <c r="B3730" s="1">
        <v>45733</v>
      </c>
      <c r="C3730">
        <v>43</v>
      </c>
      <c r="D3730" t="s">
        <v>15</v>
      </c>
      <c r="E3730">
        <v>156.5</v>
      </c>
      <c r="F3730">
        <v>87</v>
      </c>
      <c r="G3730">
        <v>5713</v>
      </c>
      <c r="H3730">
        <v>442.4</v>
      </c>
      <c r="I3730">
        <v>6.1</v>
      </c>
      <c r="J3730">
        <v>70</v>
      </c>
      <c r="K3730" t="s">
        <v>25</v>
      </c>
      <c r="L3730">
        <v>83</v>
      </c>
      <c r="M3730">
        <v>0.5</v>
      </c>
      <c r="N3730">
        <v>10</v>
      </c>
      <c r="O3730" t="s">
        <v>21</v>
      </c>
      <c r="P3730" cm="1">
        <f t="array" ref="P3730">_xlfn.SWITCH(Table2[[#This Row],[mood]], "Tired", 3, "Neutral", 2, "Happy", 1)</f>
        <v>1</v>
      </c>
    </row>
    <row r="3731" spans="1:16" x14ac:dyDescent="0.3">
      <c r="A3731">
        <v>1622</v>
      </c>
      <c r="B3731" s="1">
        <v>45734</v>
      </c>
      <c r="C3731">
        <v>39</v>
      </c>
      <c r="D3731" t="s">
        <v>15</v>
      </c>
      <c r="E3731">
        <v>155.4</v>
      </c>
      <c r="F3731">
        <v>79.099999999999994</v>
      </c>
      <c r="G3731">
        <v>6101</v>
      </c>
      <c r="H3731">
        <v>440.2</v>
      </c>
      <c r="I3731">
        <v>8.3000000000000007</v>
      </c>
      <c r="J3731">
        <v>68</v>
      </c>
      <c r="K3731" t="s">
        <v>24</v>
      </c>
      <c r="L3731">
        <v>73</v>
      </c>
      <c r="M3731">
        <v>1.91</v>
      </c>
      <c r="N3731">
        <v>4</v>
      </c>
      <c r="O3731" t="s">
        <v>19</v>
      </c>
      <c r="P3731" cm="1">
        <f t="array" ref="P3731">_xlfn.SWITCH(Table2[[#This Row],[mood]], "Tired", 3, "Neutral", 2, "Happy", 1)</f>
        <v>2</v>
      </c>
    </row>
    <row r="3732" spans="1:16" x14ac:dyDescent="0.3">
      <c r="A3732">
        <v>1380</v>
      </c>
      <c r="B3732" s="1">
        <v>45735</v>
      </c>
      <c r="C3732">
        <v>42</v>
      </c>
      <c r="D3732" t="s">
        <v>15</v>
      </c>
      <c r="E3732">
        <v>173.4</v>
      </c>
      <c r="F3732">
        <v>76.2</v>
      </c>
      <c r="G3732">
        <v>3431</v>
      </c>
      <c r="H3732">
        <v>370.2</v>
      </c>
      <c r="I3732">
        <v>6.9</v>
      </c>
      <c r="J3732">
        <v>70</v>
      </c>
      <c r="K3732" t="s">
        <v>23</v>
      </c>
      <c r="L3732">
        <v>34</v>
      </c>
      <c r="M3732">
        <v>2.99</v>
      </c>
      <c r="N3732">
        <v>9</v>
      </c>
      <c r="O3732" t="s">
        <v>21</v>
      </c>
      <c r="P3732" cm="1">
        <f t="array" ref="P3732">_xlfn.SWITCH(Table2[[#This Row],[mood]], "Tired", 3, "Neutral", 2, "Happy", 1)</f>
        <v>1</v>
      </c>
    </row>
    <row r="3733" spans="1:16" x14ac:dyDescent="0.3">
      <c r="A3733">
        <v>1131</v>
      </c>
      <c r="B3733" s="1">
        <v>45736</v>
      </c>
      <c r="C3733">
        <v>36</v>
      </c>
      <c r="D3733" t="s">
        <v>15</v>
      </c>
      <c r="E3733">
        <v>164.2</v>
      </c>
      <c r="F3733">
        <v>68</v>
      </c>
      <c r="G3733">
        <v>2016</v>
      </c>
      <c r="H3733">
        <v>252.9</v>
      </c>
      <c r="I3733">
        <v>7.5</v>
      </c>
      <c r="J3733">
        <v>70</v>
      </c>
      <c r="K3733" t="s">
        <v>25</v>
      </c>
      <c r="L3733">
        <v>71</v>
      </c>
      <c r="M3733">
        <v>1.52</v>
      </c>
      <c r="N3733">
        <v>5</v>
      </c>
      <c r="O3733" t="s">
        <v>21</v>
      </c>
      <c r="P3733" cm="1">
        <f t="array" ref="P3733">_xlfn.SWITCH(Table2[[#This Row],[mood]], "Tired", 3, "Neutral", 2, "Happy", 1)</f>
        <v>1</v>
      </c>
    </row>
    <row r="3734" spans="1:16" x14ac:dyDescent="0.3">
      <c r="A3734">
        <v>1019</v>
      </c>
      <c r="B3734" s="1">
        <v>45737</v>
      </c>
      <c r="C3734">
        <v>48</v>
      </c>
      <c r="D3734" t="s">
        <v>20</v>
      </c>
      <c r="E3734">
        <v>165.1</v>
      </c>
      <c r="F3734">
        <v>63.1</v>
      </c>
      <c r="G3734">
        <v>18025</v>
      </c>
      <c r="H3734">
        <v>877.6</v>
      </c>
      <c r="I3734">
        <v>5.5</v>
      </c>
      <c r="J3734">
        <v>70</v>
      </c>
      <c r="K3734" t="s">
        <v>23</v>
      </c>
      <c r="L3734">
        <v>70</v>
      </c>
      <c r="M3734">
        <v>1.67</v>
      </c>
      <c r="N3734">
        <v>1</v>
      </c>
      <c r="O3734" t="s">
        <v>21</v>
      </c>
      <c r="P3734" cm="1">
        <f t="array" ref="P3734">_xlfn.SWITCH(Table2[[#This Row],[mood]], "Tired", 3, "Neutral", 2, "Happy", 1)</f>
        <v>1</v>
      </c>
    </row>
    <row r="3735" spans="1:16" x14ac:dyDescent="0.3">
      <c r="A3735">
        <v>1905</v>
      </c>
      <c r="B3735" s="1">
        <v>45738</v>
      </c>
      <c r="C3735">
        <v>43</v>
      </c>
      <c r="D3735" t="s">
        <v>15</v>
      </c>
      <c r="E3735">
        <v>163.69999999999999</v>
      </c>
      <c r="F3735">
        <v>81.8</v>
      </c>
      <c r="G3735">
        <v>9507</v>
      </c>
      <c r="H3735">
        <v>664</v>
      </c>
      <c r="I3735">
        <v>5</v>
      </c>
      <c r="J3735">
        <v>89</v>
      </c>
      <c r="K3735" t="s">
        <v>24</v>
      </c>
      <c r="L3735">
        <v>23</v>
      </c>
      <c r="M3735">
        <v>1.5</v>
      </c>
      <c r="N3735">
        <v>5</v>
      </c>
      <c r="O3735" t="s">
        <v>19</v>
      </c>
      <c r="P3735" cm="1">
        <f t="array" ref="P3735">_xlfn.SWITCH(Table2[[#This Row],[mood]], "Tired", 3, "Neutral", 2, "Happy", 1)</f>
        <v>2</v>
      </c>
    </row>
    <row r="3736" spans="1:16" x14ac:dyDescent="0.3">
      <c r="A3736">
        <v>1535</v>
      </c>
      <c r="B3736" s="1">
        <v>45739</v>
      </c>
      <c r="C3736">
        <v>59</v>
      </c>
      <c r="D3736" t="s">
        <v>20</v>
      </c>
      <c r="E3736">
        <v>197.2</v>
      </c>
      <c r="F3736">
        <v>78.8</v>
      </c>
      <c r="G3736">
        <v>1440</v>
      </c>
      <c r="H3736">
        <v>177</v>
      </c>
      <c r="I3736">
        <v>8.1</v>
      </c>
      <c r="J3736">
        <v>79</v>
      </c>
      <c r="K3736" t="s">
        <v>25</v>
      </c>
      <c r="L3736">
        <v>53</v>
      </c>
      <c r="M3736">
        <v>2.65</v>
      </c>
      <c r="N3736">
        <v>6</v>
      </c>
      <c r="O3736" t="s">
        <v>21</v>
      </c>
      <c r="P3736" cm="1">
        <f t="array" ref="P3736">_xlfn.SWITCH(Table2[[#This Row],[mood]], "Tired", 3, "Neutral", 2, "Happy", 1)</f>
        <v>1</v>
      </c>
    </row>
    <row r="3737" spans="1:16" x14ac:dyDescent="0.3">
      <c r="A3737">
        <v>1226</v>
      </c>
      <c r="B3737" s="1">
        <v>45740</v>
      </c>
      <c r="C3737">
        <v>58</v>
      </c>
      <c r="D3737" t="s">
        <v>15</v>
      </c>
      <c r="E3737">
        <v>176.1</v>
      </c>
      <c r="F3737">
        <v>65.099999999999994</v>
      </c>
      <c r="G3737">
        <v>18522</v>
      </c>
      <c r="H3737">
        <v>900</v>
      </c>
      <c r="I3737">
        <v>7</v>
      </c>
      <c r="J3737">
        <v>74</v>
      </c>
      <c r="K3737" t="s">
        <v>25</v>
      </c>
      <c r="L3737">
        <v>43</v>
      </c>
      <c r="M3737">
        <v>1.87</v>
      </c>
      <c r="N3737">
        <v>10</v>
      </c>
      <c r="O3737" t="s">
        <v>19</v>
      </c>
      <c r="P3737" cm="1">
        <f t="array" ref="P3737">_xlfn.SWITCH(Table2[[#This Row],[mood]], "Tired", 3, "Neutral", 2, "Happy", 1)</f>
        <v>2</v>
      </c>
    </row>
    <row r="3738" spans="1:16" x14ac:dyDescent="0.3">
      <c r="A3738">
        <v>1153</v>
      </c>
      <c r="B3738" s="1">
        <v>45741</v>
      </c>
      <c r="C3738">
        <v>53</v>
      </c>
      <c r="D3738" t="s">
        <v>15</v>
      </c>
      <c r="E3738">
        <v>177.1</v>
      </c>
      <c r="F3738">
        <v>108.1</v>
      </c>
      <c r="G3738">
        <v>15634</v>
      </c>
      <c r="H3738">
        <v>859.9</v>
      </c>
      <c r="I3738">
        <v>7.8</v>
      </c>
      <c r="J3738">
        <v>83</v>
      </c>
      <c r="K3738" t="s">
        <v>23</v>
      </c>
      <c r="L3738">
        <v>40</v>
      </c>
      <c r="M3738">
        <v>3.35</v>
      </c>
      <c r="N3738">
        <v>6</v>
      </c>
      <c r="O3738" t="s">
        <v>19</v>
      </c>
      <c r="P3738" cm="1">
        <f t="array" ref="P3738">_xlfn.SWITCH(Table2[[#This Row],[mood]], "Tired", 3, "Neutral", 2, "Happy", 1)</f>
        <v>2</v>
      </c>
    </row>
    <row r="3739" spans="1:16" x14ac:dyDescent="0.3">
      <c r="A3739">
        <v>1804</v>
      </c>
      <c r="B3739" s="1">
        <v>45742</v>
      </c>
      <c r="C3739">
        <v>40</v>
      </c>
      <c r="D3739" t="s">
        <v>15</v>
      </c>
      <c r="E3739">
        <v>162.19999999999999</v>
      </c>
      <c r="F3739">
        <v>47.4</v>
      </c>
      <c r="G3739">
        <v>6243</v>
      </c>
      <c r="H3739">
        <v>490.8</v>
      </c>
      <c r="I3739">
        <v>9.4</v>
      </c>
      <c r="J3739">
        <v>74</v>
      </c>
      <c r="K3739" t="s">
        <v>25</v>
      </c>
      <c r="L3739">
        <v>21</v>
      </c>
      <c r="M3739">
        <v>3.01</v>
      </c>
      <c r="N3739">
        <v>5</v>
      </c>
      <c r="O3739" t="s">
        <v>19</v>
      </c>
      <c r="P3739" cm="1">
        <f t="array" ref="P3739">_xlfn.SWITCH(Table2[[#This Row],[mood]], "Tired", 3, "Neutral", 2, "Happy", 1)</f>
        <v>2</v>
      </c>
    </row>
    <row r="3740" spans="1:16" x14ac:dyDescent="0.3">
      <c r="A3740">
        <v>1741</v>
      </c>
      <c r="B3740" s="1">
        <v>45743</v>
      </c>
      <c r="C3740">
        <v>30</v>
      </c>
      <c r="D3740" t="s">
        <v>20</v>
      </c>
      <c r="E3740">
        <v>175</v>
      </c>
      <c r="F3740">
        <v>66.5</v>
      </c>
      <c r="G3740">
        <v>3303</v>
      </c>
      <c r="H3740">
        <v>317</v>
      </c>
      <c r="I3740">
        <v>6.6</v>
      </c>
      <c r="J3740">
        <v>67</v>
      </c>
      <c r="K3740" t="s">
        <v>24</v>
      </c>
      <c r="L3740">
        <v>26</v>
      </c>
      <c r="M3740">
        <v>2.64</v>
      </c>
      <c r="N3740">
        <v>8</v>
      </c>
      <c r="O3740" t="s">
        <v>21</v>
      </c>
      <c r="P3740" cm="1">
        <f t="array" ref="P3740">_xlfn.SWITCH(Table2[[#This Row],[mood]], "Tired", 3, "Neutral", 2, "Happy", 1)</f>
        <v>1</v>
      </c>
    </row>
    <row r="3741" spans="1:16" x14ac:dyDescent="0.3">
      <c r="A3741">
        <v>1468</v>
      </c>
      <c r="B3741" s="1">
        <v>45744</v>
      </c>
      <c r="C3741">
        <v>42</v>
      </c>
      <c r="D3741" t="s">
        <v>20</v>
      </c>
      <c r="E3741">
        <v>167.7</v>
      </c>
      <c r="F3741">
        <v>58.4</v>
      </c>
      <c r="G3741">
        <v>15986</v>
      </c>
      <c r="H3741">
        <v>777</v>
      </c>
      <c r="I3741">
        <v>6.7</v>
      </c>
      <c r="J3741">
        <v>59</v>
      </c>
      <c r="K3741" t="s">
        <v>25</v>
      </c>
      <c r="L3741">
        <v>75</v>
      </c>
      <c r="M3741">
        <v>2.71</v>
      </c>
      <c r="N3741">
        <v>5</v>
      </c>
      <c r="O3741" t="s">
        <v>19</v>
      </c>
      <c r="P3741" cm="1">
        <f t="array" ref="P3741">_xlfn.SWITCH(Table2[[#This Row],[mood]], "Tired", 3, "Neutral", 2, "Happy", 1)</f>
        <v>2</v>
      </c>
    </row>
    <row r="3742" spans="1:16" x14ac:dyDescent="0.3">
      <c r="A3742">
        <v>1821</v>
      </c>
      <c r="B3742" s="1">
        <v>45745</v>
      </c>
      <c r="C3742">
        <v>19</v>
      </c>
      <c r="D3742" t="s">
        <v>20</v>
      </c>
      <c r="E3742">
        <v>162.19999999999999</v>
      </c>
      <c r="F3742">
        <v>75.8</v>
      </c>
      <c r="G3742">
        <v>13334</v>
      </c>
      <c r="H3742">
        <v>808.3</v>
      </c>
      <c r="I3742">
        <v>9.6999999999999993</v>
      </c>
      <c r="J3742">
        <v>85</v>
      </c>
      <c r="K3742" t="s">
        <v>22</v>
      </c>
      <c r="L3742">
        <v>87</v>
      </c>
      <c r="M3742">
        <v>1.97</v>
      </c>
      <c r="N3742">
        <v>10</v>
      </c>
      <c r="O3742" t="s">
        <v>19</v>
      </c>
      <c r="P3742" cm="1">
        <f t="array" ref="P3742">_xlfn.SWITCH(Table2[[#This Row],[mood]], "Tired", 3, "Neutral", 2, "Happy", 1)</f>
        <v>2</v>
      </c>
    </row>
    <row r="3743" spans="1:16" x14ac:dyDescent="0.3">
      <c r="A3743">
        <v>1999</v>
      </c>
      <c r="B3743" s="1">
        <v>45746</v>
      </c>
      <c r="C3743">
        <v>19</v>
      </c>
      <c r="D3743" t="s">
        <v>20</v>
      </c>
      <c r="E3743">
        <v>189.3</v>
      </c>
      <c r="F3743">
        <v>45</v>
      </c>
      <c r="G3743">
        <v>15040</v>
      </c>
      <c r="H3743">
        <v>779.3</v>
      </c>
      <c r="I3743">
        <v>7</v>
      </c>
      <c r="J3743">
        <v>53</v>
      </c>
      <c r="K3743" t="s">
        <v>24</v>
      </c>
      <c r="L3743">
        <v>54</v>
      </c>
      <c r="M3743">
        <v>1.97</v>
      </c>
      <c r="N3743">
        <v>3</v>
      </c>
      <c r="O3743" t="s">
        <v>21</v>
      </c>
      <c r="P3743" cm="1">
        <f t="array" ref="P3743">_xlfn.SWITCH(Table2[[#This Row],[mood]], "Tired", 3, "Neutral", 2, "Happy", 1)</f>
        <v>1</v>
      </c>
    </row>
    <row r="3744" spans="1:16" x14ac:dyDescent="0.3">
      <c r="A3744">
        <v>1870</v>
      </c>
      <c r="B3744" s="1">
        <v>45747</v>
      </c>
      <c r="C3744">
        <v>33</v>
      </c>
      <c r="D3744" t="s">
        <v>15</v>
      </c>
      <c r="E3744">
        <v>175.7</v>
      </c>
      <c r="F3744">
        <v>89</v>
      </c>
      <c r="G3744">
        <v>6950</v>
      </c>
      <c r="H3744">
        <v>554.5</v>
      </c>
      <c r="I3744">
        <v>5.8</v>
      </c>
      <c r="J3744">
        <v>60</v>
      </c>
      <c r="K3744" t="s">
        <v>18</v>
      </c>
      <c r="L3744">
        <v>45</v>
      </c>
      <c r="M3744">
        <v>3</v>
      </c>
      <c r="N3744">
        <v>3</v>
      </c>
      <c r="O3744" t="s">
        <v>19</v>
      </c>
      <c r="P3744" cm="1">
        <f t="array" ref="P3744">_xlfn.SWITCH(Table2[[#This Row],[mood]], "Tired", 3, "Neutral", 2, "Happy", 1)</f>
        <v>2</v>
      </c>
    </row>
    <row r="3745" spans="1:16" x14ac:dyDescent="0.3">
      <c r="A3745">
        <v>1404</v>
      </c>
      <c r="B3745" s="1">
        <v>45748</v>
      </c>
      <c r="C3745">
        <v>26</v>
      </c>
      <c r="D3745" t="s">
        <v>20</v>
      </c>
      <c r="E3745">
        <v>175.2</v>
      </c>
      <c r="F3745">
        <v>85.1</v>
      </c>
      <c r="G3745">
        <v>8046</v>
      </c>
      <c r="H3745">
        <v>540.20000000000005</v>
      </c>
      <c r="I3745">
        <v>8.1</v>
      </c>
      <c r="J3745">
        <v>80</v>
      </c>
      <c r="K3745" t="s">
        <v>23</v>
      </c>
      <c r="L3745">
        <v>37</v>
      </c>
      <c r="M3745">
        <v>3.14</v>
      </c>
      <c r="N3745">
        <v>4</v>
      </c>
      <c r="O3745" t="s">
        <v>21</v>
      </c>
      <c r="P3745" cm="1">
        <f t="array" ref="P3745">_xlfn.SWITCH(Table2[[#This Row],[mood]], "Tired", 3, "Neutral", 2, "Happy", 1)</f>
        <v>1</v>
      </c>
    </row>
    <row r="3746" spans="1:16" x14ac:dyDescent="0.3">
      <c r="A3746">
        <v>1201</v>
      </c>
      <c r="B3746" s="1">
        <v>45749</v>
      </c>
      <c r="C3746">
        <v>45</v>
      </c>
      <c r="D3746" t="s">
        <v>20</v>
      </c>
      <c r="E3746">
        <v>160.30000000000001</v>
      </c>
      <c r="F3746">
        <v>74</v>
      </c>
      <c r="G3746">
        <v>7606</v>
      </c>
      <c r="H3746">
        <v>480</v>
      </c>
      <c r="I3746">
        <v>6.6</v>
      </c>
      <c r="J3746">
        <v>75</v>
      </c>
      <c r="K3746" t="s">
        <v>16</v>
      </c>
      <c r="L3746">
        <v>0</v>
      </c>
      <c r="M3746">
        <v>2.99</v>
      </c>
      <c r="N3746">
        <v>10</v>
      </c>
      <c r="O3746" t="s">
        <v>21</v>
      </c>
      <c r="P3746" cm="1">
        <f t="array" ref="P3746">_xlfn.SWITCH(Table2[[#This Row],[mood]], "Tired", 3, "Neutral", 2, "Happy", 1)</f>
        <v>1</v>
      </c>
    </row>
    <row r="3747" spans="1:16" x14ac:dyDescent="0.3">
      <c r="A3747">
        <v>1037</v>
      </c>
      <c r="B3747" s="1">
        <v>45750</v>
      </c>
      <c r="C3747">
        <v>30</v>
      </c>
      <c r="D3747" t="s">
        <v>15</v>
      </c>
      <c r="E3747">
        <v>157.30000000000001</v>
      </c>
      <c r="F3747">
        <v>65.3</v>
      </c>
      <c r="G3747">
        <v>4421</v>
      </c>
      <c r="H3747">
        <v>396.5</v>
      </c>
      <c r="I3747">
        <v>5.8</v>
      </c>
      <c r="J3747">
        <v>90</v>
      </c>
      <c r="K3747" t="s">
        <v>16</v>
      </c>
      <c r="L3747">
        <v>0</v>
      </c>
      <c r="M3747">
        <v>2.17</v>
      </c>
      <c r="N3747">
        <v>8</v>
      </c>
      <c r="O3747" t="s">
        <v>21</v>
      </c>
      <c r="P3747" cm="1">
        <f t="array" ref="P3747">_xlfn.SWITCH(Table2[[#This Row],[mood]], "Tired", 3, "Neutral", 2, "Happy", 1)</f>
        <v>1</v>
      </c>
    </row>
    <row r="3748" spans="1:16" x14ac:dyDescent="0.3">
      <c r="A3748">
        <v>1941</v>
      </c>
      <c r="B3748" s="1">
        <v>45751</v>
      </c>
      <c r="C3748">
        <v>52</v>
      </c>
      <c r="D3748" t="s">
        <v>15</v>
      </c>
      <c r="E3748">
        <v>169.4</v>
      </c>
      <c r="F3748">
        <v>80.7</v>
      </c>
      <c r="G3748">
        <v>14434</v>
      </c>
      <c r="H3748">
        <v>834.9</v>
      </c>
      <c r="I3748">
        <v>7.1</v>
      </c>
      <c r="J3748">
        <v>69</v>
      </c>
      <c r="K3748" t="s">
        <v>24</v>
      </c>
      <c r="L3748">
        <v>74</v>
      </c>
      <c r="M3748">
        <v>2.23</v>
      </c>
      <c r="N3748">
        <v>9</v>
      </c>
      <c r="O3748" t="s">
        <v>19</v>
      </c>
      <c r="P3748" cm="1">
        <f t="array" ref="P3748">_xlfn.SWITCH(Table2[[#This Row],[mood]], "Tired", 3, "Neutral", 2, "Happy", 1)</f>
        <v>2</v>
      </c>
    </row>
    <row r="3749" spans="1:16" x14ac:dyDescent="0.3">
      <c r="A3749">
        <v>1771</v>
      </c>
      <c r="B3749" s="1">
        <v>45752</v>
      </c>
      <c r="C3749">
        <v>58</v>
      </c>
      <c r="D3749" t="s">
        <v>20</v>
      </c>
      <c r="E3749">
        <v>164.3</v>
      </c>
      <c r="F3749">
        <v>74.900000000000006</v>
      </c>
      <c r="G3749">
        <v>19462</v>
      </c>
      <c r="H3749">
        <v>900</v>
      </c>
      <c r="I3749">
        <v>8.1999999999999993</v>
      </c>
      <c r="J3749">
        <v>83</v>
      </c>
      <c r="K3749" t="s">
        <v>16</v>
      </c>
      <c r="L3749">
        <v>0</v>
      </c>
      <c r="M3749">
        <v>1.85</v>
      </c>
      <c r="N3749">
        <v>7</v>
      </c>
      <c r="O3749" t="s">
        <v>19</v>
      </c>
      <c r="P3749" cm="1">
        <f t="array" ref="P3749">_xlfn.SWITCH(Table2[[#This Row],[mood]], "Tired", 3, "Neutral", 2, "Happy", 1)</f>
        <v>2</v>
      </c>
    </row>
    <row r="3750" spans="1:16" x14ac:dyDescent="0.3">
      <c r="A3750">
        <v>1187</v>
      </c>
      <c r="B3750" s="1">
        <v>45753</v>
      </c>
      <c r="C3750">
        <v>30</v>
      </c>
      <c r="D3750" t="s">
        <v>15</v>
      </c>
      <c r="E3750">
        <v>176.1</v>
      </c>
      <c r="F3750">
        <v>84.3</v>
      </c>
      <c r="G3750">
        <v>7103</v>
      </c>
      <c r="H3750">
        <v>447.2</v>
      </c>
      <c r="I3750">
        <v>5.3</v>
      </c>
      <c r="J3750">
        <v>73</v>
      </c>
      <c r="K3750" t="s">
        <v>18</v>
      </c>
      <c r="L3750">
        <v>56</v>
      </c>
      <c r="M3750">
        <v>3.04</v>
      </c>
      <c r="N3750">
        <v>2</v>
      </c>
      <c r="O3750" t="s">
        <v>17</v>
      </c>
      <c r="P3750" cm="1">
        <f t="array" ref="P3750">_xlfn.SWITCH(Table2[[#This Row],[mood]], "Tired", 3, "Neutral", 2, "Happy", 1)</f>
        <v>3</v>
      </c>
    </row>
    <row r="3751" spans="1:16" x14ac:dyDescent="0.3">
      <c r="A3751">
        <v>1056</v>
      </c>
      <c r="B3751" s="1">
        <v>45754</v>
      </c>
      <c r="C3751">
        <v>48</v>
      </c>
      <c r="D3751" t="s">
        <v>20</v>
      </c>
      <c r="E3751">
        <v>176.8</v>
      </c>
      <c r="F3751">
        <v>68.2</v>
      </c>
      <c r="G3751">
        <v>3200</v>
      </c>
      <c r="H3751">
        <v>238.6</v>
      </c>
      <c r="I3751">
        <v>5.2</v>
      </c>
      <c r="J3751">
        <v>80</v>
      </c>
      <c r="K3751" t="s">
        <v>18</v>
      </c>
      <c r="L3751">
        <v>71</v>
      </c>
      <c r="M3751">
        <v>1.1299999999999999</v>
      </c>
      <c r="N3751">
        <v>9</v>
      </c>
      <c r="O3751" t="s">
        <v>17</v>
      </c>
      <c r="P3751" cm="1">
        <f t="array" ref="P3751">_xlfn.SWITCH(Table2[[#This Row],[mood]], "Tired", 3, "Neutral", 2, "Happy", 1)</f>
        <v>3</v>
      </c>
    </row>
    <row r="3752" spans="1:16" x14ac:dyDescent="0.3">
      <c r="A3752">
        <v>1940</v>
      </c>
      <c r="B3752" s="1">
        <v>45755</v>
      </c>
      <c r="C3752">
        <v>38</v>
      </c>
      <c r="D3752" t="s">
        <v>15</v>
      </c>
      <c r="E3752">
        <v>170.7</v>
      </c>
      <c r="F3752">
        <v>67.3</v>
      </c>
      <c r="G3752">
        <v>9227</v>
      </c>
      <c r="H3752">
        <v>547.9</v>
      </c>
      <c r="I3752">
        <v>6.9</v>
      </c>
      <c r="J3752">
        <v>77</v>
      </c>
      <c r="K3752" t="s">
        <v>24</v>
      </c>
      <c r="L3752">
        <v>38</v>
      </c>
      <c r="M3752">
        <v>0.96</v>
      </c>
      <c r="N3752">
        <v>6</v>
      </c>
      <c r="O3752" t="s">
        <v>17</v>
      </c>
      <c r="P3752" cm="1">
        <f t="array" ref="P3752">_xlfn.SWITCH(Table2[[#This Row],[mood]], "Tired", 3, "Neutral", 2, "Happy", 1)</f>
        <v>3</v>
      </c>
    </row>
    <row r="3753" spans="1:16" x14ac:dyDescent="0.3">
      <c r="A3753">
        <v>1019</v>
      </c>
      <c r="B3753" s="1">
        <v>45756</v>
      </c>
      <c r="C3753">
        <v>49</v>
      </c>
      <c r="D3753" t="s">
        <v>20</v>
      </c>
      <c r="E3753">
        <v>178.3</v>
      </c>
      <c r="F3753">
        <v>86.2</v>
      </c>
      <c r="G3753">
        <v>10009</v>
      </c>
      <c r="H3753">
        <v>640.70000000000005</v>
      </c>
      <c r="I3753">
        <v>5.3</v>
      </c>
      <c r="J3753">
        <v>80</v>
      </c>
      <c r="K3753" t="s">
        <v>18</v>
      </c>
      <c r="L3753">
        <v>34</v>
      </c>
      <c r="M3753">
        <v>1.1000000000000001</v>
      </c>
      <c r="N3753">
        <v>6</v>
      </c>
      <c r="O3753" t="s">
        <v>21</v>
      </c>
      <c r="P3753" cm="1">
        <f t="array" ref="P3753">_xlfn.SWITCH(Table2[[#This Row],[mood]], "Tired", 3, "Neutral", 2, "Happy", 1)</f>
        <v>1</v>
      </c>
    </row>
    <row r="3754" spans="1:16" x14ac:dyDescent="0.3">
      <c r="A3754">
        <v>1272</v>
      </c>
      <c r="B3754" s="1">
        <v>45757</v>
      </c>
      <c r="C3754">
        <v>51</v>
      </c>
      <c r="D3754" t="s">
        <v>20</v>
      </c>
      <c r="E3754">
        <v>171.9</v>
      </c>
      <c r="F3754">
        <v>79.5</v>
      </c>
      <c r="G3754">
        <v>15221</v>
      </c>
      <c r="H3754">
        <v>758.3</v>
      </c>
      <c r="I3754">
        <v>5.0999999999999996</v>
      </c>
      <c r="J3754">
        <v>77</v>
      </c>
      <c r="K3754" t="s">
        <v>18</v>
      </c>
      <c r="L3754">
        <v>71</v>
      </c>
      <c r="M3754">
        <v>1</v>
      </c>
      <c r="N3754">
        <v>6</v>
      </c>
      <c r="O3754" t="s">
        <v>17</v>
      </c>
      <c r="P3754" cm="1">
        <f t="array" ref="P3754">_xlfn.SWITCH(Table2[[#This Row],[mood]], "Tired", 3, "Neutral", 2, "Happy", 1)</f>
        <v>3</v>
      </c>
    </row>
    <row r="3755" spans="1:16" x14ac:dyDescent="0.3">
      <c r="A3755">
        <v>1118</v>
      </c>
      <c r="B3755" s="1">
        <v>45758</v>
      </c>
      <c r="C3755">
        <v>25</v>
      </c>
      <c r="D3755" t="s">
        <v>20</v>
      </c>
      <c r="E3755">
        <v>161.30000000000001</v>
      </c>
      <c r="F3755">
        <v>67.400000000000006</v>
      </c>
      <c r="G3755">
        <v>15108</v>
      </c>
      <c r="H3755">
        <v>838.4</v>
      </c>
      <c r="I3755">
        <v>7</v>
      </c>
      <c r="J3755">
        <v>78</v>
      </c>
      <c r="K3755" t="s">
        <v>16</v>
      </c>
      <c r="L3755">
        <v>0</v>
      </c>
      <c r="M3755">
        <v>3.45</v>
      </c>
      <c r="N3755">
        <v>1</v>
      </c>
      <c r="O3755" t="s">
        <v>19</v>
      </c>
      <c r="P3755" cm="1">
        <f t="array" ref="P3755">_xlfn.SWITCH(Table2[[#This Row],[mood]], "Tired", 3, "Neutral", 2, "Happy", 1)</f>
        <v>2</v>
      </c>
    </row>
    <row r="3756" spans="1:16" x14ac:dyDescent="0.3">
      <c r="A3756">
        <v>1582</v>
      </c>
      <c r="B3756" s="1">
        <v>45759</v>
      </c>
      <c r="C3756">
        <v>58</v>
      </c>
      <c r="D3756" t="s">
        <v>20</v>
      </c>
      <c r="E3756">
        <v>168</v>
      </c>
      <c r="F3756">
        <v>75.5</v>
      </c>
      <c r="G3756">
        <v>2946</v>
      </c>
      <c r="H3756">
        <v>319.2</v>
      </c>
      <c r="I3756">
        <v>8.6999999999999993</v>
      </c>
      <c r="J3756">
        <v>64</v>
      </c>
      <c r="K3756" t="s">
        <v>22</v>
      </c>
      <c r="L3756">
        <v>64</v>
      </c>
      <c r="M3756">
        <v>3.05</v>
      </c>
      <c r="N3756">
        <v>9</v>
      </c>
      <c r="O3756" t="s">
        <v>21</v>
      </c>
      <c r="P3756" cm="1">
        <f t="array" ref="P3756">_xlfn.SWITCH(Table2[[#This Row],[mood]], "Tired", 3, "Neutral", 2, "Happy", 1)</f>
        <v>1</v>
      </c>
    </row>
    <row r="3757" spans="1:16" x14ac:dyDescent="0.3">
      <c r="A3757">
        <v>1515</v>
      </c>
      <c r="B3757" s="1">
        <v>45760</v>
      </c>
      <c r="C3757">
        <v>19</v>
      </c>
      <c r="D3757" t="s">
        <v>20</v>
      </c>
      <c r="E3757">
        <v>171.4</v>
      </c>
      <c r="F3757">
        <v>72.8</v>
      </c>
      <c r="G3757">
        <v>4956</v>
      </c>
      <c r="H3757">
        <v>435.5</v>
      </c>
      <c r="I3757">
        <v>8.1999999999999993</v>
      </c>
      <c r="J3757">
        <v>76</v>
      </c>
      <c r="K3757" t="s">
        <v>25</v>
      </c>
      <c r="L3757">
        <v>40</v>
      </c>
      <c r="M3757">
        <v>1.66</v>
      </c>
      <c r="N3757">
        <v>6</v>
      </c>
      <c r="O3757" t="s">
        <v>21</v>
      </c>
      <c r="P3757" cm="1">
        <f t="array" ref="P3757">_xlfn.SWITCH(Table2[[#This Row],[mood]], "Tired", 3, "Neutral", 2, "Happy", 1)</f>
        <v>1</v>
      </c>
    </row>
    <row r="3758" spans="1:16" x14ac:dyDescent="0.3">
      <c r="A3758">
        <v>1220</v>
      </c>
      <c r="B3758" s="1">
        <v>45761</v>
      </c>
      <c r="C3758">
        <v>55</v>
      </c>
      <c r="D3758" t="s">
        <v>15</v>
      </c>
      <c r="E3758">
        <v>179.3</v>
      </c>
      <c r="F3758">
        <v>77</v>
      </c>
      <c r="G3758">
        <v>13543</v>
      </c>
      <c r="H3758">
        <v>624.79999999999995</v>
      </c>
      <c r="I3758">
        <v>6.8</v>
      </c>
      <c r="J3758">
        <v>81</v>
      </c>
      <c r="K3758" t="s">
        <v>16</v>
      </c>
      <c r="L3758">
        <v>0</v>
      </c>
      <c r="M3758">
        <v>2.4300000000000002</v>
      </c>
      <c r="N3758">
        <v>7</v>
      </c>
      <c r="O3758" t="s">
        <v>19</v>
      </c>
      <c r="P3758" cm="1">
        <f t="array" ref="P3758">_xlfn.SWITCH(Table2[[#This Row],[mood]], "Tired", 3, "Neutral", 2, "Happy", 1)</f>
        <v>2</v>
      </c>
    </row>
    <row r="3759" spans="1:16" x14ac:dyDescent="0.3">
      <c r="A3759">
        <v>1525</v>
      </c>
      <c r="B3759" s="1">
        <v>45762</v>
      </c>
      <c r="C3759">
        <v>49</v>
      </c>
      <c r="D3759" t="s">
        <v>20</v>
      </c>
      <c r="E3759">
        <v>172.2</v>
      </c>
      <c r="F3759">
        <v>89</v>
      </c>
      <c r="G3759">
        <v>19609</v>
      </c>
      <c r="H3759">
        <v>900</v>
      </c>
      <c r="I3759">
        <v>8.9</v>
      </c>
      <c r="J3759">
        <v>74</v>
      </c>
      <c r="K3759" t="s">
        <v>16</v>
      </c>
      <c r="L3759">
        <v>0</v>
      </c>
      <c r="M3759">
        <v>3.53</v>
      </c>
      <c r="N3759">
        <v>1</v>
      </c>
      <c r="O3759" t="s">
        <v>17</v>
      </c>
      <c r="P3759" cm="1">
        <f t="array" ref="P3759">_xlfn.SWITCH(Table2[[#This Row],[mood]], "Tired", 3, "Neutral", 2, "Happy", 1)</f>
        <v>3</v>
      </c>
    </row>
    <row r="3760" spans="1:16" x14ac:dyDescent="0.3">
      <c r="A3760">
        <v>1514</v>
      </c>
      <c r="B3760" s="1">
        <v>45763</v>
      </c>
      <c r="C3760">
        <v>57</v>
      </c>
      <c r="D3760" t="s">
        <v>20</v>
      </c>
      <c r="E3760">
        <v>164.3</v>
      </c>
      <c r="F3760">
        <v>64.8</v>
      </c>
      <c r="G3760">
        <v>8715</v>
      </c>
      <c r="H3760">
        <v>525.5</v>
      </c>
      <c r="I3760">
        <v>9.6</v>
      </c>
      <c r="J3760">
        <v>74</v>
      </c>
      <c r="K3760" t="s">
        <v>22</v>
      </c>
      <c r="L3760">
        <v>67</v>
      </c>
      <c r="M3760">
        <v>2.85</v>
      </c>
      <c r="N3760">
        <v>5</v>
      </c>
      <c r="O3760" t="s">
        <v>17</v>
      </c>
      <c r="P3760" cm="1">
        <f t="array" ref="P3760">_xlfn.SWITCH(Table2[[#This Row],[mood]], "Tired", 3, "Neutral", 2, "Happy", 1)</f>
        <v>3</v>
      </c>
    </row>
    <row r="3761" spans="1:16" x14ac:dyDescent="0.3">
      <c r="A3761">
        <v>1727</v>
      </c>
      <c r="B3761" s="1">
        <v>45764</v>
      </c>
      <c r="C3761">
        <v>45</v>
      </c>
      <c r="D3761" t="s">
        <v>20</v>
      </c>
      <c r="E3761">
        <v>179.7</v>
      </c>
      <c r="F3761">
        <v>60.3</v>
      </c>
      <c r="G3761">
        <v>4325</v>
      </c>
      <c r="H3761">
        <v>466.3</v>
      </c>
      <c r="I3761">
        <v>7.7</v>
      </c>
      <c r="J3761">
        <v>56</v>
      </c>
      <c r="K3761" t="s">
        <v>25</v>
      </c>
      <c r="L3761">
        <v>38</v>
      </c>
      <c r="M3761">
        <v>3.98</v>
      </c>
      <c r="N3761">
        <v>3</v>
      </c>
      <c r="O3761" t="s">
        <v>19</v>
      </c>
      <c r="P3761" cm="1">
        <f t="array" ref="P3761">_xlfn.SWITCH(Table2[[#This Row],[mood]], "Tired", 3, "Neutral", 2, "Happy", 1)</f>
        <v>2</v>
      </c>
    </row>
    <row r="3762" spans="1:16" x14ac:dyDescent="0.3">
      <c r="A3762">
        <v>1740</v>
      </c>
      <c r="B3762" s="1">
        <v>45765</v>
      </c>
      <c r="C3762">
        <v>54</v>
      </c>
      <c r="D3762" t="s">
        <v>20</v>
      </c>
      <c r="E3762">
        <v>173.8</v>
      </c>
      <c r="F3762">
        <v>74.099999999999994</v>
      </c>
      <c r="G3762">
        <v>9699</v>
      </c>
      <c r="H3762">
        <v>550.20000000000005</v>
      </c>
      <c r="I3762">
        <v>6.5</v>
      </c>
      <c r="J3762">
        <v>90</v>
      </c>
      <c r="K3762" t="s">
        <v>18</v>
      </c>
      <c r="L3762">
        <v>73</v>
      </c>
      <c r="M3762">
        <v>2.42</v>
      </c>
      <c r="N3762">
        <v>9</v>
      </c>
      <c r="O3762" t="s">
        <v>19</v>
      </c>
      <c r="P3762" cm="1">
        <f t="array" ref="P3762">_xlfn.SWITCH(Table2[[#This Row],[mood]], "Tired", 3, "Neutral", 2, "Happy", 1)</f>
        <v>2</v>
      </c>
    </row>
    <row r="3763" spans="1:16" x14ac:dyDescent="0.3">
      <c r="A3763">
        <v>1335</v>
      </c>
      <c r="B3763" s="1">
        <v>45766</v>
      </c>
      <c r="C3763">
        <v>58</v>
      </c>
      <c r="D3763" t="s">
        <v>20</v>
      </c>
      <c r="E3763">
        <v>185.5</v>
      </c>
      <c r="F3763">
        <v>62</v>
      </c>
      <c r="G3763">
        <v>4745</v>
      </c>
      <c r="H3763">
        <v>383.5</v>
      </c>
      <c r="I3763">
        <v>9.3000000000000007</v>
      </c>
      <c r="J3763">
        <v>61</v>
      </c>
      <c r="K3763" t="s">
        <v>25</v>
      </c>
      <c r="L3763">
        <v>21</v>
      </c>
      <c r="M3763">
        <v>2.04</v>
      </c>
      <c r="N3763">
        <v>2</v>
      </c>
      <c r="O3763" t="s">
        <v>17</v>
      </c>
      <c r="P3763" cm="1">
        <f t="array" ref="P3763">_xlfn.SWITCH(Table2[[#This Row],[mood]], "Tired", 3, "Neutral", 2, "Happy", 1)</f>
        <v>3</v>
      </c>
    </row>
    <row r="3764" spans="1:16" x14ac:dyDescent="0.3">
      <c r="A3764">
        <v>1697</v>
      </c>
      <c r="B3764" s="1">
        <v>45767</v>
      </c>
      <c r="C3764">
        <v>18</v>
      </c>
      <c r="D3764" t="s">
        <v>15</v>
      </c>
      <c r="E3764">
        <v>170.9</v>
      </c>
      <c r="F3764">
        <v>56.3</v>
      </c>
      <c r="G3764">
        <v>13308</v>
      </c>
      <c r="H3764">
        <v>839.9</v>
      </c>
      <c r="I3764">
        <v>9.3000000000000007</v>
      </c>
      <c r="J3764">
        <v>69</v>
      </c>
      <c r="K3764" t="s">
        <v>22</v>
      </c>
      <c r="L3764">
        <v>51</v>
      </c>
      <c r="M3764">
        <v>1.74</v>
      </c>
      <c r="N3764">
        <v>4</v>
      </c>
      <c r="O3764" t="s">
        <v>19</v>
      </c>
      <c r="P3764" cm="1">
        <f t="array" ref="P3764">_xlfn.SWITCH(Table2[[#This Row],[mood]], "Tired", 3, "Neutral", 2, "Happy", 1)</f>
        <v>2</v>
      </c>
    </row>
    <row r="3765" spans="1:16" x14ac:dyDescent="0.3">
      <c r="A3765">
        <v>1054</v>
      </c>
      <c r="B3765" s="1">
        <v>45768</v>
      </c>
      <c r="C3765">
        <v>58</v>
      </c>
      <c r="D3765" t="s">
        <v>15</v>
      </c>
      <c r="E3765">
        <v>159.6</v>
      </c>
      <c r="F3765">
        <v>84.9</v>
      </c>
      <c r="G3765">
        <v>13069</v>
      </c>
      <c r="H3765">
        <v>744.2</v>
      </c>
      <c r="I3765">
        <v>7.4</v>
      </c>
      <c r="J3765">
        <v>67</v>
      </c>
      <c r="K3765" t="s">
        <v>23</v>
      </c>
      <c r="L3765">
        <v>81</v>
      </c>
      <c r="M3765">
        <v>2.52</v>
      </c>
      <c r="N3765">
        <v>3</v>
      </c>
      <c r="O3765" t="s">
        <v>17</v>
      </c>
      <c r="P3765" cm="1">
        <f t="array" ref="P3765">_xlfn.SWITCH(Table2[[#This Row],[mood]], "Tired", 3, "Neutral", 2, "Happy", 1)</f>
        <v>3</v>
      </c>
    </row>
    <row r="3766" spans="1:16" x14ac:dyDescent="0.3">
      <c r="A3766">
        <v>1499</v>
      </c>
      <c r="B3766" s="1">
        <v>45769</v>
      </c>
      <c r="C3766">
        <v>27</v>
      </c>
      <c r="D3766" t="s">
        <v>20</v>
      </c>
      <c r="E3766">
        <v>181.8</v>
      </c>
      <c r="F3766">
        <v>65.7</v>
      </c>
      <c r="G3766">
        <v>14489</v>
      </c>
      <c r="H3766">
        <v>822.5</v>
      </c>
      <c r="I3766">
        <v>8.8000000000000007</v>
      </c>
      <c r="J3766">
        <v>78</v>
      </c>
      <c r="K3766" t="s">
        <v>23</v>
      </c>
      <c r="L3766">
        <v>26</v>
      </c>
      <c r="M3766">
        <v>3.16</v>
      </c>
      <c r="N3766">
        <v>9</v>
      </c>
      <c r="O3766" t="s">
        <v>19</v>
      </c>
      <c r="P3766" cm="1">
        <f t="array" ref="P3766">_xlfn.SWITCH(Table2[[#This Row],[mood]], "Tired", 3, "Neutral", 2, "Happy", 1)</f>
        <v>2</v>
      </c>
    </row>
    <row r="3767" spans="1:16" x14ac:dyDescent="0.3">
      <c r="A3767">
        <v>1899</v>
      </c>
      <c r="B3767" s="1">
        <v>45770</v>
      </c>
      <c r="C3767">
        <v>21</v>
      </c>
      <c r="D3767" t="s">
        <v>15</v>
      </c>
      <c r="E3767">
        <v>164.2</v>
      </c>
      <c r="F3767">
        <v>45</v>
      </c>
      <c r="G3767">
        <v>18789</v>
      </c>
      <c r="H3767">
        <v>900</v>
      </c>
      <c r="I3767">
        <v>5.8</v>
      </c>
      <c r="J3767">
        <v>78</v>
      </c>
      <c r="K3767" t="s">
        <v>25</v>
      </c>
      <c r="L3767">
        <v>87</v>
      </c>
      <c r="M3767">
        <v>2.57</v>
      </c>
      <c r="N3767">
        <v>3</v>
      </c>
      <c r="O3767" t="s">
        <v>17</v>
      </c>
      <c r="P3767" cm="1">
        <f t="array" ref="P3767">_xlfn.SWITCH(Table2[[#This Row],[mood]], "Tired", 3, "Neutral", 2, "Happy", 1)</f>
        <v>3</v>
      </c>
    </row>
    <row r="3768" spans="1:16" x14ac:dyDescent="0.3">
      <c r="A3768">
        <v>1887</v>
      </c>
      <c r="B3768" s="1">
        <v>45771</v>
      </c>
      <c r="C3768">
        <v>52</v>
      </c>
      <c r="D3768" t="s">
        <v>20</v>
      </c>
      <c r="E3768">
        <v>173</v>
      </c>
      <c r="F3768">
        <v>82.7</v>
      </c>
      <c r="G3768">
        <v>14348</v>
      </c>
      <c r="H3768">
        <v>832.9</v>
      </c>
      <c r="I3768">
        <v>3.9</v>
      </c>
      <c r="J3768">
        <v>82</v>
      </c>
      <c r="K3768" t="s">
        <v>23</v>
      </c>
      <c r="L3768">
        <v>41</v>
      </c>
      <c r="M3768">
        <v>2.25</v>
      </c>
      <c r="N3768">
        <v>1</v>
      </c>
      <c r="O3768" t="s">
        <v>19</v>
      </c>
      <c r="P3768" cm="1">
        <f t="array" ref="P3768">_xlfn.SWITCH(Table2[[#This Row],[mood]], "Tired", 3, "Neutral", 2, "Happy", 1)</f>
        <v>2</v>
      </c>
    </row>
    <row r="3769" spans="1:16" x14ac:dyDescent="0.3">
      <c r="A3769">
        <v>1765</v>
      </c>
      <c r="B3769" s="1">
        <v>45772</v>
      </c>
      <c r="C3769">
        <v>27</v>
      </c>
      <c r="D3769" t="s">
        <v>15</v>
      </c>
      <c r="E3769">
        <v>171.9</v>
      </c>
      <c r="F3769">
        <v>63.4</v>
      </c>
      <c r="G3769">
        <v>19420</v>
      </c>
      <c r="H3769">
        <v>900</v>
      </c>
      <c r="I3769">
        <v>5.5</v>
      </c>
      <c r="J3769">
        <v>82</v>
      </c>
      <c r="K3769" t="s">
        <v>24</v>
      </c>
      <c r="L3769">
        <v>48</v>
      </c>
      <c r="M3769">
        <v>3.38</v>
      </c>
      <c r="N3769">
        <v>8</v>
      </c>
      <c r="O3769" t="s">
        <v>21</v>
      </c>
      <c r="P3769" cm="1">
        <f t="array" ref="P3769">_xlfn.SWITCH(Table2[[#This Row],[mood]], "Tired", 3, "Neutral", 2, "Happy", 1)</f>
        <v>1</v>
      </c>
    </row>
    <row r="3770" spans="1:16" x14ac:dyDescent="0.3">
      <c r="A3770">
        <v>1535</v>
      </c>
      <c r="B3770" s="1">
        <v>45773</v>
      </c>
      <c r="C3770">
        <v>28</v>
      </c>
      <c r="D3770" t="s">
        <v>15</v>
      </c>
      <c r="E3770">
        <v>170.5</v>
      </c>
      <c r="F3770">
        <v>78.7</v>
      </c>
      <c r="G3770">
        <v>3677</v>
      </c>
      <c r="H3770">
        <v>372.2</v>
      </c>
      <c r="I3770">
        <v>7.3</v>
      </c>
      <c r="J3770">
        <v>92</v>
      </c>
      <c r="K3770" t="s">
        <v>23</v>
      </c>
      <c r="L3770">
        <v>22</v>
      </c>
      <c r="M3770">
        <v>2.87</v>
      </c>
      <c r="N3770">
        <v>1</v>
      </c>
      <c r="O3770" t="s">
        <v>21</v>
      </c>
      <c r="P3770" cm="1">
        <f t="array" ref="P3770">_xlfn.SWITCH(Table2[[#This Row],[mood]], "Tired", 3, "Neutral", 2, "Happy", 1)</f>
        <v>1</v>
      </c>
    </row>
    <row r="3771" spans="1:16" x14ac:dyDescent="0.3">
      <c r="A3771">
        <v>1161</v>
      </c>
      <c r="B3771" s="1">
        <v>45774</v>
      </c>
      <c r="C3771">
        <v>31</v>
      </c>
      <c r="D3771" t="s">
        <v>20</v>
      </c>
      <c r="E3771">
        <v>168.3</v>
      </c>
      <c r="F3771">
        <v>86.3</v>
      </c>
      <c r="G3771">
        <v>2744</v>
      </c>
      <c r="H3771">
        <v>305.5</v>
      </c>
      <c r="I3771">
        <v>6.9</v>
      </c>
      <c r="J3771">
        <v>72</v>
      </c>
      <c r="K3771" t="s">
        <v>25</v>
      </c>
      <c r="L3771">
        <v>41</v>
      </c>
      <c r="M3771">
        <v>2.42</v>
      </c>
      <c r="N3771">
        <v>1</v>
      </c>
      <c r="O3771" t="s">
        <v>21</v>
      </c>
      <c r="P3771" cm="1">
        <f t="array" ref="P3771">_xlfn.SWITCH(Table2[[#This Row],[mood]], "Tired", 3, "Neutral", 2, "Happy", 1)</f>
        <v>1</v>
      </c>
    </row>
    <row r="3772" spans="1:16" x14ac:dyDescent="0.3">
      <c r="A3772">
        <v>1669</v>
      </c>
      <c r="B3772" s="1">
        <v>45775</v>
      </c>
      <c r="C3772">
        <v>55</v>
      </c>
      <c r="D3772" t="s">
        <v>15</v>
      </c>
      <c r="E3772">
        <v>153.5</v>
      </c>
      <c r="F3772">
        <v>72.8</v>
      </c>
      <c r="G3772">
        <v>12175</v>
      </c>
      <c r="H3772">
        <v>715</v>
      </c>
      <c r="I3772">
        <v>8.4</v>
      </c>
      <c r="J3772">
        <v>67</v>
      </c>
      <c r="K3772" t="s">
        <v>18</v>
      </c>
      <c r="L3772">
        <v>72</v>
      </c>
      <c r="M3772">
        <v>1.96</v>
      </c>
      <c r="N3772">
        <v>7</v>
      </c>
      <c r="O3772" t="s">
        <v>19</v>
      </c>
      <c r="P3772" cm="1">
        <f t="array" ref="P3772">_xlfn.SWITCH(Table2[[#This Row],[mood]], "Tired", 3, "Neutral", 2, "Happy", 1)</f>
        <v>2</v>
      </c>
    </row>
    <row r="3773" spans="1:16" x14ac:dyDescent="0.3">
      <c r="A3773">
        <v>1593</v>
      </c>
      <c r="B3773" s="1">
        <v>45776</v>
      </c>
      <c r="C3773">
        <v>29</v>
      </c>
      <c r="D3773" t="s">
        <v>15</v>
      </c>
      <c r="E3773">
        <v>160</v>
      </c>
      <c r="F3773">
        <v>45</v>
      </c>
      <c r="G3773">
        <v>11550</v>
      </c>
      <c r="H3773">
        <v>580.70000000000005</v>
      </c>
      <c r="I3773">
        <v>4.8</v>
      </c>
      <c r="J3773">
        <v>73</v>
      </c>
      <c r="K3773" t="s">
        <v>22</v>
      </c>
      <c r="L3773">
        <v>76</v>
      </c>
      <c r="M3773">
        <v>2.3199999999999998</v>
      </c>
      <c r="N3773">
        <v>9</v>
      </c>
      <c r="O3773" t="s">
        <v>17</v>
      </c>
      <c r="P3773" cm="1">
        <f t="array" ref="P3773">_xlfn.SWITCH(Table2[[#This Row],[mood]], "Tired", 3, "Neutral", 2, "Happy", 1)</f>
        <v>3</v>
      </c>
    </row>
    <row r="3774" spans="1:16" x14ac:dyDescent="0.3">
      <c r="A3774">
        <v>1914</v>
      </c>
      <c r="B3774" s="1">
        <v>45777</v>
      </c>
      <c r="C3774">
        <v>34</v>
      </c>
      <c r="D3774" t="s">
        <v>20</v>
      </c>
      <c r="E3774">
        <v>181.2</v>
      </c>
      <c r="F3774">
        <v>45</v>
      </c>
      <c r="G3774">
        <v>10423</v>
      </c>
      <c r="H3774">
        <v>671.4</v>
      </c>
      <c r="I3774">
        <v>4.8</v>
      </c>
      <c r="J3774">
        <v>64</v>
      </c>
      <c r="K3774" t="s">
        <v>23</v>
      </c>
      <c r="L3774">
        <v>29</v>
      </c>
      <c r="M3774">
        <v>2.83</v>
      </c>
      <c r="N3774">
        <v>4</v>
      </c>
      <c r="O3774" t="s">
        <v>17</v>
      </c>
      <c r="P3774" cm="1">
        <f t="array" ref="P3774">_xlfn.SWITCH(Table2[[#This Row],[mood]], "Tired", 3, "Neutral", 2, "Happy", 1)</f>
        <v>3</v>
      </c>
    </row>
    <row r="3775" spans="1:16" x14ac:dyDescent="0.3">
      <c r="A3775">
        <v>1158</v>
      </c>
      <c r="B3775" s="1">
        <v>45778</v>
      </c>
      <c r="C3775">
        <v>33</v>
      </c>
      <c r="D3775" t="s">
        <v>20</v>
      </c>
      <c r="E3775">
        <v>174.3</v>
      </c>
      <c r="F3775">
        <v>59.9</v>
      </c>
      <c r="G3775">
        <v>2177</v>
      </c>
      <c r="H3775">
        <v>244.6</v>
      </c>
      <c r="I3775">
        <v>8.1</v>
      </c>
      <c r="J3775">
        <v>72</v>
      </c>
      <c r="K3775" t="s">
        <v>25</v>
      </c>
      <c r="L3775">
        <v>59</v>
      </c>
      <c r="M3775">
        <v>1.95</v>
      </c>
      <c r="N3775">
        <v>10</v>
      </c>
      <c r="O3775" t="s">
        <v>17</v>
      </c>
      <c r="P3775" cm="1">
        <f t="array" ref="P3775">_xlfn.SWITCH(Table2[[#This Row],[mood]], "Tired", 3, "Neutral", 2, "Happy", 1)</f>
        <v>3</v>
      </c>
    </row>
    <row r="3776" spans="1:16" x14ac:dyDescent="0.3">
      <c r="A3776">
        <v>1187</v>
      </c>
      <c r="B3776" s="1">
        <v>45779</v>
      </c>
      <c r="C3776">
        <v>52</v>
      </c>
      <c r="D3776" t="s">
        <v>15</v>
      </c>
      <c r="E3776">
        <v>189.1</v>
      </c>
      <c r="F3776">
        <v>69.099999999999994</v>
      </c>
      <c r="G3776">
        <v>1761</v>
      </c>
      <c r="H3776">
        <v>256.5</v>
      </c>
      <c r="I3776">
        <v>4.8</v>
      </c>
      <c r="J3776">
        <v>59</v>
      </c>
      <c r="K3776" t="s">
        <v>22</v>
      </c>
      <c r="L3776">
        <v>39</v>
      </c>
      <c r="M3776">
        <v>1.64</v>
      </c>
      <c r="N3776">
        <v>4</v>
      </c>
      <c r="O3776" t="s">
        <v>21</v>
      </c>
      <c r="P3776" cm="1">
        <f t="array" ref="P3776">_xlfn.SWITCH(Table2[[#This Row],[mood]], "Tired", 3, "Neutral", 2, "Happy", 1)</f>
        <v>1</v>
      </c>
    </row>
    <row r="3777" spans="1:16" x14ac:dyDescent="0.3">
      <c r="A3777">
        <v>1059</v>
      </c>
      <c r="B3777" s="1">
        <v>45780</v>
      </c>
      <c r="C3777">
        <v>19</v>
      </c>
      <c r="D3777" t="s">
        <v>15</v>
      </c>
      <c r="E3777">
        <v>159.6</v>
      </c>
      <c r="F3777">
        <v>88</v>
      </c>
      <c r="G3777">
        <v>5778</v>
      </c>
      <c r="H3777">
        <v>497</v>
      </c>
      <c r="I3777">
        <v>6.6</v>
      </c>
      <c r="J3777">
        <v>67</v>
      </c>
      <c r="K3777" t="s">
        <v>24</v>
      </c>
      <c r="L3777">
        <v>30</v>
      </c>
      <c r="M3777">
        <v>2.16</v>
      </c>
      <c r="N3777">
        <v>5</v>
      </c>
      <c r="O3777" t="s">
        <v>21</v>
      </c>
      <c r="P3777" cm="1">
        <f t="array" ref="P3777">_xlfn.SWITCH(Table2[[#This Row],[mood]], "Tired", 3, "Neutral", 2, "Happy", 1)</f>
        <v>1</v>
      </c>
    </row>
    <row r="3778" spans="1:16" x14ac:dyDescent="0.3">
      <c r="A3778">
        <v>1914</v>
      </c>
      <c r="B3778" s="1">
        <v>45781</v>
      </c>
      <c r="C3778">
        <v>28</v>
      </c>
      <c r="D3778" t="s">
        <v>15</v>
      </c>
      <c r="E3778">
        <v>169.7</v>
      </c>
      <c r="F3778">
        <v>74.400000000000006</v>
      </c>
      <c r="G3778">
        <v>7458</v>
      </c>
      <c r="H3778">
        <v>553.20000000000005</v>
      </c>
      <c r="I3778">
        <v>7</v>
      </c>
      <c r="J3778">
        <v>58</v>
      </c>
      <c r="K3778" t="s">
        <v>18</v>
      </c>
      <c r="L3778">
        <v>27</v>
      </c>
      <c r="M3778">
        <v>2.4700000000000002</v>
      </c>
      <c r="N3778">
        <v>5</v>
      </c>
      <c r="O3778" t="s">
        <v>17</v>
      </c>
      <c r="P3778" cm="1">
        <f t="array" ref="P3778">_xlfn.SWITCH(Table2[[#This Row],[mood]], "Tired", 3, "Neutral", 2, "Happy", 1)</f>
        <v>3</v>
      </c>
    </row>
    <row r="3779" spans="1:16" x14ac:dyDescent="0.3">
      <c r="A3779">
        <v>1816</v>
      </c>
      <c r="B3779" s="1">
        <v>45782</v>
      </c>
      <c r="C3779">
        <v>58</v>
      </c>
      <c r="D3779" t="s">
        <v>20</v>
      </c>
      <c r="E3779">
        <v>181.6</v>
      </c>
      <c r="F3779">
        <v>109.3</v>
      </c>
      <c r="G3779">
        <v>10735</v>
      </c>
      <c r="H3779">
        <v>548.29999999999995</v>
      </c>
      <c r="I3779">
        <v>6</v>
      </c>
      <c r="J3779">
        <v>87</v>
      </c>
      <c r="K3779" t="s">
        <v>16</v>
      </c>
      <c r="L3779">
        <v>0</v>
      </c>
      <c r="M3779">
        <v>3.45</v>
      </c>
      <c r="N3779">
        <v>2</v>
      </c>
      <c r="O3779" t="s">
        <v>19</v>
      </c>
      <c r="P3779" cm="1">
        <f t="array" ref="P3779">_xlfn.SWITCH(Table2[[#This Row],[mood]], "Tired", 3, "Neutral", 2, "Happy", 1)</f>
        <v>2</v>
      </c>
    </row>
    <row r="3780" spans="1:16" x14ac:dyDescent="0.3">
      <c r="A3780">
        <v>1318</v>
      </c>
      <c r="B3780" s="1">
        <v>45783</v>
      </c>
      <c r="C3780">
        <v>20</v>
      </c>
      <c r="D3780" t="s">
        <v>15</v>
      </c>
      <c r="E3780">
        <v>164.3</v>
      </c>
      <c r="F3780">
        <v>47.6</v>
      </c>
      <c r="G3780">
        <v>19317</v>
      </c>
      <c r="H3780">
        <v>900</v>
      </c>
      <c r="I3780">
        <v>7.9</v>
      </c>
      <c r="J3780">
        <v>76</v>
      </c>
      <c r="K3780" t="s">
        <v>22</v>
      </c>
      <c r="L3780">
        <v>44</v>
      </c>
      <c r="M3780">
        <v>1.69</v>
      </c>
      <c r="N3780">
        <v>9</v>
      </c>
      <c r="O3780" t="s">
        <v>19</v>
      </c>
      <c r="P3780" cm="1">
        <f t="array" ref="P3780">_xlfn.SWITCH(Table2[[#This Row],[mood]], "Tired", 3, "Neutral", 2, "Happy", 1)</f>
        <v>2</v>
      </c>
    </row>
    <row r="3781" spans="1:16" x14ac:dyDescent="0.3">
      <c r="A3781">
        <v>1877</v>
      </c>
      <c r="B3781" s="1">
        <v>45784</v>
      </c>
      <c r="C3781">
        <v>46</v>
      </c>
      <c r="D3781" t="s">
        <v>15</v>
      </c>
      <c r="E3781">
        <v>165.1</v>
      </c>
      <c r="F3781">
        <v>71.8</v>
      </c>
      <c r="G3781">
        <v>8179</v>
      </c>
      <c r="H3781">
        <v>559.20000000000005</v>
      </c>
      <c r="I3781">
        <v>3.9</v>
      </c>
      <c r="J3781">
        <v>94</v>
      </c>
      <c r="K3781" t="s">
        <v>16</v>
      </c>
      <c r="L3781">
        <v>0</v>
      </c>
      <c r="M3781">
        <v>2.66</v>
      </c>
      <c r="N3781">
        <v>10</v>
      </c>
      <c r="O3781" t="s">
        <v>17</v>
      </c>
      <c r="P3781" cm="1">
        <f t="array" ref="P3781">_xlfn.SWITCH(Table2[[#This Row],[mood]], "Tired", 3, "Neutral", 2, "Happy", 1)</f>
        <v>3</v>
      </c>
    </row>
    <row r="3782" spans="1:16" x14ac:dyDescent="0.3">
      <c r="A3782">
        <v>1210</v>
      </c>
      <c r="B3782" s="1">
        <v>45785</v>
      </c>
      <c r="C3782">
        <v>35</v>
      </c>
      <c r="D3782" t="s">
        <v>15</v>
      </c>
      <c r="E3782">
        <v>167.1</v>
      </c>
      <c r="F3782">
        <v>63.3</v>
      </c>
      <c r="G3782">
        <v>15849</v>
      </c>
      <c r="H3782">
        <v>747</v>
      </c>
      <c r="I3782">
        <v>9.6999999999999993</v>
      </c>
      <c r="J3782">
        <v>86</v>
      </c>
      <c r="K3782" t="s">
        <v>22</v>
      </c>
      <c r="L3782">
        <v>81</v>
      </c>
      <c r="M3782">
        <v>2.31</v>
      </c>
      <c r="N3782">
        <v>9</v>
      </c>
      <c r="O3782" t="s">
        <v>17</v>
      </c>
      <c r="P3782" cm="1">
        <f t="array" ref="P3782">_xlfn.SWITCH(Table2[[#This Row],[mood]], "Tired", 3, "Neutral", 2, "Happy", 1)</f>
        <v>3</v>
      </c>
    </row>
    <row r="3783" spans="1:16" x14ac:dyDescent="0.3">
      <c r="A3783">
        <v>1405</v>
      </c>
      <c r="B3783" s="1">
        <v>45786</v>
      </c>
      <c r="C3783">
        <v>37</v>
      </c>
      <c r="D3783" t="s">
        <v>20</v>
      </c>
      <c r="E3783">
        <v>165.5</v>
      </c>
      <c r="F3783">
        <v>73.5</v>
      </c>
      <c r="G3783">
        <v>5444</v>
      </c>
      <c r="H3783">
        <v>488.7</v>
      </c>
      <c r="I3783">
        <v>6.5</v>
      </c>
      <c r="J3783">
        <v>87</v>
      </c>
      <c r="K3783" t="s">
        <v>25</v>
      </c>
      <c r="L3783">
        <v>40</v>
      </c>
      <c r="M3783">
        <v>2.34</v>
      </c>
      <c r="N3783">
        <v>9</v>
      </c>
      <c r="O3783" t="s">
        <v>19</v>
      </c>
      <c r="P3783" cm="1">
        <f t="array" ref="P3783">_xlfn.SWITCH(Table2[[#This Row],[mood]], "Tired", 3, "Neutral", 2, "Happy", 1)</f>
        <v>2</v>
      </c>
    </row>
    <row r="3784" spans="1:16" x14ac:dyDescent="0.3">
      <c r="A3784">
        <v>1663</v>
      </c>
      <c r="B3784" s="1">
        <v>45787</v>
      </c>
      <c r="C3784">
        <v>31</v>
      </c>
      <c r="D3784" t="s">
        <v>20</v>
      </c>
      <c r="E3784">
        <v>175.3</v>
      </c>
      <c r="F3784">
        <v>96.3</v>
      </c>
      <c r="G3784">
        <v>3964</v>
      </c>
      <c r="H3784">
        <v>364.5</v>
      </c>
      <c r="I3784">
        <v>6.7</v>
      </c>
      <c r="J3784">
        <v>74</v>
      </c>
      <c r="K3784" t="s">
        <v>24</v>
      </c>
      <c r="L3784">
        <v>38</v>
      </c>
      <c r="M3784">
        <v>3.58</v>
      </c>
      <c r="N3784">
        <v>9</v>
      </c>
      <c r="O3784" t="s">
        <v>17</v>
      </c>
      <c r="P3784" cm="1">
        <f t="array" ref="P3784">_xlfn.SWITCH(Table2[[#This Row],[mood]], "Tired", 3, "Neutral", 2, "Happy", 1)</f>
        <v>3</v>
      </c>
    </row>
    <row r="3785" spans="1:16" x14ac:dyDescent="0.3">
      <c r="A3785">
        <v>1108</v>
      </c>
      <c r="B3785" s="1">
        <v>45788</v>
      </c>
      <c r="C3785">
        <v>51</v>
      </c>
      <c r="D3785" t="s">
        <v>20</v>
      </c>
      <c r="E3785">
        <v>152.19999999999999</v>
      </c>
      <c r="F3785">
        <v>97.2</v>
      </c>
      <c r="G3785">
        <v>10222</v>
      </c>
      <c r="H3785">
        <v>679.5</v>
      </c>
      <c r="I3785">
        <v>10</v>
      </c>
      <c r="J3785">
        <v>80</v>
      </c>
      <c r="K3785" t="s">
        <v>23</v>
      </c>
      <c r="L3785">
        <v>44</v>
      </c>
      <c r="M3785">
        <v>2.56</v>
      </c>
      <c r="N3785">
        <v>1</v>
      </c>
      <c r="O3785" t="s">
        <v>19</v>
      </c>
      <c r="P3785" cm="1">
        <f t="array" ref="P3785">_xlfn.SWITCH(Table2[[#This Row],[mood]], "Tired", 3, "Neutral", 2, "Happy", 1)</f>
        <v>2</v>
      </c>
    </row>
    <row r="3786" spans="1:16" x14ac:dyDescent="0.3">
      <c r="A3786">
        <v>1075</v>
      </c>
      <c r="B3786" s="1">
        <v>45789</v>
      </c>
      <c r="C3786">
        <v>48</v>
      </c>
      <c r="D3786" t="s">
        <v>20</v>
      </c>
      <c r="E3786">
        <v>186.4</v>
      </c>
      <c r="F3786">
        <v>70.8</v>
      </c>
      <c r="G3786">
        <v>13811</v>
      </c>
      <c r="H3786">
        <v>715.2</v>
      </c>
      <c r="I3786">
        <v>5</v>
      </c>
      <c r="J3786">
        <v>66</v>
      </c>
      <c r="K3786" t="s">
        <v>24</v>
      </c>
      <c r="L3786">
        <v>24</v>
      </c>
      <c r="M3786">
        <v>1.86</v>
      </c>
      <c r="N3786">
        <v>8</v>
      </c>
      <c r="O3786" t="s">
        <v>19</v>
      </c>
      <c r="P3786" cm="1">
        <f t="array" ref="P3786">_xlfn.SWITCH(Table2[[#This Row],[mood]], "Tired", 3, "Neutral", 2, "Happy", 1)</f>
        <v>2</v>
      </c>
    </row>
    <row r="3787" spans="1:16" x14ac:dyDescent="0.3">
      <c r="A3787">
        <v>1541</v>
      </c>
      <c r="B3787" s="1">
        <v>45790</v>
      </c>
      <c r="C3787">
        <v>57</v>
      </c>
      <c r="D3787" t="s">
        <v>15</v>
      </c>
      <c r="E3787">
        <v>160.4</v>
      </c>
      <c r="F3787">
        <v>82.9</v>
      </c>
      <c r="G3787">
        <v>11067</v>
      </c>
      <c r="H3787">
        <v>609.9</v>
      </c>
      <c r="I3787">
        <v>5.4</v>
      </c>
      <c r="J3787">
        <v>70</v>
      </c>
      <c r="K3787" t="s">
        <v>18</v>
      </c>
      <c r="L3787">
        <v>31</v>
      </c>
      <c r="M3787">
        <v>3.12</v>
      </c>
      <c r="N3787">
        <v>8</v>
      </c>
      <c r="O3787" t="s">
        <v>21</v>
      </c>
      <c r="P3787" cm="1">
        <f t="array" ref="P3787">_xlfn.SWITCH(Table2[[#This Row],[mood]], "Tired", 3, "Neutral", 2, "Happy", 1)</f>
        <v>1</v>
      </c>
    </row>
    <row r="3788" spans="1:16" x14ac:dyDescent="0.3">
      <c r="A3788">
        <v>1313</v>
      </c>
      <c r="B3788" s="1">
        <v>45791</v>
      </c>
      <c r="C3788">
        <v>59</v>
      </c>
      <c r="D3788" t="s">
        <v>20</v>
      </c>
      <c r="E3788">
        <v>150</v>
      </c>
      <c r="F3788">
        <v>73.2</v>
      </c>
      <c r="G3788">
        <v>8224</v>
      </c>
      <c r="H3788">
        <v>580.70000000000005</v>
      </c>
      <c r="I3788">
        <v>9.1</v>
      </c>
      <c r="J3788">
        <v>75</v>
      </c>
      <c r="K3788" t="s">
        <v>16</v>
      </c>
      <c r="L3788">
        <v>0</v>
      </c>
      <c r="M3788">
        <v>3.07</v>
      </c>
      <c r="N3788">
        <v>4</v>
      </c>
      <c r="O3788" t="s">
        <v>21</v>
      </c>
      <c r="P3788" cm="1">
        <f t="array" ref="P3788">_xlfn.SWITCH(Table2[[#This Row],[mood]], "Tired", 3, "Neutral", 2, "Happy", 1)</f>
        <v>1</v>
      </c>
    </row>
    <row r="3789" spans="1:16" x14ac:dyDescent="0.3">
      <c r="A3789">
        <v>1997</v>
      </c>
      <c r="B3789" s="1">
        <v>45792</v>
      </c>
      <c r="C3789">
        <v>35</v>
      </c>
      <c r="D3789" t="s">
        <v>15</v>
      </c>
      <c r="E3789">
        <v>169.9</v>
      </c>
      <c r="F3789">
        <v>53.9</v>
      </c>
      <c r="G3789">
        <v>11472</v>
      </c>
      <c r="H3789">
        <v>644.1</v>
      </c>
      <c r="I3789">
        <v>4.7</v>
      </c>
      <c r="J3789">
        <v>58</v>
      </c>
      <c r="K3789" t="s">
        <v>23</v>
      </c>
      <c r="L3789">
        <v>24</v>
      </c>
      <c r="M3789">
        <v>1.8</v>
      </c>
      <c r="N3789">
        <v>10</v>
      </c>
      <c r="O3789" t="s">
        <v>21</v>
      </c>
      <c r="P3789" cm="1">
        <f t="array" ref="P3789">_xlfn.SWITCH(Table2[[#This Row],[mood]], "Tired", 3, "Neutral", 2, "Happy", 1)</f>
        <v>1</v>
      </c>
    </row>
    <row r="3790" spans="1:16" x14ac:dyDescent="0.3">
      <c r="A3790">
        <v>1116</v>
      </c>
      <c r="B3790" s="1">
        <v>45793</v>
      </c>
      <c r="C3790">
        <v>47</v>
      </c>
      <c r="D3790" t="s">
        <v>15</v>
      </c>
      <c r="E3790">
        <v>166.2</v>
      </c>
      <c r="F3790">
        <v>70.2</v>
      </c>
      <c r="G3790">
        <v>16126</v>
      </c>
      <c r="H3790">
        <v>783</v>
      </c>
      <c r="I3790">
        <v>7.7</v>
      </c>
      <c r="J3790">
        <v>70</v>
      </c>
      <c r="K3790" t="s">
        <v>16</v>
      </c>
      <c r="L3790">
        <v>0</v>
      </c>
      <c r="M3790">
        <v>1.66</v>
      </c>
      <c r="N3790">
        <v>1</v>
      </c>
      <c r="O3790" t="s">
        <v>17</v>
      </c>
      <c r="P3790" cm="1">
        <f t="array" ref="P3790">_xlfn.SWITCH(Table2[[#This Row],[mood]], "Tired", 3, "Neutral", 2, "Happy", 1)</f>
        <v>3</v>
      </c>
    </row>
    <row r="3791" spans="1:16" x14ac:dyDescent="0.3">
      <c r="A3791">
        <v>1926</v>
      </c>
      <c r="B3791" s="1">
        <v>45794</v>
      </c>
      <c r="C3791">
        <v>42</v>
      </c>
      <c r="D3791" t="s">
        <v>15</v>
      </c>
      <c r="E3791">
        <v>168.2</v>
      </c>
      <c r="F3791">
        <v>62.4</v>
      </c>
      <c r="G3791">
        <v>4101</v>
      </c>
      <c r="H3791">
        <v>392.1</v>
      </c>
      <c r="I3791">
        <v>6.1</v>
      </c>
      <c r="J3791">
        <v>83</v>
      </c>
      <c r="K3791" t="s">
        <v>24</v>
      </c>
      <c r="L3791">
        <v>23</v>
      </c>
      <c r="M3791">
        <v>2.79</v>
      </c>
      <c r="N3791">
        <v>1</v>
      </c>
      <c r="O3791" t="s">
        <v>19</v>
      </c>
      <c r="P3791" cm="1">
        <f t="array" ref="P3791">_xlfn.SWITCH(Table2[[#This Row],[mood]], "Tired", 3, "Neutral", 2, "Happy", 1)</f>
        <v>2</v>
      </c>
    </row>
    <row r="3792" spans="1:16" x14ac:dyDescent="0.3">
      <c r="A3792">
        <v>1867</v>
      </c>
      <c r="B3792" s="1">
        <v>45795</v>
      </c>
      <c r="C3792">
        <v>36</v>
      </c>
      <c r="D3792" t="s">
        <v>15</v>
      </c>
      <c r="E3792">
        <v>173.1</v>
      </c>
      <c r="F3792">
        <v>69.099999999999994</v>
      </c>
      <c r="G3792">
        <v>4897</v>
      </c>
      <c r="H3792">
        <v>316.3</v>
      </c>
      <c r="I3792">
        <v>4.5999999999999996</v>
      </c>
      <c r="J3792">
        <v>70</v>
      </c>
      <c r="K3792" t="s">
        <v>18</v>
      </c>
      <c r="L3792">
        <v>64</v>
      </c>
      <c r="M3792">
        <v>2.48</v>
      </c>
      <c r="N3792">
        <v>1</v>
      </c>
      <c r="O3792" t="s">
        <v>17</v>
      </c>
      <c r="P3792" cm="1">
        <f t="array" ref="P3792">_xlfn.SWITCH(Table2[[#This Row],[mood]], "Tired", 3, "Neutral", 2, "Happy", 1)</f>
        <v>3</v>
      </c>
    </row>
    <row r="3793" spans="1:16" x14ac:dyDescent="0.3">
      <c r="A3793">
        <v>1703</v>
      </c>
      <c r="B3793" s="1">
        <v>45796</v>
      </c>
      <c r="C3793">
        <v>25</v>
      </c>
      <c r="D3793" t="s">
        <v>20</v>
      </c>
      <c r="E3793">
        <v>176.4</v>
      </c>
      <c r="F3793">
        <v>57.2</v>
      </c>
      <c r="G3793">
        <v>4678</v>
      </c>
      <c r="H3793">
        <v>459.2</v>
      </c>
      <c r="I3793">
        <v>7.8</v>
      </c>
      <c r="J3793">
        <v>68</v>
      </c>
      <c r="K3793" t="s">
        <v>22</v>
      </c>
      <c r="L3793">
        <v>66</v>
      </c>
      <c r="M3793">
        <v>2.17</v>
      </c>
      <c r="N3793">
        <v>3</v>
      </c>
      <c r="O3793" t="s">
        <v>17</v>
      </c>
      <c r="P3793" cm="1">
        <f t="array" ref="P3793">_xlfn.SWITCH(Table2[[#This Row],[mood]], "Tired", 3, "Neutral", 2, "Happy", 1)</f>
        <v>3</v>
      </c>
    </row>
    <row r="3794" spans="1:16" x14ac:dyDescent="0.3">
      <c r="A3794">
        <v>1018</v>
      </c>
      <c r="B3794" s="1">
        <v>45797</v>
      </c>
      <c r="C3794">
        <v>45</v>
      </c>
      <c r="D3794" t="s">
        <v>20</v>
      </c>
      <c r="E3794">
        <v>186.9</v>
      </c>
      <c r="F3794">
        <v>72.3</v>
      </c>
      <c r="G3794">
        <v>2843</v>
      </c>
      <c r="H3794">
        <v>322.89999999999998</v>
      </c>
      <c r="I3794">
        <v>7.8</v>
      </c>
      <c r="J3794">
        <v>71</v>
      </c>
      <c r="K3794" t="s">
        <v>22</v>
      </c>
      <c r="L3794">
        <v>47</v>
      </c>
      <c r="M3794">
        <v>3.24</v>
      </c>
      <c r="N3794">
        <v>10</v>
      </c>
      <c r="O3794" t="s">
        <v>17</v>
      </c>
      <c r="P3794" cm="1">
        <f t="array" ref="P3794">_xlfn.SWITCH(Table2[[#This Row],[mood]], "Tired", 3, "Neutral", 2, "Happy", 1)</f>
        <v>3</v>
      </c>
    </row>
    <row r="3795" spans="1:16" x14ac:dyDescent="0.3">
      <c r="A3795">
        <v>1431</v>
      </c>
      <c r="B3795" s="1">
        <v>45798</v>
      </c>
      <c r="C3795">
        <v>25</v>
      </c>
      <c r="D3795" t="s">
        <v>20</v>
      </c>
      <c r="E3795">
        <v>163.1</v>
      </c>
      <c r="F3795">
        <v>74.599999999999994</v>
      </c>
      <c r="G3795">
        <v>19322</v>
      </c>
      <c r="H3795">
        <v>900</v>
      </c>
      <c r="I3795">
        <v>7</v>
      </c>
      <c r="J3795">
        <v>82</v>
      </c>
      <c r="K3795" t="s">
        <v>16</v>
      </c>
      <c r="L3795">
        <v>0</v>
      </c>
      <c r="M3795">
        <v>2.09</v>
      </c>
      <c r="N3795">
        <v>3</v>
      </c>
      <c r="O3795" t="s">
        <v>19</v>
      </c>
      <c r="P3795" cm="1">
        <f t="array" ref="P3795">_xlfn.SWITCH(Table2[[#This Row],[mood]], "Tired", 3, "Neutral", 2, "Happy", 1)</f>
        <v>2</v>
      </c>
    </row>
    <row r="3796" spans="1:16" x14ac:dyDescent="0.3">
      <c r="A3796">
        <v>1684</v>
      </c>
      <c r="B3796" s="1">
        <v>45799</v>
      </c>
      <c r="C3796">
        <v>48</v>
      </c>
      <c r="D3796" t="s">
        <v>20</v>
      </c>
      <c r="E3796">
        <v>177.7</v>
      </c>
      <c r="F3796">
        <v>80.599999999999994</v>
      </c>
      <c r="G3796">
        <v>16958</v>
      </c>
      <c r="H3796">
        <v>900</v>
      </c>
      <c r="I3796">
        <v>10</v>
      </c>
      <c r="J3796">
        <v>79</v>
      </c>
      <c r="K3796" t="s">
        <v>16</v>
      </c>
      <c r="L3796">
        <v>0</v>
      </c>
      <c r="M3796">
        <v>2.8</v>
      </c>
      <c r="N3796">
        <v>4</v>
      </c>
      <c r="O3796" t="s">
        <v>21</v>
      </c>
      <c r="P3796" cm="1">
        <f t="array" ref="P3796">_xlfn.SWITCH(Table2[[#This Row],[mood]], "Tired", 3, "Neutral", 2, "Happy", 1)</f>
        <v>1</v>
      </c>
    </row>
    <row r="3797" spans="1:16" x14ac:dyDescent="0.3">
      <c r="A3797">
        <v>1739</v>
      </c>
      <c r="B3797" s="1">
        <v>45800</v>
      </c>
      <c r="C3797">
        <v>20</v>
      </c>
      <c r="D3797" t="s">
        <v>20</v>
      </c>
      <c r="E3797">
        <v>177.1</v>
      </c>
      <c r="F3797">
        <v>74.599999999999994</v>
      </c>
      <c r="G3797">
        <v>8083</v>
      </c>
      <c r="H3797">
        <v>581.5</v>
      </c>
      <c r="I3797">
        <v>5.8</v>
      </c>
      <c r="J3797">
        <v>73</v>
      </c>
      <c r="K3797" t="s">
        <v>22</v>
      </c>
      <c r="L3797">
        <v>31</v>
      </c>
      <c r="M3797">
        <v>3.32</v>
      </c>
      <c r="N3797">
        <v>2</v>
      </c>
      <c r="O3797" t="s">
        <v>19</v>
      </c>
      <c r="P3797" cm="1">
        <f t="array" ref="P3797">_xlfn.SWITCH(Table2[[#This Row],[mood]], "Tired", 3, "Neutral", 2, "Happy", 1)</f>
        <v>2</v>
      </c>
    </row>
    <row r="3798" spans="1:16" x14ac:dyDescent="0.3">
      <c r="A3798">
        <v>1349</v>
      </c>
      <c r="B3798" s="1">
        <v>45801</v>
      </c>
      <c r="C3798">
        <v>20</v>
      </c>
      <c r="D3798" t="s">
        <v>15</v>
      </c>
      <c r="E3798">
        <v>150</v>
      </c>
      <c r="F3798">
        <v>94.5</v>
      </c>
      <c r="G3798">
        <v>2466</v>
      </c>
      <c r="H3798">
        <v>298.8</v>
      </c>
      <c r="I3798">
        <v>8.3000000000000007</v>
      </c>
      <c r="J3798">
        <v>75</v>
      </c>
      <c r="K3798" t="s">
        <v>16</v>
      </c>
      <c r="L3798">
        <v>0</v>
      </c>
      <c r="M3798">
        <v>2.2599999999999998</v>
      </c>
      <c r="N3798">
        <v>9</v>
      </c>
      <c r="O3798" t="s">
        <v>19</v>
      </c>
      <c r="P3798" cm="1">
        <f t="array" ref="P3798">_xlfn.SWITCH(Table2[[#This Row],[mood]], "Tired", 3, "Neutral", 2, "Happy", 1)</f>
        <v>2</v>
      </c>
    </row>
    <row r="3799" spans="1:16" x14ac:dyDescent="0.3">
      <c r="A3799">
        <v>1182</v>
      </c>
      <c r="B3799" s="1">
        <v>45802</v>
      </c>
      <c r="C3799">
        <v>39</v>
      </c>
      <c r="D3799" t="s">
        <v>20</v>
      </c>
      <c r="E3799">
        <v>161.69999999999999</v>
      </c>
      <c r="F3799">
        <v>102.9</v>
      </c>
      <c r="G3799">
        <v>18119</v>
      </c>
      <c r="H3799">
        <v>900</v>
      </c>
      <c r="I3799">
        <v>7.5</v>
      </c>
      <c r="J3799">
        <v>84</v>
      </c>
      <c r="K3799" t="s">
        <v>22</v>
      </c>
      <c r="L3799">
        <v>47</v>
      </c>
      <c r="M3799">
        <v>1.22</v>
      </c>
      <c r="N3799">
        <v>10</v>
      </c>
      <c r="O3799" t="s">
        <v>17</v>
      </c>
      <c r="P3799" cm="1">
        <f t="array" ref="P3799">_xlfn.SWITCH(Table2[[#This Row],[mood]], "Tired", 3, "Neutral", 2, "Happy", 1)</f>
        <v>3</v>
      </c>
    </row>
    <row r="3800" spans="1:16" x14ac:dyDescent="0.3">
      <c r="A3800">
        <v>1112</v>
      </c>
      <c r="B3800" s="1">
        <v>45803</v>
      </c>
      <c r="C3800">
        <v>34</v>
      </c>
      <c r="D3800" t="s">
        <v>20</v>
      </c>
      <c r="E3800">
        <v>157.1</v>
      </c>
      <c r="F3800">
        <v>63.9</v>
      </c>
      <c r="G3800">
        <v>1339</v>
      </c>
      <c r="H3800">
        <v>366.2</v>
      </c>
      <c r="I3800">
        <v>8.5</v>
      </c>
      <c r="J3800">
        <v>88</v>
      </c>
      <c r="K3800" t="s">
        <v>16</v>
      </c>
      <c r="L3800">
        <v>0</v>
      </c>
      <c r="M3800">
        <v>2.2200000000000002</v>
      </c>
      <c r="N3800">
        <v>9</v>
      </c>
      <c r="O3800" t="s">
        <v>17</v>
      </c>
      <c r="P3800" cm="1">
        <f t="array" ref="P3800">_xlfn.SWITCH(Table2[[#This Row],[mood]], "Tired", 3, "Neutral", 2, "Happy", 1)</f>
        <v>3</v>
      </c>
    </row>
    <row r="3801" spans="1:16" x14ac:dyDescent="0.3">
      <c r="A3801">
        <v>1182</v>
      </c>
      <c r="B3801" s="1">
        <v>45804</v>
      </c>
      <c r="C3801">
        <v>53</v>
      </c>
      <c r="D3801" t="s">
        <v>20</v>
      </c>
      <c r="E3801">
        <v>174.5</v>
      </c>
      <c r="F3801">
        <v>84.6</v>
      </c>
      <c r="G3801">
        <v>12779</v>
      </c>
      <c r="H3801">
        <v>727.3</v>
      </c>
      <c r="I3801">
        <v>6.2</v>
      </c>
      <c r="J3801">
        <v>70</v>
      </c>
      <c r="K3801" t="s">
        <v>23</v>
      </c>
      <c r="L3801">
        <v>87</v>
      </c>
      <c r="M3801">
        <v>2.63</v>
      </c>
      <c r="N3801">
        <v>10</v>
      </c>
      <c r="O3801" t="s">
        <v>21</v>
      </c>
      <c r="P3801" cm="1">
        <f t="array" ref="P3801">_xlfn.SWITCH(Table2[[#This Row],[mood]], "Tired", 3, "Neutral", 2, "Happy", 1)</f>
        <v>1</v>
      </c>
    </row>
    <row r="3802" spans="1:16" x14ac:dyDescent="0.3">
      <c r="A3802">
        <v>1480</v>
      </c>
      <c r="B3802" s="1">
        <v>45805</v>
      </c>
      <c r="C3802">
        <v>34</v>
      </c>
      <c r="D3802" t="s">
        <v>20</v>
      </c>
      <c r="E3802">
        <v>173.4</v>
      </c>
      <c r="F3802">
        <v>101.7</v>
      </c>
      <c r="G3802">
        <v>18760</v>
      </c>
      <c r="H3802">
        <v>900</v>
      </c>
      <c r="I3802">
        <v>4.9000000000000004</v>
      </c>
      <c r="J3802">
        <v>74</v>
      </c>
      <c r="K3802" t="s">
        <v>16</v>
      </c>
      <c r="L3802">
        <v>0</v>
      </c>
      <c r="M3802">
        <v>3.2</v>
      </c>
      <c r="N3802">
        <v>7</v>
      </c>
      <c r="O3802" t="s">
        <v>19</v>
      </c>
      <c r="P3802" cm="1">
        <f t="array" ref="P3802">_xlfn.SWITCH(Table2[[#This Row],[mood]], "Tired", 3, "Neutral", 2, "Happy", 1)</f>
        <v>2</v>
      </c>
    </row>
    <row r="3803" spans="1:16" x14ac:dyDescent="0.3">
      <c r="A3803">
        <v>1145</v>
      </c>
      <c r="B3803" s="1">
        <v>45806</v>
      </c>
      <c r="C3803">
        <v>31</v>
      </c>
      <c r="D3803" t="s">
        <v>15</v>
      </c>
      <c r="E3803">
        <v>173.6</v>
      </c>
      <c r="F3803">
        <v>84.9</v>
      </c>
      <c r="G3803">
        <v>18088</v>
      </c>
      <c r="H3803">
        <v>900</v>
      </c>
      <c r="I3803">
        <v>6</v>
      </c>
      <c r="J3803">
        <v>87</v>
      </c>
      <c r="K3803" t="s">
        <v>22</v>
      </c>
      <c r="L3803">
        <v>55</v>
      </c>
      <c r="M3803">
        <v>2.14</v>
      </c>
      <c r="N3803">
        <v>2</v>
      </c>
      <c r="O3803" t="s">
        <v>21</v>
      </c>
      <c r="P3803" cm="1">
        <f t="array" ref="P3803">_xlfn.SWITCH(Table2[[#This Row],[mood]], "Tired", 3, "Neutral", 2, "Happy", 1)</f>
        <v>1</v>
      </c>
    </row>
    <row r="3804" spans="1:16" x14ac:dyDescent="0.3">
      <c r="A3804">
        <v>1830</v>
      </c>
      <c r="B3804" s="1">
        <v>45807</v>
      </c>
      <c r="C3804">
        <v>26</v>
      </c>
      <c r="D3804" t="s">
        <v>15</v>
      </c>
      <c r="E3804">
        <v>166.9</v>
      </c>
      <c r="F3804">
        <v>80.8</v>
      </c>
      <c r="G3804">
        <v>4724</v>
      </c>
      <c r="H3804">
        <v>332.2</v>
      </c>
      <c r="I3804">
        <v>6.9</v>
      </c>
      <c r="J3804">
        <v>80</v>
      </c>
      <c r="K3804" t="s">
        <v>23</v>
      </c>
      <c r="L3804">
        <v>81</v>
      </c>
      <c r="M3804">
        <v>3.71</v>
      </c>
      <c r="N3804">
        <v>3</v>
      </c>
      <c r="O3804" t="s">
        <v>17</v>
      </c>
      <c r="P3804" cm="1">
        <f t="array" ref="P3804">_xlfn.SWITCH(Table2[[#This Row],[mood]], "Tired", 3, "Neutral", 2, "Happy", 1)</f>
        <v>3</v>
      </c>
    </row>
    <row r="3805" spans="1:16" x14ac:dyDescent="0.3">
      <c r="A3805">
        <v>1627</v>
      </c>
      <c r="B3805" s="1">
        <v>45808</v>
      </c>
      <c r="C3805">
        <v>47</v>
      </c>
      <c r="D3805" t="s">
        <v>15</v>
      </c>
      <c r="E3805">
        <v>168</v>
      </c>
      <c r="F3805">
        <v>45</v>
      </c>
      <c r="G3805">
        <v>9189</v>
      </c>
      <c r="H3805">
        <v>581.9</v>
      </c>
      <c r="I3805">
        <v>8</v>
      </c>
      <c r="J3805">
        <v>61</v>
      </c>
      <c r="K3805" t="s">
        <v>23</v>
      </c>
      <c r="L3805">
        <v>58</v>
      </c>
      <c r="M3805">
        <v>1.59</v>
      </c>
      <c r="N3805">
        <v>8</v>
      </c>
      <c r="O3805" t="s">
        <v>17</v>
      </c>
      <c r="P3805" cm="1">
        <f t="array" ref="P3805">_xlfn.SWITCH(Table2[[#This Row],[mood]], "Tired", 3, "Neutral", 2, "Happy", 1)</f>
        <v>3</v>
      </c>
    </row>
    <row r="3806" spans="1:16" x14ac:dyDescent="0.3">
      <c r="A3806">
        <v>1112</v>
      </c>
      <c r="B3806" s="1">
        <v>45809</v>
      </c>
      <c r="C3806">
        <v>38</v>
      </c>
      <c r="D3806" t="s">
        <v>15</v>
      </c>
      <c r="E3806">
        <v>169.7</v>
      </c>
      <c r="F3806">
        <v>61.6</v>
      </c>
      <c r="G3806">
        <v>11334</v>
      </c>
      <c r="H3806">
        <v>619.29999999999995</v>
      </c>
      <c r="I3806">
        <v>7</v>
      </c>
      <c r="J3806">
        <v>66</v>
      </c>
      <c r="K3806" t="s">
        <v>24</v>
      </c>
      <c r="L3806">
        <v>60</v>
      </c>
      <c r="M3806">
        <v>2.61</v>
      </c>
      <c r="N3806">
        <v>9</v>
      </c>
      <c r="O3806" t="s">
        <v>21</v>
      </c>
      <c r="P3806" cm="1">
        <f t="array" ref="P3806">_xlfn.SWITCH(Table2[[#This Row],[mood]], "Tired", 3, "Neutral", 2, "Happy", 1)</f>
        <v>1</v>
      </c>
    </row>
    <row r="3807" spans="1:16" x14ac:dyDescent="0.3">
      <c r="A3807">
        <v>1762</v>
      </c>
      <c r="B3807" s="1">
        <v>45810</v>
      </c>
      <c r="C3807">
        <v>29</v>
      </c>
      <c r="D3807" t="s">
        <v>15</v>
      </c>
      <c r="E3807">
        <v>166</v>
      </c>
      <c r="F3807">
        <v>63.8</v>
      </c>
      <c r="G3807">
        <v>1552</v>
      </c>
      <c r="H3807">
        <v>220.9</v>
      </c>
      <c r="I3807">
        <v>7.3</v>
      </c>
      <c r="J3807">
        <v>66</v>
      </c>
      <c r="K3807" t="s">
        <v>22</v>
      </c>
      <c r="L3807">
        <v>79</v>
      </c>
      <c r="M3807">
        <v>2.33</v>
      </c>
      <c r="N3807">
        <v>4</v>
      </c>
      <c r="O3807" t="s">
        <v>21</v>
      </c>
      <c r="P3807" cm="1">
        <f t="array" ref="P3807">_xlfn.SWITCH(Table2[[#This Row],[mood]], "Tired", 3, "Neutral", 2, "Happy", 1)</f>
        <v>1</v>
      </c>
    </row>
    <row r="3808" spans="1:16" x14ac:dyDescent="0.3">
      <c r="A3808">
        <v>1475</v>
      </c>
      <c r="B3808" s="1">
        <v>45811</v>
      </c>
      <c r="C3808">
        <v>54</v>
      </c>
      <c r="D3808" t="s">
        <v>20</v>
      </c>
      <c r="E3808">
        <v>177.8</v>
      </c>
      <c r="F3808">
        <v>90.8</v>
      </c>
      <c r="G3808">
        <v>4491</v>
      </c>
      <c r="H3808">
        <v>385.7</v>
      </c>
      <c r="I3808">
        <v>9.6</v>
      </c>
      <c r="J3808">
        <v>71</v>
      </c>
      <c r="K3808" t="s">
        <v>25</v>
      </c>
      <c r="L3808">
        <v>85</v>
      </c>
      <c r="M3808">
        <v>3.44</v>
      </c>
      <c r="N3808">
        <v>9</v>
      </c>
      <c r="O3808" t="s">
        <v>19</v>
      </c>
      <c r="P3808" cm="1">
        <f t="array" ref="P3808">_xlfn.SWITCH(Table2[[#This Row],[mood]], "Tired", 3, "Neutral", 2, "Happy", 1)</f>
        <v>2</v>
      </c>
    </row>
    <row r="3809" spans="1:16" x14ac:dyDescent="0.3">
      <c r="A3809">
        <v>1762</v>
      </c>
      <c r="B3809" s="1">
        <v>45812</v>
      </c>
      <c r="C3809">
        <v>49</v>
      </c>
      <c r="D3809" t="s">
        <v>15</v>
      </c>
      <c r="E3809">
        <v>159.30000000000001</v>
      </c>
      <c r="F3809">
        <v>59</v>
      </c>
      <c r="G3809">
        <v>1789</v>
      </c>
      <c r="H3809">
        <v>281.39999999999998</v>
      </c>
      <c r="I3809">
        <v>7</v>
      </c>
      <c r="J3809">
        <v>79</v>
      </c>
      <c r="K3809" t="s">
        <v>16</v>
      </c>
      <c r="L3809">
        <v>0</v>
      </c>
      <c r="M3809">
        <v>1.47</v>
      </c>
      <c r="N3809">
        <v>4</v>
      </c>
      <c r="O3809" t="s">
        <v>21</v>
      </c>
      <c r="P3809" cm="1">
        <f t="array" ref="P3809">_xlfn.SWITCH(Table2[[#This Row],[mood]], "Tired", 3, "Neutral", 2, "Happy", 1)</f>
        <v>1</v>
      </c>
    </row>
    <row r="3810" spans="1:16" x14ac:dyDescent="0.3">
      <c r="A3810">
        <v>1302</v>
      </c>
      <c r="B3810" s="1">
        <v>45813</v>
      </c>
      <c r="C3810">
        <v>28</v>
      </c>
      <c r="D3810" t="s">
        <v>15</v>
      </c>
      <c r="E3810">
        <v>162.19999999999999</v>
      </c>
      <c r="F3810">
        <v>68.7</v>
      </c>
      <c r="G3810">
        <v>2173</v>
      </c>
      <c r="H3810">
        <v>206.3</v>
      </c>
      <c r="I3810">
        <v>6.2</v>
      </c>
      <c r="J3810">
        <v>94</v>
      </c>
      <c r="K3810" t="s">
        <v>22</v>
      </c>
      <c r="L3810">
        <v>59</v>
      </c>
      <c r="M3810">
        <v>2.8</v>
      </c>
      <c r="N3810">
        <v>2</v>
      </c>
      <c r="O3810" t="s">
        <v>21</v>
      </c>
      <c r="P3810" cm="1">
        <f t="array" ref="P3810">_xlfn.SWITCH(Table2[[#This Row],[mood]], "Tired", 3, "Neutral", 2, "Happy", 1)</f>
        <v>1</v>
      </c>
    </row>
    <row r="3811" spans="1:16" x14ac:dyDescent="0.3">
      <c r="A3811">
        <v>1970</v>
      </c>
      <c r="B3811" s="1">
        <v>45814</v>
      </c>
      <c r="C3811">
        <v>37</v>
      </c>
      <c r="D3811" t="s">
        <v>15</v>
      </c>
      <c r="E3811">
        <v>171.2</v>
      </c>
      <c r="F3811">
        <v>82.6</v>
      </c>
      <c r="G3811">
        <v>1552</v>
      </c>
      <c r="H3811">
        <v>279.3</v>
      </c>
      <c r="I3811">
        <v>7.7</v>
      </c>
      <c r="J3811">
        <v>74</v>
      </c>
      <c r="K3811" t="s">
        <v>25</v>
      </c>
      <c r="L3811">
        <v>38</v>
      </c>
      <c r="M3811">
        <v>2.33</v>
      </c>
      <c r="N3811">
        <v>7</v>
      </c>
      <c r="O3811" t="s">
        <v>19</v>
      </c>
      <c r="P3811" cm="1">
        <f t="array" ref="P3811">_xlfn.SWITCH(Table2[[#This Row],[mood]], "Tired", 3, "Neutral", 2, "Happy", 1)</f>
        <v>2</v>
      </c>
    </row>
    <row r="3812" spans="1:16" x14ac:dyDescent="0.3">
      <c r="A3812">
        <v>1824</v>
      </c>
      <c r="B3812" s="1">
        <v>45815</v>
      </c>
      <c r="C3812">
        <v>52</v>
      </c>
      <c r="D3812" t="s">
        <v>20</v>
      </c>
      <c r="E3812">
        <v>166.3</v>
      </c>
      <c r="F3812">
        <v>58.4</v>
      </c>
      <c r="G3812">
        <v>5211</v>
      </c>
      <c r="H3812">
        <v>395.9</v>
      </c>
      <c r="I3812">
        <v>4.4000000000000004</v>
      </c>
      <c r="J3812">
        <v>82</v>
      </c>
      <c r="K3812" t="s">
        <v>22</v>
      </c>
      <c r="L3812">
        <v>74</v>
      </c>
      <c r="M3812">
        <v>3.57</v>
      </c>
      <c r="N3812">
        <v>9</v>
      </c>
      <c r="O3812" t="s">
        <v>17</v>
      </c>
      <c r="P3812" cm="1">
        <f t="array" ref="P3812">_xlfn.SWITCH(Table2[[#This Row],[mood]], "Tired", 3, "Neutral", 2, "Happy", 1)</f>
        <v>3</v>
      </c>
    </row>
    <row r="3813" spans="1:16" x14ac:dyDescent="0.3">
      <c r="A3813">
        <v>1117</v>
      </c>
      <c r="B3813" s="1">
        <v>45816</v>
      </c>
      <c r="C3813">
        <v>28</v>
      </c>
      <c r="D3813" t="s">
        <v>20</v>
      </c>
      <c r="E3813">
        <v>158.9</v>
      </c>
      <c r="F3813">
        <v>74.2</v>
      </c>
      <c r="G3813">
        <v>9823</v>
      </c>
      <c r="H3813">
        <v>662.8</v>
      </c>
      <c r="I3813">
        <v>4.4000000000000004</v>
      </c>
      <c r="J3813">
        <v>86</v>
      </c>
      <c r="K3813" t="s">
        <v>23</v>
      </c>
      <c r="L3813">
        <v>65</v>
      </c>
      <c r="M3813">
        <v>1.92</v>
      </c>
      <c r="N3813">
        <v>2</v>
      </c>
      <c r="O3813" t="s">
        <v>19</v>
      </c>
      <c r="P3813" cm="1">
        <f t="array" ref="P3813">_xlfn.SWITCH(Table2[[#This Row],[mood]], "Tired", 3, "Neutral", 2, "Happy", 1)</f>
        <v>2</v>
      </c>
    </row>
    <row r="3814" spans="1:16" x14ac:dyDescent="0.3">
      <c r="A3814">
        <v>1812</v>
      </c>
      <c r="B3814" s="1">
        <v>45817</v>
      </c>
      <c r="C3814">
        <v>25</v>
      </c>
      <c r="D3814" t="s">
        <v>15</v>
      </c>
      <c r="E3814">
        <v>175.3</v>
      </c>
      <c r="F3814">
        <v>72.2</v>
      </c>
      <c r="G3814">
        <v>17653</v>
      </c>
      <c r="H3814">
        <v>900</v>
      </c>
      <c r="I3814">
        <v>6.8</v>
      </c>
      <c r="J3814">
        <v>90</v>
      </c>
      <c r="K3814" t="s">
        <v>22</v>
      </c>
      <c r="L3814">
        <v>23</v>
      </c>
      <c r="M3814">
        <v>2.79</v>
      </c>
      <c r="N3814">
        <v>8</v>
      </c>
      <c r="O3814" t="s">
        <v>17</v>
      </c>
      <c r="P3814" cm="1">
        <f t="array" ref="P3814">_xlfn.SWITCH(Table2[[#This Row],[mood]], "Tired", 3, "Neutral", 2, "Happy", 1)</f>
        <v>3</v>
      </c>
    </row>
    <row r="3815" spans="1:16" x14ac:dyDescent="0.3">
      <c r="A3815">
        <v>1160</v>
      </c>
      <c r="B3815" s="1">
        <v>45818</v>
      </c>
      <c r="C3815">
        <v>21</v>
      </c>
      <c r="D3815" t="s">
        <v>20</v>
      </c>
      <c r="E3815">
        <v>164.3</v>
      </c>
      <c r="F3815">
        <v>83.2</v>
      </c>
      <c r="G3815">
        <v>1860</v>
      </c>
      <c r="H3815">
        <v>231.6</v>
      </c>
      <c r="I3815">
        <v>5.6</v>
      </c>
      <c r="J3815">
        <v>86</v>
      </c>
      <c r="K3815" t="s">
        <v>22</v>
      </c>
      <c r="L3815">
        <v>81</v>
      </c>
      <c r="M3815">
        <v>1.91</v>
      </c>
      <c r="N3815">
        <v>6</v>
      </c>
      <c r="O3815" t="s">
        <v>17</v>
      </c>
      <c r="P3815" cm="1">
        <f t="array" ref="P3815">_xlfn.SWITCH(Table2[[#This Row],[mood]], "Tired", 3, "Neutral", 2, "Happy", 1)</f>
        <v>3</v>
      </c>
    </row>
    <row r="3816" spans="1:16" x14ac:dyDescent="0.3">
      <c r="A3816">
        <v>1400</v>
      </c>
      <c r="B3816" s="1">
        <v>45819</v>
      </c>
      <c r="C3816">
        <v>44</v>
      </c>
      <c r="D3816" t="s">
        <v>20</v>
      </c>
      <c r="E3816">
        <v>161.6</v>
      </c>
      <c r="F3816">
        <v>79.900000000000006</v>
      </c>
      <c r="G3816">
        <v>1290</v>
      </c>
      <c r="H3816">
        <v>317.2</v>
      </c>
      <c r="I3816">
        <v>6.1</v>
      </c>
      <c r="J3816">
        <v>68</v>
      </c>
      <c r="K3816" t="s">
        <v>22</v>
      </c>
      <c r="L3816">
        <v>44</v>
      </c>
      <c r="M3816">
        <v>2.63</v>
      </c>
      <c r="N3816">
        <v>9</v>
      </c>
      <c r="O3816" t="s">
        <v>21</v>
      </c>
      <c r="P3816" cm="1">
        <f t="array" ref="P3816">_xlfn.SWITCH(Table2[[#This Row],[mood]], "Tired", 3, "Neutral", 2, "Happy", 1)</f>
        <v>1</v>
      </c>
    </row>
    <row r="3817" spans="1:16" x14ac:dyDescent="0.3">
      <c r="A3817">
        <v>1197</v>
      </c>
      <c r="B3817" s="1">
        <v>45820</v>
      </c>
      <c r="C3817">
        <v>57</v>
      </c>
      <c r="D3817" t="s">
        <v>15</v>
      </c>
      <c r="E3817">
        <v>168.3</v>
      </c>
      <c r="F3817">
        <v>79.400000000000006</v>
      </c>
      <c r="G3817">
        <v>10649</v>
      </c>
      <c r="H3817">
        <v>652.79999999999995</v>
      </c>
      <c r="I3817">
        <v>8.4</v>
      </c>
      <c r="J3817">
        <v>60</v>
      </c>
      <c r="K3817" t="s">
        <v>22</v>
      </c>
      <c r="L3817">
        <v>82</v>
      </c>
      <c r="M3817">
        <v>2.2400000000000002</v>
      </c>
      <c r="N3817">
        <v>5</v>
      </c>
      <c r="O3817" t="s">
        <v>21</v>
      </c>
      <c r="P3817" cm="1">
        <f t="array" ref="P3817">_xlfn.SWITCH(Table2[[#This Row],[mood]], "Tired", 3, "Neutral", 2, "Happy", 1)</f>
        <v>1</v>
      </c>
    </row>
    <row r="3818" spans="1:16" x14ac:dyDescent="0.3">
      <c r="A3818">
        <v>1259</v>
      </c>
      <c r="B3818" s="1">
        <v>45821</v>
      </c>
      <c r="C3818">
        <v>55</v>
      </c>
      <c r="D3818" t="s">
        <v>20</v>
      </c>
      <c r="E3818">
        <v>161.1</v>
      </c>
      <c r="F3818">
        <v>73</v>
      </c>
      <c r="G3818">
        <v>15344</v>
      </c>
      <c r="H3818">
        <v>802.8</v>
      </c>
      <c r="I3818">
        <v>7.8</v>
      </c>
      <c r="J3818">
        <v>69</v>
      </c>
      <c r="K3818" t="s">
        <v>24</v>
      </c>
      <c r="L3818">
        <v>89</v>
      </c>
      <c r="M3818">
        <v>2.23</v>
      </c>
      <c r="N3818">
        <v>1</v>
      </c>
      <c r="O3818" t="s">
        <v>21</v>
      </c>
      <c r="P3818" cm="1">
        <f t="array" ref="P3818">_xlfn.SWITCH(Table2[[#This Row],[mood]], "Tired", 3, "Neutral", 2, "Happy", 1)</f>
        <v>1</v>
      </c>
    </row>
    <row r="3819" spans="1:16" x14ac:dyDescent="0.3">
      <c r="A3819">
        <v>1659</v>
      </c>
      <c r="B3819" s="1">
        <v>45822</v>
      </c>
      <c r="C3819">
        <v>47</v>
      </c>
      <c r="D3819" t="s">
        <v>20</v>
      </c>
      <c r="E3819">
        <v>169.7</v>
      </c>
      <c r="F3819">
        <v>45</v>
      </c>
      <c r="G3819">
        <v>6870</v>
      </c>
      <c r="H3819">
        <v>449.2</v>
      </c>
      <c r="I3819">
        <v>6.9</v>
      </c>
      <c r="J3819">
        <v>77</v>
      </c>
      <c r="K3819" t="s">
        <v>16</v>
      </c>
      <c r="L3819">
        <v>0</v>
      </c>
      <c r="M3819">
        <v>1.1100000000000001</v>
      </c>
      <c r="N3819">
        <v>5</v>
      </c>
      <c r="O3819" t="s">
        <v>21</v>
      </c>
      <c r="P3819" cm="1">
        <f t="array" ref="P3819">_xlfn.SWITCH(Table2[[#This Row],[mood]], "Tired", 3, "Neutral", 2, "Happy", 1)</f>
        <v>1</v>
      </c>
    </row>
    <row r="3820" spans="1:16" x14ac:dyDescent="0.3">
      <c r="A3820">
        <v>1751</v>
      </c>
      <c r="B3820" s="1">
        <v>45823</v>
      </c>
      <c r="C3820">
        <v>44</v>
      </c>
      <c r="D3820" t="s">
        <v>20</v>
      </c>
      <c r="E3820">
        <v>166.4</v>
      </c>
      <c r="F3820">
        <v>72.099999999999994</v>
      </c>
      <c r="G3820">
        <v>1629</v>
      </c>
      <c r="H3820">
        <v>207.8</v>
      </c>
      <c r="I3820">
        <v>7.1</v>
      </c>
      <c r="J3820">
        <v>68</v>
      </c>
      <c r="K3820" t="s">
        <v>24</v>
      </c>
      <c r="L3820">
        <v>23</v>
      </c>
      <c r="M3820">
        <v>2.79</v>
      </c>
      <c r="N3820">
        <v>10</v>
      </c>
      <c r="O3820" t="s">
        <v>21</v>
      </c>
      <c r="P3820" cm="1">
        <f t="array" ref="P3820">_xlfn.SWITCH(Table2[[#This Row],[mood]], "Tired", 3, "Neutral", 2, "Happy", 1)</f>
        <v>1</v>
      </c>
    </row>
    <row r="3821" spans="1:16" x14ac:dyDescent="0.3">
      <c r="A3821">
        <v>1046</v>
      </c>
      <c r="B3821" s="1">
        <v>45824</v>
      </c>
      <c r="C3821">
        <v>38</v>
      </c>
      <c r="D3821" t="s">
        <v>15</v>
      </c>
      <c r="E3821">
        <v>164.9</v>
      </c>
      <c r="F3821">
        <v>70.8</v>
      </c>
      <c r="G3821">
        <v>8007</v>
      </c>
      <c r="H3821">
        <v>459.4</v>
      </c>
      <c r="I3821">
        <v>6.4</v>
      </c>
      <c r="J3821">
        <v>59</v>
      </c>
      <c r="K3821" t="s">
        <v>23</v>
      </c>
      <c r="L3821">
        <v>21</v>
      </c>
      <c r="M3821">
        <v>1.74</v>
      </c>
      <c r="N3821">
        <v>7</v>
      </c>
      <c r="O3821" t="s">
        <v>17</v>
      </c>
      <c r="P3821" cm="1">
        <f t="array" ref="P3821">_xlfn.SWITCH(Table2[[#This Row],[mood]], "Tired", 3, "Neutral", 2, "Happy", 1)</f>
        <v>3</v>
      </c>
    </row>
    <row r="3822" spans="1:16" x14ac:dyDescent="0.3">
      <c r="A3822">
        <v>1986</v>
      </c>
      <c r="B3822" s="1">
        <v>45825</v>
      </c>
      <c r="C3822">
        <v>37</v>
      </c>
      <c r="D3822" t="s">
        <v>15</v>
      </c>
      <c r="E3822">
        <v>164.9</v>
      </c>
      <c r="F3822">
        <v>81.5</v>
      </c>
      <c r="G3822">
        <v>17186</v>
      </c>
      <c r="H3822">
        <v>796.1</v>
      </c>
      <c r="I3822">
        <v>8.3000000000000007</v>
      </c>
      <c r="J3822">
        <v>63</v>
      </c>
      <c r="K3822" t="s">
        <v>23</v>
      </c>
      <c r="L3822">
        <v>86</v>
      </c>
      <c r="M3822">
        <v>1.72</v>
      </c>
      <c r="N3822">
        <v>7</v>
      </c>
      <c r="O3822" t="s">
        <v>19</v>
      </c>
      <c r="P3822" cm="1">
        <f t="array" ref="P3822">_xlfn.SWITCH(Table2[[#This Row],[mood]], "Tired", 3, "Neutral", 2, "Happy", 1)</f>
        <v>2</v>
      </c>
    </row>
    <row r="3823" spans="1:16" x14ac:dyDescent="0.3">
      <c r="A3823">
        <v>1398</v>
      </c>
      <c r="B3823" s="1">
        <v>45826</v>
      </c>
      <c r="C3823">
        <v>21</v>
      </c>
      <c r="D3823" t="s">
        <v>15</v>
      </c>
      <c r="E3823">
        <v>180</v>
      </c>
      <c r="F3823">
        <v>63.7</v>
      </c>
      <c r="G3823">
        <v>6943</v>
      </c>
      <c r="H3823">
        <v>478.8</v>
      </c>
      <c r="I3823">
        <v>8.1999999999999993</v>
      </c>
      <c r="J3823">
        <v>105</v>
      </c>
      <c r="K3823" t="s">
        <v>25</v>
      </c>
      <c r="L3823">
        <v>49</v>
      </c>
      <c r="M3823">
        <v>1.41</v>
      </c>
      <c r="N3823">
        <v>4</v>
      </c>
      <c r="O3823" t="s">
        <v>21</v>
      </c>
      <c r="P3823" cm="1">
        <f t="array" ref="P3823">_xlfn.SWITCH(Table2[[#This Row],[mood]], "Tired", 3, "Neutral", 2, "Happy", 1)</f>
        <v>1</v>
      </c>
    </row>
    <row r="3824" spans="1:16" x14ac:dyDescent="0.3">
      <c r="A3824">
        <v>1709</v>
      </c>
      <c r="B3824" s="1">
        <v>45827</v>
      </c>
      <c r="C3824">
        <v>28</v>
      </c>
      <c r="D3824" t="s">
        <v>20</v>
      </c>
      <c r="E3824">
        <v>173.7</v>
      </c>
      <c r="F3824">
        <v>70.599999999999994</v>
      </c>
      <c r="G3824">
        <v>17858</v>
      </c>
      <c r="H3824">
        <v>811.3</v>
      </c>
      <c r="I3824">
        <v>8.5</v>
      </c>
      <c r="J3824">
        <v>73</v>
      </c>
      <c r="K3824" t="s">
        <v>23</v>
      </c>
      <c r="L3824">
        <v>23</v>
      </c>
      <c r="M3824">
        <v>1.76</v>
      </c>
      <c r="N3824">
        <v>10</v>
      </c>
      <c r="O3824" t="s">
        <v>17</v>
      </c>
      <c r="P3824" cm="1">
        <f t="array" ref="P3824">_xlfn.SWITCH(Table2[[#This Row],[mood]], "Tired", 3, "Neutral", 2, "Happy", 1)</f>
        <v>3</v>
      </c>
    </row>
    <row r="3825" spans="1:16" x14ac:dyDescent="0.3">
      <c r="A3825">
        <v>1558</v>
      </c>
      <c r="B3825" s="1">
        <v>45828</v>
      </c>
      <c r="C3825">
        <v>30</v>
      </c>
      <c r="D3825" t="s">
        <v>15</v>
      </c>
      <c r="E3825">
        <v>152.9</v>
      </c>
      <c r="F3825">
        <v>71.099999999999994</v>
      </c>
      <c r="G3825">
        <v>5080</v>
      </c>
      <c r="H3825">
        <v>359.9</v>
      </c>
      <c r="I3825">
        <v>8.4</v>
      </c>
      <c r="J3825">
        <v>93</v>
      </c>
      <c r="K3825" t="s">
        <v>24</v>
      </c>
      <c r="L3825">
        <v>67</v>
      </c>
      <c r="M3825">
        <v>2.85</v>
      </c>
      <c r="N3825">
        <v>6</v>
      </c>
      <c r="O3825" t="s">
        <v>21</v>
      </c>
      <c r="P3825" cm="1">
        <f t="array" ref="P3825">_xlfn.SWITCH(Table2[[#This Row],[mood]], "Tired", 3, "Neutral", 2, "Happy", 1)</f>
        <v>1</v>
      </c>
    </row>
    <row r="3826" spans="1:16" x14ac:dyDescent="0.3">
      <c r="A3826">
        <v>1077</v>
      </c>
      <c r="B3826" s="1">
        <v>45829</v>
      </c>
      <c r="C3826">
        <v>26</v>
      </c>
      <c r="D3826" t="s">
        <v>20</v>
      </c>
      <c r="E3826">
        <v>178.8</v>
      </c>
      <c r="F3826">
        <v>59.3</v>
      </c>
      <c r="G3826">
        <v>13972</v>
      </c>
      <c r="H3826">
        <v>791.7</v>
      </c>
      <c r="I3826">
        <v>7.1</v>
      </c>
      <c r="J3826">
        <v>73</v>
      </c>
      <c r="K3826" t="s">
        <v>23</v>
      </c>
      <c r="L3826">
        <v>62</v>
      </c>
      <c r="M3826">
        <v>2.82</v>
      </c>
      <c r="N3826">
        <v>6</v>
      </c>
      <c r="O3826" t="s">
        <v>19</v>
      </c>
      <c r="P3826" cm="1">
        <f t="array" ref="P3826">_xlfn.SWITCH(Table2[[#This Row],[mood]], "Tired", 3, "Neutral", 2, "Happy", 1)</f>
        <v>2</v>
      </c>
    </row>
    <row r="3827" spans="1:16" x14ac:dyDescent="0.3">
      <c r="A3827">
        <v>1123</v>
      </c>
      <c r="B3827" s="1">
        <v>45830</v>
      </c>
      <c r="C3827">
        <v>21</v>
      </c>
      <c r="D3827" t="s">
        <v>20</v>
      </c>
      <c r="E3827">
        <v>175.2</v>
      </c>
      <c r="F3827">
        <v>52.7</v>
      </c>
      <c r="G3827">
        <v>2760</v>
      </c>
      <c r="H3827">
        <v>385.1</v>
      </c>
      <c r="I3827">
        <v>6</v>
      </c>
      <c r="J3827">
        <v>83</v>
      </c>
      <c r="K3827" t="s">
        <v>25</v>
      </c>
      <c r="L3827">
        <v>64</v>
      </c>
      <c r="M3827">
        <v>2.96</v>
      </c>
      <c r="N3827">
        <v>10</v>
      </c>
      <c r="O3827" t="s">
        <v>17</v>
      </c>
      <c r="P3827" cm="1">
        <f t="array" ref="P3827">_xlfn.SWITCH(Table2[[#This Row],[mood]], "Tired", 3, "Neutral", 2, "Happy", 1)</f>
        <v>3</v>
      </c>
    </row>
    <row r="3828" spans="1:16" x14ac:dyDescent="0.3">
      <c r="A3828">
        <v>1074</v>
      </c>
      <c r="B3828" s="1">
        <v>45831</v>
      </c>
      <c r="C3828">
        <v>29</v>
      </c>
      <c r="D3828" t="s">
        <v>20</v>
      </c>
      <c r="E3828">
        <v>174.6</v>
      </c>
      <c r="F3828">
        <v>75.7</v>
      </c>
      <c r="G3828">
        <v>12274</v>
      </c>
      <c r="H3828">
        <v>633.5</v>
      </c>
      <c r="I3828">
        <v>6.7</v>
      </c>
      <c r="J3828">
        <v>74</v>
      </c>
      <c r="K3828" t="s">
        <v>25</v>
      </c>
      <c r="L3828">
        <v>32</v>
      </c>
      <c r="M3828">
        <v>1.78</v>
      </c>
      <c r="N3828">
        <v>10</v>
      </c>
      <c r="O3828" t="s">
        <v>19</v>
      </c>
      <c r="P3828" cm="1">
        <f t="array" ref="P3828">_xlfn.SWITCH(Table2[[#This Row],[mood]], "Tired", 3, "Neutral", 2, "Happy", 1)</f>
        <v>2</v>
      </c>
    </row>
    <row r="3829" spans="1:16" x14ac:dyDescent="0.3">
      <c r="A3829">
        <v>1870</v>
      </c>
      <c r="B3829" s="1">
        <v>45832</v>
      </c>
      <c r="C3829">
        <v>26</v>
      </c>
      <c r="D3829" t="s">
        <v>15</v>
      </c>
      <c r="E3829">
        <v>178.9</v>
      </c>
      <c r="F3829">
        <v>85.1</v>
      </c>
      <c r="G3829">
        <v>5708</v>
      </c>
      <c r="H3829">
        <v>458.8</v>
      </c>
      <c r="I3829">
        <v>7.2</v>
      </c>
      <c r="J3829">
        <v>75</v>
      </c>
      <c r="K3829" t="s">
        <v>24</v>
      </c>
      <c r="L3829">
        <v>66</v>
      </c>
      <c r="M3829">
        <v>2.65</v>
      </c>
      <c r="N3829">
        <v>1</v>
      </c>
      <c r="O3829" t="s">
        <v>21</v>
      </c>
      <c r="P3829" cm="1">
        <f t="array" ref="P3829">_xlfn.SWITCH(Table2[[#This Row],[mood]], "Tired", 3, "Neutral", 2, "Happy", 1)</f>
        <v>1</v>
      </c>
    </row>
    <row r="3830" spans="1:16" x14ac:dyDescent="0.3">
      <c r="A3830">
        <v>1136</v>
      </c>
      <c r="B3830" s="1">
        <v>45833</v>
      </c>
      <c r="C3830">
        <v>30</v>
      </c>
      <c r="D3830" t="s">
        <v>15</v>
      </c>
      <c r="E3830">
        <v>170.2</v>
      </c>
      <c r="F3830">
        <v>60.6</v>
      </c>
      <c r="G3830">
        <v>13166</v>
      </c>
      <c r="H3830">
        <v>711.2</v>
      </c>
      <c r="I3830">
        <v>6</v>
      </c>
      <c r="J3830">
        <v>83</v>
      </c>
      <c r="K3830" t="s">
        <v>23</v>
      </c>
      <c r="L3830">
        <v>47</v>
      </c>
      <c r="M3830">
        <v>2.0699999999999998</v>
      </c>
      <c r="N3830">
        <v>5</v>
      </c>
      <c r="O3830" t="s">
        <v>17</v>
      </c>
      <c r="P3830" cm="1">
        <f t="array" ref="P3830">_xlfn.SWITCH(Table2[[#This Row],[mood]], "Tired", 3, "Neutral", 2, "Happy", 1)</f>
        <v>3</v>
      </c>
    </row>
    <row r="3831" spans="1:16" x14ac:dyDescent="0.3">
      <c r="A3831">
        <v>1601</v>
      </c>
      <c r="B3831" s="1">
        <v>45834</v>
      </c>
      <c r="C3831">
        <v>43</v>
      </c>
      <c r="D3831" t="s">
        <v>15</v>
      </c>
      <c r="E3831">
        <v>176.2</v>
      </c>
      <c r="F3831">
        <v>66.7</v>
      </c>
      <c r="G3831">
        <v>4398</v>
      </c>
      <c r="H3831">
        <v>350.1</v>
      </c>
      <c r="I3831">
        <v>9.4</v>
      </c>
      <c r="J3831">
        <v>71</v>
      </c>
      <c r="K3831" t="s">
        <v>16</v>
      </c>
      <c r="L3831">
        <v>0</v>
      </c>
      <c r="M3831">
        <v>3.17</v>
      </c>
      <c r="N3831">
        <v>7</v>
      </c>
      <c r="O3831" t="s">
        <v>19</v>
      </c>
      <c r="P3831" cm="1">
        <f t="array" ref="P3831">_xlfn.SWITCH(Table2[[#This Row],[mood]], "Tired", 3, "Neutral", 2, "Happy", 1)</f>
        <v>2</v>
      </c>
    </row>
    <row r="3832" spans="1:16" x14ac:dyDescent="0.3">
      <c r="A3832">
        <v>1399</v>
      </c>
      <c r="B3832" s="1">
        <v>45835</v>
      </c>
      <c r="C3832">
        <v>55</v>
      </c>
      <c r="D3832" t="s">
        <v>15</v>
      </c>
      <c r="E3832">
        <v>165.4</v>
      </c>
      <c r="F3832">
        <v>82.4</v>
      </c>
      <c r="G3832">
        <v>15930</v>
      </c>
      <c r="H3832">
        <v>844.9</v>
      </c>
      <c r="I3832">
        <v>9.5</v>
      </c>
      <c r="J3832">
        <v>63</v>
      </c>
      <c r="K3832" t="s">
        <v>25</v>
      </c>
      <c r="L3832">
        <v>47</v>
      </c>
      <c r="M3832">
        <v>2.8</v>
      </c>
      <c r="N3832">
        <v>5</v>
      </c>
      <c r="O3832" t="s">
        <v>21</v>
      </c>
      <c r="P3832" cm="1">
        <f t="array" ref="P3832">_xlfn.SWITCH(Table2[[#This Row],[mood]], "Tired", 3, "Neutral", 2, "Happy", 1)</f>
        <v>1</v>
      </c>
    </row>
    <row r="3833" spans="1:16" x14ac:dyDescent="0.3">
      <c r="A3833">
        <v>1836</v>
      </c>
      <c r="B3833" s="1">
        <v>45836</v>
      </c>
      <c r="C3833">
        <v>59</v>
      </c>
      <c r="D3833" t="s">
        <v>20</v>
      </c>
      <c r="E3833">
        <v>178.5</v>
      </c>
      <c r="F3833">
        <v>83.9</v>
      </c>
      <c r="G3833">
        <v>11515</v>
      </c>
      <c r="H3833">
        <v>627.9</v>
      </c>
      <c r="I3833">
        <v>6.8</v>
      </c>
      <c r="J3833">
        <v>67</v>
      </c>
      <c r="K3833" t="s">
        <v>23</v>
      </c>
      <c r="L3833">
        <v>46</v>
      </c>
      <c r="M3833">
        <v>2.04</v>
      </c>
      <c r="N3833">
        <v>8</v>
      </c>
      <c r="O3833" t="s">
        <v>21</v>
      </c>
      <c r="P3833" cm="1">
        <f t="array" ref="P3833">_xlfn.SWITCH(Table2[[#This Row],[mood]], "Tired", 3, "Neutral", 2, "Happy", 1)</f>
        <v>1</v>
      </c>
    </row>
    <row r="3834" spans="1:16" x14ac:dyDescent="0.3">
      <c r="A3834">
        <v>1504</v>
      </c>
      <c r="B3834" s="1">
        <v>45837</v>
      </c>
      <c r="C3834">
        <v>30</v>
      </c>
      <c r="D3834" t="s">
        <v>15</v>
      </c>
      <c r="E3834">
        <v>172.2</v>
      </c>
      <c r="F3834">
        <v>73.5</v>
      </c>
      <c r="G3834">
        <v>15705</v>
      </c>
      <c r="H3834">
        <v>824</v>
      </c>
      <c r="I3834">
        <v>8.5</v>
      </c>
      <c r="J3834">
        <v>67</v>
      </c>
      <c r="K3834" t="s">
        <v>23</v>
      </c>
      <c r="L3834">
        <v>49</v>
      </c>
      <c r="M3834">
        <v>3.23</v>
      </c>
      <c r="N3834">
        <v>1</v>
      </c>
      <c r="O3834" t="s">
        <v>17</v>
      </c>
      <c r="P3834" cm="1">
        <f t="array" ref="P3834">_xlfn.SWITCH(Table2[[#This Row],[mood]], "Tired", 3, "Neutral", 2, "Happy", 1)</f>
        <v>3</v>
      </c>
    </row>
    <row r="3835" spans="1:16" x14ac:dyDescent="0.3">
      <c r="A3835">
        <v>1499</v>
      </c>
      <c r="B3835" s="1">
        <v>45838</v>
      </c>
      <c r="C3835">
        <v>56</v>
      </c>
      <c r="D3835" t="s">
        <v>20</v>
      </c>
      <c r="E3835">
        <v>156.19999999999999</v>
      </c>
      <c r="F3835">
        <v>76.2</v>
      </c>
      <c r="G3835">
        <v>4561</v>
      </c>
      <c r="H3835">
        <v>386</v>
      </c>
      <c r="I3835">
        <v>7.8</v>
      </c>
      <c r="J3835">
        <v>76</v>
      </c>
      <c r="K3835" t="s">
        <v>16</v>
      </c>
      <c r="L3835">
        <v>0</v>
      </c>
      <c r="M3835">
        <v>2.86</v>
      </c>
      <c r="N3835">
        <v>9</v>
      </c>
      <c r="O3835" t="s">
        <v>21</v>
      </c>
      <c r="P3835" cm="1">
        <f t="array" ref="P3835">_xlfn.SWITCH(Table2[[#This Row],[mood]], "Tired", 3, "Neutral", 2, "Happy", 1)</f>
        <v>1</v>
      </c>
    </row>
    <row r="3836" spans="1:16" x14ac:dyDescent="0.3">
      <c r="A3836">
        <v>1572</v>
      </c>
      <c r="B3836" s="1">
        <v>45839</v>
      </c>
      <c r="C3836">
        <v>45</v>
      </c>
      <c r="D3836" t="s">
        <v>15</v>
      </c>
      <c r="E3836">
        <v>180.4</v>
      </c>
      <c r="F3836">
        <v>78</v>
      </c>
      <c r="G3836">
        <v>11607</v>
      </c>
      <c r="H3836">
        <v>722.3</v>
      </c>
      <c r="I3836">
        <v>6.3</v>
      </c>
      <c r="J3836">
        <v>56</v>
      </c>
      <c r="K3836" t="s">
        <v>24</v>
      </c>
      <c r="L3836">
        <v>28</v>
      </c>
      <c r="M3836">
        <v>1.53</v>
      </c>
      <c r="N3836">
        <v>2</v>
      </c>
      <c r="O3836" t="s">
        <v>19</v>
      </c>
      <c r="P3836" cm="1">
        <f t="array" ref="P3836">_xlfn.SWITCH(Table2[[#This Row],[mood]], "Tired", 3, "Neutral", 2, "Happy", 1)</f>
        <v>2</v>
      </c>
    </row>
    <row r="3837" spans="1:16" x14ac:dyDescent="0.3">
      <c r="A3837">
        <v>1137</v>
      </c>
      <c r="B3837" s="1">
        <v>45840</v>
      </c>
      <c r="C3837">
        <v>36</v>
      </c>
      <c r="D3837" t="s">
        <v>15</v>
      </c>
      <c r="E3837">
        <v>168.7</v>
      </c>
      <c r="F3837">
        <v>80.7</v>
      </c>
      <c r="G3837">
        <v>14018</v>
      </c>
      <c r="H3837">
        <v>829.6</v>
      </c>
      <c r="I3837">
        <v>7.6</v>
      </c>
      <c r="J3837">
        <v>78</v>
      </c>
      <c r="K3837" t="s">
        <v>24</v>
      </c>
      <c r="L3837">
        <v>25</v>
      </c>
      <c r="M3837">
        <v>1.33</v>
      </c>
      <c r="N3837">
        <v>8</v>
      </c>
      <c r="O3837" t="s">
        <v>21</v>
      </c>
      <c r="P3837" cm="1">
        <f t="array" ref="P3837">_xlfn.SWITCH(Table2[[#This Row],[mood]], "Tired", 3, "Neutral", 2, "Happy", 1)</f>
        <v>1</v>
      </c>
    </row>
    <row r="3838" spans="1:16" x14ac:dyDescent="0.3">
      <c r="A3838">
        <v>1049</v>
      </c>
      <c r="B3838" s="1">
        <v>45841</v>
      </c>
      <c r="C3838">
        <v>41</v>
      </c>
      <c r="D3838" t="s">
        <v>15</v>
      </c>
      <c r="E3838">
        <v>167.3</v>
      </c>
      <c r="F3838">
        <v>53.9</v>
      </c>
      <c r="G3838">
        <v>10816</v>
      </c>
      <c r="H3838">
        <v>602.70000000000005</v>
      </c>
      <c r="I3838">
        <v>5.8</v>
      </c>
      <c r="J3838">
        <v>88</v>
      </c>
      <c r="K3838" t="s">
        <v>23</v>
      </c>
      <c r="L3838">
        <v>48</v>
      </c>
      <c r="M3838">
        <v>1.56</v>
      </c>
      <c r="N3838">
        <v>5</v>
      </c>
      <c r="O3838" t="s">
        <v>19</v>
      </c>
      <c r="P3838" cm="1">
        <f t="array" ref="P3838">_xlfn.SWITCH(Table2[[#This Row],[mood]], "Tired", 3, "Neutral", 2, "Happy", 1)</f>
        <v>2</v>
      </c>
    </row>
    <row r="3839" spans="1:16" x14ac:dyDescent="0.3">
      <c r="A3839">
        <v>1770</v>
      </c>
      <c r="B3839" s="1">
        <v>45842</v>
      </c>
      <c r="C3839">
        <v>36</v>
      </c>
      <c r="D3839" t="s">
        <v>20</v>
      </c>
      <c r="E3839">
        <v>165.6</v>
      </c>
      <c r="F3839">
        <v>98.8</v>
      </c>
      <c r="G3839">
        <v>18892</v>
      </c>
      <c r="H3839">
        <v>900</v>
      </c>
      <c r="I3839">
        <v>5.7</v>
      </c>
      <c r="J3839">
        <v>70</v>
      </c>
      <c r="K3839" t="s">
        <v>22</v>
      </c>
      <c r="L3839">
        <v>89</v>
      </c>
      <c r="M3839">
        <v>3.65</v>
      </c>
      <c r="N3839">
        <v>10</v>
      </c>
      <c r="O3839" t="s">
        <v>19</v>
      </c>
      <c r="P3839" cm="1">
        <f t="array" ref="P3839">_xlfn.SWITCH(Table2[[#This Row],[mood]], "Tired", 3, "Neutral", 2, "Happy", 1)</f>
        <v>2</v>
      </c>
    </row>
    <row r="3840" spans="1:16" x14ac:dyDescent="0.3">
      <c r="A3840">
        <v>1972</v>
      </c>
      <c r="B3840" s="1">
        <v>45843</v>
      </c>
      <c r="C3840">
        <v>30</v>
      </c>
      <c r="D3840" t="s">
        <v>20</v>
      </c>
      <c r="E3840">
        <v>166.3</v>
      </c>
      <c r="F3840">
        <v>74.099999999999994</v>
      </c>
      <c r="G3840">
        <v>7831</v>
      </c>
      <c r="H3840">
        <v>553.5</v>
      </c>
      <c r="I3840">
        <v>7.7</v>
      </c>
      <c r="J3840">
        <v>68</v>
      </c>
      <c r="K3840" t="s">
        <v>22</v>
      </c>
      <c r="L3840">
        <v>85</v>
      </c>
      <c r="M3840">
        <v>1.79</v>
      </c>
      <c r="N3840">
        <v>7</v>
      </c>
      <c r="O3840" t="s">
        <v>19</v>
      </c>
      <c r="P3840" cm="1">
        <f t="array" ref="P3840">_xlfn.SWITCH(Table2[[#This Row],[mood]], "Tired", 3, "Neutral", 2, "Happy", 1)</f>
        <v>2</v>
      </c>
    </row>
    <row r="3841" spans="1:16" x14ac:dyDescent="0.3">
      <c r="A3841">
        <v>1618</v>
      </c>
      <c r="B3841" s="1">
        <v>45844</v>
      </c>
      <c r="C3841">
        <v>30</v>
      </c>
      <c r="D3841" t="s">
        <v>20</v>
      </c>
      <c r="E3841">
        <v>172.3</v>
      </c>
      <c r="F3841">
        <v>80.900000000000006</v>
      </c>
      <c r="G3841">
        <v>9195</v>
      </c>
      <c r="H3841">
        <v>558.79999999999995</v>
      </c>
      <c r="I3841">
        <v>7.7</v>
      </c>
      <c r="J3841">
        <v>95</v>
      </c>
      <c r="K3841" t="s">
        <v>18</v>
      </c>
      <c r="L3841">
        <v>72</v>
      </c>
      <c r="M3841">
        <v>3.81</v>
      </c>
      <c r="N3841">
        <v>7</v>
      </c>
      <c r="O3841" t="s">
        <v>19</v>
      </c>
      <c r="P3841" cm="1">
        <f t="array" ref="P3841">_xlfn.SWITCH(Table2[[#This Row],[mood]], "Tired", 3, "Neutral", 2, "Happy", 1)</f>
        <v>2</v>
      </c>
    </row>
    <row r="3842" spans="1:16" x14ac:dyDescent="0.3">
      <c r="A3842">
        <v>1624</v>
      </c>
      <c r="B3842" s="1">
        <v>45845</v>
      </c>
      <c r="C3842">
        <v>45</v>
      </c>
      <c r="D3842" t="s">
        <v>20</v>
      </c>
      <c r="E3842">
        <v>160.1</v>
      </c>
      <c r="F3842">
        <v>58.6</v>
      </c>
      <c r="G3842">
        <v>4447</v>
      </c>
      <c r="H3842">
        <v>413.6</v>
      </c>
      <c r="I3842">
        <v>10</v>
      </c>
      <c r="J3842">
        <v>90</v>
      </c>
      <c r="K3842" t="s">
        <v>18</v>
      </c>
      <c r="L3842">
        <v>89</v>
      </c>
      <c r="M3842">
        <v>1.75</v>
      </c>
      <c r="N3842">
        <v>1</v>
      </c>
      <c r="O3842" t="s">
        <v>17</v>
      </c>
      <c r="P3842" cm="1">
        <f t="array" ref="P3842">_xlfn.SWITCH(Table2[[#This Row],[mood]], "Tired", 3, "Neutral", 2, "Happy", 1)</f>
        <v>3</v>
      </c>
    </row>
    <row r="3843" spans="1:16" x14ac:dyDescent="0.3">
      <c r="A3843">
        <v>1861</v>
      </c>
      <c r="B3843" s="1">
        <v>45846</v>
      </c>
      <c r="C3843">
        <v>19</v>
      </c>
      <c r="D3843" t="s">
        <v>20</v>
      </c>
      <c r="E3843">
        <v>154.30000000000001</v>
      </c>
      <c r="F3843">
        <v>67.2</v>
      </c>
      <c r="G3843">
        <v>14680</v>
      </c>
      <c r="H3843">
        <v>832.3</v>
      </c>
      <c r="I3843">
        <v>6.8</v>
      </c>
      <c r="J3843">
        <v>79</v>
      </c>
      <c r="K3843" t="s">
        <v>18</v>
      </c>
      <c r="L3843">
        <v>24</v>
      </c>
      <c r="M3843">
        <v>1.68</v>
      </c>
      <c r="N3843">
        <v>8</v>
      </c>
      <c r="O3843" t="s">
        <v>19</v>
      </c>
      <c r="P3843" cm="1">
        <f t="array" ref="P3843">_xlfn.SWITCH(Table2[[#This Row],[mood]], "Tired", 3, "Neutral", 2, "Happy", 1)</f>
        <v>2</v>
      </c>
    </row>
    <row r="3844" spans="1:16" x14ac:dyDescent="0.3">
      <c r="A3844">
        <v>1253</v>
      </c>
      <c r="B3844" s="1">
        <v>45847</v>
      </c>
      <c r="C3844">
        <v>27</v>
      </c>
      <c r="D3844" t="s">
        <v>15</v>
      </c>
      <c r="E3844">
        <v>159.4</v>
      </c>
      <c r="F3844">
        <v>75.7</v>
      </c>
      <c r="G3844">
        <v>6584</v>
      </c>
      <c r="H3844">
        <v>514.29999999999995</v>
      </c>
      <c r="I3844">
        <v>6.2</v>
      </c>
      <c r="J3844">
        <v>68</v>
      </c>
      <c r="K3844" t="s">
        <v>24</v>
      </c>
      <c r="L3844">
        <v>39</v>
      </c>
      <c r="M3844">
        <v>3.12</v>
      </c>
      <c r="N3844">
        <v>3</v>
      </c>
      <c r="O3844" t="s">
        <v>17</v>
      </c>
      <c r="P3844" cm="1">
        <f t="array" ref="P3844">_xlfn.SWITCH(Table2[[#This Row],[mood]], "Tired", 3, "Neutral", 2, "Happy", 1)</f>
        <v>3</v>
      </c>
    </row>
    <row r="3845" spans="1:16" x14ac:dyDescent="0.3">
      <c r="A3845">
        <v>1629</v>
      </c>
      <c r="B3845" s="1">
        <v>45848</v>
      </c>
      <c r="C3845">
        <v>39</v>
      </c>
      <c r="D3845" t="s">
        <v>20</v>
      </c>
      <c r="E3845">
        <v>173.8</v>
      </c>
      <c r="F3845">
        <v>45</v>
      </c>
      <c r="G3845">
        <v>4791</v>
      </c>
      <c r="H3845">
        <v>396</v>
      </c>
      <c r="I3845">
        <v>8.4</v>
      </c>
      <c r="J3845">
        <v>81</v>
      </c>
      <c r="K3845" t="s">
        <v>23</v>
      </c>
      <c r="L3845">
        <v>31</v>
      </c>
      <c r="M3845">
        <v>3.15</v>
      </c>
      <c r="N3845">
        <v>4</v>
      </c>
      <c r="O3845" t="s">
        <v>17</v>
      </c>
      <c r="P3845" cm="1">
        <f t="array" ref="P3845">_xlfn.SWITCH(Table2[[#This Row],[mood]], "Tired", 3, "Neutral", 2, "Happy", 1)</f>
        <v>3</v>
      </c>
    </row>
    <row r="3846" spans="1:16" x14ac:dyDescent="0.3">
      <c r="A3846">
        <v>1709</v>
      </c>
      <c r="B3846" s="1">
        <v>45849</v>
      </c>
      <c r="C3846">
        <v>30</v>
      </c>
      <c r="D3846" t="s">
        <v>20</v>
      </c>
      <c r="E3846">
        <v>168.4</v>
      </c>
      <c r="F3846">
        <v>56.5</v>
      </c>
      <c r="G3846">
        <v>10352</v>
      </c>
      <c r="H3846">
        <v>555.9</v>
      </c>
      <c r="I3846">
        <v>7</v>
      </c>
      <c r="J3846">
        <v>65</v>
      </c>
      <c r="K3846" t="s">
        <v>16</v>
      </c>
      <c r="L3846">
        <v>0</v>
      </c>
      <c r="M3846">
        <v>2.89</v>
      </c>
      <c r="N3846">
        <v>3</v>
      </c>
      <c r="O3846" t="s">
        <v>17</v>
      </c>
      <c r="P3846" cm="1">
        <f t="array" ref="P3846">_xlfn.SWITCH(Table2[[#This Row],[mood]], "Tired", 3, "Neutral", 2, "Happy", 1)</f>
        <v>3</v>
      </c>
    </row>
    <row r="3847" spans="1:16" x14ac:dyDescent="0.3">
      <c r="A3847">
        <v>1848</v>
      </c>
      <c r="B3847" s="1">
        <v>45850</v>
      </c>
      <c r="C3847">
        <v>26</v>
      </c>
      <c r="D3847" t="s">
        <v>20</v>
      </c>
      <c r="E3847">
        <v>181.1</v>
      </c>
      <c r="F3847">
        <v>59.1</v>
      </c>
      <c r="G3847">
        <v>18217</v>
      </c>
      <c r="H3847">
        <v>900</v>
      </c>
      <c r="I3847">
        <v>6</v>
      </c>
      <c r="J3847">
        <v>62</v>
      </c>
      <c r="K3847" t="s">
        <v>16</v>
      </c>
      <c r="L3847">
        <v>0</v>
      </c>
      <c r="M3847">
        <v>2.97</v>
      </c>
      <c r="N3847">
        <v>2</v>
      </c>
      <c r="O3847" t="s">
        <v>21</v>
      </c>
      <c r="P3847" cm="1">
        <f t="array" ref="P3847">_xlfn.SWITCH(Table2[[#This Row],[mood]], "Tired", 3, "Neutral", 2, "Happy", 1)</f>
        <v>1</v>
      </c>
    </row>
    <row r="3848" spans="1:16" x14ac:dyDescent="0.3">
      <c r="A3848">
        <v>1876</v>
      </c>
      <c r="B3848" s="1">
        <v>45851</v>
      </c>
      <c r="C3848">
        <v>50</v>
      </c>
      <c r="D3848" t="s">
        <v>20</v>
      </c>
      <c r="E3848">
        <v>169.4</v>
      </c>
      <c r="F3848">
        <v>50.8</v>
      </c>
      <c r="G3848">
        <v>15698</v>
      </c>
      <c r="H3848">
        <v>802.6</v>
      </c>
      <c r="I3848">
        <v>6.1</v>
      </c>
      <c r="J3848">
        <v>80</v>
      </c>
      <c r="K3848" t="s">
        <v>25</v>
      </c>
      <c r="L3848">
        <v>68</v>
      </c>
      <c r="M3848">
        <v>1.94</v>
      </c>
      <c r="N3848">
        <v>7</v>
      </c>
      <c r="O3848" t="s">
        <v>19</v>
      </c>
      <c r="P3848" cm="1">
        <f t="array" ref="P3848">_xlfn.SWITCH(Table2[[#This Row],[mood]], "Tired", 3, "Neutral", 2, "Happy", 1)</f>
        <v>2</v>
      </c>
    </row>
    <row r="3849" spans="1:16" x14ac:dyDescent="0.3">
      <c r="A3849">
        <v>1562</v>
      </c>
      <c r="B3849" s="1">
        <v>45852</v>
      </c>
      <c r="C3849">
        <v>31</v>
      </c>
      <c r="D3849" t="s">
        <v>15</v>
      </c>
      <c r="E3849">
        <v>178.4</v>
      </c>
      <c r="F3849">
        <v>71.599999999999994</v>
      </c>
      <c r="G3849">
        <v>11190</v>
      </c>
      <c r="H3849">
        <v>686.5</v>
      </c>
      <c r="I3849">
        <v>6.7</v>
      </c>
      <c r="J3849">
        <v>70</v>
      </c>
      <c r="K3849" t="s">
        <v>23</v>
      </c>
      <c r="L3849">
        <v>83</v>
      </c>
      <c r="M3849">
        <v>3.08</v>
      </c>
      <c r="N3849">
        <v>10</v>
      </c>
      <c r="O3849" t="s">
        <v>21</v>
      </c>
      <c r="P3849" cm="1">
        <f t="array" ref="P3849">_xlfn.SWITCH(Table2[[#This Row],[mood]], "Tired", 3, "Neutral", 2, "Happy", 1)</f>
        <v>1</v>
      </c>
    </row>
    <row r="3850" spans="1:16" x14ac:dyDescent="0.3">
      <c r="A3850">
        <v>1756</v>
      </c>
      <c r="B3850" s="1">
        <v>45853</v>
      </c>
      <c r="C3850">
        <v>37</v>
      </c>
      <c r="D3850" t="s">
        <v>20</v>
      </c>
      <c r="E3850">
        <v>163.1</v>
      </c>
      <c r="F3850">
        <v>68.900000000000006</v>
      </c>
      <c r="G3850">
        <v>6335</v>
      </c>
      <c r="H3850">
        <v>529.70000000000005</v>
      </c>
      <c r="I3850">
        <v>8.6</v>
      </c>
      <c r="J3850">
        <v>55</v>
      </c>
      <c r="K3850" t="s">
        <v>23</v>
      </c>
      <c r="L3850">
        <v>69</v>
      </c>
      <c r="M3850">
        <v>2.67</v>
      </c>
      <c r="N3850">
        <v>5</v>
      </c>
      <c r="O3850" t="s">
        <v>19</v>
      </c>
      <c r="P3850" cm="1">
        <f t="array" ref="P3850">_xlfn.SWITCH(Table2[[#This Row],[mood]], "Tired", 3, "Neutral", 2, "Happy", 1)</f>
        <v>2</v>
      </c>
    </row>
    <row r="3851" spans="1:16" x14ac:dyDescent="0.3">
      <c r="A3851">
        <v>1914</v>
      </c>
      <c r="B3851" s="1">
        <v>45854</v>
      </c>
      <c r="C3851">
        <v>32</v>
      </c>
      <c r="D3851" t="s">
        <v>15</v>
      </c>
      <c r="E3851">
        <v>165.6</v>
      </c>
      <c r="F3851">
        <v>91.4</v>
      </c>
      <c r="G3851">
        <v>7260</v>
      </c>
      <c r="H3851">
        <v>568.1</v>
      </c>
      <c r="I3851">
        <v>7.6</v>
      </c>
      <c r="J3851">
        <v>81</v>
      </c>
      <c r="K3851" t="s">
        <v>18</v>
      </c>
      <c r="L3851">
        <v>58</v>
      </c>
      <c r="M3851">
        <v>2.2400000000000002</v>
      </c>
      <c r="N3851">
        <v>7</v>
      </c>
      <c r="O3851" t="s">
        <v>17</v>
      </c>
      <c r="P3851" cm="1">
        <f t="array" ref="P3851">_xlfn.SWITCH(Table2[[#This Row],[mood]], "Tired", 3, "Neutral", 2, "Happy", 1)</f>
        <v>3</v>
      </c>
    </row>
    <row r="3852" spans="1:16" x14ac:dyDescent="0.3">
      <c r="A3852">
        <v>1425</v>
      </c>
      <c r="B3852" s="1">
        <v>45855</v>
      </c>
      <c r="C3852">
        <v>49</v>
      </c>
      <c r="D3852" t="s">
        <v>15</v>
      </c>
      <c r="E3852">
        <v>170.1</v>
      </c>
      <c r="F3852">
        <v>53.2</v>
      </c>
      <c r="G3852">
        <v>16605</v>
      </c>
      <c r="H3852">
        <v>900</v>
      </c>
      <c r="I3852">
        <v>5.7</v>
      </c>
      <c r="J3852">
        <v>90</v>
      </c>
      <c r="K3852" t="s">
        <v>23</v>
      </c>
      <c r="L3852">
        <v>59</v>
      </c>
      <c r="M3852">
        <v>2.57</v>
      </c>
      <c r="N3852">
        <v>1</v>
      </c>
      <c r="O3852" t="s">
        <v>21</v>
      </c>
      <c r="P3852" cm="1">
        <f t="array" ref="P3852">_xlfn.SWITCH(Table2[[#This Row],[mood]], "Tired", 3, "Neutral", 2, "Happy", 1)</f>
        <v>1</v>
      </c>
    </row>
    <row r="3853" spans="1:16" x14ac:dyDescent="0.3">
      <c r="A3853">
        <v>1546</v>
      </c>
      <c r="B3853" s="1">
        <v>45856</v>
      </c>
      <c r="C3853">
        <v>50</v>
      </c>
      <c r="D3853" t="s">
        <v>15</v>
      </c>
      <c r="E3853">
        <v>168.5</v>
      </c>
      <c r="F3853">
        <v>73.5</v>
      </c>
      <c r="G3853">
        <v>19559</v>
      </c>
      <c r="H3853">
        <v>900</v>
      </c>
      <c r="I3853">
        <v>9.8000000000000007</v>
      </c>
      <c r="J3853">
        <v>82</v>
      </c>
      <c r="K3853" t="s">
        <v>16</v>
      </c>
      <c r="L3853">
        <v>0</v>
      </c>
      <c r="M3853">
        <v>3.24</v>
      </c>
      <c r="N3853">
        <v>10</v>
      </c>
      <c r="O3853" t="s">
        <v>21</v>
      </c>
      <c r="P3853" cm="1">
        <f t="array" ref="P3853">_xlfn.SWITCH(Table2[[#This Row],[mood]], "Tired", 3, "Neutral", 2, "Happy", 1)</f>
        <v>1</v>
      </c>
    </row>
    <row r="3854" spans="1:16" x14ac:dyDescent="0.3">
      <c r="A3854">
        <v>1301</v>
      </c>
      <c r="B3854" s="1">
        <v>45857</v>
      </c>
      <c r="C3854">
        <v>34</v>
      </c>
      <c r="D3854" t="s">
        <v>20</v>
      </c>
      <c r="E3854">
        <v>167.6</v>
      </c>
      <c r="F3854">
        <v>56.8</v>
      </c>
      <c r="G3854">
        <v>10573</v>
      </c>
      <c r="H3854">
        <v>693.1</v>
      </c>
      <c r="I3854">
        <v>5.6</v>
      </c>
      <c r="J3854">
        <v>70</v>
      </c>
      <c r="K3854" t="s">
        <v>18</v>
      </c>
      <c r="L3854">
        <v>22</v>
      </c>
      <c r="M3854">
        <v>2.77</v>
      </c>
      <c r="N3854">
        <v>2</v>
      </c>
      <c r="O3854" t="s">
        <v>17</v>
      </c>
      <c r="P3854" cm="1">
        <f t="array" ref="P3854">_xlfn.SWITCH(Table2[[#This Row],[mood]], "Tired", 3, "Neutral", 2, "Happy", 1)</f>
        <v>3</v>
      </c>
    </row>
    <row r="3855" spans="1:16" x14ac:dyDescent="0.3">
      <c r="A3855">
        <v>1921</v>
      </c>
      <c r="B3855" s="1">
        <v>45858</v>
      </c>
      <c r="C3855">
        <v>41</v>
      </c>
      <c r="D3855" t="s">
        <v>15</v>
      </c>
      <c r="E3855">
        <v>161.30000000000001</v>
      </c>
      <c r="F3855">
        <v>45</v>
      </c>
      <c r="G3855">
        <v>3788</v>
      </c>
      <c r="H3855">
        <v>372.8</v>
      </c>
      <c r="I3855">
        <v>5.9</v>
      </c>
      <c r="J3855">
        <v>54</v>
      </c>
      <c r="K3855" t="s">
        <v>23</v>
      </c>
      <c r="L3855">
        <v>49</v>
      </c>
      <c r="M3855">
        <v>0.99</v>
      </c>
      <c r="N3855">
        <v>6</v>
      </c>
      <c r="O3855" t="s">
        <v>17</v>
      </c>
      <c r="P3855" cm="1">
        <f t="array" ref="P3855">_xlfn.SWITCH(Table2[[#This Row],[mood]], "Tired", 3, "Neutral", 2, "Happy", 1)</f>
        <v>3</v>
      </c>
    </row>
    <row r="3856" spans="1:16" x14ac:dyDescent="0.3">
      <c r="A3856">
        <v>1580</v>
      </c>
      <c r="B3856" s="1">
        <v>45859</v>
      </c>
      <c r="C3856">
        <v>47</v>
      </c>
      <c r="D3856" t="s">
        <v>20</v>
      </c>
      <c r="E3856">
        <v>154.1</v>
      </c>
      <c r="F3856">
        <v>78.8</v>
      </c>
      <c r="G3856">
        <v>12013</v>
      </c>
      <c r="H3856">
        <v>639.29999999999995</v>
      </c>
      <c r="I3856">
        <v>8.8000000000000007</v>
      </c>
      <c r="J3856">
        <v>76</v>
      </c>
      <c r="K3856" t="s">
        <v>25</v>
      </c>
      <c r="L3856">
        <v>48</v>
      </c>
      <c r="M3856">
        <v>3.12</v>
      </c>
      <c r="N3856">
        <v>6</v>
      </c>
      <c r="O3856" t="s">
        <v>17</v>
      </c>
      <c r="P3856" cm="1">
        <f t="array" ref="P3856">_xlfn.SWITCH(Table2[[#This Row],[mood]], "Tired", 3, "Neutral", 2, "Happy", 1)</f>
        <v>3</v>
      </c>
    </row>
    <row r="3857" spans="1:16" x14ac:dyDescent="0.3">
      <c r="A3857">
        <v>1348</v>
      </c>
      <c r="B3857" s="1">
        <v>45860</v>
      </c>
      <c r="C3857">
        <v>30</v>
      </c>
      <c r="D3857" t="s">
        <v>20</v>
      </c>
      <c r="E3857">
        <v>176.3</v>
      </c>
      <c r="F3857">
        <v>80.099999999999994</v>
      </c>
      <c r="G3857">
        <v>13369</v>
      </c>
      <c r="H3857">
        <v>777.9</v>
      </c>
      <c r="I3857">
        <v>9.1999999999999993</v>
      </c>
      <c r="J3857">
        <v>68</v>
      </c>
      <c r="K3857" t="s">
        <v>22</v>
      </c>
      <c r="L3857">
        <v>89</v>
      </c>
      <c r="M3857">
        <v>3.07</v>
      </c>
      <c r="N3857">
        <v>3</v>
      </c>
      <c r="O3857" t="s">
        <v>21</v>
      </c>
      <c r="P3857" cm="1">
        <f t="array" ref="P3857">_xlfn.SWITCH(Table2[[#This Row],[mood]], "Tired", 3, "Neutral", 2, "Happy", 1)</f>
        <v>1</v>
      </c>
    </row>
    <row r="3858" spans="1:16" x14ac:dyDescent="0.3">
      <c r="A3858">
        <v>1831</v>
      </c>
      <c r="B3858" s="1">
        <v>45861</v>
      </c>
      <c r="C3858">
        <v>33</v>
      </c>
      <c r="D3858" t="s">
        <v>20</v>
      </c>
      <c r="E3858">
        <v>175.2</v>
      </c>
      <c r="F3858">
        <v>78.3</v>
      </c>
      <c r="G3858">
        <v>7721</v>
      </c>
      <c r="H3858">
        <v>497.8</v>
      </c>
      <c r="I3858">
        <v>7.5</v>
      </c>
      <c r="J3858">
        <v>66</v>
      </c>
      <c r="K3858" t="s">
        <v>22</v>
      </c>
      <c r="L3858">
        <v>75</v>
      </c>
      <c r="M3858">
        <v>2.23</v>
      </c>
      <c r="N3858">
        <v>10</v>
      </c>
      <c r="O3858" t="s">
        <v>17</v>
      </c>
      <c r="P3858" cm="1">
        <f t="array" ref="P3858">_xlfn.SWITCH(Table2[[#This Row],[mood]], "Tired", 3, "Neutral", 2, "Happy", 1)</f>
        <v>3</v>
      </c>
    </row>
    <row r="3859" spans="1:16" x14ac:dyDescent="0.3">
      <c r="A3859">
        <v>1932</v>
      </c>
      <c r="B3859" s="1">
        <v>45862</v>
      </c>
      <c r="C3859">
        <v>19</v>
      </c>
      <c r="D3859" t="s">
        <v>20</v>
      </c>
      <c r="E3859">
        <v>163.9</v>
      </c>
      <c r="F3859">
        <v>50.3</v>
      </c>
      <c r="G3859">
        <v>8312</v>
      </c>
      <c r="H3859">
        <v>435</v>
      </c>
      <c r="I3859">
        <v>5.0999999999999996</v>
      </c>
      <c r="J3859">
        <v>56</v>
      </c>
      <c r="K3859" t="s">
        <v>24</v>
      </c>
      <c r="L3859">
        <v>85</v>
      </c>
      <c r="M3859">
        <v>2.58</v>
      </c>
      <c r="N3859">
        <v>1</v>
      </c>
      <c r="O3859" t="s">
        <v>21</v>
      </c>
      <c r="P3859" cm="1">
        <f t="array" ref="P3859">_xlfn.SWITCH(Table2[[#This Row],[mood]], "Tired", 3, "Neutral", 2, "Happy", 1)</f>
        <v>1</v>
      </c>
    </row>
    <row r="3860" spans="1:16" x14ac:dyDescent="0.3">
      <c r="A3860">
        <v>1979</v>
      </c>
      <c r="B3860" s="1">
        <v>45863</v>
      </c>
      <c r="C3860">
        <v>34</v>
      </c>
      <c r="D3860" t="s">
        <v>20</v>
      </c>
      <c r="E3860">
        <v>173.8</v>
      </c>
      <c r="F3860">
        <v>71.3</v>
      </c>
      <c r="G3860">
        <v>15912</v>
      </c>
      <c r="H3860">
        <v>787.5</v>
      </c>
      <c r="I3860">
        <v>7.1</v>
      </c>
      <c r="J3860">
        <v>94</v>
      </c>
      <c r="K3860" t="s">
        <v>25</v>
      </c>
      <c r="L3860">
        <v>82</v>
      </c>
      <c r="M3860">
        <v>2.58</v>
      </c>
      <c r="N3860">
        <v>3</v>
      </c>
      <c r="O3860" t="s">
        <v>19</v>
      </c>
      <c r="P3860" cm="1">
        <f t="array" ref="P3860">_xlfn.SWITCH(Table2[[#This Row],[mood]], "Tired", 3, "Neutral", 2, "Happy", 1)</f>
        <v>2</v>
      </c>
    </row>
    <row r="3861" spans="1:16" x14ac:dyDescent="0.3">
      <c r="A3861">
        <v>1048</v>
      </c>
      <c r="B3861" s="1">
        <v>45864</v>
      </c>
      <c r="C3861">
        <v>49</v>
      </c>
      <c r="D3861" t="s">
        <v>15</v>
      </c>
      <c r="E3861">
        <v>168.3</v>
      </c>
      <c r="F3861">
        <v>79</v>
      </c>
      <c r="G3861">
        <v>5616</v>
      </c>
      <c r="H3861">
        <v>421.4</v>
      </c>
      <c r="I3861">
        <v>4.9000000000000004</v>
      </c>
      <c r="J3861">
        <v>64</v>
      </c>
      <c r="K3861" t="s">
        <v>16</v>
      </c>
      <c r="L3861">
        <v>0</v>
      </c>
      <c r="M3861">
        <v>1.1100000000000001</v>
      </c>
      <c r="N3861">
        <v>4</v>
      </c>
      <c r="O3861" t="s">
        <v>17</v>
      </c>
      <c r="P3861" cm="1">
        <f t="array" ref="P3861">_xlfn.SWITCH(Table2[[#This Row],[mood]], "Tired", 3, "Neutral", 2, "Happy", 1)</f>
        <v>3</v>
      </c>
    </row>
    <row r="3862" spans="1:16" x14ac:dyDescent="0.3">
      <c r="A3862">
        <v>1916</v>
      </c>
      <c r="B3862" s="1">
        <v>45865</v>
      </c>
      <c r="C3862">
        <v>25</v>
      </c>
      <c r="D3862" t="s">
        <v>15</v>
      </c>
      <c r="E3862">
        <v>181.1</v>
      </c>
      <c r="F3862">
        <v>84.3</v>
      </c>
      <c r="G3862">
        <v>1995</v>
      </c>
      <c r="H3862">
        <v>274.60000000000002</v>
      </c>
      <c r="I3862">
        <v>10</v>
      </c>
      <c r="J3862">
        <v>57</v>
      </c>
      <c r="K3862" t="s">
        <v>23</v>
      </c>
      <c r="L3862">
        <v>72</v>
      </c>
      <c r="M3862">
        <v>2.2200000000000002</v>
      </c>
      <c r="N3862">
        <v>1</v>
      </c>
      <c r="O3862" t="s">
        <v>21</v>
      </c>
      <c r="P3862" cm="1">
        <f t="array" ref="P3862">_xlfn.SWITCH(Table2[[#This Row],[mood]], "Tired", 3, "Neutral", 2, "Happy", 1)</f>
        <v>1</v>
      </c>
    </row>
    <row r="3863" spans="1:16" x14ac:dyDescent="0.3">
      <c r="A3863">
        <v>1073</v>
      </c>
      <c r="B3863" s="1">
        <v>45866</v>
      </c>
      <c r="C3863">
        <v>20</v>
      </c>
      <c r="D3863" t="s">
        <v>20</v>
      </c>
      <c r="E3863">
        <v>156.9</v>
      </c>
      <c r="F3863">
        <v>79.400000000000006</v>
      </c>
      <c r="G3863">
        <v>1356</v>
      </c>
      <c r="H3863">
        <v>201</v>
      </c>
      <c r="I3863">
        <v>7.4</v>
      </c>
      <c r="J3863">
        <v>92</v>
      </c>
      <c r="K3863" t="s">
        <v>25</v>
      </c>
      <c r="L3863">
        <v>65</v>
      </c>
      <c r="M3863">
        <v>2.25</v>
      </c>
      <c r="N3863">
        <v>7</v>
      </c>
      <c r="O3863" t="s">
        <v>17</v>
      </c>
      <c r="P3863" cm="1">
        <f t="array" ref="P3863">_xlfn.SWITCH(Table2[[#This Row],[mood]], "Tired", 3, "Neutral", 2, "Happy", 1)</f>
        <v>3</v>
      </c>
    </row>
    <row r="3864" spans="1:16" x14ac:dyDescent="0.3">
      <c r="A3864">
        <v>1703</v>
      </c>
      <c r="B3864" s="1">
        <v>45867</v>
      </c>
      <c r="C3864">
        <v>29</v>
      </c>
      <c r="D3864" t="s">
        <v>15</v>
      </c>
      <c r="E3864">
        <v>168.7</v>
      </c>
      <c r="F3864">
        <v>84.5</v>
      </c>
      <c r="G3864">
        <v>2693</v>
      </c>
      <c r="H3864">
        <v>345.3</v>
      </c>
      <c r="I3864">
        <v>8.1999999999999993</v>
      </c>
      <c r="J3864">
        <v>75</v>
      </c>
      <c r="K3864" t="s">
        <v>23</v>
      </c>
      <c r="L3864">
        <v>28</v>
      </c>
      <c r="M3864">
        <v>2.39</v>
      </c>
      <c r="N3864">
        <v>3</v>
      </c>
      <c r="O3864" t="s">
        <v>17</v>
      </c>
      <c r="P3864" cm="1">
        <f t="array" ref="P3864">_xlfn.SWITCH(Table2[[#This Row],[mood]], "Tired", 3, "Neutral", 2, "Happy", 1)</f>
        <v>3</v>
      </c>
    </row>
    <row r="3865" spans="1:16" x14ac:dyDescent="0.3">
      <c r="A3865">
        <v>1260</v>
      </c>
      <c r="B3865" s="1">
        <v>45868</v>
      </c>
      <c r="C3865">
        <v>37</v>
      </c>
      <c r="D3865" t="s">
        <v>20</v>
      </c>
      <c r="E3865">
        <v>167.9</v>
      </c>
      <c r="F3865">
        <v>86</v>
      </c>
      <c r="G3865">
        <v>3590</v>
      </c>
      <c r="H3865">
        <v>369.6</v>
      </c>
      <c r="I3865">
        <v>6.4</v>
      </c>
      <c r="J3865">
        <v>74</v>
      </c>
      <c r="K3865" t="s">
        <v>25</v>
      </c>
      <c r="L3865">
        <v>26</v>
      </c>
      <c r="M3865">
        <v>2.13</v>
      </c>
      <c r="N3865">
        <v>8</v>
      </c>
      <c r="O3865" t="s">
        <v>21</v>
      </c>
      <c r="P3865" cm="1">
        <f t="array" ref="P3865">_xlfn.SWITCH(Table2[[#This Row],[mood]], "Tired", 3, "Neutral", 2, "Happy", 1)</f>
        <v>1</v>
      </c>
    </row>
    <row r="3866" spans="1:16" x14ac:dyDescent="0.3">
      <c r="A3866">
        <v>1355</v>
      </c>
      <c r="B3866" s="1">
        <v>45869</v>
      </c>
      <c r="C3866">
        <v>33</v>
      </c>
      <c r="D3866" t="s">
        <v>15</v>
      </c>
      <c r="E3866">
        <v>171.6</v>
      </c>
      <c r="F3866">
        <v>71.599999999999994</v>
      </c>
      <c r="G3866">
        <v>10534</v>
      </c>
      <c r="H3866">
        <v>549.6</v>
      </c>
      <c r="I3866">
        <v>9.6999999999999993</v>
      </c>
      <c r="J3866">
        <v>78</v>
      </c>
      <c r="K3866" t="s">
        <v>25</v>
      </c>
      <c r="L3866">
        <v>82</v>
      </c>
      <c r="M3866">
        <v>2.96</v>
      </c>
      <c r="N3866">
        <v>7</v>
      </c>
      <c r="O3866" t="s">
        <v>21</v>
      </c>
      <c r="P3866" cm="1">
        <f t="array" ref="P3866">_xlfn.SWITCH(Table2[[#This Row],[mood]], "Tired", 3, "Neutral", 2, "Happy", 1)</f>
        <v>1</v>
      </c>
    </row>
    <row r="3867" spans="1:16" x14ac:dyDescent="0.3">
      <c r="A3867">
        <v>1581</v>
      </c>
      <c r="B3867" s="1">
        <v>45870</v>
      </c>
      <c r="C3867">
        <v>31</v>
      </c>
      <c r="D3867" t="s">
        <v>15</v>
      </c>
      <c r="E3867">
        <v>185.4</v>
      </c>
      <c r="F3867">
        <v>77.5</v>
      </c>
      <c r="G3867">
        <v>8921</v>
      </c>
      <c r="H3867">
        <v>688.5</v>
      </c>
      <c r="I3867">
        <v>6.2</v>
      </c>
      <c r="J3867">
        <v>79</v>
      </c>
      <c r="K3867" t="s">
        <v>22</v>
      </c>
      <c r="L3867">
        <v>66</v>
      </c>
      <c r="M3867">
        <v>1.93</v>
      </c>
      <c r="N3867">
        <v>6</v>
      </c>
      <c r="O3867" t="s">
        <v>21</v>
      </c>
      <c r="P3867" cm="1">
        <f t="array" ref="P3867">_xlfn.SWITCH(Table2[[#This Row],[mood]], "Tired", 3, "Neutral", 2, "Happy", 1)</f>
        <v>1</v>
      </c>
    </row>
    <row r="3868" spans="1:16" x14ac:dyDescent="0.3">
      <c r="A3868">
        <v>1601</v>
      </c>
      <c r="B3868" s="1">
        <v>45871</v>
      </c>
      <c r="C3868">
        <v>33</v>
      </c>
      <c r="D3868" t="s">
        <v>15</v>
      </c>
      <c r="E3868">
        <v>168.8</v>
      </c>
      <c r="F3868">
        <v>85</v>
      </c>
      <c r="G3868">
        <v>2691</v>
      </c>
      <c r="H3868">
        <v>246.9</v>
      </c>
      <c r="I3868">
        <v>5.7</v>
      </c>
      <c r="J3868">
        <v>77</v>
      </c>
      <c r="K3868" t="s">
        <v>25</v>
      </c>
      <c r="L3868">
        <v>63</v>
      </c>
      <c r="M3868">
        <v>3.14</v>
      </c>
      <c r="N3868">
        <v>8</v>
      </c>
      <c r="O3868" t="s">
        <v>17</v>
      </c>
      <c r="P3868" cm="1">
        <f t="array" ref="P3868">_xlfn.SWITCH(Table2[[#This Row],[mood]], "Tired", 3, "Neutral", 2, "Happy", 1)</f>
        <v>3</v>
      </c>
    </row>
    <row r="3869" spans="1:16" x14ac:dyDescent="0.3">
      <c r="A3869">
        <v>1259</v>
      </c>
      <c r="B3869" s="1">
        <v>45872</v>
      </c>
      <c r="C3869">
        <v>50</v>
      </c>
      <c r="D3869" t="s">
        <v>15</v>
      </c>
      <c r="E3869">
        <v>177.4</v>
      </c>
      <c r="F3869">
        <v>75.900000000000006</v>
      </c>
      <c r="G3869">
        <v>10274</v>
      </c>
      <c r="H3869">
        <v>588.1</v>
      </c>
      <c r="I3869">
        <v>7.5</v>
      </c>
      <c r="J3869">
        <v>60</v>
      </c>
      <c r="K3869" t="s">
        <v>24</v>
      </c>
      <c r="L3869">
        <v>68</v>
      </c>
      <c r="M3869">
        <v>2.93</v>
      </c>
      <c r="N3869">
        <v>9</v>
      </c>
      <c r="O3869" t="s">
        <v>19</v>
      </c>
      <c r="P3869" cm="1">
        <f t="array" ref="P3869">_xlfn.SWITCH(Table2[[#This Row],[mood]], "Tired", 3, "Neutral", 2, "Happy", 1)</f>
        <v>2</v>
      </c>
    </row>
    <row r="3870" spans="1:16" x14ac:dyDescent="0.3">
      <c r="A3870">
        <v>1637</v>
      </c>
      <c r="B3870" s="1">
        <v>45873</v>
      </c>
      <c r="C3870">
        <v>47</v>
      </c>
      <c r="D3870" t="s">
        <v>15</v>
      </c>
      <c r="E3870">
        <v>168.5</v>
      </c>
      <c r="F3870">
        <v>88</v>
      </c>
      <c r="G3870">
        <v>19441</v>
      </c>
      <c r="H3870">
        <v>900</v>
      </c>
      <c r="I3870">
        <v>8.3000000000000007</v>
      </c>
      <c r="J3870">
        <v>59</v>
      </c>
      <c r="K3870" t="s">
        <v>23</v>
      </c>
      <c r="L3870">
        <v>81</v>
      </c>
      <c r="M3870">
        <v>3.45</v>
      </c>
      <c r="N3870">
        <v>2</v>
      </c>
      <c r="O3870" t="s">
        <v>19</v>
      </c>
      <c r="P3870" cm="1">
        <f t="array" ref="P3870">_xlfn.SWITCH(Table2[[#This Row],[mood]], "Tired", 3, "Neutral", 2, "Happy", 1)</f>
        <v>2</v>
      </c>
    </row>
    <row r="3871" spans="1:16" x14ac:dyDescent="0.3">
      <c r="A3871">
        <v>1742</v>
      </c>
      <c r="B3871" s="1">
        <v>45874</v>
      </c>
      <c r="C3871">
        <v>29</v>
      </c>
      <c r="D3871" t="s">
        <v>20</v>
      </c>
      <c r="E3871">
        <v>180.7</v>
      </c>
      <c r="F3871">
        <v>83.1</v>
      </c>
      <c r="G3871">
        <v>3904</v>
      </c>
      <c r="H3871">
        <v>333.4</v>
      </c>
      <c r="I3871">
        <v>10</v>
      </c>
      <c r="J3871">
        <v>68</v>
      </c>
      <c r="K3871" t="s">
        <v>18</v>
      </c>
      <c r="L3871">
        <v>78</v>
      </c>
      <c r="M3871">
        <v>3.71</v>
      </c>
      <c r="N3871">
        <v>10</v>
      </c>
      <c r="O3871" t="s">
        <v>17</v>
      </c>
      <c r="P3871" cm="1">
        <f t="array" ref="P3871">_xlfn.SWITCH(Table2[[#This Row],[mood]], "Tired", 3, "Neutral", 2, "Happy", 1)</f>
        <v>3</v>
      </c>
    </row>
    <row r="3872" spans="1:16" x14ac:dyDescent="0.3">
      <c r="A3872">
        <v>1294</v>
      </c>
      <c r="B3872" s="1">
        <v>45875</v>
      </c>
      <c r="C3872">
        <v>32</v>
      </c>
      <c r="D3872" t="s">
        <v>20</v>
      </c>
      <c r="E3872">
        <v>177.5</v>
      </c>
      <c r="F3872">
        <v>60.5</v>
      </c>
      <c r="G3872">
        <v>12387</v>
      </c>
      <c r="H3872">
        <v>768.2</v>
      </c>
      <c r="I3872">
        <v>9.4</v>
      </c>
      <c r="J3872">
        <v>70</v>
      </c>
      <c r="K3872" t="s">
        <v>25</v>
      </c>
      <c r="L3872">
        <v>32</v>
      </c>
      <c r="M3872">
        <v>3.72</v>
      </c>
      <c r="N3872">
        <v>9</v>
      </c>
      <c r="O3872" t="s">
        <v>17</v>
      </c>
      <c r="P3872" cm="1">
        <f t="array" ref="P3872">_xlfn.SWITCH(Table2[[#This Row],[mood]], "Tired", 3, "Neutral", 2, "Happy", 1)</f>
        <v>3</v>
      </c>
    </row>
    <row r="3873" spans="1:16" x14ac:dyDescent="0.3">
      <c r="A3873">
        <v>1930</v>
      </c>
      <c r="B3873" s="1">
        <v>45876</v>
      </c>
      <c r="C3873">
        <v>35</v>
      </c>
      <c r="D3873" t="s">
        <v>15</v>
      </c>
      <c r="E3873">
        <v>166.7</v>
      </c>
      <c r="F3873">
        <v>50.4</v>
      </c>
      <c r="G3873">
        <v>12609</v>
      </c>
      <c r="H3873">
        <v>695.6</v>
      </c>
      <c r="I3873">
        <v>8.8000000000000007</v>
      </c>
      <c r="J3873">
        <v>71</v>
      </c>
      <c r="K3873" t="s">
        <v>18</v>
      </c>
      <c r="L3873">
        <v>49</v>
      </c>
      <c r="M3873">
        <v>1.67</v>
      </c>
      <c r="N3873">
        <v>10</v>
      </c>
      <c r="O3873" t="s">
        <v>21</v>
      </c>
      <c r="P3873" cm="1">
        <f t="array" ref="P3873">_xlfn.SWITCH(Table2[[#This Row],[mood]], "Tired", 3, "Neutral", 2, "Happy", 1)</f>
        <v>1</v>
      </c>
    </row>
    <row r="3874" spans="1:16" x14ac:dyDescent="0.3">
      <c r="A3874">
        <v>1640</v>
      </c>
      <c r="B3874" s="1">
        <v>45877</v>
      </c>
      <c r="C3874">
        <v>45</v>
      </c>
      <c r="D3874" t="s">
        <v>20</v>
      </c>
      <c r="E3874">
        <v>165.9</v>
      </c>
      <c r="F3874">
        <v>70.3</v>
      </c>
      <c r="G3874">
        <v>7937</v>
      </c>
      <c r="H3874">
        <v>471.4</v>
      </c>
      <c r="I3874">
        <v>6</v>
      </c>
      <c r="J3874">
        <v>77</v>
      </c>
      <c r="K3874" t="s">
        <v>22</v>
      </c>
      <c r="L3874">
        <v>62</v>
      </c>
      <c r="M3874">
        <v>2.74</v>
      </c>
      <c r="N3874">
        <v>5</v>
      </c>
      <c r="O3874" t="s">
        <v>19</v>
      </c>
      <c r="P3874" cm="1">
        <f t="array" ref="P3874">_xlfn.SWITCH(Table2[[#This Row],[mood]], "Tired", 3, "Neutral", 2, "Happy", 1)</f>
        <v>2</v>
      </c>
    </row>
    <row r="3875" spans="1:16" x14ac:dyDescent="0.3">
      <c r="A3875">
        <v>1791</v>
      </c>
      <c r="B3875" s="1">
        <v>45878</v>
      </c>
      <c r="C3875">
        <v>40</v>
      </c>
      <c r="D3875" t="s">
        <v>15</v>
      </c>
      <c r="E3875">
        <v>174.9</v>
      </c>
      <c r="F3875">
        <v>52.3</v>
      </c>
      <c r="G3875">
        <v>19764</v>
      </c>
      <c r="H3875">
        <v>900</v>
      </c>
      <c r="I3875">
        <v>5.9</v>
      </c>
      <c r="J3875">
        <v>72</v>
      </c>
      <c r="K3875" t="s">
        <v>18</v>
      </c>
      <c r="L3875">
        <v>70</v>
      </c>
      <c r="M3875">
        <v>2</v>
      </c>
      <c r="N3875">
        <v>1</v>
      </c>
      <c r="O3875" t="s">
        <v>19</v>
      </c>
      <c r="P3875" cm="1">
        <f t="array" ref="P3875">_xlfn.SWITCH(Table2[[#This Row],[mood]], "Tired", 3, "Neutral", 2, "Happy", 1)</f>
        <v>2</v>
      </c>
    </row>
    <row r="3876" spans="1:16" x14ac:dyDescent="0.3">
      <c r="A3876">
        <v>1312</v>
      </c>
      <c r="B3876" s="1">
        <v>45879</v>
      </c>
      <c r="C3876">
        <v>31</v>
      </c>
      <c r="D3876" t="s">
        <v>20</v>
      </c>
      <c r="E3876">
        <v>163.4</v>
      </c>
      <c r="F3876">
        <v>71.2</v>
      </c>
      <c r="G3876">
        <v>9208</v>
      </c>
      <c r="H3876">
        <v>423.3</v>
      </c>
      <c r="I3876">
        <v>5.7</v>
      </c>
      <c r="J3876">
        <v>68</v>
      </c>
      <c r="K3876" t="s">
        <v>24</v>
      </c>
      <c r="L3876">
        <v>27</v>
      </c>
      <c r="M3876">
        <v>4.8</v>
      </c>
      <c r="N3876">
        <v>1</v>
      </c>
      <c r="O3876" t="s">
        <v>19</v>
      </c>
      <c r="P3876" cm="1">
        <f t="array" ref="P3876">_xlfn.SWITCH(Table2[[#This Row],[mood]], "Tired", 3, "Neutral", 2, "Happy", 1)</f>
        <v>2</v>
      </c>
    </row>
    <row r="3877" spans="1:16" x14ac:dyDescent="0.3">
      <c r="A3877">
        <v>1611</v>
      </c>
      <c r="B3877" s="1">
        <v>45880</v>
      </c>
      <c r="C3877">
        <v>47</v>
      </c>
      <c r="D3877" t="s">
        <v>15</v>
      </c>
      <c r="E3877">
        <v>171.9</v>
      </c>
      <c r="F3877">
        <v>69.900000000000006</v>
      </c>
      <c r="G3877">
        <v>16783</v>
      </c>
      <c r="H3877">
        <v>898</v>
      </c>
      <c r="I3877">
        <v>6.8</v>
      </c>
      <c r="J3877">
        <v>79</v>
      </c>
      <c r="K3877" t="s">
        <v>24</v>
      </c>
      <c r="L3877">
        <v>56</v>
      </c>
      <c r="M3877">
        <v>2.93</v>
      </c>
      <c r="N3877">
        <v>7</v>
      </c>
      <c r="O3877" t="s">
        <v>21</v>
      </c>
      <c r="P3877" cm="1">
        <f t="array" ref="P3877">_xlfn.SWITCH(Table2[[#This Row],[mood]], "Tired", 3, "Neutral", 2, "Happy", 1)</f>
        <v>1</v>
      </c>
    </row>
    <row r="3878" spans="1:16" x14ac:dyDescent="0.3">
      <c r="A3878">
        <v>1837</v>
      </c>
      <c r="B3878" s="1">
        <v>45881</v>
      </c>
      <c r="C3878">
        <v>50</v>
      </c>
      <c r="D3878" t="s">
        <v>15</v>
      </c>
      <c r="E3878">
        <v>166.4</v>
      </c>
      <c r="F3878">
        <v>89.5</v>
      </c>
      <c r="G3878">
        <v>9515</v>
      </c>
      <c r="H3878">
        <v>645.1</v>
      </c>
      <c r="I3878">
        <v>4.0999999999999996</v>
      </c>
      <c r="J3878">
        <v>82</v>
      </c>
      <c r="K3878" t="s">
        <v>22</v>
      </c>
      <c r="L3878">
        <v>83</v>
      </c>
      <c r="M3878">
        <v>3.49</v>
      </c>
      <c r="N3878">
        <v>6</v>
      </c>
      <c r="O3878" t="s">
        <v>19</v>
      </c>
      <c r="P3878" cm="1">
        <f t="array" ref="P3878">_xlfn.SWITCH(Table2[[#This Row],[mood]], "Tired", 3, "Neutral", 2, "Happy", 1)</f>
        <v>2</v>
      </c>
    </row>
    <row r="3879" spans="1:16" x14ac:dyDescent="0.3">
      <c r="A3879">
        <v>1808</v>
      </c>
      <c r="B3879" s="1">
        <v>45882</v>
      </c>
      <c r="C3879">
        <v>32</v>
      </c>
      <c r="D3879" t="s">
        <v>15</v>
      </c>
      <c r="E3879">
        <v>173.7</v>
      </c>
      <c r="F3879">
        <v>77.599999999999994</v>
      </c>
      <c r="G3879">
        <v>3070</v>
      </c>
      <c r="H3879">
        <v>207.5</v>
      </c>
      <c r="I3879">
        <v>9</v>
      </c>
      <c r="J3879">
        <v>67</v>
      </c>
      <c r="K3879" t="s">
        <v>16</v>
      </c>
      <c r="L3879">
        <v>0</v>
      </c>
      <c r="M3879">
        <v>2.8</v>
      </c>
      <c r="N3879">
        <v>10</v>
      </c>
      <c r="O3879" t="s">
        <v>21</v>
      </c>
      <c r="P3879" cm="1">
        <f t="array" ref="P3879">_xlfn.SWITCH(Table2[[#This Row],[mood]], "Tired", 3, "Neutral", 2, "Happy", 1)</f>
        <v>1</v>
      </c>
    </row>
    <row r="3880" spans="1:16" x14ac:dyDescent="0.3">
      <c r="A3880">
        <v>1181</v>
      </c>
      <c r="B3880" s="1">
        <v>45883</v>
      </c>
      <c r="C3880">
        <v>24</v>
      </c>
      <c r="D3880" t="s">
        <v>20</v>
      </c>
      <c r="E3880">
        <v>168.4</v>
      </c>
      <c r="F3880">
        <v>84.7</v>
      </c>
      <c r="G3880">
        <v>18314</v>
      </c>
      <c r="H3880">
        <v>900</v>
      </c>
      <c r="I3880">
        <v>5.5</v>
      </c>
      <c r="J3880">
        <v>61</v>
      </c>
      <c r="K3880" t="s">
        <v>24</v>
      </c>
      <c r="L3880">
        <v>27</v>
      </c>
      <c r="M3880">
        <v>0.66</v>
      </c>
      <c r="N3880">
        <v>9</v>
      </c>
      <c r="O3880" t="s">
        <v>17</v>
      </c>
      <c r="P3880" cm="1">
        <f t="array" ref="P3880">_xlfn.SWITCH(Table2[[#This Row],[mood]], "Tired", 3, "Neutral", 2, "Happy", 1)</f>
        <v>3</v>
      </c>
    </row>
    <row r="3881" spans="1:16" x14ac:dyDescent="0.3">
      <c r="A3881">
        <v>1685</v>
      </c>
      <c r="B3881" s="1">
        <v>45884</v>
      </c>
      <c r="C3881">
        <v>32</v>
      </c>
      <c r="D3881" t="s">
        <v>20</v>
      </c>
      <c r="E3881">
        <v>163.1</v>
      </c>
      <c r="F3881">
        <v>62.7</v>
      </c>
      <c r="G3881">
        <v>13746</v>
      </c>
      <c r="H3881">
        <v>667.5</v>
      </c>
      <c r="I3881">
        <v>5.3</v>
      </c>
      <c r="J3881">
        <v>77</v>
      </c>
      <c r="K3881" t="s">
        <v>23</v>
      </c>
      <c r="L3881">
        <v>81</v>
      </c>
      <c r="M3881">
        <v>1.95</v>
      </c>
      <c r="N3881">
        <v>1</v>
      </c>
      <c r="O3881" t="s">
        <v>21</v>
      </c>
      <c r="P3881" cm="1">
        <f t="array" ref="P3881">_xlfn.SWITCH(Table2[[#This Row],[mood]], "Tired", 3, "Neutral", 2, "Happy", 1)</f>
        <v>1</v>
      </c>
    </row>
    <row r="3882" spans="1:16" x14ac:dyDescent="0.3">
      <c r="A3882">
        <v>1827</v>
      </c>
      <c r="B3882" s="1">
        <v>45885</v>
      </c>
      <c r="C3882">
        <v>59</v>
      </c>
      <c r="D3882" t="s">
        <v>15</v>
      </c>
      <c r="E3882">
        <v>181.1</v>
      </c>
      <c r="F3882">
        <v>92.9</v>
      </c>
      <c r="G3882">
        <v>14771</v>
      </c>
      <c r="H3882">
        <v>791.5</v>
      </c>
      <c r="I3882">
        <v>6.4</v>
      </c>
      <c r="J3882">
        <v>71</v>
      </c>
      <c r="K3882" t="s">
        <v>16</v>
      </c>
      <c r="L3882">
        <v>0</v>
      </c>
      <c r="M3882">
        <v>2.02</v>
      </c>
      <c r="N3882">
        <v>10</v>
      </c>
      <c r="O3882" t="s">
        <v>17</v>
      </c>
      <c r="P3882" cm="1">
        <f t="array" ref="P3882">_xlfn.SWITCH(Table2[[#This Row],[mood]], "Tired", 3, "Neutral", 2, "Happy", 1)</f>
        <v>3</v>
      </c>
    </row>
    <row r="3883" spans="1:16" x14ac:dyDescent="0.3">
      <c r="A3883">
        <v>1363</v>
      </c>
      <c r="B3883" s="1">
        <v>45886</v>
      </c>
      <c r="C3883">
        <v>55</v>
      </c>
      <c r="D3883" t="s">
        <v>15</v>
      </c>
      <c r="E3883">
        <v>172.4</v>
      </c>
      <c r="F3883">
        <v>83.4</v>
      </c>
      <c r="G3883">
        <v>13844</v>
      </c>
      <c r="H3883">
        <v>865.9</v>
      </c>
      <c r="I3883">
        <v>5</v>
      </c>
      <c r="J3883">
        <v>83</v>
      </c>
      <c r="K3883" t="s">
        <v>24</v>
      </c>
      <c r="L3883">
        <v>33</v>
      </c>
      <c r="M3883">
        <v>2.23</v>
      </c>
      <c r="N3883">
        <v>10</v>
      </c>
      <c r="O3883" t="s">
        <v>19</v>
      </c>
      <c r="P3883" cm="1">
        <f t="array" ref="P3883">_xlfn.SWITCH(Table2[[#This Row],[mood]], "Tired", 3, "Neutral", 2, "Happy", 1)</f>
        <v>2</v>
      </c>
    </row>
    <row r="3884" spans="1:16" x14ac:dyDescent="0.3">
      <c r="A3884">
        <v>1187</v>
      </c>
      <c r="B3884" s="1">
        <v>45887</v>
      </c>
      <c r="C3884">
        <v>28</v>
      </c>
      <c r="D3884" t="s">
        <v>20</v>
      </c>
      <c r="E3884">
        <v>169.5</v>
      </c>
      <c r="F3884">
        <v>76.400000000000006</v>
      </c>
      <c r="G3884">
        <v>18828</v>
      </c>
      <c r="H3884">
        <v>900</v>
      </c>
      <c r="I3884">
        <v>8</v>
      </c>
      <c r="J3884">
        <v>65</v>
      </c>
      <c r="K3884" t="s">
        <v>16</v>
      </c>
      <c r="L3884">
        <v>0</v>
      </c>
      <c r="M3884">
        <v>2.75</v>
      </c>
      <c r="N3884">
        <v>10</v>
      </c>
      <c r="O3884" t="s">
        <v>17</v>
      </c>
      <c r="P3884" cm="1">
        <f t="array" ref="P3884">_xlfn.SWITCH(Table2[[#This Row],[mood]], "Tired", 3, "Neutral", 2, "Happy", 1)</f>
        <v>3</v>
      </c>
    </row>
    <row r="3885" spans="1:16" x14ac:dyDescent="0.3">
      <c r="A3885">
        <v>1568</v>
      </c>
      <c r="B3885" s="1">
        <v>45888</v>
      </c>
      <c r="C3885">
        <v>46</v>
      </c>
      <c r="D3885" t="s">
        <v>20</v>
      </c>
      <c r="E3885">
        <v>174.2</v>
      </c>
      <c r="F3885">
        <v>45</v>
      </c>
      <c r="G3885">
        <v>13228</v>
      </c>
      <c r="H3885">
        <v>718.2</v>
      </c>
      <c r="I3885">
        <v>5.6</v>
      </c>
      <c r="J3885">
        <v>63</v>
      </c>
      <c r="K3885" t="s">
        <v>25</v>
      </c>
      <c r="L3885">
        <v>76</v>
      </c>
      <c r="M3885">
        <v>2.85</v>
      </c>
      <c r="N3885">
        <v>10</v>
      </c>
      <c r="O3885" t="s">
        <v>17</v>
      </c>
      <c r="P3885" cm="1">
        <f t="array" ref="P3885">_xlfn.SWITCH(Table2[[#This Row],[mood]], "Tired", 3, "Neutral", 2, "Happy", 1)</f>
        <v>3</v>
      </c>
    </row>
    <row r="3886" spans="1:16" x14ac:dyDescent="0.3">
      <c r="A3886">
        <v>1542</v>
      </c>
      <c r="B3886" s="1">
        <v>45889</v>
      </c>
      <c r="C3886">
        <v>48</v>
      </c>
      <c r="D3886" t="s">
        <v>20</v>
      </c>
      <c r="E3886">
        <v>153.30000000000001</v>
      </c>
      <c r="F3886">
        <v>87.7</v>
      </c>
      <c r="G3886">
        <v>18905</v>
      </c>
      <c r="H3886">
        <v>815</v>
      </c>
      <c r="I3886">
        <v>7.8</v>
      </c>
      <c r="J3886">
        <v>69</v>
      </c>
      <c r="K3886" t="s">
        <v>24</v>
      </c>
      <c r="L3886">
        <v>40</v>
      </c>
      <c r="M3886">
        <v>0.66</v>
      </c>
      <c r="N3886">
        <v>7</v>
      </c>
      <c r="O3886" t="s">
        <v>17</v>
      </c>
      <c r="P3886" cm="1">
        <f t="array" ref="P3886">_xlfn.SWITCH(Table2[[#This Row],[mood]], "Tired", 3, "Neutral", 2, "Happy", 1)</f>
        <v>3</v>
      </c>
    </row>
    <row r="3887" spans="1:16" x14ac:dyDescent="0.3">
      <c r="A3887">
        <v>1595</v>
      </c>
      <c r="B3887" s="1">
        <v>45890</v>
      </c>
      <c r="C3887">
        <v>42</v>
      </c>
      <c r="D3887" t="s">
        <v>20</v>
      </c>
      <c r="E3887">
        <v>190.9</v>
      </c>
      <c r="F3887">
        <v>96.6</v>
      </c>
      <c r="G3887">
        <v>4098</v>
      </c>
      <c r="H3887">
        <v>308.60000000000002</v>
      </c>
      <c r="I3887">
        <v>8.4</v>
      </c>
      <c r="J3887">
        <v>80</v>
      </c>
      <c r="K3887" t="s">
        <v>16</v>
      </c>
      <c r="L3887">
        <v>0</v>
      </c>
      <c r="M3887">
        <v>2.33</v>
      </c>
      <c r="N3887">
        <v>8</v>
      </c>
      <c r="O3887" t="s">
        <v>21</v>
      </c>
      <c r="P3887" cm="1">
        <f t="array" ref="P3887">_xlfn.SWITCH(Table2[[#This Row],[mood]], "Tired", 3, "Neutral", 2, "Happy", 1)</f>
        <v>1</v>
      </c>
    </row>
    <row r="3888" spans="1:16" x14ac:dyDescent="0.3">
      <c r="A3888">
        <v>1663</v>
      </c>
      <c r="B3888" s="1">
        <v>45891</v>
      </c>
      <c r="C3888">
        <v>41</v>
      </c>
      <c r="D3888" t="s">
        <v>20</v>
      </c>
      <c r="E3888">
        <v>170.2</v>
      </c>
      <c r="F3888">
        <v>70.2</v>
      </c>
      <c r="G3888">
        <v>19571</v>
      </c>
      <c r="H3888">
        <v>900</v>
      </c>
      <c r="I3888">
        <v>6.2</v>
      </c>
      <c r="J3888">
        <v>71</v>
      </c>
      <c r="K3888" t="s">
        <v>23</v>
      </c>
      <c r="L3888">
        <v>23</v>
      </c>
      <c r="M3888">
        <v>2.16</v>
      </c>
      <c r="N3888">
        <v>10</v>
      </c>
      <c r="O3888" t="s">
        <v>21</v>
      </c>
      <c r="P3888" cm="1">
        <f t="array" ref="P3888">_xlfn.SWITCH(Table2[[#This Row],[mood]], "Tired", 3, "Neutral", 2, "Happy", 1)</f>
        <v>1</v>
      </c>
    </row>
    <row r="3889" spans="1:16" x14ac:dyDescent="0.3">
      <c r="A3889">
        <v>1984</v>
      </c>
      <c r="B3889" s="1">
        <v>45892</v>
      </c>
      <c r="C3889">
        <v>36</v>
      </c>
      <c r="D3889" t="s">
        <v>15</v>
      </c>
      <c r="E3889">
        <v>150.4</v>
      </c>
      <c r="F3889">
        <v>70.5</v>
      </c>
      <c r="G3889">
        <v>19952</v>
      </c>
      <c r="H3889">
        <v>900</v>
      </c>
      <c r="I3889">
        <v>5.9</v>
      </c>
      <c r="J3889">
        <v>74</v>
      </c>
      <c r="K3889" t="s">
        <v>22</v>
      </c>
      <c r="L3889">
        <v>62</v>
      </c>
      <c r="M3889">
        <v>3.47</v>
      </c>
      <c r="N3889">
        <v>4</v>
      </c>
      <c r="O3889" t="s">
        <v>21</v>
      </c>
      <c r="P3889" cm="1">
        <f t="array" ref="P3889">_xlfn.SWITCH(Table2[[#This Row],[mood]], "Tired", 3, "Neutral", 2, "Happy", 1)</f>
        <v>1</v>
      </c>
    </row>
    <row r="3890" spans="1:16" x14ac:dyDescent="0.3">
      <c r="A3890">
        <v>1547</v>
      </c>
      <c r="B3890" s="1">
        <v>45893</v>
      </c>
      <c r="C3890">
        <v>19</v>
      </c>
      <c r="D3890" t="s">
        <v>20</v>
      </c>
      <c r="E3890">
        <v>182</v>
      </c>
      <c r="F3890">
        <v>62.2</v>
      </c>
      <c r="G3890">
        <v>11985</v>
      </c>
      <c r="H3890">
        <v>696.6</v>
      </c>
      <c r="I3890">
        <v>5.8</v>
      </c>
      <c r="J3890">
        <v>70</v>
      </c>
      <c r="K3890" t="s">
        <v>24</v>
      </c>
      <c r="L3890">
        <v>30</v>
      </c>
      <c r="M3890">
        <v>2.91</v>
      </c>
      <c r="N3890">
        <v>1</v>
      </c>
      <c r="O3890" t="s">
        <v>17</v>
      </c>
      <c r="P3890" cm="1">
        <f t="array" ref="P3890">_xlfn.SWITCH(Table2[[#This Row],[mood]], "Tired", 3, "Neutral", 2, "Happy", 1)</f>
        <v>3</v>
      </c>
    </row>
    <row r="3891" spans="1:16" x14ac:dyDescent="0.3">
      <c r="A3891">
        <v>1724</v>
      </c>
      <c r="B3891" s="1">
        <v>45894</v>
      </c>
      <c r="C3891">
        <v>39</v>
      </c>
      <c r="D3891" t="s">
        <v>15</v>
      </c>
      <c r="E3891">
        <v>162.5</v>
      </c>
      <c r="F3891">
        <v>45.5</v>
      </c>
      <c r="G3891">
        <v>9283</v>
      </c>
      <c r="H3891">
        <v>609.70000000000005</v>
      </c>
      <c r="I3891">
        <v>5.4</v>
      </c>
      <c r="J3891">
        <v>85</v>
      </c>
      <c r="K3891" t="s">
        <v>23</v>
      </c>
      <c r="L3891">
        <v>38</v>
      </c>
      <c r="M3891">
        <v>2.37</v>
      </c>
      <c r="N3891">
        <v>3</v>
      </c>
      <c r="O3891" t="s">
        <v>17</v>
      </c>
      <c r="P3891" cm="1">
        <f t="array" ref="P3891">_xlfn.SWITCH(Table2[[#This Row],[mood]], "Tired", 3, "Neutral", 2, "Happy", 1)</f>
        <v>3</v>
      </c>
    </row>
    <row r="3892" spans="1:16" x14ac:dyDescent="0.3">
      <c r="A3892">
        <v>1925</v>
      </c>
      <c r="B3892" s="1">
        <v>45895</v>
      </c>
      <c r="C3892">
        <v>37</v>
      </c>
      <c r="D3892" t="s">
        <v>15</v>
      </c>
      <c r="E3892">
        <v>180.4</v>
      </c>
      <c r="F3892">
        <v>61.6</v>
      </c>
      <c r="G3892">
        <v>14555</v>
      </c>
      <c r="H3892">
        <v>736.9</v>
      </c>
      <c r="I3892">
        <v>6.4</v>
      </c>
      <c r="J3892">
        <v>80</v>
      </c>
      <c r="K3892" t="s">
        <v>25</v>
      </c>
      <c r="L3892">
        <v>84</v>
      </c>
      <c r="M3892">
        <v>2.66</v>
      </c>
      <c r="N3892">
        <v>2</v>
      </c>
      <c r="O3892" t="s">
        <v>17</v>
      </c>
      <c r="P3892" cm="1">
        <f t="array" ref="P3892">_xlfn.SWITCH(Table2[[#This Row],[mood]], "Tired", 3, "Neutral", 2, "Happy", 1)</f>
        <v>3</v>
      </c>
    </row>
    <row r="3893" spans="1:16" x14ac:dyDescent="0.3">
      <c r="A3893">
        <v>1407</v>
      </c>
      <c r="B3893" s="1">
        <v>45896</v>
      </c>
      <c r="C3893">
        <v>50</v>
      </c>
      <c r="D3893" t="s">
        <v>20</v>
      </c>
      <c r="E3893">
        <v>171.2</v>
      </c>
      <c r="F3893">
        <v>94.9</v>
      </c>
      <c r="G3893">
        <v>5940</v>
      </c>
      <c r="H3893">
        <v>439.6</v>
      </c>
      <c r="I3893">
        <v>7.1</v>
      </c>
      <c r="J3893">
        <v>60</v>
      </c>
      <c r="K3893" t="s">
        <v>18</v>
      </c>
      <c r="L3893">
        <v>21</v>
      </c>
      <c r="M3893">
        <v>1.32</v>
      </c>
      <c r="N3893">
        <v>3</v>
      </c>
      <c r="O3893" t="s">
        <v>19</v>
      </c>
      <c r="P3893" cm="1">
        <f t="array" ref="P3893">_xlfn.SWITCH(Table2[[#This Row],[mood]], "Tired", 3, "Neutral", 2, "Happy", 1)</f>
        <v>2</v>
      </c>
    </row>
    <row r="3894" spans="1:16" x14ac:dyDescent="0.3">
      <c r="A3894">
        <v>1875</v>
      </c>
      <c r="B3894" s="1">
        <v>45897</v>
      </c>
      <c r="C3894">
        <v>25</v>
      </c>
      <c r="D3894" t="s">
        <v>20</v>
      </c>
      <c r="E3894">
        <v>154.30000000000001</v>
      </c>
      <c r="F3894">
        <v>86.2</v>
      </c>
      <c r="G3894">
        <v>5762</v>
      </c>
      <c r="H3894">
        <v>405.7</v>
      </c>
      <c r="I3894">
        <v>4.9000000000000004</v>
      </c>
      <c r="J3894">
        <v>84</v>
      </c>
      <c r="K3894" t="s">
        <v>18</v>
      </c>
      <c r="L3894">
        <v>68</v>
      </c>
      <c r="M3894">
        <v>2.96</v>
      </c>
      <c r="N3894">
        <v>6</v>
      </c>
      <c r="O3894" t="s">
        <v>21</v>
      </c>
      <c r="P3894" cm="1">
        <f t="array" ref="P3894">_xlfn.SWITCH(Table2[[#This Row],[mood]], "Tired", 3, "Neutral", 2, "Happy", 1)</f>
        <v>1</v>
      </c>
    </row>
    <row r="3895" spans="1:16" x14ac:dyDescent="0.3">
      <c r="A3895">
        <v>1617</v>
      </c>
      <c r="B3895" s="1">
        <v>45898</v>
      </c>
      <c r="C3895">
        <v>42</v>
      </c>
      <c r="D3895" t="s">
        <v>15</v>
      </c>
      <c r="E3895">
        <v>172.6</v>
      </c>
      <c r="F3895">
        <v>58.4</v>
      </c>
      <c r="G3895">
        <v>2753</v>
      </c>
      <c r="H3895">
        <v>263.2</v>
      </c>
      <c r="I3895">
        <v>6</v>
      </c>
      <c r="J3895">
        <v>81</v>
      </c>
      <c r="K3895" t="s">
        <v>22</v>
      </c>
      <c r="L3895">
        <v>88</v>
      </c>
      <c r="M3895">
        <v>2.2200000000000002</v>
      </c>
      <c r="N3895">
        <v>10</v>
      </c>
      <c r="O3895" t="s">
        <v>19</v>
      </c>
      <c r="P3895" cm="1">
        <f t="array" ref="P3895">_xlfn.SWITCH(Table2[[#This Row],[mood]], "Tired", 3, "Neutral", 2, "Happy", 1)</f>
        <v>2</v>
      </c>
    </row>
    <row r="3896" spans="1:16" x14ac:dyDescent="0.3">
      <c r="A3896">
        <v>1413</v>
      </c>
      <c r="B3896" s="1">
        <v>45899</v>
      </c>
      <c r="C3896">
        <v>26</v>
      </c>
      <c r="D3896" t="s">
        <v>20</v>
      </c>
      <c r="E3896">
        <v>171.9</v>
      </c>
      <c r="F3896">
        <v>61.3</v>
      </c>
      <c r="G3896">
        <v>6054</v>
      </c>
      <c r="H3896">
        <v>398.6</v>
      </c>
      <c r="I3896">
        <v>7.2</v>
      </c>
      <c r="J3896">
        <v>86</v>
      </c>
      <c r="K3896" t="s">
        <v>22</v>
      </c>
      <c r="L3896">
        <v>53</v>
      </c>
      <c r="M3896">
        <v>1.93</v>
      </c>
      <c r="N3896">
        <v>3</v>
      </c>
      <c r="O3896" t="s">
        <v>19</v>
      </c>
      <c r="P3896" cm="1">
        <f t="array" ref="P3896">_xlfn.SWITCH(Table2[[#This Row],[mood]], "Tired", 3, "Neutral", 2, "Happy", 1)</f>
        <v>2</v>
      </c>
    </row>
    <row r="3897" spans="1:16" x14ac:dyDescent="0.3">
      <c r="A3897">
        <v>1341</v>
      </c>
      <c r="B3897" s="1">
        <v>45900</v>
      </c>
      <c r="C3897">
        <v>51</v>
      </c>
      <c r="D3897" t="s">
        <v>15</v>
      </c>
      <c r="E3897">
        <v>181.5</v>
      </c>
      <c r="F3897">
        <v>102</v>
      </c>
      <c r="G3897">
        <v>14276</v>
      </c>
      <c r="H3897">
        <v>798.1</v>
      </c>
      <c r="I3897">
        <v>7.1</v>
      </c>
      <c r="J3897">
        <v>70</v>
      </c>
      <c r="K3897" t="s">
        <v>18</v>
      </c>
      <c r="L3897">
        <v>23</v>
      </c>
      <c r="M3897">
        <v>3.42</v>
      </c>
      <c r="N3897">
        <v>10</v>
      </c>
      <c r="O3897" t="s">
        <v>19</v>
      </c>
      <c r="P3897" cm="1">
        <f t="array" ref="P3897">_xlfn.SWITCH(Table2[[#This Row],[mood]], "Tired", 3, "Neutral", 2, "Happy", 1)</f>
        <v>2</v>
      </c>
    </row>
    <row r="3898" spans="1:16" x14ac:dyDescent="0.3">
      <c r="A3898">
        <v>1219</v>
      </c>
      <c r="B3898" s="1">
        <v>45901</v>
      </c>
      <c r="C3898">
        <v>40</v>
      </c>
      <c r="D3898" t="s">
        <v>20</v>
      </c>
      <c r="E3898">
        <v>175.2</v>
      </c>
      <c r="F3898">
        <v>54.7</v>
      </c>
      <c r="G3898">
        <v>6781</v>
      </c>
      <c r="H3898">
        <v>343</v>
      </c>
      <c r="I3898">
        <v>3</v>
      </c>
      <c r="J3898">
        <v>66</v>
      </c>
      <c r="K3898" t="s">
        <v>18</v>
      </c>
      <c r="L3898">
        <v>58</v>
      </c>
      <c r="M3898">
        <v>2.69</v>
      </c>
      <c r="N3898">
        <v>4</v>
      </c>
      <c r="O3898" t="s">
        <v>17</v>
      </c>
      <c r="P3898" cm="1">
        <f t="array" ref="P3898">_xlfn.SWITCH(Table2[[#This Row],[mood]], "Tired", 3, "Neutral", 2, "Happy", 1)</f>
        <v>3</v>
      </c>
    </row>
    <row r="3899" spans="1:16" x14ac:dyDescent="0.3">
      <c r="A3899">
        <v>1902</v>
      </c>
      <c r="B3899" s="1">
        <v>45902</v>
      </c>
      <c r="C3899">
        <v>22</v>
      </c>
      <c r="D3899" t="s">
        <v>20</v>
      </c>
      <c r="E3899">
        <v>157.6</v>
      </c>
      <c r="F3899">
        <v>59.3</v>
      </c>
      <c r="G3899">
        <v>17471</v>
      </c>
      <c r="H3899">
        <v>806.1</v>
      </c>
      <c r="I3899">
        <v>8</v>
      </c>
      <c r="J3899">
        <v>74</v>
      </c>
      <c r="K3899" t="s">
        <v>22</v>
      </c>
      <c r="L3899">
        <v>68</v>
      </c>
      <c r="M3899">
        <v>2.0299999999999998</v>
      </c>
      <c r="N3899">
        <v>1</v>
      </c>
      <c r="O3899" t="s">
        <v>21</v>
      </c>
      <c r="P3899" cm="1">
        <f t="array" ref="P3899">_xlfn.SWITCH(Table2[[#This Row],[mood]], "Tired", 3, "Neutral", 2, "Happy", 1)</f>
        <v>1</v>
      </c>
    </row>
    <row r="3900" spans="1:16" x14ac:dyDescent="0.3">
      <c r="A3900">
        <v>1162</v>
      </c>
      <c r="B3900" s="1">
        <v>45903</v>
      </c>
      <c r="C3900">
        <v>42</v>
      </c>
      <c r="D3900" t="s">
        <v>20</v>
      </c>
      <c r="E3900">
        <v>180</v>
      </c>
      <c r="F3900">
        <v>63.6</v>
      </c>
      <c r="G3900">
        <v>19025</v>
      </c>
      <c r="H3900">
        <v>900</v>
      </c>
      <c r="I3900">
        <v>8.9</v>
      </c>
      <c r="J3900">
        <v>77</v>
      </c>
      <c r="K3900" t="s">
        <v>18</v>
      </c>
      <c r="L3900">
        <v>22</v>
      </c>
      <c r="M3900">
        <v>2.08</v>
      </c>
      <c r="N3900">
        <v>6</v>
      </c>
      <c r="O3900" t="s">
        <v>19</v>
      </c>
      <c r="P3900" cm="1">
        <f t="array" ref="P3900">_xlfn.SWITCH(Table2[[#This Row],[mood]], "Tired", 3, "Neutral", 2, "Happy", 1)</f>
        <v>2</v>
      </c>
    </row>
    <row r="3901" spans="1:16" x14ac:dyDescent="0.3">
      <c r="A3901">
        <v>1950</v>
      </c>
      <c r="B3901" s="1">
        <v>45904</v>
      </c>
      <c r="C3901">
        <v>25</v>
      </c>
      <c r="D3901" t="s">
        <v>15</v>
      </c>
      <c r="E3901">
        <v>165.9</v>
      </c>
      <c r="F3901">
        <v>49.6</v>
      </c>
      <c r="G3901">
        <v>3962</v>
      </c>
      <c r="H3901">
        <v>325.3</v>
      </c>
      <c r="I3901">
        <v>6.1</v>
      </c>
      <c r="J3901">
        <v>87</v>
      </c>
      <c r="K3901" t="s">
        <v>24</v>
      </c>
      <c r="L3901">
        <v>45</v>
      </c>
      <c r="M3901">
        <v>2.76</v>
      </c>
      <c r="N3901">
        <v>2</v>
      </c>
      <c r="O3901" t="s">
        <v>21</v>
      </c>
      <c r="P3901" cm="1">
        <f t="array" ref="P3901">_xlfn.SWITCH(Table2[[#This Row],[mood]], "Tired", 3, "Neutral", 2, "Happy", 1)</f>
        <v>1</v>
      </c>
    </row>
    <row r="3902" spans="1:16" x14ac:dyDescent="0.3">
      <c r="A3902">
        <v>1219</v>
      </c>
      <c r="B3902" s="1">
        <v>45905</v>
      </c>
      <c r="C3902">
        <v>33</v>
      </c>
      <c r="D3902" t="s">
        <v>20</v>
      </c>
      <c r="E3902">
        <v>187.2</v>
      </c>
      <c r="F3902">
        <v>61.9</v>
      </c>
      <c r="G3902">
        <v>6413</v>
      </c>
      <c r="H3902">
        <v>530</v>
      </c>
      <c r="I3902">
        <v>4.4000000000000004</v>
      </c>
      <c r="J3902">
        <v>81</v>
      </c>
      <c r="K3902" t="s">
        <v>16</v>
      </c>
      <c r="L3902">
        <v>0</v>
      </c>
      <c r="M3902">
        <v>2.7</v>
      </c>
      <c r="N3902">
        <v>4</v>
      </c>
      <c r="O3902" t="s">
        <v>21</v>
      </c>
      <c r="P3902" cm="1">
        <f t="array" ref="P3902">_xlfn.SWITCH(Table2[[#This Row],[mood]], "Tired", 3, "Neutral", 2, "Happy", 1)</f>
        <v>1</v>
      </c>
    </row>
    <row r="3903" spans="1:16" x14ac:dyDescent="0.3">
      <c r="A3903">
        <v>1269</v>
      </c>
      <c r="B3903" s="1">
        <v>45906</v>
      </c>
      <c r="C3903">
        <v>32</v>
      </c>
      <c r="D3903" t="s">
        <v>15</v>
      </c>
      <c r="E3903">
        <v>166.5</v>
      </c>
      <c r="F3903">
        <v>62.2</v>
      </c>
      <c r="G3903">
        <v>8420</v>
      </c>
      <c r="H3903">
        <v>533.6</v>
      </c>
      <c r="I3903">
        <v>5.9</v>
      </c>
      <c r="J3903">
        <v>76</v>
      </c>
      <c r="K3903" t="s">
        <v>23</v>
      </c>
      <c r="L3903">
        <v>84</v>
      </c>
      <c r="M3903">
        <v>2.52</v>
      </c>
      <c r="N3903">
        <v>5</v>
      </c>
      <c r="O3903" t="s">
        <v>17</v>
      </c>
      <c r="P3903" cm="1">
        <f t="array" ref="P3903">_xlfn.SWITCH(Table2[[#This Row],[mood]], "Tired", 3, "Neutral", 2, "Happy", 1)</f>
        <v>3</v>
      </c>
    </row>
    <row r="3904" spans="1:16" x14ac:dyDescent="0.3">
      <c r="A3904">
        <v>1631</v>
      </c>
      <c r="B3904" s="1">
        <v>45907</v>
      </c>
      <c r="C3904">
        <v>18</v>
      </c>
      <c r="D3904" t="s">
        <v>20</v>
      </c>
      <c r="E3904">
        <v>167.9</v>
      </c>
      <c r="F3904">
        <v>56.5</v>
      </c>
      <c r="G3904">
        <v>9742</v>
      </c>
      <c r="H3904">
        <v>561.6</v>
      </c>
      <c r="I3904">
        <v>5.8</v>
      </c>
      <c r="J3904">
        <v>74</v>
      </c>
      <c r="K3904" t="s">
        <v>16</v>
      </c>
      <c r="L3904">
        <v>0</v>
      </c>
      <c r="M3904">
        <v>1.66</v>
      </c>
      <c r="N3904">
        <v>5</v>
      </c>
      <c r="O3904" t="s">
        <v>19</v>
      </c>
      <c r="P3904" cm="1">
        <f t="array" ref="P3904">_xlfn.SWITCH(Table2[[#This Row],[mood]], "Tired", 3, "Neutral", 2, "Happy", 1)</f>
        <v>2</v>
      </c>
    </row>
    <row r="3905" spans="1:16" x14ac:dyDescent="0.3">
      <c r="A3905">
        <v>1905</v>
      </c>
      <c r="B3905" s="1">
        <v>45908</v>
      </c>
      <c r="C3905">
        <v>39</v>
      </c>
      <c r="D3905" t="s">
        <v>15</v>
      </c>
      <c r="E3905">
        <v>161.80000000000001</v>
      </c>
      <c r="F3905">
        <v>89.9</v>
      </c>
      <c r="G3905">
        <v>11638</v>
      </c>
      <c r="H3905">
        <v>698.4</v>
      </c>
      <c r="I3905">
        <v>8.8000000000000007</v>
      </c>
      <c r="J3905">
        <v>75</v>
      </c>
      <c r="K3905" t="s">
        <v>22</v>
      </c>
      <c r="L3905">
        <v>77</v>
      </c>
      <c r="M3905">
        <v>1.76</v>
      </c>
      <c r="N3905">
        <v>4</v>
      </c>
      <c r="O3905" t="s">
        <v>17</v>
      </c>
      <c r="P3905" cm="1">
        <f t="array" ref="P3905">_xlfn.SWITCH(Table2[[#This Row],[mood]], "Tired", 3, "Neutral", 2, "Happy", 1)</f>
        <v>3</v>
      </c>
    </row>
    <row r="3906" spans="1:16" x14ac:dyDescent="0.3">
      <c r="A3906">
        <v>1847</v>
      </c>
      <c r="B3906" s="1">
        <v>45909</v>
      </c>
      <c r="C3906">
        <v>20</v>
      </c>
      <c r="D3906" t="s">
        <v>20</v>
      </c>
      <c r="E3906">
        <v>165</v>
      </c>
      <c r="F3906">
        <v>52.5</v>
      </c>
      <c r="G3906">
        <v>7910</v>
      </c>
      <c r="H3906">
        <v>520.4</v>
      </c>
      <c r="I3906">
        <v>5.4</v>
      </c>
      <c r="J3906">
        <v>71</v>
      </c>
      <c r="K3906" t="s">
        <v>23</v>
      </c>
      <c r="L3906">
        <v>54</v>
      </c>
      <c r="M3906">
        <v>1.98</v>
      </c>
      <c r="N3906">
        <v>3</v>
      </c>
      <c r="O3906" t="s">
        <v>21</v>
      </c>
      <c r="P3906" cm="1">
        <f t="array" ref="P3906">_xlfn.SWITCH(Table2[[#This Row],[mood]], "Tired", 3, "Neutral", 2, "Happy", 1)</f>
        <v>1</v>
      </c>
    </row>
    <row r="3907" spans="1:16" x14ac:dyDescent="0.3">
      <c r="A3907">
        <v>1399</v>
      </c>
      <c r="B3907" s="1">
        <v>45910</v>
      </c>
      <c r="C3907">
        <v>55</v>
      </c>
      <c r="D3907" t="s">
        <v>15</v>
      </c>
      <c r="E3907">
        <v>162.4</v>
      </c>
      <c r="F3907">
        <v>67.900000000000006</v>
      </c>
      <c r="G3907">
        <v>11482</v>
      </c>
      <c r="H3907">
        <v>650.29999999999995</v>
      </c>
      <c r="I3907">
        <v>6.5</v>
      </c>
      <c r="J3907">
        <v>82</v>
      </c>
      <c r="K3907" t="s">
        <v>25</v>
      </c>
      <c r="L3907">
        <v>35</v>
      </c>
      <c r="M3907">
        <v>2.36</v>
      </c>
      <c r="N3907">
        <v>4</v>
      </c>
      <c r="O3907" t="s">
        <v>19</v>
      </c>
      <c r="P3907" cm="1">
        <f t="array" ref="P3907">_xlfn.SWITCH(Table2[[#This Row],[mood]], "Tired", 3, "Neutral", 2, "Happy", 1)</f>
        <v>2</v>
      </c>
    </row>
    <row r="3908" spans="1:16" x14ac:dyDescent="0.3">
      <c r="A3908">
        <v>1181</v>
      </c>
      <c r="B3908" s="1">
        <v>45911</v>
      </c>
      <c r="C3908">
        <v>31</v>
      </c>
      <c r="D3908" t="s">
        <v>15</v>
      </c>
      <c r="E3908">
        <v>181.8</v>
      </c>
      <c r="F3908">
        <v>56.8</v>
      </c>
      <c r="G3908">
        <v>13029</v>
      </c>
      <c r="H3908">
        <v>719</v>
      </c>
      <c r="I3908">
        <v>9.5</v>
      </c>
      <c r="J3908">
        <v>60</v>
      </c>
      <c r="K3908" t="s">
        <v>25</v>
      </c>
      <c r="L3908">
        <v>52</v>
      </c>
      <c r="M3908">
        <v>2.4700000000000002</v>
      </c>
      <c r="N3908">
        <v>3</v>
      </c>
      <c r="O3908" t="s">
        <v>21</v>
      </c>
      <c r="P3908" cm="1">
        <f t="array" ref="P3908">_xlfn.SWITCH(Table2[[#This Row],[mood]], "Tired", 3, "Neutral", 2, "Happy", 1)</f>
        <v>1</v>
      </c>
    </row>
    <row r="3909" spans="1:16" x14ac:dyDescent="0.3">
      <c r="A3909">
        <v>1990</v>
      </c>
      <c r="B3909" s="1">
        <v>45912</v>
      </c>
      <c r="C3909">
        <v>53</v>
      </c>
      <c r="D3909" t="s">
        <v>15</v>
      </c>
      <c r="E3909">
        <v>156.69999999999999</v>
      </c>
      <c r="F3909">
        <v>66.900000000000006</v>
      </c>
      <c r="G3909">
        <v>9815</v>
      </c>
      <c r="H3909">
        <v>612.29999999999995</v>
      </c>
      <c r="I3909">
        <v>7.2</v>
      </c>
      <c r="J3909">
        <v>75</v>
      </c>
      <c r="K3909" t="s">
        <v>24</v>
      </c>
      <c r="L3909">
        <v>50</v>
      </c>
      <c r="M3909">
        <v>2.39</v>
      </c>
      <c r="N3909">
        <v>3</v>
      </c>
      <c r="O3909" t="s">
        <v>21</v>
      </c>
      <c r="P3909" cm="1">
        <f t="array" ref="P3909">_xlfn.SWITCH(Table2[[#This Row],[mood]], "Tired", 3, "Neutral", 2, "Happy", 1)</f>
        <v>1</v>
      </c>
    </row>
    <row r="3910" spans="1:16" x14ac:dyDescent="0.3">
      <c r="A3910">
        <v>1617</v>
      </c>
      <c r="B3910" s="1">
        <v>45913</v>
      </c>
      <c r="C3910">
        <v>35</v>
      </c>
      <c r="D3910" t="s">
        <v>15</v>
      </c>
      <c r="E3910">
        <v>178</v>
      </c>
      <c r="F3910">
        <v>56.1</v>
      </c>
      <c r="G3910">
        <v>4757</v>
      </c>
      <c r="H3910">
        <v>355.9</v>
      </c>
      <c r="I3910">
        <v>7.3</v>
      </c>
      <c r="J3910">
        <v>85</v>
      </c>
      <c r="K3910" t="s">
        <v>25</v>
      </c>
      <c r="L3910">
        <v>41</v>
      </c>
      <c r="M3910">
        <v>2.42</v>
      </c>
      <c r="N3910">
        <v>4</v>
      </c>
      <c r="O3910" t="s">
        <v>17</v>
      </c>
      <c r="P3910" cm="1">
        <f t="array" ref="P3910">_xlfn.SWITCH(Table2[[#This Row],[mood]], "Tired", 3, "Neutral", 2, "Happy", 1)</f>
        <v>3</v>
      </c>
    </row>
    <row r="3911" spans="1:16" x14ac:dyDescent="0.3">
      <c r="A3911">
        <v>1728</v>
      </c>
      <c r="B3911" s="1">
        <v>45914</v>
      </c>
      <c r="C3911">
        <v>58</v>
      </c>
      <c r="D3911" t="s">
        <v>15</v>
      </c>
      <c r="E3911">
        <v>178.3</v>
      </c>
      <c r="F3911">
        <v>71.099999999999994</v>
      </c>
      <c r="G3911">
        <v>5796</v>
      </c>
      <c r="H3911">
        <v>407.7</v>
      </c>
      <c r="I3911">
        <v>6.8</v>
      </c>
      <c r="J3911">
        <v>64</v>
      </c>
      <c r="K3911" t="s">
        <v>22</v>
      </c>
      <c r="L3911">
        <v>80</v>
      </c>
      <c r="M3911">
        <v>3.82</v>
      </c>
      <c r="N3911">
        <v>9</v>
      </c>
      <c r="O3911" t="s">
        <v>19</v>
      </c>
      <c r="P3911" cm="1">
        <f t="array" ref="P3911">_xlfn.SWITCH(Table2[[#This Row],[mood]], "Tired", 3, "Neutral", 2, "Happy", 1)</f>
        <v>2</v>
      </c>
    </row>
    <row r="3912" spans="1:16" x14ac:dyDescent="0.3">
      <c r="A3912">
        <v>1204</v>
      </c>
      <c r="B3912" s="1">
        <v>45915</v>
      </c>
      <c r="C3912">
        <v>35</v>
      </c>
      <c r="D3912" t="s">
        <v>15</v>
      </c>
      <c r="E3912">
        <v>183.8</v>
      </c>
      <c r="F3912">
        <v>74.8</v>
      </c>
      <c r="G3912">
        <v>4292</v>
      </c>
      <c r="H3912">
        <v>322.8</v>
      </c>
      <c r="I3912">
        <v>8.5</v>
      </c>
      <c r="J3912">
        <v>94</v>
      </c>
      <c r="K3912" t="s">
        <v>24</v>
      </c>
      <c r="L3912">
        <v>83</v>
      </c>
      <c r="M3912">
        <v>3.09</v>
      </c>
      <c r="N3912">
        <v>9</v>
      </c>
      <c r="O3912" t="s">
        <v>17</v>
      </c>
      <c r="P3912" cm="1">
        <f t="array" ref="P3912">_xlfn.SWITCH(Table2[[#This Row],[mood]], "Tired", 3, "Neutral", 2, "Happy", 1)</f>
        <v>3</v>
      </c>
    </row>
    <row r="3913" spans="1:16" x14ac:dyDescent="0.3">
      <c r="A3913">
        <v>1581</v>
      </c>
      <c r="B3913" s="1">
        <v>45916</v>
      </c>
      <c r="C3913">
        <v>20</v>
      </c>
      <c r="D3913" t="s">
        <v>20</v>
      </c>
      <c r="E3913">
        <v>170.4</v>
      </c>
      <c r="F3913">
        <v>91</v>
      </c>
      <c r="G3913">
        <v>4832</v>
      </c>
      <c r="H3913">
        <v>332.9</v>
      </c>
      <c r="I3913">
        <v>7.6</v>
      </c>
      <c r="J3913">
        <v>64</v>
      </c>
      <c r="K3913" t="s">
        <v>16</v>
      </c>
      <c r="L3913">
        <v>0</v>
      </c>
      <c r="M3913">
        <v>3.33</v>
      </c>
      <c r="N3913">
        <v>8</v>
      </c>
      <c r="O3913" t="s">
        <v>17</v>
      </c>
      <c r="P3913" cm="1">
        <f t="array" ref="P3913">_xlfn.SWITCH(Table2[[#This Row],[mood]], "Tired", 3, "Neutral", 2, "Happy", 1)</f>
        <v>3</v>
      </c>
    </row>
    <row r="3914" spans="1:16" x14ac:dyDescent="0.3">
      <c r="A3914">
        <v>1555</v>
      </c>
      <c r="B3914" s="1">
        <v>45917</v>
      </c>
      <c r="C3914">
        <v>27</v>
      </c>
      <c r="D3914" t="s">
        <v>15</v>
      </c>
      <c r="E3914">
        <v>159.69999999999999</v>
      </c>
      <c r="F3914">
        <v>61.2</v>
      </c>
      <c r="G3914">
        <v>3611</v>
      </c>
      <c r="H3914">
        <v>436.9</v>
      </c>
      <c r="I3914">
        <v>9.8000000000000007</v>
      </c>
      <c r="J3914">
        <v>70</v>
      </c>
      <c r="K3914" t="s">
        <v>24</v>
      </c>
      <c r="L3914">
        <v>54</v>
      </c>
      <c r="M3914">
        <v>2.82</v>
      </c>
      <c r="N3914">
        <v>4</v>
      </c>
      <c r="O3914" t="s">
        <v>21</v>
      </c>
      <c r="P3914" cm="1">
        <f t="array" ref="P3914">_xlfn.SWITCH(Table2[[#This Row],[mood]], "Tired", 3, "Neutral", 2, "Happy", 1)</f>
        <v>1</v>
      </c>
    </row>
    <row r="3915" spans="1:16" x14ac:dyDescent="0.3">
      <c r="A3915">
        <v>1840</v>
      </c>
      <c r="B3915" s="1">
        <v>45918</v>
      </c>
      <c r="C3915">
        <v>56</v>
      </c>
      <c r="D3915" t="s">
        <v>15</v>
      </c>
      <c r="E3915">
        <v>168.3</v>
      </c>
      <c r="F3915">
        <v>94.3</v>
      </c>
      <c r="G3915">
        <v>9353</v>
      </c>
      <c r="H3915">
        <v>528.79999999999995</v>
      </c>
      <c r="I3915">
        <v>9.9</v>
      </c>
      <c r="J3915">
        <v>85</v>
      </c>
      <c r="K3915" t="s">
        <v>22</v>
      </c>
      <c r="L3915">
        <v>58</v>
      </c>
      <c r="M3915">
        <v>2.5499999999999998</v>
      </c>
      <c r="N3915">
        <v>2</v>
      </c>
      <c r="O3915" t="s">
        <v>19</v>
      </c>
      <c r="P3915" cm="1">
        <f t="array" ref="P3915">_xlfn.SWITCH(Table2[[#This Row],[mood]], "Tired", 3, "Neutral", 2, "Happy", 1)</f>
        <v>2</v>
      </c>
    </row>
    <row r="3916" spans="1:16" x14ac:dyDescent="0.3">
      <c r="A3916">
        <v>1812</v>
      </c>
      <c r="B3916" s="1">
        <v>45919</v>
      </c>
      <c r="C3916">
        <v>18</v>
      </c>
      <c r="D3916" t="s">
        <v>15</v>
      </c>
      <c r="E3916">
        <v>175.9</v>
      </c>
      <c r="F3916">
        <v>57.9</v>
      </c>
      <c r="G3916">
        <v>11274</v>
      </c>
      <c r="H3916">
        <v>700.9</v>
      </c>
      <c r="I3916">
        <v>7.5</v>
      </c>
      <c r="J3916">
        <v>90</v>
      </c>
      <c r="K3916" t="s">
        <v>18</v>
      </c>
      <c r="L3916">
        <v>22</v>
      </c>
      <c r="M3916">
        <v>2.79</v>
      </c>
      <c r="N3916">
        <v>9</v>
      </c>
      <c r="O3916" t="s">
        <v>19</v>
      </c>
      <c r="P3916" cm="1">
        <f t="array" ref="P3916">_xlfn.SWITCH(Table2[[#This Row],[mood]], "Tired", 3, "Neutral", 2, "Happy", 1)</f>
        <v>2</v>
      </c>
    </row>
    <row r="3917" spans="1:16" x14ac:dyDescent="0.3">
      <c r="A3917">
        <v>1227</v>
      </c>
      <c r="B3917" s="1">
        <v>45920</v>
      </c>
      <c r="C3917">
        <v>44</v>
      </c>
      <c r="D3917" t="s">
        <v>20</v>
      </c>
      <c r="E3917">
        <v>170.8</v>
      </c>
      <c r="F3917">
        <v>66.400000000000006</v>
      </c>
      <c r="G3917">
        <v>9228</v>
      </c>
      <c r="H3917">
        <v>551.29999999999995</v>
      </c>
      <c r="I3917">
        <v>6.9</v>
      </c>
      <c r="J3917">
        <v>79</v>
      </c>
      <c r="K3917" t="s">
        <v>23</v>
      </c>
      <c r="L3917">
        <v>32</v>
      </c>
      <c r="M3917">
        <v>2.66</v>
      </c>
      <c r="N3917">
        <v>6</v>
      </c>
      <c r="O3917" t="s">
        <v>19</v>
      </c>
      <c r="P3917" cm="1">
        <f t="array" ref="P3917">_xlfn.SWITCH(Table2[[#This Row],[mood]], "Tired", 3, "Neutral", 2, "Happy", 1)</f>
        <v>2</v>
      </c>
    </row>
    <row r="3918" spans="1:16" x14ac:dyDescent="0.3">
      <c r="A3918">
        <v>1695</v>
      </c>
      <c r="B3918" s="1">
        <v>45921</v>
      </c>
      <c r="C3918">
        <v>44</v>
      </c>
      <c r="D3918" t="s">
        <v>20</v>
      </c>
      <c r="E3918">
        <v>173.7</v>
      </c>
      <c r="F3918">
        <v>96.5</v>
      </c>
      <c r="G3918">
        <v>12068</v>
      </c>
      <c r="H3918">
        <v>709.7</v>
      </c>
      <c r="I3918">
        <v>7.2</v>
      </c>
      <c r="J3918">
        <v>78</v>
      </c>
      <c r="K3918" t="s">
        <v>22</v>
      </c>
      <c r="L3918">
        <v>33</v>
      </c>
      <c r="M3918">
        <v>3.07</v>
      </c>
      <c r="N3918">
        <v>8</v>
      </c>
      <c r="O3918" t="s">
        <v>17</v>
      </c>
      <c r="P3918" cm="1">
        <f t="array" ref="P3918">_xlfn.SWITCH(Table2[[#This Row],[mood]], "Tired", 3, "Neutral", 2, "Happy", 1)</f>
        <v>3</v>
      </c>
    </row>
    <row r="3919" spans="1:16" x14ac:dyDescent="0.3">
      <c r="A3919">
        <v>1618</v>
      </c>
      <c r="B3919" s="1">
        <v>45922</v>
      </c>
      <c r="C3919">
        <v>28</v>
      </c>
      <c r="D3919" t="s">
        <v>20</v>
      </c>
      <c r="E3919">
        <v>183.7</v>
      </c>
      <c r="F3919">
        <v>113.5</v>
      </c>
      <c r="G3919">
        <v>4346</v>
      </c>
      <c r="H3919">
        <v>373.7</v>
      </c>
      <c r="I3919">
        <v>6.2</v>
      </c>
      <c r="J3919">
        <v>93</v>
      </c>
      <c r="K3919" t="s">
        <v>18</v>
      </c>
      <c r="L3919">
        <v>60</v>
      </c>
      <c r="M3919">
        <v>1.82</v>
      </c>
      <c r="N3919">
        <v>4</v>
      </c>
      <c r="O3919" t="s">
        <v>17</v>
      </c>
      <c r="P3919" cm="1">
        <f t="array" ref="P3919">_xlfn.SWITCH(Table2[[#This Row],[mood]], "Tired", 3, "Neutral", 2, "Happy", 1)</f>
        <v>3</v>
      </c>
    </row>
    <row r="3920" spans="1:16" x14ac:dyDescent="0.3">
      <c r="A3920">
        <v>1595</v>
      </c>
      <c r="B3920" s="1">
        <v>45923</v>
      </c>
      <c r="C3920">
        <v>22</v>
      </c>
      <c r="D3920" t="s">
        <v>15</v>
      </c>
      <c r="E3920">
        <v>175.8</v>
      </c>
      <c r="F3920">
        <v>95.3</v>
      </c>
      <c r="G3920">
        <v>5054</v>
      </c>
      <c r="H3920">
        <v>312.60000000000002</v>
      </c>
      <c r="I3920">
        <v>7.2</v>
      </c>
      <c r="J3920">
        <v>61</v>
      </c>
      <c r="K3920" t="s">
        <v>18</v>
      </c>
      <c r="L3920">
        <v>27</v>
      </c>
      <c r="M3920">
        <v>3.01</v>
      </c>
      <c r="N3920">
        <v>8</v>
      </c>
      <c r="O3920" t="s">
        <v>17</v>
      </c>
      <c r="P3920" cm="1">
        <f t="array" ref="P3920">_xlfn.SWITCH(Table2[[#This Row],[mood]], "Tired", 3, "Neutral", 2, "Happy", 1)</f>
        <v>3</v>
      </c>
    </row>
    <row r="3921" spans="1:16" x14ac:dyDescent="0.3">
      <c r="A3921">
        <v>1849</v>
      </c>
      <c r="B3921" s="1">
        <v>45924</v>
      </c>
      <c r="C3921">
        <v>24</v>
      </c>
      <c r="D3921" t="s">
        <v>20</v>
      </c>
      <c r="E3921">
        <v>172</v>
      </c>
      <c r="F3921">
        <v>66.599999999999994</v>
      </c>
      <c r="G3921">
        <v>16992</v>
      </c>
      <c r="H3921">
        <v>881.1</v>
      </c>
      <c r="I3921">
        <v>4.8</v>
      </c>
      <c r="J3921">
        <v>58</v>
      </c>
      <c r="K3921" t="s">
        <v>25</v>
      </c>
      <c r="L3921">
        <v>38</v>
      </c>
      <c r="M3921">
        <v>2.62</v>
      </c>
      <c r="N3921">
        <v>6</v>
      </c>
      <c r="O3921" t="s">
        <v>21</v>
      </c>
      <c r="P3921" cm="1">
        <f t="array" ref="P3921">_xlfn.SWITCH(Table2[[#This Row],[mood]], "Tired", 3, "Neutral", 2, "Happy", 1)</f>
        <v>1</v>
      </c>
    </row>
    <row r="3922" spans="1:16" x14ac:dyDescent="0.3">
      <c r="A3922">
        <v>1249</v>
      </c>
      <c r="B3922" s="1">
        <v>45925</v>
      </c>
      <c r="C3922">
        <v>36</v>
      </c>
      <c r="D3922" t="s">
        <v>20</v>
      </c>
      <c r="E3922">
        <v>151.6</v>
      </c>
      <c r="F3922">
        <v>77.7</v>
      </c>
      <c r="G3922">
        <v>5200</v>
      </c>
      <c r="H3922">
        <v>438.3</v>
      </c>
      <c r="I3922">
        <v>5.9</v>
      </c>
      <c r="J3922">
        <v>56</v>
      </c>
      <c r="K3922" t="s">
        <v>16</v>
      </c>
      <c r="L3922">
        <v>0</v>
      </c>
      <c r="M3922">
        <v>1.24</v>
      </c>
      <c r="N3922">
        <v>6</v>
      </c>
      <c r="O3922" t="s">
        <v>17</v>
      </c>
      <c r="P3922" cm="1">
        <f t="array" ref="P3922">_xlfn.SWITCH(Table2[[#This Row],[mood]], "Tired", 3, "Neutral", 2, "Happy", 1)</f>
        <v>3</v>
      </c>
    </row>
    <row r="3923" spans="1:16" x14ac:dyDescent="0.3">
      <c r="A3923">
        <v>1874</v>
      </c>
      <c r="B3923" s="1">
        <v>45926</v>
      </c>
      <c r="C3923">
        <v>46</v>
      </c>
      <c r="D3923" t="s">
        <v>15</v>
      </c>
      <c r="E3923">
        <v>162.19999999999999</v>
      </c>
      <c r="F3923">
        <v>80.2</v>
      </c>
      <c r="G3923">
        <v>15491</v>
      </c>
      <c r="H3923">
        <v>771.9</v>
      </c>
      <c r="I3923">
        <v>8.1999999999999993</v>
      </c>
      <c r="J3923">
        <v>66</v>
      </c>
      <c r="K3923" t="s">
        <v>24</v>
      </c>
      <c r="L3923">
        <v>69</v>
      </c>
      <c r="M3923">
        <v>2.56</v>
      </c>
      <c r="N3923">
        <v>6</v>
      </c>
      <c r="O3923" t="s">
        <v>19</v>
      </c>
      <c r="P3923" cm="1">
        <f t="array" ref="P3923">_xlfn.SWITCH(Table2[[#This Row],[mood]], "Tired", 3, "Neutral", 2, "Happy", 1)</f>
        <v>2</v>
      </c>
    </row>
    <row r="3924" spans="1:16" x14ac:dyDescent="0.3">
      <c r="A3924">
        <v>1440</v>
      </c>
      <c r="B3924" s="1">
        <v>45927</v>
      </c>
      <c r="C3924">
        <v>32</v>
      </c>
      <c r="D3924" t="s">
        <v>15</v>
      </c>
      <c r="E3924">
        <v>166</v>
      </c>
      <c r="F3924">
        <v>75.2</v>
      </c>
      <c r="G3924">
        <v>9527</v>
      </c>
      <c r="H3924">
        <v>697.2</v>
      </c>
      <c r="I3924">
        <v>7.8</v>
      </c>
      <c r="J3924">
        <v>68</v>
      </c>
      <c r="K3924" t="s">
        <v>24</v>
      </c>
      <c r="L3924">
        <v>80</v>
      </c>
      <c r="M3924">
        <v>1.59</v>
      </c>
      <c r="N3924">
        <v>9</v>
      </c>
      <c r="O3924" t="s">
        <v>21</v>
      </c>
      <c r="P3924" cm="1">
        <f t="array" ref="P3924">_xlfn.SWITCH(Table2[[#This Row],[mood]], "Tired", 3, "Neutral", 2, "Happy", 1)</f>
        <v>1</v>
      </c>
    </row>
    <row r="3925" spans="1:16" x14ac:dyDescent="0.3">
      <c r="A3925">
        <v>1532</v>
      </c>
      <c r="B3925" s="1">
        <v>45928</v>
      </c>
      <c r="C3925">
        <v>52</v>
      </c>
      <c r="D3925" t="s">
        <v>20</v>
      </c>
      <c r="E3925">
        <v>150.19999999999999</v>
      </c>
      <c r="F3925">
        <v>54.9</v>
      </c>
      <c r="G3925">
        <v>15245</v>
      </c>
      <c r="H3925">
        <v>850.4</v>
      </c>
      <c r="I3925">
        <v>6.8</v>
      </c>
      <c r="J3925">
        <v>79</v>
      </c>
      <c r="K3925" t="s">
        <v>25</v>
      </c>
      <c r="L3925">
        <v>55</v>
      </c>
      <c r="M3925">
        <v>2.13</v>
      </c>
      <c r="N3925">
        <v>1</v>
      </c>
      <c r="O3925" t="s">
        <v>19</v>
      </c>
      <c r="P3925" cm="1">
        <f t="array" ref="P3925">_xlfn.SWITCH(Table2[[#This Row],[mood]], "Tired", 3, "Neutral", 2, "Happy", 1)</f>
        <v>2</v>
      </c>
    </row>
    <row r="3926" spans="1:16" x14ac:dyDescent="0.3">
      <c r="A3926">
        <v>1195</v>
      </c>
      <c r="B3926" s="1">
        <v>45929</v>
      </c>
      <c r="C3926">
        <v>54</v>
      </c>
      <c r="D3926" t="s">
        <v>15</v>
      </c>
      <c r="E3926">
        <v>158.9</v>
      </c>
      <c r="F3926">
        <v>73.5</v>
      </c>
      <c r="G3926">
        <v>11535</v>
      </c>
      <c r="H3926">
        <v>702.4</v>
      </c>
      <c r="I3926">
        <v>7.6</v>
      </c>
      <c r="J3926">
        <v>85</v>
      </c>
      <c r="K3926" t="s">
        <v>25</v>
      </c>
      <c r="L3926">
        <v>86</v>
      </c>
      <c r="M3926">
        <v>2.39</v>
      </c>
      <c r="N3926">
        <v>1</v>
      </c>
      <c r="O3926" t="s">
        <v>17</v>
      </c>
      <c r="P3926" cm="1">
        <f t="array" ref="P3926">_xlfn.SWITCH(Table2[[#This Row],[mood]], "Tired", 3, "Neutral", 2, "Happy", 1)</f>
        <v>3</v>
      </c>
    </row>
    <row r="3927" spans="1:16" x14ac:dyDescent="0.3">
      <c r="A3927">
        <v>1689</v>
      </c>
      <c r="B3927" s="1">
        <v>45930</v>
      </c>
      <c r="C3927">
        <v>29</v>
      </c>
      <c r="D3927" t="s">
        <v>15</v>
      </c>
      <c r="E3927">
        <v>167.3</v>
      </c>
      <c r="F3927">
        <v>62.4</v>
      </c>
      <c r="G3927">
        <v>18944</v>
      </c>
      <c r="H3927">
        <v>900</v>
      </c>
      <c r="I3927">
        <v>9.3000000000000007</v>
      </c>
      <c r="J3927">
        <v>84</v>
      </c>
      <c r="K3927" t="s">
        <v>24</v>
      </c>
      <c r="L3927">
        <v>64</v>
      </c>
      <c r="M3927">
        <v>1.45</v>
      </c>
      <c r="N3927">
        <v>5</v>
      </c>
      <c r="O3927" t="s">
        <v>19</v>
      </c>
      <c r="P3927" cm="1">
        <f t="array" ref="P3927">_xlfn.SWITCH(Table2[[#This Row],[mood]], "Tired", 3, "Neutral", 2, "Happy", 1)</f>
        <v>2</v>
      </c>
    </row>
    <row r="3928" spans="1:16" x14ac:dyDescent="0.3">
      <c r="A3928">
        <v>1928</v>
      </c>
      <c r="B3928" s="1">
        <v>45931</v>
      </c>
      <c r="C3928">
        <v>47</v>
      </c>
      <c r="D3928" t="s">
        <v>15</v>
      </c>
      <c r="E3928">
        <v>168.9</v>
      </c>
      <c r="F3928">
        <v>55.5</v>
      </c>
      <c r="G3928">
        <v>8522</v>
      </c>
      <c r="H3928">
        <v>424.2</v>
      </c>
      <c r="I3928">
        <v>6.4</v>
      </c>
      <c r="J3928">
        <v>84</v>
      </c>
      <c r="K3928" t="s">
        <v>22</v>
      </c>
      <c r="L3928">
        <v>26</v>
      </c>
      <c r="M3928">
        <v>2.46</v>
      </c>
      <c r="N3928">
        <v>1</v>
      </c>
      <c r="O3928" t="s">
        <v>21</v>
      </c>
      <c r="P3928" cm="1">
        <f t="array" ref="P3928">_xlfn.SWITCH(Table2[[#This Row],[mood]], "Tired", 3, "Neutral", 2, "Happy", 1)</f>
        <v>1</v>
      </c>
    </row>
    <row r="3929" spans="1:16" x14ac:dyDescent="0.3">
      <c r="A3929">
        <v>1986</v>
      </c>
      <c r="B3929" s="1">
        <v>45932</v>
      </c>
      <c r="C3929">
        <v>37</v>
      </c>
      <c r="D3929" t="s">
        <v>15</v>
      </c>
      <c r="E3929">
        <v>175.1</v>
      </c>
      <c r="F3929">
        <v>65.3</v>
      </c>
      <c r="G3929">
        <v>14173</v>
      </c>
      <c r="H3929">
        <v>802.2</v>
      </c>
      <c r="I3929">
        <v>4.8</v>
      </c>
      <c r="J3929">
        <v>65</v>
      </c>
      <c r="K3929" t="s">
        <v>22</v>
      </c>
      <c r="L3929">
        <v>41</v>
      </c>
      <c r="M3929">
        <v>2.5499999999999998</v>
      </c>
      <c r="N3929">
        <v>10</v>
      </c>
      <c r="O3929" t="s">
        <v>17</v>
      </c>
      <c r="P3929" cm="1">
        <f t="array" ref="P3929">_xlfn.SWITCH(Table2[[#This Row],[mood]], "Tired", 3, "Neutral", 2, "Happy", 1)</f>
        <v>3</v>
      </c>
    </row>
    <row r="3930" spans="1:16" x14ac:dyDescent="0.3">
      <c r="A3930">
        <v>1518</v>
      </c>
      <c r="B3930" s="1">
        <v>45933</v>
      </c>
      <c r="C3930">
        <v>54</v>
      </c>
      <c r="D3930" t="s">
        <v>20</v>
      </c>
      <c r="E3930">
        <v>167.9</v>
      </c>
      <c r="F3930">
        <v>74.7</v>
      </c>
      <c r="G3930">
        <v>5164</v>
      </c>
      <c r="H3930">
        <v>520.4</v>
      </c>
      <c r="I3930">
        <v>7.9</v>
      </c>
      <c r="J3930">
        <v>79</v>
      </c>
      <c r="K3930" t="s">
        <v>22</v>
      </c>
      <c r="L3930">
        <v>28</v>
      </c>
      <c r="M3930">
        <v>3.03</v>
      </c>
      <c r="N3930">
        <v>9</v>
      </c>
      <c r="O3930" t="s">
        <v>21</v>
      </c>
      <c r="P3930" cm="1">
        <f t="array" ref="P3930">_xlfn.SWITCH(Table2[[#This Row],[mood]], "Tired", 3, "Neutral", 2, "Happy", 1)</f>
        <v>1</v>
      </c>
    </row>
    <row r="3931" spans="1:16" x14ac:dyDescent="0.3">
      <c r="A3931">
        <v>1069</v>
      </c>
      <c r="B3931" s="1">
        <v>45934</v>
      </c>
      <c r="C3931">
        <v>20</v>
      </c>
      <c r="D3931" t="s">
        <v>15</v>
      </c>
      <c r="E3931">
        <v>172.5</v>
      </c>
      <c r="F3931">
        <v>85</v>
      </c>
      <c r="G3931">
        <v>13438</v>
      </c>
      <c r="H3931">
        <v>775.5</v>
      </c>
      <c r="I3931">
        <v>7.8</v>
      </c>
      <c r="J3931">
        <v>68</v>
      </c>
      <c r="K3931" t="s">
        <v>22</v>
      </c>
      <c r="L3931">
        <v>79</v>
      </c>
      <c r="M3931">
        <v>2.1800000000000002</v>
      </c>
      <c r="N3931">
        <v>4</v>
      </c>
      <c r="O3931" t="s">
        <v>17</v>
      </c>
      <c r="P3931" cm="1">
        <f t="array" ref="P3931">_xlfn.SWITCH(Table2[[#This Row],[mood]], "Tired", 3, "Neutral", 2, "Happy", 1)</f>
        <v>3</v>
      </c>
    </row>
    <row r="3932" spans="1:16" x14ac:dyDescent="0.3">
      <c r="A3932">
        <v>1638</v>
      </c>
      <c r="B3932" s="1">
        <v>45935</v>
      </c>
      <c r="C3932">
        <v>26</v>
      </c>
      <c r="D3932" t="s">
        <v>20</v>
      </c>
      <c r="E3932">
        <v>165.8</v>
      </c>
      <c r="F3932">
        <v>66.2</v>
      </c>
      <c r="G3932">
        <v>5852</v>
      </c>
      <c r="H3932">
        <v>420.9</v>
      </c>
      <c r="I3932">
        <v>8.1</v>
      </c>
      <c r="J3932">
        <v>81</v>
      </c>
      <c r="K3932" t="s">
        <v>25</v>
      </c>
      <c r="L3932">
        <v>61</v>
      </c>
      <c r="M3932">
        <v>2.69</v>
      </c>
      <c r="N3932">
        <v>2</v>
      </c>
      <c r="O3932" t="s">
        <v>21</v>
      </c>
      <c r="P3932" cm="1">
        <f t="array" ref="P3932">_xlfn.SWITCH(Table2[[#This Row],[mood]], "Tired", 3, "Neutral", 2, "Happy", 1)</f>
        <v>1</v>
      </c>
    </row>
    <row r="3933" spans="1:16" x14ac:dyDescent="0.3">
      <c r="A3933">
        <v>1398</v>
      </c>
      <c r="B3933" s="1">
        <v>45936</v>
      </c>
      <c r="C3933">
        <v>58</v>
      </c>
      <c r="D3933" t="s">
        <v>20</v>
      </c>
      <c r="E3933">
        <v>170.4</v>
      </c>
      <c r="F3933">
        <v>68.8</v>
      </c>
      <c r="G3933">
        <v>7713</v>
      </c>
      <c r="H3933">
        <v>452.8</v>
      </c>
      <c r="I3933">
        <v>5.2</v>
      </c>
      <c r="J3933">
        <v>75</v>
      </c>
      <c r="K3933" t="s">
        <v>23</v>
      </c>
      <c r="L3933">
        <v>78</v>
      </c>
      <c r="M3933">
        <v>2.4300000000000002</v>
      </c>
      <c r="N3933">
        <v>3</v>
      </c>
      <c r="O3933" t="s">
        <v>21</v>
      </c>
      <c r="P3933" cm="1">
        <f t="array" ref="P3933">_xlfn.SWITCH(Table2[[#This Row],[mood]], "Tired", 3, "Neutral", 2, "Happy", 1)</f>
        <v>1</v>
      </c>
    </row>
    <row r="3934" spans="1:16" x14ac:dyDescent="0.3">
      <c r="A3934">
        <v>1977</v>
      </c>
      <c r="B3934" s="1">
        <v>45937</v>
      </c>
      <c r="C3934">
        <v>56</v>
      </c>
      <c r="D3934" t="s">
        <v>20</v>
      </c>
      <c r="E3934">
        <v>174.5</v>
      </c>
      <c r="F3934">
        <v>82.1</v>
      </c>
      <c r="G3934">
        <v>4183</v>
      </c>
      <c r="H3934">
        <v>306.7</v>
      </c>
      <c r="I3934">
        <v>4.7</v>
      </c>
      <c r="J3934">
        <v>84</v>
      </c>
      <c r="K3934" t="s">
        <v>23</v>
      </c>
      <c r="L3934">
        <v>59</v>
      </c>
      <c r="M3934">
        <v>2.21</v>
      </c>
      <c r="N3934">
        <v>9</v>
      </c>
      <c r="O3934" t="s">
        <v>19</v>
      </c>
      <c r="P3934" cm="1">
        <f t="array" ref="P3934">_xlfn.SWITCH(Table2[[#This Row],[mood]], "Tired", 3, "Neutral", 2, "Happy", 1)</f>
        <v>2</v>
      </c>
    </row>
    <row r="3935" spans="1:16" x14ac:dyDescent="0.3">
      <c r="A3935">
        <v>1671</v>
      </c>
      <c r="B3935" s="1">
        <v>45938</v>
      </c>
      <c r="C3935">
        <v>43</v>
      </c>
      <c r="D3935" t="s">
        <v>20</v>
      </c>
      <c r="E3935">
        <v>184.7</v>
      </c>
      <c r="F3935">
        <v>71.099999999999994</v>
      </c>
      <c r="G3935">
        <v>9032</v>
      </c>
      <c r="H3935">
        <v>494.7</v>
      </c>
      <c r="I3935">
        <v>7.4</v>
      </c>
      <c r="J3935">
        <v>99</v>
      </c>
      <c r="K3935" t="s">
        <v>24</v>
      </c>
      <c r="L3935">
        <v>48</v>
      </c>
      <c r="M3935">
        <v>1.33</v>
      </c>
      <c r="N3935">
        <v>8</v>
      </c>
      <c r="O3935" t="s">
        <v>17</v>
      </c>
      <c r="P3935" cm="1">
        <f t="array" ref="P3935">_xlfn.SWITCH(Table2[[#This Row],[mood]], "Tired", 3, "Neutral", 2, "Happy", 1)</f>
        <v>3</v>
      </c>
    </row>
    <row r="3936" spans="1:16" x14ac:dyDescent="0.3">
      <c r="A3936">
        <v>1759</v>
      </c>
      <c r="B3936" s="1">
        <v>45939</v>
      </c>
      <c r="C3936">
        <v>19</v>
      </c>
      <c r="D3936" t="s">
        <v>15</v>
      </c>
      <c r="E3936">
        <v>164.9</v>
      </c>
      <c r="F3936">
        <v>75.7</v>
      </c>
      <c r="G3936">
        <v>15275</v>
      </c>
      <c r="H3936">
        <v>791</v>
      </c>
      <c r="I3936">
        <v>7.3</v>
      </c>
      <c r="J3936">
        <v>75</v>
      </c>
      <c r="K3936" t="s">
        <v>23</v>
      </c>
      <c r="L3936">
        <v>74</v>
      </c>
      <c r="M3936">
        <v>2.42</v>
      </c>
      <c r="N3936">
        <v>3</v>
      </c>
      <c r="O3936" t="s">
        <v>17</v>
      </c>
      <c r="P3936" cm="1">
        <f t="array" ref="P3936">_xlfn.SWITCH(Table2[[#This Row],[mood]], "Tired", 3, "Neutral", 2, "Happy", 1)</f>
        <v>3</v>
      </c>
    </row>
    <row r="3937" spans="1:16" x14ac:dyDescent="0.3">
      <c r="A3937">
        <v>1202</v>
      </c>
      <c r="B3937" s="1">
        <v>45940</v>
      </c>
      <c r="C3937">
        <v>40</v>
      </c>
      <c r="D3937" t="s">
        <v>15</v>
      </c>
      <c r="E3937">
        <v>171.4</v>
      </c>
      <c r="F3937">
        <v>71.2</v>
      </c>
      <c r="G3937">
        <v>19793</v>
      </c>
      <c r="H3937">
        <v>900</v>
      </c>
      <c r="I3937">
        <v>6.5</v>
      </c>
      <c r="J3937">
        <v>64</v>
      </c>
      <c r="K3937" t="s">
        <v>22</v>
      </c>
      <c r="L3937">
        <v>83</v>
      </c>
      <c r="M3937">
        <v>3.02</v>
      </c>
      <c r="N3937">
        <v>8</v>
      </c>
      <c r="O3937" t="s">
        <v>17</v>
      </c>
      <c r="P3937" cm="1">
        <f t="array" ref="P3937">_xlfn.SWITCH(Table2[[#This Row],[mood]], "Tired", 3, "Neutral", 2, "Happy", 1)</f>
        <v>3</v>
      </c>
    </row>
    <row r="3938" spans="1:16" x14ac:dyDescent="0.3">
      <c r="A3938">
        <v>1147</v>
      </c>
      <c r="B3938" s="1">
        <v>45941</v>
      </c>
      <c r="C3938">
        <v>40</v>
      </c>
      <c r="D3938" t="s">
        <v>15</v>
      </c>
      <c r="E3938">
        <v>178.7</v>
      </c>
      <c r="F3938">
        <v>73</v>
      </c>
      <c r="G3938">
        <v>5298</v>
      </c>
      <c r="H3938">
        <v>404.3</v>
      </c>
      <c r="I3938">
        <v>9.1999999999999993</v>
      </c>
      <c r="J3938">
        <v>59</v>
      </c>
      <c r="K3938" t="s">
        <v>25</v>
      </c>
      <c r="L3938">
        <v>61</v>
      </c>
      <c r="M3938">
        <v>1.85</v>
      </c>
      <c r="N3938">
        <v>4</v>
      </c>
      <c r="O3938" t="s">
        <v>21</v>
      </c>
      <c r="P3938" cm="1">
        <f t="array" ref="P3938">_xlfn.SWITCH(Table2[[#This Row],[mood]], "Tired", 3, "Neutral", 2, "Happy", 1)</f>
        <v>1</v>
      </c>
    </row>
    <row r="3939" spans="1:16" x14ac:dyDescent="0.3">
      <c r="A3939">
        <v>1471</v>
      </c>
      <c r="B3939" s="1">
        <v>45942</v>
      </c>
      <c r="C3939">
        <v>38</v>
      </c>
      <c r="D3939" t="s">
        <v>20</v>
      </c>
      <c r="E3939">
        <v>155.6</v>
      </c>
      <c r="F3939">
        <v>53.8</v>
      </c>
      <c r="G3939">
        <v>19918</v>
      </c>
      <c r="H3939">
        <v>900</v>
      </c>
      <c r="I3939">
        <v>7</v>
      </c>
      <c r="J3939">
        <v>66</v>
      </c>
      <c r="K3939" t="s">
        <v>22</v>
      </c>
      <c r="L3939">
        <v>48</v>
      </c>
      <c r="M3939">
        <v>2.35</v>
      </c>
      <c r="N3939">
        <v>6</v>
      </c>
      <c r="O3939" t="s">
        <v>19</v>
      </c>
      <c r="P3939" cm="1">
        <f t="array" ref="P3939">_xlfn.SWITCH(Table2[[#This Row],[mood]], "Tired", 3, "Neutral", 2, "Happy", 1)</f>
        <v>2</v>
      </c>
    </row>
    <row r="3940" spans="1:16" x14ac:dyDescent="0.3">
      <c r="A3940">
        <v>1654</v>
      </c>
      <c r="B3940" s="1">
        <v>45943</v>
      </c>
      <c r="C3940">
        <v>33</v>
      </c>
      <c r="D3940" t="s">
        <v>20</v>
      </c>
      <c r="E3940">
        <v>190</v>
      </c>
      <c r="F3940">
        <v>71.8</v>
      </c>
      <c r="G3940">
        <v>6599</v>
      </c>
      <c r="H3940">
        <v>378</v>
      </c>
      <c r="I3940">
        <v>8.8000000000000007</v>
      </c>
      <c r="J3940">
        <v>86</v>
      </c>
      <c r="K3940" t="s">
        <v>18</v>
      </c>
      <c r="L3940">
        <v>40</v>
      </c>
      <c r="M3940">
        <v>2.4500000000000002</v>
      </c>
      <c r="N3940">
        <v>4</v>
      </c>
      <c r="O3940" t="s">
        <v>19</v>
      </c>
      <c r="P3940" cm="1">
        <f t="array" ref="P3940">_xlfn.SWITCH(Table2[[#This Row],[mood]], "Tired", 3, "Neutral", 2, "Happy", 1)</f>
        <v>2</v>
      </c>
    </row>
    <row r="3941" spans="1:16" x14ac:dyDescent="0.3">
      <c r="A3941">
        <v>1943</v>
      </c>
      <c r="B3941" s="1">
        <v>45944</v>
      </c>
      <c r="C3941">
        <v>26</v>
      </c>
      <c r="D3941" t="s">
        <v>20</v>
      </c>
      <c r="E3941">
        <v>181.8</v>
      </c>
      <c r="F3941">
        <v>91.4</v>
      </c>
      <c r="G3941">
        <v>1003</v>
      </c>
      <c r="H3941">
        <v>201.9</v>
      </c>
      <c r="I3941">
        <v>8.3000000000000007</v>
      </c>
      <c r="J3941">
        <v>80</v>
      </c>
      <c r="K3941" t="s">
        <v>25</v>
      </c>
      <c r="L3941">
        <v>82</v>
      </c>
      <c r="M3941">
        <v>3.27</v>
      </c>
      <c r="N3941">
        <v>5</v>
      </c>
      <c r="O3941" t="s">
        <v>17</v>
      </c>
      <c r="P3941" cm="1">
        <f t="array" ref="P3941">_xlfn.SWITCH(Table2[[#This Row],[mood]], "Tired", 3, "Neutral", 2, "Happy", 1)</f>
        <v>3</v>
      </c>
    </row>
    <row r="3942" spans="1:16" x14ac:dyDescent="0.3">
      <c r="A3942">
        <v>1198</v>
      </c>
      <c r="B3942" s="1">
        <v>45945</v>
      </c>
      <c r="C3942">
        <v>30</v>
      </c>
      <c r="D3942" t="s">
        <v>15</v>
      </c>
      <c r="E3942">
        <v>152.9</v>
      </c>
      <c r="F3942">
        <v>72.5</v>
      </c>
      <c r="G3942">
        <v>14440</v>
      </c>
      <c r="H3942">
        <v>748.6</v>
      </c>
      <c r="I3942">
        <v>5.4</v>
      </c>
      <c r="J3942">
        <v>77</v>
      </c>
      <c r="K3942" t="s">
        <v>18</v>
      </c>
      <c r="L3942">
        <v>82</v>
      </c>
      <c r="M3942">
        <v>2.52</v>
      </c>
      <c r="N3942">
        <v>10</v>
      </c>
      <c r="O3942" t="s">
        <v>17</v>
      </c>
      <c r="P3942" cm="1">
        <f t="array" ref="P3942">_xlfn.SWITCH(Table2[[#This Row],[mood]], "Tired", 3, "Neutral", 2, "Happy", 1)</f>
        <v>3</v>
      </c>
    </row>
    <row r="3943" spans="1:16" x14ac:dyDescent="0.3">
      <c r="A3943">
        <v>1916</v>
      </c>
      <c r="B3943" s="1">
        <v>45946</v>
      </c>
      <c r="C3943">
        <v>45</v>
      </c>
      <c r="D3943" t="s">
        <v>20</v>
      </c>
      <c r="E3943">
        <v>173.7</v>
      </c>
      <c r="F3943">
        <v>57.5</v>
      </c>
      <c r="G3943">
        <v>12289</v>
      </c>
      <c r="H3943">
        <v>661.2</v>
      </c>
      <c r="I3943">
        <v>5.7</v>
      </c>
      <c r="J3943">
        <v>79</v>
      </c>
      <c r="K3943" t="s">
        <v>18</v>
      </c>
      <c r="L3943">
        <v>57</v>
      </c>
      <c r="M3943">
        <v>2.7</v>
      </c>
      <c r="N3943">
        <v>9</v>
      </c>
      <c r="O3943" t="s">
        <v>21</v>
      </c>
      <c r="P3943" cm="1">
        <f t="array" ref="P3943">_xlfn.SWITCH(Table2[[#This Row],[mood]], "Tired", 3, "Neutral", 2, "Happy", 1)</f>
        <v>1</v>
      </c>
    </row>
    <row r="3944" spans="1:16" x14ac:dyDescent="0.3">
      <c r="A3944">
        <v>1425</v>
      </c>
      <c r="B3944" s="1">
        <v>45947</v>
      </c>
      <c r="C3944">
        <v>44</v>
      </c>
      <c r="D3944" t="s">
        <v>15</v>
      </c>
      <c r="E3944">
        <v>164.4</v>
      </c>
      <c r="F3944">
        <v>92.1</v>
      </c>
      <c r="G3944">
        <v>12040</v>
      </c>
      <c r="H3944">
        <v>682.5</v>
      </c>
      <c r="I3944">
        <v>5.0999999999999996</v>
      </c>
      <c r="J3944">
        <v>82</v>
      </c>
      <c r="K3944" t="s">
        <v>24</v>
      </c>
      <c r="L3944">
        <v>85</v>
      </c>
      <c r="M3944">
        <v>2.4900000000000002</v>
      </c>
      <c r="N3944">
        <v>2</v>
      </c>
      <c r="O3944" t="s">
        <v>21</v>
      </c>
      <c r="P3944" cm="1">
        <f t="array" ref="P3944">_xlfn.SWITCH(Table2[[#This Row],[mood]], "Tired", 3, "Neutral", 2, "Happy", 1)</f>
        <v>1</v>
      </c>
    </row>
    <row r="3945" spans="1:16" x14ac:dyDescent="0.3">
      <c r="A3945">
        <v>1665</v>
      </c>
      <c r="B3945" s="1">
        <v>45948</v>
      </c>
      <c r="C3945">
        <v>34</v>
      </c>
      <c r="D3945" t="s">
        <v>15</v>
      </c>
      <c r="E3945">
        <v>166</v>
      </c>
      <c r="F3945">
        <v>80.8</v>
      </c>
      <c r="G3945">
        <v>14264</v>
      </c>
      <c r="H3945">
        <v>776.8</v>
      </c>
      <c r="I3945">
        <v>7.6</v>
      </c>
      <c r="J3945">
        <v>59</v>
      </c>
      <c r="K3945" t="s">
        <v>18</v>
      </c>
      <c r="L3945">
        <v>31</v>
      </c>
      <c r="M3945">
        <v>2.16</v>
      </c>
      <c r="N3945">
        <v>9</v>
      </c>
      <c r="O3945" t="s">
        <v>21</v>
      </c>
      <c r="P3945" cm="1">
        <f t="array" ref="P3945">_xlfn.SWITCH(Table2[[#This Row],[mood]], "Tired", 3, "Neutral", 2, "Happy", 1)</f>
        <v>1</v>
      </c>
    </row>
    <row r="3946" spans="1:16" x14ac:dyDescent="0.3">
      <c r="A3946">
        <v>1491</v>
      </c>
      <c r="B3946" s="1">
        <v>45949</v>
      </c>
      <c r="C3946">
        <v>55</v>
      </c>
      <c r="D3946" t="s">
        <v>15</v>
      </c>
      <c r="E3946">
        <v>173.5</v>
      </c>
      <c r="F3946">
        <v>81.5</v>
      </c>
      <c r="G3946">
        <v>17410</v>
      </c>
      <c r="H3946">
        <v>875.2</v>
      </c>
      <c r="I3946">
        <v>7.1</v>
      </c>
      <c r="J3946">
        <v>85</v>
      </c>
      <c r="K3946" t="s">
        <v>23</v>
      </c>
      <c r="L3946">
        <v>52</v>
      </c>
      <c r="M3946">
        <v>1.71</v>
      </c>
      <c r="N3946">
        <v>3</v>
      </c>
      <c r="O3946" t="s">
        <v>19</v>
      </c>
      <c r="P3946" cm="1">
        <f t="array" ref="P3946">_xlfn.SWITCH(Table2[[#This Row],[mood]], "Tired", 3, "Neutral", 2, "Happy", 1)</f>
        <v>2</v>
      </c>
    </row>
    <row r="3947" spans="1:16" x14ac:dyDescent="0.3">
      <c r="A3947">
        <v>1887</v>
      </c>
      <c r="B3947" s="1">
        <v>45950</v>
      </c>
      <c r="C3947">
        <v>53</v>
      </c>
      <c r="D3947" t="s">
        <v>15</v>
      </c>
      <c r="E3947">
        <v>180.5</v>
      </c>
      <c r="F3947">
        <v>81.099999999999994</v>
      </c>
      <c r="G3947">
        <v>6161</v>
      </c>
      <c r="H3947">
        <v>412.8</v>
      </c>
      <c r="I3947">
        <v>9</v>
      </c>
      <c r="J3947">
        <v>79</v>
      </c>
      <c r="K3947" t="s">
        <v>23</v>
      </c>
      <c r="L3947">
        <v>20</v>
      </c>
      <c r="M3947">
        <v>2.2999999999999998</v>
      </c>
      <c r="N3947">
        <v>5</v>
      </c>
      <c r="O3947" t="s">
        <v>21</v>
      </c>
      <c r="P3947" cm="1">
        <f t="array" ref="P3947">_xlfn.SWITCH(Table2[[#This Row],[mood]], "Tired", 3, "Neutral", 2, "Happy", 1)</f>
        <v>1</v>
      </c>
    </row>
    <row r="3948" spans="1:16" x14ac:dyDescent="0.3">
      <c r="A3948">
        <v>1895</v>
      </c>
      <c r="B3948" s="1">
        <v>45951</v>
      </c>
      <c r="C3948">
        <v>18</v>
      </c>
      <c r="D3948" t="s">
        <v>20</v>
      </c>
      <c r="E3948">
        <v>165.3</v>
      </c>
      <c r="F3948">
        <v>53.1</v>
      </c>
      <c r="G3948">
        <v>1964</v>
      </c>
      <c r="H3948">
        <v>277.5</v>
      </c>
      <c r="I3948">
        <v>7.9</v>
      </c>
      <c r="J3948">
        <v>61</v>
      </c>
      <c r="K3948" t="s">
        <v>18</v>
      </c>
      <c r="L3948">
        <v>87</v>
      </c>
      <c r="M3948">
        <v>2.78</v>
      </c>
      <c r="N3948">
        <v>7</v>
      </c>
      <c r="O3948" t="s">
        <v>21</v>
      </c>
      <c r="P3948" cm="1">
        <f t="array" ref="P3948">_xlfn.SWITCH(Table2[[#This Row],[mood]], "Tired", 3, "Neutral", 2, "Happy", 1)</f>
        <v>1</v>
      </c>
    </row>
    <row r="3949" spans="1:16" x14ac:dyDescent="0.3">
      <c r="A3949">
        <v>1141</v>
      </c>
      <c r="B3949" s="1">
        <v>45952</v>
      </c>
      <c r="C3949">
        <v>35</v>
      </c>
      <c r="D3949" t="s">
        <v>15</v>
      </c>
      <c r="E3949">
        <v>165.5</v>
      </c>
      <c r="F3949">
        <v>79.7</v>
      </c>
      <c r="G3949">
        <v>16942</v>
      </c>
      <c r="H3949">
        <v>900</v>
      </c>
      <c r="I3949">
        <v>5.0999999999999996</v>
      </c>
      <c r="J3949">
        <v>78</v>
      </c>
      <c r="K3949" t="s">
        <v>24</v>
      </c>
      <c r="L3949">
        <v>47</v>
      </c>
      <c r="M3949">
        <v>2.59</v>
      </c>
      <c r="N3949">
        <v>2</v>
      </c>
      <c r="O3949" t="s">
        <v>21</v>
      </c>
      <c r="P3949" cm="1">
        <f t="array" ref="P3949">_xlfn.SWITCH(Table2[[#This Row],[mood]], "Tired", 3, "Neutral", 2, "Happy", 1)</f>
        <v>1</v>
      </c>
    </row>
    <row r="3950" spans="1:16" x14ac:dyDescent="0.3">
      <c r="A3950">
        <v>1312</v>
      </c>
      <c r="B3950" s="1">
        <v>45953</v>
      </c>
      <c r="C3950">
        <v>26</v>
      </c>
      <c r="D3950" t="s">
        <v>20</v>
      </c>
      <c r="E3950">
        <v>173.7</v>
      </c>
      <c r="F3950">
        <v>90.8</v>
      </c>
      <c r="G3950">
        <v>17455</v>
      </c>
      <c r="H3950">
        <v>825.4</v>
      </c>
      <c r="I3950">
        <v>6.3</v>
      </c>
      <c r="J3950">
        <v>62</v>
      </c>
      <c r="K3950" t="s">
        <v>18</v>
      </c>
      <c r="L3950">
        <v>81</v>
      </c>
      <c r="M3950">
        <v>3.54</v>
      </c>
      <c r="N3950">
        <v>4</v>
      </c>
      <c r="O3950" t="s">
        <v>17</v>
      </c>
      <c r="P3950" cm="1">
        <f t="array" ref="P3950">_xlfn.SWITCH(Table2[[#This Row],[mood]], "Tired", 3, "Neutral", 2, "Happy", 1)</f>
        <v>3</v>
      </c>
    </row>
    <row r="3951" spans="1:16" x14ac:dyDescent="0.3">
      <c r="A3951">
        <v>1164</v>
      </c>
      <c r="B3951" s="1">
        <v>45954</v>
      </c>
      <c r="C3951">
        <v>30</v>
      </c>
      <c r="D3951" t="s">
        <v>15</v>
      </c>
      <c r="E3951">
        <v>175.7</v>
      </c>
      <c r="F3951">
        <v>62.8</v>
      </c>
      <c r="G3951">
        <v>6601</v>
      </c>
      <c r="H3951">
        <v>520.6</v>
      </c>
      <c r="I3951">
        <v>3.8</v>
      </c>
      <c r="J3951">
        <v>80</v>
      </c>
      <c r="K3951" t="s">
        <v>25</v>
      </c>
      <c r="L3951">
        <v>78</v>
      </c>
      <c r="M3951">
        <v>3.16</v>
      </c>
      <c r="N3951">
        <v>1</v>
      </c>
      <c r="O3951" t="s">
        <v>21</v>
      </c>
      <c r="P3951" cm="1">
        <f t="array" ref="P3951">_xlfn.SWITCH(Table2[[#This Row],[mood]], "Tired", 3, "Neutral", 2, "Happy", 1)</f>
        <v>1</v>
      </c>
    </row>
    <row r="3952" spans="1:16" x14ac:dyDescent="0.3">
      <c r="A3952">
        <v>1313</v>
      </c>
      <c r="B3952" s="1">
        <v>45955</v>
      </c>
      <c r="C3952">
        <v>57</v>
      </c>
      <c r="D3952" t="s">
        <v>20</v>
      </c>
      <c r="E3952">
        <v>159.9</v>
      </c>
      <c r="F3952">
        <v>45</v>
      </c>
      <c r="G3952">
        <v>15184</v>
      </c>
      <c r="H3952">
        <v>725.7</v>
      </c>
      <c r="I3952">
        <v>7.4</v>
      </c>
      <c r="J3952">
        <v>76</v>
      </c>
      <c r="K3952" t="s">
        <v>25</v>
      </c>
      <c r="L3952">
        <v>68</v>
      </c>
      <c r="M3952">
        <v>3.37</v>
      </c>
      <c r="N3952">
        <v>3</v>
      </c>
      <c r="O3952" t="s">
        <v>17</v>
      </c>
      <c r="P3952" cm="1">
        <f t="array" ref="P3952">_xlfn.SWITCH(Table2[[#This Row],[mood]], "Tired", 3, "Neutral", 2, "Happy", 1)</f>
        <v>3</v>
      </c>
    </row>
    <row r="3953" spans="1:16" x14ac:dyDescent="0.3">
      <c r="A3953">
        <v>1020</v>
      </c>
      <c r="B3953" s="1">
        <v>45956</v>
      </c>
      <c r="C3953">
        <v>32</v>
      </c>
      <c r="D3953" t="s">
        <v>20</v>
      </c>
      <c r="E3953">
        <v>187.2</v>
      </c>
      <c r="F3953">
        <v>75.5</v>
      </c>
      <c r="G3953">
        <v>3947</v>
      </c>
      <c r="H3953">
        <v>376</v>
      </c>
      <c r="I3953">
        <v>10</v>
      </c>
      <c r="J3953">
        <v>65</v>
      </c>
      <c r="K3953" t="s">
        <v>25</v>
      </c>
      <c r="L3953">
        <v>64</v>
      </c>
      <c r="M3953">
        <v>1.08</v>
      </c>
      <c r="N3953">
        <v>6</v>
      </c>
      <c r="O3953" t="s">
        <v>19</v>
      </c>
      <c r="P3953" cm="1">
        <f t="array" ref="P3953">_xlfn.SWITCH(Table2[[#This Row],[mood]], "Tired", 3, "Neutral", 2, "Happy", 1)</f>
        <v>2</v>
      </c>
    </row>
    <row r="3954" spans="1:16" x14ac:dyDescent="0.3">
      <c r="A3954">
        <v>1081</v>
      </c>
      <c r="B3954" s="1">
        <v>45957</v>
      </c>
      <c r="C3954">
        <v>21</v>
      </c>
      <c r="D3954" t="s">
        <v>15</v>
      </c>
      <c r="E3954">
        <v>163.6</v>
      </c>
      <c r="F3954">
        <v>70.5</v>
      </c>
      <c r="G3954">
        <v>11507</v>
      </c>
      <c r="H3954">
        <v>712.8</v>
      </c>
      <c r="I3954">
        <v>7.2</v>
      </c>
      <c r="J3954">
        <v>79</v>
      </c>
      <c r="K3954" t="s">
        <v>25</v>
      </c>
      <c r="L3954">
        <v>25</v>
      </c>
      <c r="M3954">
        <v>3.61</v>
      </c>
      <c r="N3954">
        <v>2</v>
      </c>
      <c r="O3954" t="s">
        <v>19</v>
      </c>
      <c r="P3954" cm="1">
        <f t="array" ref="P3954">_xlfn.SWITCH(Table2[[#This Row],[mood]], "Tired", 3, "Neutral", 2, "Happy", 1)</f>
        <v>2</v>
      </c>
    </row>
    <row r="3955" spans="1:16" x14ac:dyDescent="0.3">
      <c r="A3955">
        <v>1580</v>
      </c>
      <c r="B3955" s="1">
        <v>45958</v>
      </c>
      <c r="C3955">
        <v>50</v>
      </c>
      <c r="D3955" t="s">
        <v>15</v>
      </c>
      <c r="E3955">
        <v>179.6</v>
      </c>
      <c r="F3955">
        <v>46.8</v>
      </c>
      <c r="G3955">
        <v>13089</v>
      </c>
      <c r="H3955">
        <v>657.4</v>
      </c>
      <c r="I3955">
        <v>7.3</v>
      </c>
      <c r="J3955">
        <v>83</v>
      </c>
      <c r="K3955" t="s">
        <v>18</v>
      </c>
      <c r="L3955">
        <v>39</v>
      </c>
      <c r="M3955">
        <v>2.69</v>
      </c>
      <c r="N3955">
        <v>8</v>
      </c>
      <c r="O3955" t="s">
        <v>17</v>
      </c>
      <c r="P3955" cm="1">
        <f t="array" ref="P3955">_xlfn.SWITCH(Table2[[#This Row],[mood]], "Tired", 3, "Neutral", 2, "Happy", 1)</f>
        <v>3</v>
      </c>
    </row>
    <row r="3956" spans="1:16" x14ac:dyDescent="0.3">
      <c r="A3956">
        <v>1130</v>
      </c>
      <c r="B3956" s="1">
        <v>45959</v>
      </c>
      <c r="C3956">
        <v>41</v>
      </c>
      <c r="D3956" t="s">
        <v>15</v>
      </c>
      <c r="E3956">
        <v>174.5</v>
      </c>
      <c r="F3956">
        <v>79.099999999999994</v>
      </c>
      <c r="G3956">
        <v>7238</v>
      </c>
      <c r="H3956">
        <v>507.1</v>
      </c>
      <c r="I3956">
        <v>7</v>
      </c>
      <c r="J3956">
        <v>69</v>
      </c>
      <c r="K3956" t="s">
        <v>22</v>
      </c>
      <c r="L3956">
        <v>35</v>
      </c>
      <c r="M3956">
        <v>2.79</v>
      </c>
      <c r="N3956">
        <v>7</v>
      </c>
      <c r="O3956" t="s">
        <v>17</v>
      </c>
      <c r="P3956" cm="1">
        <f t="array" ref="P3956">_xlfn.SWITCH(Table2[[#This Row],[mood]], "Tired", 3, "Neutral", 2, "Happy", 1)</f>
        <v>3</v>
      </c>
    </row>
    <row r="3957" spans="1:16" x14ac:dyDescent="0.3">
      <c r="A3957">
        <v>1598</v>
      </c>
      <c r="B3957" s="1">
        <v>45960</v>
      </c>
      <c r="C3957">
        <v>53</v>
      </c>
      <c r="D3957" t="s">
        <v>20</v>
      </c>
      <c r="E3957">
        <v>176.1</v>
      </c>
      <c r="F3957">
        <v>78</v>
      </c>
      <c r="G3957">
        <v>14156</v>
      </c>
      <c r="H3957">
        <v>713.9</v>
      </c>
      <c r="I3957">
        <v>7.5</v>
      </c>
      <c r="J3957">
        <v>83</v>
      </c>
      <c r="K3957" t="s">
        <v>22</v>
      </c>
      <c r="L3957">
        <v>31</v>
      </c>
      <c r="M3957">
        <v>3.13</v>
      </c>
      <c r="N3957">
        <v>3</v>
      </c>
      <c r="O3957" t="s">
        <v>21</v>
      </c>
      <c r="P3957" cm="1">
        <f t="array" ref="P3957">_xlfn.SWITCH(Table2[[#This Row],[mood]], "Tired", 3, "Neutral", 2, "Happy", 1)</f>
        <v>1</v>
      </c>
    </row>
    <row r="3958" spans="1:16" x14ac:dyDescent="0.3">
      <c r="A3958">
        <v>1729</v>
      </c>
      <c r="B3958" s="1">
        <v>45961</v>
      </c>
      <c r="C3958">
        <v>58</v>
      </c>
      <c r="D3958" t="s">
        <v>15</v>
      </c>
      <c r="E3958">
        <v>163.80000000000001</v>
      </c>
      <c r="F3958">
        <v>48</v>
      </c>
      <c r="G3958">
        <v>3411</v>
      </c>
      <c r="H3958">
        <v>395</v>
      </c>
      <c r="I3958">
        <v>6.8</v>
      </c>
      <c r="J3958">
        <v>72</v>
      </c>
      <c r="K3958" t="s">
        <v>16</v>
      </c>
      <c r="L3958">
        <v>0</v>
      </c>
      <c r="M3958">
        <v>2.5099999999999998</v>
      </c>
      <c r="N3958">
        <v>1</v>
      </c>
      <c r="O3958" t="s">
        <v>21</v>
      </c>
      <c r="P3958" cm="1">
        <f t="array" ref="P3958">_xlfn.SWITCH(Table2[[#This Row],[mood]], "Tired", 3, "Neutral", 2, "Happy", 1)</f>
        <v>1</v>
      </c>
    </row>
    <row r="3959" spans="1:16" x14ac:dyDescent="0.3">
      <c r="A3959">
        <v>1932</v>
      </c>
      <c r="B3959" s="1">
        <v>45962</v>
      </c>
      <c r="C3959">
        <v>27</v>
      </c>
      <c r="D3959" t="s">
        <v>15</v>
      </c>
      <c r="E3959">
        <v>152.80000000000001</v>
      </c>
      <c r="F3959">
        <v>98.3</v>
      </c>
      <c r="G3959">
        <v>16674</v>
      </c>
      <c r="H3959">
        <v>787</v>
      </c>
      <c r="I3959">
        <v>7.9</v>
      </c>
      <c r="J3959">
        <v>84</v>
      </c>
      <c r="K3959" t="s">
        <v>25</v>
      </c>
      <c r="L3959">
        <v>39</v>
      </c>
      <c r="M3959">
        <v>1.75</v>
      </c>
      <c r="N3959">
        <v>10</v>
      </c>
      <c r="O3959" t="s">
        <v>19</v>
      </c>
      <c r="P3959" cm="1">
        <f t="array" ref="P3959">_xlfn.SWITCH(Table2[[#This Row],[mood]], "Tired", 3, "Neutral", 2, "Happy", 1)</f>
        <v>2</v>
      </c>
    </row>
    <row r="3960" spans="1:16" x14ac:dyDescent="0.3">
      <c r="A3960">
        <v>1983</v>
      </c>
      <c r="B3960" s="1">
        <v>45963</v>
      </c>
      <c r="C3960">
        <v>53</v>
      </c>
      <c r="D3960" t="s">
        <v>20</v>
      </c>
      <c r="E3960">
        <v>169.8</v>
      </c>
      <c r="F3960">
        <v>81.3</v>
      </c>
      <c r="G3960">
        <v>9308</v>
      </c>
      <c r="H3960">
        <v>527.70000000000005</v>
      </c>
      <c r="I3960">
        <v>5.8</v>
      </c>
      <c r="J3960">
        <v>74</v>
      </c>
      <c r="K3960" t="s">
        <v>16</v>
      </c>
      <c r="L3960">
        <v>0</v>
      </c>
      <c r="M3960">
        <v>3.51</v>
      </c>
      <c r="N3960">
        <v>4</v>
      </c>
      <c r="O3960" t="s">
        <v>19</v>
      </c>
      <c r="P3960" cm="1">
        <f t="array" ref="P3960">_xlfn.SWITCH(Table2[[#This Row],[mood]], "Tired", 3, "Neutral", 2, "Happy", 1)</f>
        <v>2</v>
      </c>
    </row>
    <row r="3961" spans="1:16" x14ac:dyDescent="0.3">
      <c r="A3961">
        <v>1304</v>
      </c>
      <c r="B3961" s="1">
        <v>45964</v>
      </c>
      <c r="C3961">
        <v>37</v>
      </c>
      <c r="D3961" t="s">
        <v>15</v>
      </c>
      <c r="E3961">
        <v>169.8</v>
      </c>
      <c r="F3961">
        <v>45</v>
      </c>
      <c r="G3961">
        <v>11403</v>
      </c>
      <c r="H3961">
        <v>662.7</v>
      </c>
      <c r="I3961">
        <v>5.9</v>
      </c>
      <c r="J3961">
        <v>87</v>
      </c>
      <c r="K3961" t="s">
        <v>16</v>
      </c>
      <c r="L3961">
        <v>0</v>
      </c>
      <c r="M3961">
        <v>1.96</v>
      </c>
      <c r="N3961">
        <v>4</v>
      </c>
      <c r="O3961" t="s">
        <v>19</v>
      </c>
      <c r="P3961" cm="1">
        <f t="array" ref="P3961">_xlfn.SWITCH(Table2[[#This Row],[mood]], "Tired", 3, "Neutral", 2, "Happy", 1)</f>
        <v>2</v>
      </c>
    </row>
    <row r="3962" spans="1:16" x14ac:dyDescent="0.3">
      <c r="A3962">
        <v>1914</v>
      </c>
      <c r="B3962" s="1">
        <v>45965</v>
      </c>
      <c r="C3962">
        <v>58</v>
      </c>
      <c r="D3962" t="s">
        <v>20</v>
      </c>
      <c r="E3962">
        <v>160.4</v>
      </c>
      <c r="F3962">
        <v>82.3</v>
      </c>
      <c r="G3962">
        <v>3924</v>
      </c>
      <c r="H3962">
        <v>392.5</v>
      </c>
      <c r="I3962">
        <v>5.0999999999999996</v>
      </c>
      <c r="J3962">
        <v>66</v>
      </c>
      <c r="K3962" t="s">
        <v>24</v>
      </c>
      <c r="L3962">
        <v>21</v>
      </c>
      <c r="M3962">
        <v>1.81</v>
      </c>
      <c r="N3962">
        <v>5</v>
      </c>
      <c r="O3962" t="s">
        <v>19</v>
      </c>
      <c r="P3962" cm="1">
        <f t="array" ref="P3962">_xlfn.SWITCH(Table2[[#This Row],[mood]], "Tired", 3, "Neutral", 2, "Happy", 1)</f>
        <v>2</v>
      </c>
    </row>
    <row r="3963" spans="1:16" x14ac:dyDescent="0.3">
      <c r="A3963">
        <v>1370</v>
      </c>
      <c r="B3963" s="1">
        <v>45966</v>
      </c>
      <c r="C3963">
        <v>28</v>
      </c>
      <c r="D3963" t="s">
        <v>15</v>
      </c>
      <c r="E3963">
        <v>179.2</v>
      </c>
      <c r="F3963">
        <v>81.8</v>
      </c>
      <c r="G3963">
        <v>3837</v>
      </c>
      <c r="H3963">
        <v>358.1</v>
      </c>
      <c r="I3963">
        <v>7</v>
      </c>
      <c r="J3963">
        <v>66</v>
      </c>
      <c r="K3963" t="s">
        <v>24</v>
      </c>
      <c r="L3963">
        <v>53</v>
      </c>
      <c r="M3963">
        <v>2.34</v>
      </c>
      <c r="N3963">
        <v>3</v>
      </c>
      <c r="O3963" t="s">
        <v>21</v>
      </c>
      <c r="P3963" cm="1">
        <f t="array" ref="P3963">_xlfn.SWITCH(Table2[[#This Row],[mood]], "Tired", 3, "Neutral", 2, "Happy", 1)</f>
        <v>1</v>
      </c>
    </row>
    <row r="3964" spans="1:16" x14ac:dyDescent="0.3">
      <c r="A3964">
        <v>1856</v>
      </c>
      <c r="B3964" s="1">
        <v>45967</v>
      </c>
      <c r="C3964">
        <v>29</v>
      </c>
      <c r="D3964" t="s">
        <v>20</v>
      </c>
      <c r="E3964">
        <v>169.5</v>
      </c>
      <c r="F3964">
        <v>91.2</v>
      </c>
      <c r="G3964">
        <v>1576</v>
      </c>
      <c r="H3964">
        <v>287.8</v>
      </c>
      <c r="I3964">
        <v>5.3</v>
      </c>
      <c r="J3964">
        <v>67</v>
      </c>
      <c r="K3964" t="s">
        <v>18</v>
      </c>
      <c r="L3964">
        <v>45</v>
      </c>
      <c r="M3964">
        <v>2.23</v>
      </c>
      <c r="N3964">
        <v>2</v>
      </c>
      <c r="O3964" t="s">
        <v>21</v>
      </c>
      <c r="P3964" cm="1">
        <f t="array" ref="P3964">_xlfn.SWITCH(Table2[[#This Row],[mood]], "Tired", 3, "Neutral", 2, "Happy", 1)</f>
        <v>1</v>
      </c>
    </row>
    <row r="3965" spans="1:16" x14ac:dyDescent="0.3">
      <c r="A3965">
        <v>1852</v>
      </c>
      <c r="B3965" s="1">
        <v>45968</v>
      </c>
      <c r="C3965">
        <v>35</v>
      </c>
      <c r="D3965" t="s">
        <v>20</v>
      </c>
      <c r="E3965">
        <v>161.9</v>
      </c>
      <c r="F3965">
        <v>60.6</v>
      </c>
      <c r="G3965">
        <v>15641</v>
      </c>
      <c r="H3965">
        <v>798.2</v>
      </c>
      <c r="I3965">
        <v>9.1999999999999993</v>
      </c>
      <c r="J3965">
        <v>76</v>
      </c>
      <c r="K3965" t="s">
        <v>22</v>
      </c>
      <c r="L3965">
        <v>52</v>
      </c>
      <c r="M3965">
        <v>2.5</v>
      </c>
      <c r="N3965">
        <v>2</v>
      </c>
      <c r="O3965" t="s">
        <v>19</v>
      </c>
      <c r="P3965" cm="1">
        <f t="array" ref="P3965">_xlfn.SWITCH(Table2[[#This Row],[mood]], "Tired", 3, "Neutral", 2, "Happy", 1)</f>
        <v>2</v>
      </c>
    </row>
    <row r="3966" spans="1:16" x14ac:dyDescent="0.3">
      <c r="A3966">
        <v>1383</v>
      </c>
      <c r="B3966" s="1">
        <v>45969</v>
      </c>
      <c r="C3966">
        <v>47</v>
      </c>
      <c r="D3966" t="s">
        <v>15</v>
      </c>
      <c r="E3966">
        <v>175.9</v>
      </c>
      <c r="F3966">
        <v>82.5</v>
      </c>
      <c r="G3966">
        <v>9963</v>
      </c>
      <c r="H3966">
        <v>544</v>
      </c>
      <c r="I3966">
        <v>6.4</v>
      </c>
      <c r="J3966">
        <v>73</v>
      </c>
      <c r="K3966" t="s">
        <v>18</v>
      </c>
      <c r="L3966">
        <v>61</v>
      </c>
      <c r="M3966">
        <v>2.4300000000000002</v>
      </c>
      <c r="N3966">
        <v>8</v>
      </c>
      <c r="O3966" t="s">
        <v>21</v>
      </c>
      <c r="P3966" cm="1">
        <f t="array" ref="P3966">_xlfn.SWITCH(Table2[[#This Row],[mood]], "Tired", 3, "Neutral", 2, "Happy", 1)</f>
        <v>1</v>
      </c>
    </row>
    <row r="3967" spans="1:16" x14ac:dyDescent="0.3">
      <c r="A3967">
        <v>1907</v>
      </c>
      <c r="B3967" s="1">
        <v>45970</v>
      </c>
      <c r="C3967">
        <v>54</v>
      </c>
      <c r="D3967" t="s">
        <v>20</v>
      </c>
      <c r="E3967">
        <v>176.1</v>
      </c>
      <c r="F3967">
        <v>66.5</v>
      </c>
      <c r="G3967">
        <v>9391</v>
      </c>
      <c r="H3967">
        <v>648.9</v>
      </c>
      <c r="I3967">
        <v>4</v>
      </c>
      <c r="J3967">
        <v>78</v>
      </c>
      <c r="K3967" t="s">
        <v>23</v>
      </c>
      <c r="L3967">
        <v>84</v>
      </c>
      <c r="M3967">
        <v>3.44</v>
      </c>
      <c r="N3967">
        <v>7</v>
      </c>
      <c r="O3967" t="s">
        <v>21</v>
      </c>
      <c r="P3967" cm="1">
        <f t="array" ref="P3967">_xlfn.SWITCH(Table2[[#This Row],[mood]], "Tired", 3, "Neutral", 2, "Happy", 1)</f>
        <v>1</v>
      </c>
    </row>
    <row r="3968" spans="1:16" x14ac:dyDescent="0.3">
      <c r="A3968">
        <v>1444</v>
      </c>
      <c r="B3968" s="1">
        <v>45971</v>
      </c>
      <c r="C3968">
        <v>37</v>
      </c>
      <c r="D3968" t="s">
        <v>15</v>
      </c>
      <c r="E3968">
        <v>162.80000000000001</v>
      </c>
      <c r="F3968">
        <v>61.7</v>
      </c>
      <c r="G3968">
        <v>19139</v>
      </c>
      <c r="H3968">
        <v>900</v>
      </c>
      <c r="I3968">
        <v>5.3</v>
      </c>
      <c r="J3968">
        <v>63</v>
      </c>
      <c r="K3968" t="s">
        <v>25</v>
      </c>
      <c r="L3968">
        <v>27</v>
      </c>
      <c r="M3968">
        <v>2.82</v>
      </c>
      <c r="N3968">
        <v>1</v>
      </c>
      <c r="O3968" t="s">
        <v>17</v>
      </c>
      <c r="P3968" cm="1">
        <f t="array" ref="P3968">_xlfn.SWITCH(Table2[[#This Row],[mood]], "Tired", 3, "Neutral", 2, "Happy", 1)</f>
        <v>3</v>
      </c>
    </row>
    <row r="3969" spans="1:16" x14ac:dyDescent="0.3">
      <c r="A3969">
        <v>1424</v>
      </c>
      <c r="B3969" s="1">
        <v>45972</v>
      </c>
      <c r="C3969">
        <v>42</v>
      </c>
      <c r="D3969" t="s">
        <v>15</v>
      </c>
      <c r="E3969">
        <v>182.3</v>
      </c>
      <c r="F3969">
        <v>57</v>
      </c>
      <c r="G3969">
        <v>9371</v>
      </c>
      <c r="H3969">
        <v>550.5</v>
      </c>
      <c r="I3969">
        <v>7.2</v>
      </c>
      <c r="J3969">
        <v>68</v>
      </c>
      <c r="K3969" t="s">
        <v>23</v>
      </c>
      <c r="L3969">
        <v>84</v>
      </c>
      <c r="M3969">
        <v>1.9</v>
      </c>
      <c r="N3969">
        <v>9</v>
      </c>
      <c r="O3969" t="s">
        <v>17</v>
      </c>
      <c r="P3969" cm="1">
        <f t="array" ref="P3969">_xlfn.SWITCH(Table2[[#This Row],[mood]], "Tired", 3, "Neutral", 2, "Happy", 1)</f>
        <v>3</v>
      </c>
    </row>
    <row r="3970" spans="1:16" x14ac:dyDescent="0.3">
      <c r="A3970">
        <v>1160</v>
      </c>
      <c r="B3970" s="1">
        <v>45973</v>
      </c>
      <c r="C3970">
        <v>29</v>
      </c>
      <c r="D3970" t="s">
        <v>20</v>
      </c>
      <c r="E3970">
        <v>192.4</v>
      </c>
      <c r="F3970">
        <v>45</v>
      </c>
      <c r="G3970">
        <v>19789</v>
      </c>
      <c r="H3970">
        <v>900</v>
      </c>
      <c r="I3970">
        <v>8</v>
      </c>
      <c r="J3970">
        <v>88</v>
      </c>
      <c r="K3970" t="s">
        <v>23</v>
      </c>
      <c r="L3970">
        <v>29</v>
      </c>
      <c r="M3970">
        <v>2</v>
      </c>
      <c r="N3970">
        <v>3</v>
      </c>
      <c r="O3970" t="s">
        <v>19</v>
      </c>
      <c r="P3970" cm="1">
        <f t="array" ref="P3970">_xlfn.SWITCH(Table2[[#This Row],[mood]], "Tired", 3, "Neutral", 2, "Happy", 1)</f>
        <v>2</v>
      </c>
    </row>
    <row r="3971" spans="1:16" x14ac:dyDescent="0.3">
      <c r="A3971">
        <v>1177</v>
      </c>
      <c r="B3971" s="1">
        <v>45974</v>
      </c>
      <c r="C3971">
        <v>38</v>
      </c>
      <c r="D3971" t="s">
        <v>15</v>
      </c>
      <c r="E3971">
        <v>159.1</v>
      </c>
      <c r="F3971">
        <v>78.099999999999994</v>
      </c>
      <c r="G3971">
        <v>7883</v>
      </c>
      <c r="H3971">
        <v>576.5</v>
      </c>
      <c r="I3971">
        <v>7.5</v>
      </c>
      <c r="J3971">
        <v>79</v>
      </c>
      <c r="K3971" t="s">
        <v>16</v>
      </c>
      <c r="L3971">
        <v>0</v>
      </c>
      <c r="M3971">
        <v>2.23</v>
      </c>
      <c r="N3971">
        <v>3</v>
      </c>
      <c r="O3971" t="s">
        <v>19</v>
      </c>
      <c r="P3971" cm="1">
        <f t="array" ref="P3971">_xlfn.SWITCH(Table2[[#This Row],[mood]], "Tired", 3, "Neutral", 2, "Happy", 1)</f>
        <v>2</v>
      </c>
    </row>
    <row r="3972" spans="1:16" x14ac:dyDescent="0.3">
      <c r="A3972">
        <v>1628</v>
      </c>
      <c r="B3972" s="1">
        <v>45975</v>
      </c>
      <c r="C3972">
        <v>42</v>
      </c>
      <c r="D3972" t="s">
        <v>20</v>
      </c>
      <c r="E3972">
        <v>168.2</v>
      </c>
      <c r="F3972">
        <v>65.900000000000006</v>
      </c>
      <c r="G3972">
        <v>16658</v>
      </c>
      <c r="H3972">
        <v>900</v>
      </c>
      <c r="I3972">
        <v>5.8</v>
      </c>
      <c r="J3972">
        <v>81</v>
      </c>
      <c r="K3972" t="s">
        <v>24</v>
      </c>
      <c r="L3972">
        <v>70</v>
      </c>
      <c r="M3972">
        <v>2.23</v>
      </c>
      <c r="N3972">
        <v>1</v>
      </c>
      <c r="O3972" t="s">
        <v>19</v>
      </c>
      <c r="P3972" cm="1">
        <f t="array" ref="P3972">_xlfn.SWITCH(Table2[[#This Row],[mood]], "Tired", 3, "Neutral", 2, "Happy", 1)</f>
        <v>2</v>
      </c>
    </row>
    <row r="3973" spans="1:16" x14ac:dyDescent="0.3">
      <c r="A3973">
        <v>1707</v>
      </c>
      <c r="B3973" s="1">
        <v>45976</v>
      </c>
      <c r="C3973">
        <v>28</v>
      </c>
      <c r="D3973" t="s">
        <v>20</v>
      </c>
      <c r="E3973">
        <v>173.4</v>
      </c>
      <c r="F3973">
        <v>45</v>
      </c>
      <c r="G3973">
        <v>7139</v>
      </c>
      <c r="H3973">
        <v>474.7</v>
      </c>
      <c r="I3973">
        <v>6.1</v>
      </c>
      <c r="J3973">
        <v>72</v>
      </c>
      <c r="K3973" t="s">
        <v>22</v>
      </c>
      <c r="L3973">
        <v>76</v>
      </c>
      <c r="M3973">
        <v>2.14</v>
      </c>
      <c r="N3973">
        <v>4</v>
      </c>
      <c r="O3973" t="s">
        <v>19</v>
      </c>
      <c r="P3973" cm="1">
        <f t="array" ref="P3973">_xlfn.SWITCH(Table2[[#This Row],[mood]], "Tired", 3, "Neutral", 2, "Happy", 1)</f>
        <v>2</v>
      </c>
    </row>
    <row r="3974" spans="1:16" x14ac:dyDescent="0.3">
      <c r="A3974">
        <v>1894</v>
      </c>
      <c r="B3974" s="1">
        <v>45977</v>
      </c>
      <c r="C3974">
        <v>26</v>
      </c>
      <c r="D3974" t="s">
        <v>20</v>
      </c>
      <c r="E3974">
        <v>192.8</v>
      </c>
      <c r="F3974">
        <v>71.099999999999994</v>
      </c>
      <c r="G3974">
        <v>15184</v>
      </c>
      <c r="H3974">
        <v>774.3</v>
      </c>
      <c r="I3974">
        <v>6</v>
      </c>
      <c r="J3974">
        <v>78</v>
      </c>
      <c r="K3974" t="s">
        <v>16</v>
      </c>
      <c r="L3974">
        <v>0</v>
      </c>
      <c r="M3974">
        <v>1.73</v>
      </c>
      <c r="N3974">
        <v>10</v>
      </c>
      <c r="O3974" t="s">
        <v>19</v>
      </c>
      <c r="P3974" cm="1">
        <f t="array" ref="P3974">_xlfn.SWITCH(Table2[[#This Row],[mood]], "Tired", 3, "Neutral", 2, "Happy", 1)</f>
        <v>2</v>
      </c>
    </row>
    <row r="3975" spans="1:16" x14ac:dyDescent="0.3">
      <c r="A3975">
        <v>1489</v>
      </c>
      <c r="B3975" s="1">
        <v>45978</v>
      </c>
      <c r="C3975">
        <v>42</v>
      </c>
      <c r="D3975" t="s">
        <v>20</v>
      </c>
      <c r="E3975">
        <v>162.69999999999999</v>
      </c>
      <c r="F3975">
        <v>87.4</v>
      </c>
      <c r="G3975">
        <v>13965</v>
      </c>
      <c r="H3975">
        <v>745.6</v>
      </c>
      <c r="I3975">
        <v>7.8</v>
      </c>
      <c r="J3975">
        <v>70</v>
      </c>
      <c r="K3975" t="s">
        <v>16</v>
      </c>
      <c r="L3975">
        <v>0</v>
      </c>
      <c r="M3975">
        <v>2.7</v>
      </c>
      <c r="N3975">
        <v>2</v>
      </c>
      <c r="O3975" t="s">
        <v>21</v>
      </c>
      <c r="P3975" cm="1">
        <f t="array" ref="P3975">_xlfn.SWITCH(Table2[[#This Row],[mood]], "Tired", 3, "Neutral", 2, "Happy", 1)</f>
        <v>1</v>
      </c>
    </row>
    <row r="3976" spans="1:16" x14ac:dyDescent="0.3">
      <c r="A3976">
        <v>1326</v>
      </c>
      <c r="B3976" s="1">
        <v>45979</v>
      </c>
      <c r="C3976">
        <v>52</v>
      </c>
      <c r="D3976" t="s">
        <v>20</v>
      </c>
      <c r="E3976">
        <v>160.6</v>
      </c>
      <c r="F3976">
        <v>50.4</v>
      </c>
      <c r="G3976">
        <v>11493</v>
      </c>
      <c r="H3976">
        <v>649.20000000000005</v>
      </c>
      <c r="I3976">
        <v>7.2</v>
      </c>
      <c r="J3976">
        <v>56</v>
      </c>
      <c r="K3976" t="s">
        <v>25</v>
      </c>
      <c r="L3976">
        <v>50</v>
      </c>
      <c r="M3976">
        <v>2.1800000000000002</v>
      </c>
      <c r="N3976">
        <v>3</v>
      </c>
      <c r="O3976" t="s">
        <v>17</v>
      </c>
      <c r="P3976" cm="1">
        <f t="array" ref="P3976">_xlfn.SWITCH(Table2[[#This Row],[mood]], "Tired", 3, "Neutral", 2, "Happy", 1)</f>
        <v>3</v>
      </c>
    </row>
    <row r="3977" spans="1:16" x14ac:dyDescent="0.3">
      <c r="A3977">
        <v>1597</v>
      </c>
      <c r="B3977" s="1">
        <v>45980</v>
      </c>
      <c r="C3977">
        <v>49</v>
      </c>
      <c r="D3977" t="s">
        <v>20</v>
      </c>
      <c r="E3977">
        <v>160.5</v>
      </c>
      <c r="F3977">
        <v>59.3</v>
      </c>
      <c r="G3977">
        <v>2119</v>
      </c>
      <c r="H3977">
        <v>323.2</v>
      </c>
      <c r="I3977">
        <v>6.3</v>
      </c>
      <c r="J3977">
        <v>85</v>
      </c>
      <c r="K3977" t="s">
        <v>18</v>
      </c>
      <c r="L3977">
        <v>82</v>
      </c>
      <c r="M3977">
        <v>1.83</v>
      </c>
      <c r="N3977">
        <v>1</v>
      </c>
      <c r="O3977" t="s">
        <v>17</v>
      </c>
      <c r="P3977" cm="1">
        <f t="array" ref="P3977">_xlfn.SWITCH(Table2[[#This Row],[mood]], "Tired", 3, "Neutral", 2, "Happy", 1)</f>
        <v>3</v>
      </c>
    </row>
    <row r="3978" spans="1:16" x14ac:dyDescent="0.3">
      <c r="A3978">
        <v>1288</v>
      </c>
      <c r="B3978" s="1">
        <v>45981</v>
      </c>
      <c r="C3978">
        <v>31</v>
      </c>
      <c r="D3978" t="s">
        <v>20</v>
      </c>
      <c r="E3978">
        <v>182.2</v>
      </c>
      <c r="F3978">
        <v>76.599999999999994</v>
      </c>
      <c r="G3978">
        <v>3214</v>
      </c>
      <c r="H3978">
        <v>271.7</v>
      </c>
      <c r="I3978">
        <v>6</v>
      </c>
      <c r="J3978">
        <v>77</v>
      </c>
      <c r="K3978" t="s">
        <v>25</v>
      </c>
      <c r="L3978">
        <v>87</v>
      </c>
      <c r="M3978">
        <v>2.84</v>
      </c>
      <c r="N3978">
        <v>3</v>
      </c>
      <c r="O3978" t="s">
        <v>17</v>
      </c>
      <c r="P3978" cm="1">
        <f t="array" ref="P3978">_xlfn.SWITCH(Table2[[#This Row],[mood]], "Tired", 3, "Neutral", 2, "Happy", 1)</f>
        <v>3</v>
      </c>
    </row>
    <row r="3979" spans="1:16" x14ac:dyDescent="0.3">
      <c r="A3979">
        <v>1592</v>
      </c>
      <c r="B3979" s="1">
        <v>45982</v>
      </c>
      <c r="C3979">
        <v>18</v>
      </c>
      <c r="D3979" t="s">
        <v>20</v>
      </c>
      <c r="E3979">
        <v>162.9</v>
      </c>
      <c r="F3979">
        <v>45</v>
      </c>
      <c r="G3979">
        <v>9000</v>
      </c>
      <c r="H3979">
        <v>530.79999999999995</v>
      </c>
      <c r="I3979">
        <v>6.2</v>
      </c>
      <c r="J3979">
        <v>68</v>
      </c>
      <c r="K3979" t="s">
        <v>18</v>
      </c>
      <c r="L3979">
        <v>75</v>
      </c>
      <c r="M3979">
        <v>3.09</v>
      </c>
      <c r="N3979">
        <v>4</v>
      </c>
      <c r="O3979" t="s">
        <v>21</v>
      </c>
      <c r="P3979" cm="1">
        <f t="array" ref="P3979">_xlfn.SWITCH(Table2[[#This Row],[mood]], "Tired", 3, "Neutral", 2, "Happy", 1)</f>
        <v>1</v>
      </c>
    </row>
    <row r="3980" spans="1:16" x14ac:dyDescent="0.3">
      <c r="A3980">
        <v>1663</v>
      </c>
      <c r="B3980" s="1">
        <v>45983</v>
      </c>
      <c r="C3980">
        <v>34</v>
      </c>
      <c r="D3980" t="s">
        <v>15</v>
      </c>
      <c r="E3980">
        <v>161.5</v>
      </c>
      <c r="F3980">
        <v>62</v>
      </c>
      <c r="G3980">
        <v>9065</v>
      </c>
      <c r="H3980">
        <v>553.4</v>
      </c>
      <c r="I3980">
        <v>7</v>
      </c>
      <c r="J3980">
        <v>75</v>
      </c>
      <c r="K3980" t="s">
        <v>18</v>
      </c>
      <c r="L3980">
        <v>31</v>
      </c>
      <c r="M3980">
        <v>2.33</v>
      </c>
      <c r="N3980">
        <v>6</v>
      </c>
      <c r="O3980" t="s">
        <v>21</v>
      </c>
      <c r="P3980" cm="1">
        <f t="array" ref="P3980">_xlfn.SWITCH(Table2[[#This Row],[mood]], "Tired", 3, "Neutral", 2, "Happy", 1)</f>
        <v>1</v>
      </c>
    </row>
    <row r="3981" spans="1:16" x14ac:dyDescent="0.3">
      <c r="A3981">
        <v>1572</v>
      </c>
      <c r="B3981" s="1">
        <v>45984</v>
      </c>
      <c r="C3981">
        <v>42</v>
      </c>
      <c r="D3981" t="s">
        <v>15</v>
      </c>
      <c r="E3981">
        <v>172.3</v>
      </c>
      <c r="F3981">
        <v>75.2</v>
      </c>
      <c r="G3981">
        <v>11103</v>
      </c>
      <c r="H3981">
        <v>657</v>
      </c>
      <c r="I3981">
        <v>9</v>
      </c>
      <c r="J3981">
        <v>70</v>
      </c>
      <c r="K3981" t="s">
        <v>22</v>
      </c>
      <c r="L3981">
        <v>50</v>
      </c>
      <c r="M3981">
        <v>3.75</v>
      </c>
      <c r="N3981">
        <v>3</v>
      </c>
      <c r="O3981" t="s">
        <v>21</v>
      </c>
      <c r="P3981" cm="1">
        <f t="array" ref="P3981">_xlfn.SWITCH(Table2[[#This Row],[mood]], "Tired", 3, "Neutral", 2, "Happy", 1)</f>
        <v>1</v>
      </c>
    </row>
    <row r="3982" spans="1:16" x14ac:dyDescent="0.3">
      <c r="A3982">
        <v>1572</v>
      </c>
      <c r="B3982" s="1">
        <v>45985</v>
      </c>
      <c r="C3982">
        <v>25</v>
      </c>
      <c r="D3982" t="s">
        <v>20</v>
      </c>
      <c r="E3982">
        <v>173.1</v>
      </c>
      <c r="F3982">
        <v>61.6</v>
      </c>
      <c r="G3982">
        <v>2085</v>
      </c>
      <c r="H3982">
        <v>326.7</v>
      </c>
      <c r="I3982">
        <v>7.3</v>
      </c>
      <c r="J3982">
        <v>90</v>
      </c>
      <c r="K3982" t="s">
        <v>23</v>
      </c>
      <c r="L3982">
        <v>42</v>
      </c>
      <c r="M3982">
        <v>4.05</v>
      </c>
      <c r="N3982">
        <v>6</v>
      </c>
      <c r="O3982" t="s">
        <v>17</v>
      </c>
      <c r="P3982" cm="1">
        <f t="array" ref="P3982">_xlfn.SWITCH(Table2[[#This Row],[mood]], "Tired", 3, "Neutral", 2, "Happy", 1)</f>
        <v>3</v>
      </c>
    </row>
    <row r="3983" spans="1:16" x14ac:dyDescent="0.3">
      <c r="A3983">
        <v>1353</v>
      </c>
      <c r="B3983" s="1">
        <v>45986</v>
      </c>
      <c r="C3983">
        <v>22</v>
      </c>
      <c r="D3983" t="s">
        <v>15</v>
      </c>
      <c r="E3983">
        <v>180.7</v>
      </c>
      <c r="F3983">
        <v>50.5</v>
      </c>
      <c r="G3983">
        <v>17557</v>
      </c>
      <c r="H3983">
        <v>900</v>
      </c>
      <c r="I3983">
        <v>6.5</v>
      </c>
      <c r="J3983">
        <v>82</v>
      </c>
      <c r="K3983" t="s">
        <v>18</v>
      </c>
      <c r="L3983">
        <v>52</v>
      </c>
      <c r="M3983">
        <v>2.85</v>
      </c>
      <c r="N3983">
        <v>2</v>
      </c>
      <c r="O3983" t="s">
        <v>17</v>
      </c>
      <c r="P3983" cm="1">
        <f t="array" ref="P3983">_xlfn.SWITCH(Table2[[#This Row],[mood]], "Tired", 3, "Neutral", 2, "Happy", 1)</f>
        <v>3</v>
      </c>
    </row>
    <row r="3984" spans="1:16" x14ac:dyDescent="0.3">
      <c r="A3984">
        <v>1027</v>
      </c>
      <c r="B3984" s="1">
        <v>45987</v>
      </c>
      <c r="C3984">
        <v>22</v>
      </c>
      <c r="D3984" t="s">
        <v>15</v>
      </c>
      <c r="E3984">
        <v>170.9</v>
      </c>
      <c r="F3984">
        <v>51.2</v>
      </c>
      <c r="G3984">
        <v>14564</v>
      </c>
      <c r="H3984">
        <v>870.2</v>
      </c>
      <c r="I3984">
        <v>6.4</v>
      </c>
      <c r="J3984">
        <v>64</v>
      </c>
      <c r="K3984" t="s">
        <v>22</v>
      </c>
      <c r="L3984">
        <v>27</v>
      </c>
      <c r="M3984">
        <v>2.17</v>
      </c>
      <c r="N3984">
        <v>8</v>
      </c>
      <c r="O3984" t="s">
        <v>17</v>
      </c>
      <c r="P3984" cm="1">
        <f t="array" ref="P3984">_xlfn.SWITCH(Table2[[#This Row],[mood]], "Tired", 3, "Neutral", 2, "Happy", 1)</f>
        <v>3</v>
      </c>
    </row>
    <row r="3985" spans="1:16" x14ac:dyDescent="0.3">
      <c r="A3985">
        <v>1953</v>
      </c>
      <c r="B3985" s="1">
        <v>45988</v>
      </c>
      <c r="C3985">
        <v>58</v>
      </c>
      <c r="D3985" t="s">
        <v>15</v>
      </c>
      <c r="E3985">
        <v>172.5</v>
      </c>
      <c r="F3985">
        <v>45.8</v>
      </c>
      <c r="G3985">
        <v>4532</v>
      </c>
      <c r="H3985">
        <v>331.7</v>
      </c>
      <c r="I3985">
        <v>9.6</v>
      </c>
      <c r="J3985">
        <v>62</v>
      </c>
      <c r="K3985" t="s">
        <v>23</v>
      </c>
      <c r="L3985">
        <v>81</v>
      </c>
      <c r="M3985">
        <v>2.69</v>
      </c>
      <c r="N3985">
        <v>5</v>
      </c>
      <c r="O3985" t="s">
        <v>17</v>
      </c>
      <c r="P3985" cm="1">
        <f t="array" ref="P3985">_xlfn.SWITCH(Table2[[#This Row],[mood]], "Tired", 3, "Neutral", 2, "Happy", 1)</f>
        <v>3</v>
      </c>
    </row>
    <row r="3986" spans="1:16" x14ac:dyDescent="0.3">
      <c r="A3986">
        <v>1042</v>
      </c>
      <c r="B3986" s="1">
        <v>45989</v>
      </c>
      <c r="C3986">
        <v>52</v>
      </c>
      <c r="D3986" t="s">
        <v>15</v>
      </c>
      <c r="E3986">
        <v>168.9</v>
      </c>
      <c r="F3986">
        <v>60.5</v>
      </c>
      <c r="G3986">
        <v>18622</v>
      </c>
      <c r="H3986">
        <v>900</v>
      </c>
      <c r="I3986">
        <v>8.1999999999999993</v>
      </c>
      <c r="J3986">
        <v>78</v>
      </c>
      <c r="K3986" t="s">
        <v>16</v>
      </c>
      <c r="L3986">
        <v>0</v>
      </c>
      <c r="M3986">
        <v>1.64</v>
      </c>
      <c r="N3986">
        <v>1</v>
      </c>
      <c r="O3986" t="s">
        <v>17</v>
      </c>
      <c r="P3986" cm="1">
        <f t="array" ref="P3986">_xlfn.SWITCH(Table2[[#This Row],[mood]], "Tired", 3, "Neutral", 2, "Happy", 1)</f>
        <v>3</v>
      </c>
    </row>
    <row r="3987" spans="1:16" x14ac:dyDescent="0.3">
      <c r="A3987">
        <v>1680</v>
      </c>
      <c r="B3987" s="1">
        <v>45990</v>
      </c>
      <c r="C3987">
        <v>36</v>
      </c>
      <c r="D3987" t="s">
        <v>15</v>
      </c>
      <c r="E3987">
        <v>157</v>
      </c>
      <c r="F3987">
        <v>85.8</v>
      </c>
      <c r="G3987">
        <v>5834</v>
      </c>
      <c r="H3987">
        <v>385.7</v>
      </c>
      <c r="I3987">
        <v>8.5</v>
      </c>
      <c r="J3987">
        <v>76</v>
      </c>
      <c r="K3987" t="s">
        <v>16</v>
      </c>
      <c r="L3987">
        <v>0</v>
      </c>
      <c r="M3987">
        <v>1.89</v>
      </c>
      <c r="N3987">
        <v>6</v>
      </c>
      <c r="O3987" t="s">
        <v>21</v>
      </c>
      <c r="P3987" cm="1">
        <f t="array" ref="P3987">_xlfn.SWITCH(Table2[[#This Row],[mood]], "Tired", 3, "Neutral", 2, "Happy", 1)</f>
        <v>1</v>
      </c>
    </row>
    <row r="3988" spans="1:16" x14ac:dyDescent="0.3">
      <c r="A3988">
        <v>1422</v>
      </c>
      <c r="B3988" s="1">
        <v>45991</v>
      </c>
      <c r="C3988">
        <v>40</v>
      </c>
      <c r="D3988" t="s">
        <v>15</v>
      </c>
      <c r="E3988">
        <v>168</v>
      </c>
      <c r="F3988">
        <v>105.4</v>
      </c>
      <c r="G3988">
        <v>13008</v>
      </c>
      <c r="H3988">
        <v>700.6</v>
      </c>
      <c r="I3988">
        <v>8.1</v>
      </c>
      <c r="J3988">
        <v>80</v>
      </c>
      <c r="K3988" t="s">
        <v>23</v>
      </c>
      <c r="L3988">
        <v>71</v>
      </c>
      <c r="M3988">
        <v>1.32</v>
      </c>
      <c r="N3988">
        <v>3</v>
      </c>
      <c r="O3988" t="s">
        <v>21</v>
      </c>
      <c r="P3988" cm="1">
        <f t="array" ref="P3988">_xlfn.SWITCH(Table2[[#This Row],[mood]], "Tired", 3, "Neutral", 2, "Happy", 1)</f>
        <v>1</v>
      </c>
    </row>
    <row r="3989" spans="1:16" x14ac:dyDescent="0.3">
      <c r="A3989">
        <v>1597</v>
      </c>
      <c r="B3989" s="1">
        <v>45992</v>
      </c>
      <c r="C3989">
        <v>26</v>
      </c>
      <c r="D3989" t="s">
        <v>20</v>
      </c>
      <c r="E3989">
        <v>170.6</v>
      </c>
      <c r="F3989">
        <v>70.5</v>
      </c>
      <c r="G3989">
        <v>13962</v>
      </c>
      <c r="H3989">
        <v>777.8</v>
      </c>
      <c r="I3989">
        <v>6.9</v>
      </c>
      <c r="J3989">
        <v>74</v>
      </c>
      <c r="K3989" t="s">
        <v>25</v>
      </c>
      <c r="L3989">
        <v>45</v>
      </c>
      <c r="M3989">
        <v>2.06</v>
      </c>
      <c r="N3989">
        <v>4</v>
      </c>
      <c r="O3989" t="s">
        <v>17</v>
      </c>
      <c r="P3989" cm="1">
        <f t="array" ref="P3989">_xlfn.SWITCH(Table2[[#This Row],[mood]], "Tired", 3, "Neutral", 2, "Happy", 1)</f>
        <v>3</v>
      </c>
    </row>
    <row r="3990" spans="1:16" x14ac:dyDescent="0.3">
      <c r="A3990">
        <v>1176</v>
      </c>
      <c r="B3990" s="1">
        <v>45993</v>
      </c>
      <c r="C3990">
        <v>47</v>
      </c>
      <c r="D3990" t="s">
        <v>15</v>
      </c>
      <c r="E3990">
        <v>165.6</v>
      </c>
      <c r="F3990">
        <v>81.5</v>
      </c>
      <c r="G3990">
        <v>15461</v>
      </c>
      <c r="H3990">
        <v>877.3</v>
      </c>
      <c r="I3990">
        <v>8.8000000000000007</v>
      </c>
      <c r="J3990">
        <v>69</v>
      </c>
      <c r="K3990" t="s">
        <v>25</v>
      </c>
      <c r="L3990">
        <v>31</v>
      </c>
      <c r="M3990">
        <v>1.64</v>
      </c>
      <c r="N3990">
        <v>10</v>
      </c>
      <c r="O3990" t="s">
        <v>21</v>
      </c>
      <c r="P3990" cm="1">
        <f t="array" ref="P3990">_xlfn.SWITCH(Table2[[#This Row],[mood]], "Tired", 3, "Neutral", 2, "Happy", 1)</f>
        <v>1</v>
      </c>
    </row>
    <row r="3991" spans="1:16" x14ac:dyDescent="0.3">
      <c r="A3991">
        <v>1528</v>
      </c>
      <c r="B3991" s="1">
        <v>45994</v>
      </c>
      <c r="C3991">
        <v>33</v>
      </c>
      <c r="D3991" t="s">
        <v>15</v>
      </c>
      <c r="E3991">
        <v>154.4</v>
      </c>
      <c r="F3991">
        <v>55.9</v>
      </c>
      <c r="G3991">
        <v>15588</v>
      </c>
      <c r="H3991">
        <v>803.8</v>
      </c>
      <c r="I3991">
        <v>4.8</v>
      </c>
      <c r="J3991">
        <v>80</v>
      </c>
      <c r="K3991" t="s">
        <v>25</v>
      </c>
      <c r="L3991">
        <v>46</v>
      </c>
      <c r="M3991">
        <v>2.94</v>
      </c>
      <c r="N3991">
        <v>8</v>
      </c>
      <c r="O3991" t="s">
        <v>17</v>
      </c>
      <c r="P3991" cm="1">
        <f t="array" ref="P3991">_xlfn.SWITCH(Table2[[#This Row],[mood]], "Tired", 3, "Neutral", 2, "Happy", 1)</f>
        <v>3</v>
      </c>
    </row>
    <row r="3992" spans="1:16" x14ac:dyDescent="0.3">
      <c r="A3992">
        <v>1609</v>
      </c>
      <c r="B3992" s="1">
        <v>45995</v>
      </c>
      <c r="C3992">
        <v>50</v>
      </c>
      <c r="D3992" t="s">
        <v>15</v>
      </c>
      <c r="E3992">
        <v>158.69999999999999</v>
      </c>
      <c r="F3992">
        <v>45</v>
      </c>
      <c r="G3992">
        <v>9012</v>
      </c>
      <c r="H3992">
        <v>580.1</v>
      </c>
      <c r="I3992">
        <v>9.3000000000000007</v>
      </c>
      <c r="J3992">
        <v>81</v>
      </c>
      <c r="K3992" t="s">
        <v>24</v>
      </c>
      <c r="L3992">
        <v>87</v>
      </c>
      <c r="M3992">
        <v>1.98</v>
      </c>
      <c r="N3992">
        <v>8</v>
      </c>
      <c r="O3992" t="s">
        <v>17</v>
      </c>
      <c r="P3992" cm="1">
        <f t="array" ref="P3992">_xlfn.SWITCH(Table2[[#This Row],[mood]], "Tired", 3, "Neutral", 2, "Happy", 1)</f>
        <v>3</v>
      </c>
    </row>
    <row r="3993" spans="1:16" x14ac:dyDescent="0.3">
      <c r="A3993">
        <v>1965</v>
      </c>
      <c r="B3993" s="1">
        <v>45996</v>
      </c>
      <c r="C3993">
        <v>19</v>
      </c>
      <c r="D3993" t="s">
        <v>15</v>
      </c>
      <c r="E3993">
        <v>169.6</v>
      </c>
      <c r="F3993">
        <v>97.8</v>
      </c>
      <c r="G3993">
        <v>19357</v>
      </c>
      <c r="H3993">
        <v>900</v>
      </c>
      <c r="I3993">
        <v>8.1</v>
      </c>
      <c r="J3993">
        <v>88</v>
      </c>
      <c r="K3993" t="s">
        <v>23</v>
      </c>
      <c r="L3993">
        <v>49</v>
      </c>
      <c r="M3993">
        <v>2.69</v>
      </c>
      <c r="N3993">
        <v>8</v>
      </c>
      <c r="O3993" t="s">
        <v>17</v>
      </c>
      <c r="P3993" cm="1">
        <f t="array" ref="P3993">_xlfn.SWITCH(Table2[[#This Row],[mood]], "Tired", 3, "Neutral", 2, "Happy", 1)</f>
        <v>3</v>
      </c>
    </row>
    <row r="3994" spans="1:16" x14ac:dyDescent="0.3">
      <c r="A3994">
        <v>1493</v>
      </c>
      <c r="B3994" s="1">
        <v>45997</v>
      </c>
      <c r="C3994">
        <v>31</v>
      </c>
      <c r="D3994" t="s">
        <v>20</v>
      </c>
      <c r="E3994">
        <v>179.3</v>
      </c>
      <c r="F3994">
        <v>61.1</v>
      </c>
      <c r="G3994">
        <v>19628</v>
      </c>
      <c r="H3994">
        <v>870.3</v>
      </c>
      <c r="I3994">
        <v>7.7</v>
      </c>
      <c r="J3994">
        <v>82</v>
      </c>
      <c r="K3994" t="s">
        <v>24</v>
      </c>
      <c r="L3994">
        <v>23</v>
      </c>
      <c r="M3994">
        <v>3.02</v>
      </c>
      <c r="N3994">
        <v>5</v>
      </c>
      <c r="O3994" t="s">
        <v>21</v>
      </c>
      <c r="P3994" cm="1">
        <f t="array" ref="P3994">_xlfn.SWITCH(Table2[[#This Row],[mood]], "Tired", 3, "Neutral", 2, "Happy", 1)</f>
        <v>1</v>
      </c>
    </row>
    <row r="3995" spans="1:16" x14ac:dyDescent="0.3">
      <c r="A3995">
        <v>1197</v>
      </c>
      <c r="B3995" s="1">
        <v>45998</v>
      </c>
      <c r="C3995">
        <v>18</v>
      </c>
      <c r="D3995" t="s">
        <v>20</v>
      </c>
      <c r="E3995">
        <v>186.8</v>
      </c>
      <c r="F3995">
        <v>80.8</v>
      </c>
      <c r="G3995">
        <v>10849</v>
      </c>
      <c r="H3995">
        <v>632</v>
      </c>
      <c r="I3995">
        <v>5.9</v>
      </c>
      <c r="J3995">
        <v>67</v>
      </c>
      <c r="K3995" t="s">
        <v>25</v>
      </c>
      <c r="L3995">
        <v>73</v>
      </c>
      <c r="M3995">
        <v>3.32</v>
      </c>
      <c r="N3995">
        <v>1</v>
      </c>
      <c r="O3995" t="s">
        <v>19</v>
      </c>
      <c r="P3995" cm="1">
        <f t="array" ref="P3995">_xlfn.SWITCH(Table2[[#This Row],[mood]], "Tired", 3, "Neutral", 2, "Happy", 1)</f>
        <v>2</v>
      </c>
    </row>
    <row r="3996" spans="1:16" x14ac:dyDescent="0.3">
      <c r="A3996">
        <v>1609</v>
      </c>
      <c r="B3996" s="1">
        <v>45999</v>
      </c>
      <c r="C3996">
        <v>43</v>
      </c>
      <c r="D3996" t="s">
        <v>20</v>
      </c>
      <c r="E3996">
        <v>168.2</v>
      </c>
      <c r="F3996">
        <v>72.400000000000006</v>
      </c>
      <c r="G3996">
        <v>9604</v>
      </c>
      <c r="H3996">
        <v>522.1</v>
      </c>
      <c r="I3996">
        <v>8.4</v>
      </c>
      <c r="J3996">
        <v>78</v>
      </c>
      <c r="K3996" t="s">
        <v>22</v>
      </c>
      <c r="L3996">
        <v>53</v>
      </c>
      <c r="M3996">
        <v>2.25</v>
      </c>
      <c r="N3996">
        <v>9</v>
      </c>
      <c r="O3996" t="s">
        <v>19</v>
      </c>
      <c r="P3996" cm="1">
        <f t="array" ref="P3996">_xlfn.SWITCH(Table2[[#This Row],[mood]], "Tired", 3, "Neutral", 2, "Happy", 1)</f>
        <v>2</v>
      </c>
    </row>
    <row r="3997" spans="1:16" x14ac:dyDescent="0.3">
      <c r="A3997">
        <v>1576</v>
      </c>
      <c r="B3997" s="1">
        <v>46000</v>
      </c>
      <c r="C3997">
        <v>42</v>
      </c>
      <c r="D3997" t="s">
        <v>20</v>
      </c>
      <c r="E3997">
        <v>162.80000000000001</v>
      </c>
      <c r="F3997">
        <v>84.9</v>
      </c>
      <c r="G3997">
        <v>14767</v>
      </c>
      <c r="H3997">
        <v>854.3</v>
      </c>
      <c r="I3997">
        <v>8.6999999999999993</v>
      </c>
      <c r="J3997">
        <v>72</v>
      </c>
      <c r="K3997" t="s">
        <v>25</v>
      </c>
      <c r="L3997">
        <v>87</v>
      </c>
      <c r="M3997">
        <v>2.72</v>
      </c>
      <c r="N3997">
        <v>9</v>
      </c>
      <c r="O3997" t="s">
        <v>19</v>
      </c>
      <c r="P3997" cm="1">
        <f t="array" ref="P3997">_xlfn.SWITCH(Table2[[#This Row],[mood]], "Tired", 3, "Neutral", 2, "Happy", 1)</f>
        <v>2</v>
      </c>
    </row>
    <row r="3998" spans="1:16" x14ac:dyDescent="0.3">
      <c r="A3998">
        <v>1841</v>
      </c>
      <c r="B3998" s="1">
        <v>46001</v>
      </c>
      <c r="C3998">
        <v>33</v>
      </c>
      <c r="D3998" t="s">
        <v>15</v>
      </c>
      <c r="E3998">
        <v>166.3</v>
      </c>
      <c r="F3998">
        <v>84.3</v>
      </c>
      <c r="G3998">
        <v>16111</v>
      </c>
      <c r="H3998">
        <v>900</v>
      </c>
      <c r="I3998">
        <v>5.9</v>
      </c>
      <c r="J3998">
        <v>66</v>
      </c>
      <c r="K3998" t="s">
        <v>18</v>
      </c>
      <c r="L3998">
        <v>75</v>
      </c>
      <c r="M3998">
        <v>2.74</v>
      </c>
      <c r="N3998">
        <v>8</v>
      </c>
      <c r="O3998" t="s">
        <v>19</v>
      </c>
      <c r="P3998" cm="1">
        <f t="array" ref="P3998">_xlfn.SWITCH(Table2[[#This Row],[mood]], "Tired", 3, "Neutral", 2, "Happy", 1)</f>
        <v>2</v>
      </c>
    </row>
    <row r="3999" spans="1:16" x14ac:dyDescent="0.3">
      <c r="A3999">
        <v>1852</v>
      </c>
      <c r="B3999" s="1">
        <v>46002</v>
      </c>
      <c r="C3999">
        <v>32</v>
      </c>
      <c r="D3999" t="s">
        <v>20</v>
      </c>
      <c r="E3999">
        <v>159.5</v>
      </c>
      <c r="F3999">
        <v>74.2</v>
      </c>
      <c r="G3999">
        <v>8221</v>
      </c>
      <c r="H3999">
        <v>487</v>
      </c>
      <c r="I3999">
        <v>6</v>
      </c>
      <c r="J3999">
        <v>57</v>
      </c>
      <c r="K3999" t="s">
        <v>22</v>
      </c>
      <c r="L3999">
        <v>37</v>
      </c>
      <c r="M3999">
        <v>3.39</v>
      </c>
      <c r="N3999">
        <v>3</v>
      </c>
      <c r="O3999" t="s">
        <v>19</v>
      </c>
      <c r="P3999" cm="1">
        <f t="array" ref="P3999">_xlfn.SWITCH(Table2[[#This Row],[mood]], "Tired", 3, "Neutral", 2, "Happy", 1)</f>
        <v>2</v>
      </c>
    </row>
    <row r="4000" spans="1:16" x14ac:dyDescent="0.3">
      <c r="A4000">
        <v>1516</v>
      </c>
      <c r="B4000" s="1">
        <v>46003</v>
      </c>
      <c r="C4000">
        <v>43</v>
      </c>
      <c r="D4000" t="s">
        <v>20</v>
      </c>
      <c r="E4000">
        <v>177.9</v>
      </c>
      <c r="F4000">
        <v>75.8</v>
      </c>
      <c r="G4000">
        <v>8814</v>
      </c>
      <c r="H4000">
        <v>503.1</v>
      </c>
      <c r="I4000">
        <v>5.4</v>
      </c>
      <c r="J4000">
        <v>97</v>
      </c>
      <c r="K4000" t="s">
        <v>22</v>
      </c>
      <c r="L4000">
        <v>66</v>
      </c>
      <c r="M4000">
        <v>3.05</v>
      </c>
      <c r="N4000">
        <v>6</v>
      </c>
      <c r="O4000" t="s">
        <v>21</v>
      </c>
      <c r="P4000" cm="1">
        <f t="array" ref="P4000">_xlfn.SWITCH(Table2[[#This Row],[mood]], "Tired", 3, "Neutral", 2, "Happy", 1)</f>
        <v>1</v>
      </c>
    </row>
    <row r="4001" spans="1:16" x14ac:dyDescent="0.3">
      <c r="A4001">
        <v>1513</v>
      </c>
      <c r="B4001" s="1">
        <v>46004</v>
      </c>
      <c r="C4001">
        <v>33</v>
      </c>
      <c r="D4001" t="s">
        <v>20</v>
      </c>
      <c r="E4001">
        <v>191.4</v>
      </c>
      <c r="F4001">
        <v>88.2</v>
      </c>
      <c r="G4001">
        <v>12602</v>
      </c>
      <c r="H4001">
        <v>672.6</v>
      </c>
      <c r="I4001">
        <v>7.8</v>
      </c>
      <c r="J4001">
        <v>69</v>
      </c>
      <c r="K4001" t="s">
        <v>23</v>
      </c>
      <c r="L4001">
        <v>79</v>
      </c>
      <c r="M4001">
        <v>3.41</v>
      </c>
      <c r="N4001">
        <v>7</v>
      </c>
      <c r="O4001" t="s">
        <v>17</v>
      </c>
      <c r="P4001" cm="1">
        <f t="array" ref="P4001">_xlfn.SWITCH(Table2[[#This Row],[mood]], "Tired", 3, "Neutral", 2, "Happy", 1)</f>
        <v>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43930-9307-428C-A697-999DAEC6699E}">
  <dimension ref="A1:F943"/>
  <sheetViews>
    <sheetView zoomScale="55" zoomScaleNormal="55" workbookViewId="0">
      <selection activeCell="J18" sqref="J18"/>
    </sheetView>
  </sheetViews>
  <sheetFormatPr defaultRowHeight="14.4" x14ac:dyDescent="0.3"/>
  <cols>
    <col min="1" max="1" width="9" customWidth="1"/>
    <col min="2" max="2" width="20.44140625" bestFit="1" customWidth="1"/>
    <col min="3" max="3" width="15.77734375" customWidth="1"/>
    <col min="4" max="4" width="18.88671875" customWidth="1"/>
    <col min="5" max="5" width="26.33203125" customWidth="1"/>
  </cols>
  <sheetData>
    <row r="1" spans="1:6" x14ac:dyDescent="0.3">
      <c r="A1" t="s">
        <v>0</v>
      </c>
      <c r="B1" t="s">
        <v>30</v>
      </c>
      <c r="C1" t="s">
        <v>29</v>
      </c>
      <c r="D1" t="s">
        <v>32</v>
      </c>
      <c r="E1" t="s">
        <v>43</v>
      </c>
      <c r="F1" t="s">
        <v>52</v>
      </c>
    </row>
    <row r="2" spans="1:6" x14ac:dyDescent="0.3">
      <c r="A2">
        <v>1408</v>
      </c>
      <c r="B2" s="5">
        <v>1</v>
      </c>
      <c r="C2" s="5">
        <v>1</v>
      </c>
      <c r="D2" s="5">
        <v>3.1</v>
      </c>
      <c r="E2" s="5">
        <v>2.59</v>
      </c>
      <c r="F2" s="4" t="s">
        <v>20</v>
      </c>
    </row>
    <row r="3" spans="1:6" x14ac:dyDescent="0.3">
      <c r="A3">
        <v>1897</v>
      </c>
      <c r="B3" s="5">
        <v>10</v>
      </c>
      <c r="C3" s="5">
        <v>1</v>
      </c>
      <c r="D3" s="5">
        <v>3.1</v>
      </c>
      <c r="E3" s="5">
        <v>2.76</v>
      </c>
      <c r="F3" s="4" t="s">
        <v>20</v>
      </c>
    </row>
    <row r="4" spans="1:6" x14ac:dyDescent="0.3">
      <c r="A4">
        <v>1721</v>
      </c>
      <c r="B4" s="5">
        <v>1</v>
      </c>
      <c r="C4" s="5">
        <v>3</v>
      </c>
      <c r="D4" s="5">
        <v>3.3</v>
      </c>
      <c r="E4" s="5">
        <v>2.35</v>
      </c>
      <c r="F4" s="4" t="s">
        <v>15</v>
      </c>
    </row>
    <row r="5" spans="1:6" x14ac:dyDescent="0.3">
      <c r="A5">
        <v>1727</v>
      </c>
      <c r="B5" s="5">
        <v>3</v>
      </c>
      <c r="C5" s="5">
        <v>1</v>
      </c>
      <c r="D5" s="5">
        <v>3.5</v>
      </c>
      <c r="E5" s="5">
        <v>2.11</v>
      </c>
      <c r="F5" s="4" t="s">
        <v>15</v>
      </c>
    </row>
    <row r="6" spans="1:6" x14ac:dyDescent="0.3">
      <c r="A6">
        <v>1382</v>
      </c>
      <c r="B6" s="5">
        <v>4</v>
      </c>
      <c r="C6" s="5">
        <v>2</v>
      </c>
      <c r="D6" s="5">
        <v>3.6</v>
      </c>
      <c r="E6" s="5">
        <v>1.73</v>
      </c>
      <c r="F6" s="4" t="s">
        <v>20</v>
      </c>
    </row>
    <row r="7" spans="1:6" x14ac:dyDescent="0.3">
      <c r="A7">
        <v>1736</v>
      </c>
      <c r="B7" s="5">
        <v>8</v>
      </c>
      <c r="C7" s="5">
        <v>3</v>
      </c>
      <c r="D7" s="5">
        <v>3.8</v>
      </c>
      <c r="E7" s="5">
        <v>2.92</v>
      </c>
      <c r="F7" s="4" t="s">
        <v>20</v>
      </c>
    </row>
    <row r="8" spans="1:6" x14ac:dyDescent="0.3">
      <c r="A8">
        <v>1240</v>
      </c>
      <c r="B8" s="5">
        <v>6</v>
      </c>
      <c r="C8" s="5">
        <v>1</v>
      </c>
      <c r="D8" s="5">
        <v>4.0999999999999996</v>
      </c>
      <c r="E8" s="5">
        <v>3.2</v>
      </c>
      <c r="F8" s="4" t="s">
        <v>20</v>
      </c>
    </row>
    <row r="9" spans="1:6" x14ac:dyDescent="0.3">
      <c r="A9">
        <v>1753</v>
      </c>
      <c r="B9" s="5">
        <v>5</v>
      </c>
      <c r="C9" s="5">
        <v>3</v>
      </c>
      <c r="D9" s="5">
        <v>4.3</v>
      </c>
      <c r="E9" s="5">
        <v>2.09</v>
      </c>
      <c r="F9" s="4" t="s">
        <v>20</v>
      </c>
    </row>
    <row r="10" spans="1:6" x14ac:dyDescent="0.3">
      <c r="A10">
        <v>1650</v>
      </c>
      <c r="B10" s="5">
        <v>5</v>
      </c>
      <c r="C10" s="5">
        <v>1</v>
      </c>
      <c r="D10" s="5">
        <v>4.5</v>
      </c>
      <c r="E10" s="5">
        <v>2.27</v>
      </c>
      <c r="F10" s="4" t="s">
        <v>15</v>
      </c>
    </row>
    <row r="11" spans="1:6" x14ac:dyDescent="0.3">
      <c r="A11">
        <v>1694</v>
      </c>
      <c r="B11" s="5">
        <v>7</v>
      </c>
      <c r="C11" s="5">
        <v>1.5</v>
      </c>
      <c r="D11" s="5">
        <v>4.5500000000000007</v>
      </c>
      <c r="E11" s="5">
        <v>2.4</v>
      </c>
      <c r="F11" s="4" t="s">
        <v>15</v>
      </c>
    </row>
    <row r="12" spans="1:6" x14ac:dyDescent="0.3">
      <c r="A12">
        <v>1966</v>
      </c>
      <c r="B12" s="5">
        <v>7.5</v>
      </c>
      <c r="C12" s="5">
        <v>2.5</v>
      </c>
      <c r="D12" s="5">
        <v>4.5999999999999996</v>
      </c>
      <c r="E12" s="5">
        <v>1.4649999999999999</v>
      </c>
      <c r="F12" s="4" t="s">
        <v>15</v>
      </c>
    </row>
    <row r="13" spans="1:6" x14ac:dyDescent="0.3">
      <c r="A13">
        <v>1448</v>
      </c>
      <c r="B13" s="5">
        <v>6.8</v>
      </c>
      <c r="C13" s="5">
        <v>1.4</v>
      </c>
      <c r="D13" s="5">
        <v>4.68</v>
      </c>
      <c r="E13" s="5">
        <v>2.8180000000000001</v>
      </c>
      <c r="F13" s="4" t="s">
        <v>20</v>
      </c>
    </row>
    <row r="14" spans="1:6" x14ac:dyDescent="0.3">
      <c r="A14">
        <v>1544</v>
      </c>
      <c r="B14" s="5">
        <v>1</v>
      </c>
      <c r="C14" s="5">
        <v>3</v>
      </c>
      <c r="D14" s="5">
        <v>4.7</v>
      </c>
      <c r="E14" s="5">
        <v>1.58</v>
      </c>
      <c r="F14" s="4" t="s">
        <v>20</v>
      </c>
    </row>
    <row r="15" spans="1:6" x14ac:dyDescent="0.3">
      <c r="A15">
        <v>1606</v>
      </c>
      <c r="B15" s="5">
        <v>4.5</v>
      </c>
      <c r="C15" s="5">
        <v>2.5</v>
      </c>
      <c r="D15" s="5">
        <v>4.7249999999999996</v>
      </c>
      <c r="E15" s="5">
        <v>2.0659999999999998</v>
      </c>
      <c r="F15" s="4" t="s">
        <v>15</v>
      </c>
    </row>
    <row r="16" spans="1:6" x14ac:dyDescent="0.3">
      <c r="A16">
        <v>1749</v>
      </c>
      <c r="B16" s="5">
        <v>4</v>
      </c>
      <c r="C16" s="5">
        <v>2</v>
      </c>
      <c r="D16" s="5">
        <v>4.75</v>
      </c>
      <c r="E16" s="5">
        <v>2.1800000000000002</v>
      </c>
      <c r="F16" s="4" t="s">
        <v>20</v>
      </c>
    </row>
    <row r="17" spans="1:6" x14ac:dyDescent="0.3">
      <c r="A17">
        <v>1508</v>
      </c>
      <c r="B17" s="5">
        <v>8</v>
      </c>
      <c r="C17" s="5">
        <v>2</v>
      </c>
      <c r="D17" s="5">
        <v>4.8</v>
      </c>
      <c r="E17" s="5">
        <v>2.1399999999999997</v>
      </c>
      <c r="F17" s="4" t="s">
        <v>15</v>
      </c>
    </row>
    <row r="18" spans="1:6" x14ac:dyDescent="0.3">
      <c r="A18">
        <v>1903</v>
      </c>
      <c r="B18" s="5">
        <v>5</v>
      </c>
      <c r="C18" s="5">
        <v>2</v>
      </c>
      <c r="D18" s="5">
        <v>4.8</v>
      </c>
      <c r="E18" s="5">
        <v>2.5</v>
      </c>
      <c r="F18" s="4" t="s">
        <v>20</v>
      </c>
    </row>
    <row r="19" spans="1:6" x14ac:dyDescent="0.3">
      <c r="A19">
        <v>1695</v>
      </c>
      <c r="B19" s="5">
        <v>6</v>
      </c>
      <c r="C19" s="5">
        <v>1.5</v>
      </c>
      <c r="D19" s="5">
        <v>4.8249999999999993</v>
      </c>
      <c r="E19" s="5">
        <v>2.8975000000000004</v>
      </c>
      <c r="F19" s="4" t="s">
        <v>15</v>
      </c>
    </row>
    <row r="20" spans="1:6" x14ac:dyDescent="0.3">
      <c r="A20">
        <v>1937</v>
      </c>
      <c r="B20" s="5">
        <v>5.5</v>
      </c>
      <c r="C20" s="5">
        <v>2</v>
      </c>
      <c r="D20" s="5">
        <v>4.9000000000000004</v>
      </c>
      <c r="E20" s="5">
        <v>2.5099999999999998</v>
      </c>
      <c r="F20" s="4" t="s">
        <v>20</v>
      </c>
    </row>
    <row r="21" spans="1:6" x14ac:dyDescent="0.3">
      <c r="A21">
        <v>1438</v>
      </c>
      <c r="B21" s="5">
        <v>4</v>
      </c>
      <c r="C21" s="5">
        <v>2</v>
      </c>
      <c r="D21" s="5">
        <v>5</v>
      </c>
      <c r="E21" s="5">
        <v>3.65</v>
      </c>
      <c r="F21" s="4" t="s">
        <v>15</v>
      </c>
    </row>
    <row r="22" spans="1:6" x14ac:dyDescent="0.3">
      <c r="A22">
        <v>1490</v>
      </c>
      <c r="B22" s="5">
        <v>4</v>
      </c>
      <c r="C22" s="5">
        <v>2.25</v>
      </c>
      <c r="D22" s="5">
        <v>5.0749999999999993</v>
      </c>
      <c r="E22" s="5">
        <v>2.48</v>
      </c>
      <c r="F22" s="4" t="s">
        <v>20</v>
      </c>
    </row>
    <row r="23" spans="1:6" x14ac:dyDescent="0.3">
      <c r="A23">
        <v>1586</v>
      </c>
      <c r="B23" s="5">
        <v>9</v>
      </c>
      <c r="C23" s="5">
        <v>1</v>
      </c>
      <c r="D23" s="5">
        <v>5.0999999999999996</v>
      </c>
      <c r="E23" s="5">
        <v>1.0900000000000001</v>
      </c>
      <c r="F23" s="4" t="s">
        <v>20</v>
      </c>
    </row>
    <row r="24" spans="1:6" x14ac:dyDescent="0.3">
      <c r="A24">
        <v>1818</v>
      </c>
      <c r="B24" s="5">
        <v>5</v>
      </c>
      <c r="C24" s="5">
        <v>2</v>
      </c>
      <c r="D24" s="5">
        <v>5.0999999999999996</v>
      </c>
      <c r="E24" s="5">
        <v>1.94</v>
      </c>
      <c r="F24" s="4" t="s">
        <v>15</v>
      </c>
    </row>
    <row r="25" spans="1:6" x14ac:dyDescent="0.3">
      <c r="A25">
        <v>1700</v>
      </c>
      <c r="B25" s="5">
        <v>6.5</v>
      </c>
      <c r="C25" s="5">
        <v>1.5</v>
      </c>
      <c r="D25" s="5">
        <v>5.15</v>
      </c>
      <c r="E25" s="5">
        <v>2.915</v>
      </c>
      <c r="F25" s="4" t="s">
        <v>15</v>
      </c>
    </row>
    <row r="26" spans="1:6" x14ac:dyDescent="0.3">
      <c r="A26">
        <v>1729</v>
      </c>
      <c r="B26" s="5">
        <v>4</v>
      </c>
      <c r="C26" s="5">
        <v>1.5</v>
      </c>
      <c r="D26" s="5">
        <v>5.15</v>
      </c>
      <c r="E26" s="5">
        <v>2.355</v>
      </c>
      <c r="F26" s="4" t="s">
        <v>15</v>
      </c>
    </row>
    <row r="27" spans="1:6" x14ac:dyDescent="0.3">
      <c r="A27">
        <v>1174</v>
      </c>
      <c r="B27" s="5">
        <v>6.5</v>
      </c>
      <c r="C27" s="5">
        <v>3</v>
      </c>
      <c r="D27" s="5">
        <v>5.1999999999999993</v>
      </c>
      <c r="E27" s="5">
        <v>2.11</v>
      </c>
      <c r="F27" s="4" t="s">
        <v>15</v>
      </c>
    </row>
    <row r="28" spans="1:6" x14ac:dyDescent="0.3">
      <c r="A28">
        <v>1388</v>
      </c>
      <c r="B28" s="5">
        <v>6</v>
      </c>
      <c r="C28" s="5">
        <v>2.5</v>
      </c>
      <c r="D28" s="5">
        <v>5.25</v>
      </c>
      <c r="E28" s="5">
        <v>2.38</v>
      </c>
      <c r="F28" s="4" t="s">
        <v>20</v>
      </c>
    </row>
    <row r="29" spans="1:6" x14ac:dyDescent="0.3">
      <c r="A29">
        <v>1747</v>
      </c>
      <c r="B29" s="5">
        <v>4</v>
      </c>
      <c r="C29" s="5">
        <v>2</v>
      </c>
      <c r="D29" s="5">
        <v>5.25</v>
      </c>
      <c r="E29" s="5">
        <v>2.6150000000000002</v>
      </c>
      <c r="F29" s="4" t="s">
        <v>20</v>
      </c>
    </row>
    <row r="30" spans="1:6" x14ac:dyDescent="0.3">
      <c r="A30">
        <v>1795</v>
      </c>
      <c r="B30" s="5">
        <v>8</v>
      </c>
      <c r="C30" s="5">
        <v>3</v>
      </c>
      <c r="D30" s="5">
        <v>5.25</v>
      </c>
      <c r="E30" s="5">
        <v>1.77</v>
      </c>
      <c r="F30" s="4" t="s">
        <v>15</v>
      </c>
    </row>
    <row r="31" spans="1:6" x14ac:dyDescent="0.3">
      <c r="A31">
        <v>1186</v>
      </c>
      <c r="B31" s="5">
        <v>5.666666666666667</v>
      </c>
      <c r="C31" s="5">
        <v>1.6666666666666667</v>
      </c>
      <c r="D31" s="5">
        <v>5.2666666666666666</v>
      </c>
      <c r="E31" s="5">
        <v>3.145</v>
      </c>
      <c r="F31" s="4" t="s">
        <v>15</v>
      </c>
    </row>
    <row r="32" spans="1:6" x14ac:dyDescent="0.3">
      <c r="A32">
        <v>1798</v>
      </c>
      <c r="B32" s="5">
        <v>6</v>
      </c>
      <c r="C32" s="5">
        <v>2</v>
      </c>
      <c r="D32" s="5">
        <v>5.3</v>
      </c>
      <c r="E32" s="5">
        <v>3.33</v>
      </c>
      <c r="F32" s="4" t="s">
        <v>15</v>
      </c>
    </row>
    <row r="33" spans="1:6" x14ac:dyDescent="0.3">
      <c r="A33">
        <v>1704</v>
      </c>
      <c r="B33" s="5">
        <v>5</v>
      </c>
      <c r="C33" s="5">
        <v>2.3333333333333335</v>
      </c>
      <c r="D33" s="5">
        <v>5.333333333333333</v>
      </c>
      <c r="E33" s="5">
        <v>2.2866666666666666</v>
      </c>
      <c r="F33" s="4" t="s">
        <v>20</v>
      </c>
    </row>
    <row r="34" spans="1:6" x14ac:dyDescent="0.3">
      <c r="A34">
        <v>1141</v>
      </c>
      <c r="B34" s="5">
        <v>6</v>
      </c>
      <c r="C34" s="5">
        <v>3</v>
      </c>
      <c r="D34" s="5">
        <v>5.35</v>
      </c>
      <c r="E34" s="5">
        <v>1.94</v>
      </c>
      <c r="F34" s="4" t="s">
        <v>15</v>
      </c>
    </row>
    <row r="35" spans="1:6" x14ac:dyDescent="0.3">
      <c r="A35">
        <v>1503</v>
      </c>
      <c r="B35" s="5">
        <v>4.5</v>
      </c>
      <c r="C35" s="5">
        <v>2</v>
      </c>
      <c r="D35" s="5">
        <v>5.35</v>
      </c>
      <c r="E35" s="5">
        <v>1.8</v>
      </c>
      <c r="F35" s="4" t="s">
        <v>20</v>
      </c>
    </row>
    <row r="36" spans="1:6" x14ac:dyDescent="0.3">
      <c r="A36">
        <v>1308</v>
      </c>
      <c r="B36" s="5">
        <v>5</v>
      </c>
      <c r="C36" s="5">
        <v>1.3333333333333333</v>
      </c>
      <c r="D36" s="5">
        <v>5.3999999999999995</v>
      </c>
      <c r="E36" s="5">
        <v>2.6233333333333335</v>
      </c>
      <c r="F36" s="4" t="s">
        <v>15</v>
      </c>
    </row>
    <row r="37" spans="1:6" x14ac:dyDescent="0.3">
      <c r="A37">
        <v>1558</v>
      </c>
      <c r="B37" s="5">
        <v>8.3333333333333339</v>
      </c>
      <c r="C37" s="5">
        <v>2.3333333333333335</v>
      </c>
      <c r="D37" s="5">
        <v>5.3999999999999995</v>
      </c>
      <c r="E37" s="5">
        <v>2.0100000000000002</v>
      </c>
      <c r="F37" s="4" t="s">
        <v>15</v>
      </c>
    </row>
    <row r="38" spans="1:6" x14ac:dyDescent="0.3">
      <c r="A38">
        <v>1090</v>
      </c>
      <c r="B38" s="5">
        <v>5</v>
      </c>
      <c r="C38" s="5">
        <v>2</v>
      </c>
      <c r="D38" s="5">
        <v>5.4</v>
      </c>
      <c r="E38" s="5">
        <v>4.2</v>
      </c>
      <c r="F38" s="4" t="s">
        <v>15</v>
      </c>
    </row>
    <row r="39" spans="1:6" x14ac:dyDescent="0.3">
      <c r="A39">
        <v>1991</v>
      </c>
      <c r="B39" s="5">
        <v>3</v>
      </c>
      <c r="C39" s="5">
        <v>1</v>
      </c>
      <c r="D39" s="5">
        <v>5.4</v>
      </c>
      <c r="E39" s="5">
        <v>1.7149999999999999</v>
      </c>
      <c r="F39" s="4" t="s">
        <v>20</v>
      </c>
    </row>
    <row r="40" spans="1:6" x14ac:dyDescent="0.3">
      <c r="A40">
        <v>1104</v>
      </c>
      <c r="B40" s="5">
        <v>7.5</v>
      </c>
      <c r="C40" s="5">
        <v>2.5</v>
      </c>
      <c r="D40" s="5">
        <v>5.45</v>
      </c>
      <c r="E40" s="5">
        <v>1.4650000000000001</v>
      </c>
      <c r="F40" s="4" t="s">
        <v>15</v>
      </c>
    </row>
    <row r="41" spans="1:6" x14ac:dyDescent="0.3">
      <c r="A41">
        <v>1199</v>
      </c>
      <c r="B41" s="5">
        <v>4.666666666666667</v>
      </c>
      <c r="C41" s="5">
        <v>1</v>
      </c>
      <c r="D41" s="5">
        <v>5.4666666666666659</v>
      </c>
      <c r="E41" s="5">
        <v>3.1733333333333333</v>
      </c>
      <c r="F41" s="4" t="s">
        <v>15</v>
      </c>
    </row>
    <row r="42" spans="1:6" x14ac:dyDescent="0.3">
      <c r="A42">
        <v>1273</v>
      </c>
      <c r="B42" s="5">
        <v>6.666666666666667</v>
      </c>
      <c r="C42" s="5">
        <v>2</v>
      </c>
      <c r="D42" s="5">
        <v>5.4666666666666659</v>
      </c>
      <c r="E42" s="5">
        <v>2.4033333333333333</v>
      </c>
      <c r="F42" s="4" t="s">
        <v>20</v>
      </c>
    </row>
    <row r="43" spans="1:6" x14ac:dyDescent="0.3">
      <c r="A43">
        <v>1828</v>
      </c>
      <c r="B43" s="5">
        <v>7</v>
      </c>
      <c r="C43" s="5">
        <v>2.3333333333333335</v>
      </c>
      <c r="D43" s="5">
        <v>5.4666666666666677</v>
      </c>
      <c r="E43" s="5">
        <v>1.6824999999999999</v>
      </c>
      <c r="F43" s="4" t="s">
        <v>20</v>
      </c>
    </row>
    <row r="44" spans="1:6" x14ac:dyDescent="0.3">
      <c r="A44">
        <v>1028</v>
      </c>
      <c r="B44" s="5">
        <v>4.8571428571428568</v>
      </c>
      <c r="C44" s="5">
        <v>2.1428571428571428</v>
      </c>
      <c r="D44" s="5">
        <v>5.5</v>
      </c>
      <c r="E44" s="5">
        <v>2.2999999999999998</v>
      </c>
      <c r="F44" s="4" t="s">
        <v>15</v>
      </c>
    </row>
    <row r="45" spans="1:6" x14ac:dyDescent="0.3">
      <c r="A45">
        <v>1362</v>
      </c>
      <c r="B45" s="5">
        <v>6.4</v>
      </c>
      <c r="C45" s="5">
        <v>2.2000000000000002</v>
      </c>
      <c r="D45" s="5">
        <v>5.5</v>
      </c>
      <c r="E45" s="5">
        <v>1.982</v>
      </c>
      <c r="F45" s="4" t="s">
        <v>15</v>
      </c>
    </row>
    <row r="46" spans="1:6" x14ac:dyDescent="0.3">
      <c r="A46">
        <v>1596</v>
      </c>
      <c r="B46" s="5">
        <v>4</v>
      </c>
      <c r="C46" s="5">
        <v>2</v>
      </c>
      <c r="D46" s="5">
        <v>5.5</v>
      </c>
      <c r="E46" s="5">
        <v>2.2000000000000002</v>
      </c>
      <c r="F46" s="4" t="s">
        <v>20</v>
      </c>
    </row>
    <row r="47" spans="1:6" x14ac:dyDescent="0.3">
      <c r="A47">
        <v>1617</v>
      </c>
      <c r="B47" s="5">
        <v>5.666666666666667</v>
      </c>
      <c r="C47" s="5">
        <v>2</v>
      </c>
      <c r="D47" s="5">
        <v>5.5</v>
      </c>
      <c r="E47" s="5">
        <v>2.5033333333333334</v>
      </c>
      <c r="F47" s="4" t="s">
        <v>15</v>
      </c>
    </row>
    <row r="48" spans="1:6" x14ac:dyDescent="0.3">
      <c r="A48">
        <v>1646</v>
      </c>
      <c r="B48" s="5">
        <v>5</v>
      </c>
      <c r="C48" s="5">
        <v>1</v>
      </c>
      <c r="D48" s="5">
        <v>5.5</v>
      </c>
      <c r="E48" s="5">
        <v>4.28</v>
      </c>
      <c r="F48" s="4" t="s">
        <v>15</v>
      </c>
    </row>
    <row r="49" spans="1:6" x14ac:dyDescent="0.3">
      <c r="A49">
        <v>1862</v>
      </c>
      <c r="B49" s="5">
        <v>8</v>
      </c>
      <c r="C49" s="5">
        <v>1</v>
      </c>
      <c r="D49" s="5">
        <v>5.5</v>
      </c>
      <c r="E49" s="5">
        <v>2.69</v>
      </c>
      <c r="F49" s="4" t="s">
        <v>20</v>
      </c>
    </row>
    <row r="50" spans="1:6" x14ac:dyDescent="0.3">
      <c r="A50">
        <v>1999</v>
      </c>
      <c r="B50" s="5">
        <v>3</v>
      </c>
      <c r="C50" s="5">
        <v>1</v>
      </c>
      <c r="D50" s="5">
        <v>5.5</v>
      </c>
      <c r="E50" s="5">
        <v>2.33</v>
      </c>
      <c r="F50" s="4" t="s">
        <v>20</v>
      </c>
    </row>
    <row r="51" spans="1:6" x14ac:dyDescent="0.3">
      <c r="A51">
        <v>1521</v>
      </c>
      <c r="B51" s="5">
        <v>6.666666666666667</v>
      </c>
      <c r="C51" s="5">
        <v>2.3333333333333335</v>
      </c>
      <c r="D51" s="5">
        <v>5.5333333333333341</v>
      </c>
      <c r="E51" s="5">
        <v>2.6</v>
      </c>
      <c r="F51" s="4" t="s">
        <v>15</v>
      </c>
    </row>
    <row r="52" spans="1:6" x14ac:dyDescent="0.3">
      <c r="A52">
        <v>1981</v>
      </c>
      <c r="B52" s="5">
        <v>5.5</v>
      </c>
      <c r="C52" s="5">
        <v>2.5</v>
      </c>
      <c r="D52" s="5">
        <v>5.55</v>
      </c>
      <c r="E52" s="5">
        <v>2.65</v>
      </c>
      <c r="F52" s="4" t="s">
        <v>15</v>
      </c>
    </row>
    <row r="53" spans="1:6" x14ac:dyDescent="0.3">
      <c r="A53">
        <v>1865</v>
      </c>
      <c r="B53" s="5">
        <v>4.2</v>
      </c>
      <c r="C53" s="5">
        <v>2.2000000000000002</v>
      </c>
      <c r="D53" s="5">
        <v>5.5600000000000005</v>
      </c>
      <c r="E53" s="5">
        <v>1.982</v>
      </c>
      <c r="F53" s="4" t="s">
        <v>15</v>
      </c>
    </row>
    <row r="54" spans="1:6" x14ac:dyDescent="0.3">
      <c r="A54">
        <v>1668</v>
      </c>
      <c r="B54" s="5">
        <v>7.333333333333333</v>
      </c>
      <c r="C54" s="5">
        <v>2.3333333333333335</v>
      </c>
      <c r="D54" s="5">
        <v>5.5666666666666673</v>
      </c>
      <c r="E54" s="5">
        <v>2.3966666666666665</v>
      </c>
      <c r="F54" s="4" t="s">
        <v>15</v>
      </c>
    </row>
    <row r="55" spans="1:6" x14ac:dyDescent="0.3">
      <c r="A55">
        <v>1592</v>
      </c>
      <c r="B55" s="5">
        <v>4.333333333333333</v>
      </c>
      <c r="C55" s="5">
        <v>2</v>
      </c>
      <c r="D55" s="5">
        <v>5.5999999999999988</v>
      </c>
      <c r="E55" s="5">
        <v>2.6833333333333336</v>
      </c>
      <c r="F55" s="4" t="s">
        <v>20</v>
      </c>
    </row>
    <row r="56" spans="1:6" x14ac:dyDescent="0.3">
      <c r="A56">
        <v>1786</v>
      </c>
      <c r="B56" s="5">
        <v>4</v>
      </c>
      <c r="C56" s="5">
        <v>2</v>
      </c>
      <c r="D56" s="5">
        <v>5.5999999999999988</v>
      </c>
      <c r="E56" s="5">
        <v>2.4925000000000002</v>
      </c>
      <c r="F56" s="4" t="s">
        <v>15</v>
      </c>
    </row>
    <row r="57" spans="1:6" x14ac:dyDescent="0.3">
      <c r="A57">
        <v>1139</v>
      </c>
      <c r="B57" s="5">
        <v>5.5</v>
      </c>
      <c r="C57" s="5">
        <v>2.5</v>
      </c>
      <c r="D57" s="5">
        <v>5.6</v>
      </c>
      <c r="E57" s="5">
        <v>2.5150000000000001</v>
      </c>
      <c r="F57" s="4" t="s">
        <v>20</v>
      </c>
    </row>
    <row r="58" spans="1:6" x14ac:dyDescent="0.3">
      <c r="A58">
        <v>1833</v>
      </c>
      <c r="B58" s="5">
        <v>3</v>
      </c>
      <c r="C58" s="5">
        <v>3</v>
      </c>
      <c r="D58" s="5">
        <v>5.6</v>
      </c>
      <c r="E58" s="5">
        <v>1.8149999999999999</v>
      </c>
      <c r="F58" s="4" t="s">
        <v>15</v>
      </c>
    </row>
    <row r="59" spans="1:6" x14ac:dyDescent="0.3">
      <c r="A59">
        <v>1907</v>
      </c>
      <c r="B59" s="5">
        <v>4</v>
      </c>
      <c r="C59" s="5">
        <v>2.5</v>
      </c>
      <c r="D59" s="5">
        <v>5.6</v>
      </c>
      <c r="E59" s="5">
        <v>2.3374999999999999</v>
      </c>
      <c r="F59" s="4" t="s">
        <v>20</v>
      </c>
    </row>
    <row r="60" spans="1:6" x14ac:dyDescent="0.3">
      <c r="A60">
        <v>1976</v>
      </c>
      <c r="B60" s="5">
        <v>6.333333333333333</v>
      </c>
      <c r="C60" s="5">
        <v>2</v>
      </c>
      <c r="D60" s="5">
        <v>5.6000000000000005</v>
      </c>
      <c r="E60" s="5">
        <v>2.8233333333333337</v>
      </c>
      <c r="F60" s="4" t="s">
        <v>20</v>
      </c>
    </row>
    <row r="61" spans="1:6" x14ac:dyDescent="0.3">
      <c r="A61">
        <v>1932</v>
      </c>
      <c r="B61" s="5">
        <v>6.666666666666667</v>
      </c>
      <c r="C61" s="5">
        <v>1</v>
      </c>
      <c r="D61" s="5">
        <v>5.6333333333333329</v>
      </c>
      <c r="E61" s="5">
        <v>2.4766666666666666</v>
      </c>
      <c r="F61" s="4" t="s">
        <v>15</v>
      </c>
    </row>
    <row r="62" spans="1:6" x14ac:dyDescent="0.3">
      <c r="A62">
        <v>1483</v>
      </c>
      <c r="B62" s="5">
        <v>5</v>
      </c>
      <c r="C62" s="5">
        <v>1.5</v>
      </c>
      <c r="D62" s="5">
        <v>5.65</v>
      </c>
      <c r="E62" s="5">
        <v>2.9050000000000002</v>
      </c>
      <c r="F62" s="4" t="s">
        <v>20</v>
      </c>
    </row>
    <row r="63" spans="1:6" x14ac:dyDescent="0.3">
      <c r="A63">
        <v>1498</v>
      </c>
      <c r="B63" s="5">
        <v>3</v>
      </c>
      <c r="C63" s="5">
        <v>1.5</v>
      </c>
      <c r="D63" s="5">
        <v>5.65</v>
      </c>
      <c r="E63" s="5">
        <v>1.7599999999999998</v>
      </c>
      <c r="F63" s="4" t="s">
        <v>20</v>
      </c>
    </row>
    <row r="64" spans="1:6" x14ac:dyDescent="0.3">
      <c r="A64">
        <v>1835</v>
      </c>
      <c r="B64" s="5">
        <v>6</v>
      </c>
      <c r="C64" s="5">
        <v>2.5</v>
      </c>
      <c r="D64" s="5">
        <v>5.65</v>
      </c>
      <c r="E64" s="5">
        <v>2.2450000000000001</v>
      </c>
      <c r="F64" s="4" t="s">
        <v>15</v>
      </c>
    </row>
    <row r="65" spans="1:6" x14ac:dyDescent="0.3">
      <c r="A65">
        <v>1834</v>
      </c>
      <c r="B65" s="5">
        <v>6</v>
      </c>
      <c r="C65" s="5">
        <v>1.3333333333333333</v>
      </c>
      <c r="D65" s="5">
        <v>5.666666666666667</v>
      </c>
      <c r="E65" s="5">
        <v>3.0150000000000001</v>
      </c>
      <c r="F65" s="4" t="s">
        <v>15</v>
      </c>
    </row>
    <row r="66" spans="1:6" x14ac:dyDescent="0.3">
      <c r="A66">
        <v>1910</v>
      </c>
      <c r="B66" s="5">
        <v>4</v>
      </c>
      <c r="C66" s="5">
        <v>2.3333333333333335</v>
      </c>
      <c r="D66" s="5">
        <v>5.666666666666667</v>
      </c>
      <c r="E66" s="5">
        <v>1.9833333333333332</v>
      </c>
      <c r="F66" s="4" t="s">
        <v>20</v>
      </c>
    </row>
    <row r="67" spans="1:6" x14ac:dyDescent="0.3">
      <c r="A67">
        <v>1652</v>
      </c>
      <c r="B67" s="5">
        <v>5.25</v>
      </c>
      <c r="C67" s="5">
        <v>1.75</v>
      </c>
      <c r="D67" s="5">
        <v>5.6749999999999989</v>
      </c>
      <c r="E67" s="5">
        <v>2.75</v>
      </c>
      <c r="F67" s="4" t="s">
        <v>15</v>
      </c>
    </row>
    <row r="68" spans="1:6" x14ac:dyDescent="0.3">
      <c r="A68">
        <v>1730</v>
      </c>
      <c r="B68" s="5">
        <v>4.25</v>
      </c>
      <c r="C68" s="5">
        <v>2.5</v>
      </c>
      <c r="D68" s="5">
        <v>5.6750000000000007</v>
      </c>
      <c r="E68" s="5">
        <v>2.4250000000000003</v>
      </c>
      <c r="F68" s="4" t="s">
        <v>15</v>
      </c>
    </row>
    <row r="69" spans="1:6" x14ac:dyDescent="0.3">
      <c r="A69">
        <v>1374</v>
      </c>
      <c r="B69" s="5">
        <v>5.666666666666667</v>
      </c>
      <c r="C69" s="5">
        <v>1.3333333333333333</v>
      </c>
      <c r="D69" s="5">
        <v>5.6999999999999993</v>
      </c>
      <c r="E69" s="5">
        <v>2.5150000000000001</v>
      </c>
      <c r="F69" s="4" t="s">
        <v>15</v>
      </c>
    </row>
    <row r="70" spans="1:6" x14ac:dyDescent="0.3">
      <c r="A70">
        <v>1588</v>
      </c>
      <c r="B70" s="5">
        <v>5</v>
      </c>
      <c r="C70" s="5">
        <v>2</v>
      </c>
      <c r="D70" s="5">
        <v>5.7</v>
      </c>
      <c r="E70" s="5">
        <v>2.8325</v>
      </c>
      <c r="F70" s="4" t="s">
        <v>20</v>
      </c>
    </row>
    <row r="71" spans="1:6" x14ac:dyDescent="0.3">
      <c r="A71">
        <v>1803</v>
      </c>
      <c r="B71" s="5">
        <v>7</v>
      </c>
      <c r="C71" s="5">
        <v>2.2000000000000002</v>
      </c>
      <c r="D71" s="5">
        <v>5.7200000000000006</v>
      </c>
      <c r="E71" s="5">
        <v>2.7119999999999997</v>
      </c>
      <c r="F71" s="4" t="s">
        <v>15</v>
      </c>
    </row>
    <row r="72" spans="1:6" x14ac:dyDescent="0.3">
      <c r="A72">
        <v>1034</v>
      </c>
      <c r="B72" s="5">
        <v>6.75</v>
      </c>
      <c r="C72" s="5">
        <v>2</v>
      </c>
      <c r="D72" s="5">
        <v>5.7250000000000005</v>
      </c>
      <c r="E72" s="5">
        <v>1.5866666666666667</v>
      </c>
      <c r="F72" s="4" t="s">
        <v>15</v>
      </c>
    </row>
    <row r="73" spans="1:6" x14ac:dyDescent="0.3">
      <c r="A73">
        <v>1315</v>
      </c>
      <c r="B73" s="5">
        <v>2</v>
      </c>
      <c r="C73" s="5">
        <v>2</v>
      </c>
      <c r="D73" s="5">
        <v>5.7333333333333334</v>
      </c>
      <c r="E73" s="5">
        <v>2.5033333333333334</v>
      </c>
      <c r="F73" s="4" t="s">
        <v>15</v>
      </c>
    </row>
    <row r="74" spans="1:6" x14ac:dyDescent="0.3">
      <c r="A74">
        <v>1516</v>
      </c>
      <c r="B74" s="5">
        <v>5.75</v>
      </c>
      <c r="C74" s="5">
        <v>2.375</v>
      </c>
      <c r="D74" s="5">
        <v>5.75</v>
      </c>
      <c r="E74" s="5">
        <v>2.5974999999999997</v>
      </c>
      <c r="F74" s="4" t="s">
        <v>20</v>
      </c>
    </row>
    <row r="75" spans="1:6" x14ac:dyDescent="0.3">
      <c r="A75">
        <v>1863</v>
      </c>
      <c r="B75" s="5">
        <v>4.5</v>
      </c>
      <c r="C75" s="5">
        <v>2.5</v>
      </c>
      <c r="D75" s="5">
        <v>5.75</v>
      </c>
      <c r="E75" s="5">
        <v>2.25</v>
      </c>
      <c r="F75" s="4" t="s">
        <v>15</v>
      </c>
    </row>
    <row r="76" spans="1:6" x14ac:dyDescent="0.3">
      <c r="A76">
        <v>1494</v>
      </c>
      <c r="B76" s="5">
        <v>4</v>
      </c>
      <c r="C76" s="5">
        <v>1.6666666666666667</v>
      </c>
      <c r="D76" s="5">
        <v>5.7666666666666666</v>
      </c>
      <c r="E76" s="5">
        <v>1.7233333333333334</v>
      </c>
      <c r="F76" s="4" t="s">
        <v>20</v>
      </c>
    </row>
    <row r="77" spans="1:6" x14ac:dyDescent="0.3">
      <c r="A77">
        <v>1983</v>
      </c>
      <c r="B77" s="5">
        <v>5.5</v>
      </c>
      <c r="C77" s="5">
        <v>2</v>
      </c>
      <c r="D77" s="5">
        <v>5.7666666666666666</v>
      </c>
      <c r="E77" s="5">
        <v>2.585</v>
      </c>
      <c r="F77" s="4" t="s">
        <v>15</v>
      </c>
    </row>
    <row r="78" spans="1:6" x14ac:dyDescent="0.3">
      <c r="A78">
        <v>1268</v>
      </c>
      <c r="B78" s="5">
        <v>8</v>
      </c>
      <c r="C78" s="5">
        <v>2</v>
      </c>
      <c r="D78" s="5">
        <v>5.8</v>
      </c>
      <c r="E78" s="5">
        <v>1.55</v>
      </c>
      <c r="F78" s="4" t="s">
        <v>15</v>
      </c>
    </row>
    <row r="79" spans="1:6" x14ac:dyDescent="0.3">
      <c r="A79">
        <v>1766</v>
      </c>
      <c r="B79" s="5">
        <v>5.333333333333333</v>
      </c>
      <c r="C79" s="5">
        <v>1.6666666666666667</v>
      </c>
      <c r="D79" s="5">
        <v>5.8</v>
      </c>
      <c r="E79" s="5">
        <v>2.77</v>
      </c>
      <c r="F79" s="4" t="s">
        <v>15</v>
      </c>
    </row>
    <row r="80" spans="1:6" x14ac:dyDescent="0.3">
      <c r="A80">
        <v>1948</v>
      </c>
      <c r="B80" s="5">
        <v>3</v>
      </c>
      <c r="C80" s="5">
        <v>1</v>
      </c>
      <c r="D80" s="5">
        <v>5.8</v>
      </c>
      <c r="E80" s="5">
        <v>2.91</v>
      </c>
      <c r="F80" s="4" t="s">
        <v>15</v>
      </c>
    </row>
    <row r="81" spans="1:6" x14ac:dyDescent="0.3">
      <c r="A81">
        <v>1959</v>
      </c>
      <c r="B81" s="5">
        <v>10</v>
      </c>
      <c r="C81" s="5">
        <v>1</v>
      </c>
      <c r="D81" s="5">
        <v>5.8</v>
      </c>
      <c r="E81" s="5">
        <v>3.11</v>
      </c>
      <c r="F81" s="4" t="s">
        <v>20</v>
      </c>
    </row>
    <row r="82" spans="1:6" x14ac:dyDescent="0.3">
      <c r="A82">
        <v>1405</v>
      </c>
      <c r="B82" s="5">
        <v>6.5</v>
      </c>
      <c r="C82" s="5">
        <v>2</v>
      </c>
      <c r="D82" s="5">
        <v>5.8000000000000007</v>
      </c>
      <c r="E82" s="5">
        <v>2.63</v>
      </c>
      <c r="F82" s="4" t="s">
        <v>20</v>
      </c>
    </row>
    <row r="83" spans="1:6" x14ac:dyDescent="0.3">
      <c r="A83">
        <v>1540</v>
      </c>
      <c r="B83" s="5">
        <v>5.5</v>
      </c>
      <c r="C83" s="5">
        <v>2</v>
      </c>
      <c r="D83" s="5">
        <v>5.8000000000000007</v>
      </c>
      <c r="E83" s="5">
        <v>2.29</v>
      </c>
      <c r="F83" s="4" t="s">
        <v>20</v>
      </c>
    </row>
    <row r="84" spans="1:6" x14ac:dyDescent="0.3">
      <c r="A84">
        <v>1365</v>
      </c>
      <c r="B84" s="5">
        <v>3.3333333333333335</v>
      </c>
      <c r="C84" s="5">
        <v>2.3333333333333335</v>
      </c>
      <c r="D84" s="5">
        <v>5.833333333333333</v>
      </c>
      <c r="E84" s="5">
        <v>2.5466666666666664</v>
      </c>
      <c r="F84" s="4" t="s">
        <v>20</v>
      </c>
    </row>
    <row r="85" spans="1:6" x14ac:dyDescent="0.3">
      <c r="A85">
        <v>1542</v>
      </c>
      <c r="B85" s="5">
        <v>6.666666666666667</v>
      </c>
      <c r="C85" s="5">
        <v>2.3333333333333335</v>
      </c>
      <c r="D85" s="5">
        <v>5.833333333333333</v>
      </c>
      <c r="E85" s="5">
        <v>1.4000000000000001</v>
      </c>
      <c r="F85" s="4" t="s">
        <v>15</v>
      </c>
    </row>
    <row r="86" spans="1:6" x14ac:dyDescent="0.3">
      <c r="A86">
        <v>1584</v>
      </c>
      <c r="B86" s="5">
        <v>6.333333333333333</v>
      </c>
      <c r="C86" s="5">
        <v>2.6666666666666665</v>
      </c>
      <c r="D86" s="5">
        <v>5.833333333333333</v>
      </c>
      <c r="E86" s="5">
        <v>1.3733333333333333</v>
      </c>
      <c r="F86" s="4" t="s">
        <v>20</v>
      </c>
    </row>
    <row r="87" spans="1:6" x14ac:dyDescent="0.3">
      <c r="A87">
        <v>1206</v>
      </c>
      <c r="B87" s="5">
        <v>5.5</v>
      </c>
      <c r="C87" s="5">
        <v>2</v>
      </c>
      <c r="D87" s="5">
        <v>5.85</v>
      </c>
      <c r="E87" s="5">
        <v>2.11</v>
      </c>
      <c r="F87" s="4" t="s">
        <v>20</v>
      </c>
    </row>
    <row r="88" spans="1:6" x14ac:dyDescent="0.3">
      <c r="A88">
        <v>1715</v>
      </c>
      <c r="B88" s="5">
        <v>6.5</v>
      </c>
      <c r="C88" s="5">
        <v>2.5</v>
      </c>
      <c r="D88" s="5">
        <v>5.85</v>
      </c>
      <c r="E88" s="5">
        <v>3.33</v>
      </c>
      <c r="F88" s="4" t="s">
        <v>15</v>
      </c>
    </row>
    <row r="89" spans="1:6" x14ac:dyDescent="0.3">
      <c r="A89">
        <v>1986</v>
      </c>
      <c r="B89" s="5">
        <v>5</v>
      </c>
      <c r="C89" s="5">
        <v>1.5</v>
      </c>
      <c r="D89" s="5">
        <v>5.85</v>
      </c>
      <c r="E89" s="5">
        <v>2.9750000000000001</v>
      </c>
      <c r="F89" s="4" t="s">
        <v>15</v>
      </c>
    </row>
    <row r="90" spans="1:6" x14ac:dyDescent="0.3">
      <c r="A90">
        <v>1195</v>
      </c>
      <c r="B90" s="5">
        <v>4</v>
      </c>
      <c r="C90" s="5">
        <v>2.5</v>
      </c>
      <c r="D90" s="5">
        <v>5.8666666666666671</v>
      </c>
      <c r="E90" s="5">
        <v>3.0316666666666663</v>
      </c>
      <c r="F90" s="4" t="s">
        <v>20</v>
      </c>
    </row>
    <row r="91" spans="1:6" x14ac:dyDescent="0.3">
      <c r="A91">
        <v>1931</v>
      </c>
      <c r="B91" s="5">
        <v>4.333333333333333</v>
      </c>
      <c r="C91" s="5">
        <v>2</v>
      </c>
      <c r="D91" s="5">
        <v>5.8666666666666671</v>
      </c>
      <c r="E91" s="5">
        <v>2.4933333333333336</v>
      </c>
      <c r="F91" s="4" t="s">
        <v>20</v>
      </c>
    </row>
    <row r="92" spans="1:6" x14ac:dyDescent="0.3">
      <c r="A92">
        <v>1263</v>
      </c>
      <c r="B92" s="5">
        <v>6.6</v>
      </c>
      <c r="C92" s="5">
        <v>1.8</v>
      </c>
      <c r="D92" s="5">
        <v>5.8800000000000008</v>
      </c>
      <c r="E92" s="5">
        <v>2.1260000000000003</v>
      </c>
      <c r="F92" s="4" t="s">
        <v>20</v>
      </c>
    </row>
    <row r="93" spans="1:6" x14ac:dyDescent="0.3">
      <c r="A93">
        <v>1624</v>
      </c>
      <c r="B93" s="5">
        <v>4.666666666666667</v>
      </c>
      <c r="C93" s="5">
        <v>1.6666666666666667</v>
      </c>
      <c r="D93" s="5">
        <v>5.8999999999999995</v>
      </c>
      <c r="E93" s="5">
        <v>2.82</v>
      </c>
      <c r="F93" s="4" t="s">
        <v>20</v>
      </c>
    </row>
    <row r="94" spans="1:6" x14ac:dyDescent="0.3">
      <c r="A94">
        <v>1918</v>
      </c>
      <c r="B94" s="5">
        <v>5.666666666666667</v>
      </c>
      <c r="C94" s="5">
        <v>1.6666666666666667</v>
      </c>
      <c r="D94" s="5">
        <v>5.8999999999999995</v>
      </c>
      <c r="E94" s="5">
        <v>2.956666666666667</v>
      </c>
      <c r="F94" s="4" t="s">
        <v>15</v>
      </c>
    </row>
    <row r="95" spans="1:6" x14ac:dyDescent="0.3">
      <c r="A95">
        <v>1138</v>
      </c>
      <c r="B95" s="5">
        <v>7.5</v>
      </c>
      <c r="C95" s="5">
        <v>1</v>
      </c>
      <c r="D95" s="5">
        <v>5.9</v>
      </c>
      <c r="E95" s="5">
        <v>3.19</v>
      </c>
      <c r="F95" s="4" t="s">
        <v>20</v>
      </c>
    </row>
    <row r="96" spans="1:6" x14ac:dyDescent="0.3">
      <c r="A96">
        <v>1443</v>
      </c>
      <c r="B96" s="5">
        <v>6</v>
      </c>
      <c r="C96" s="5">
        <v>1</v>
      </c>
      <c r="D96" s="5">
        <v>5.9</v>
      </c>
      <c r="E96" s="5">
        <v>2.2200000000000002</v>
      </c>
      <c r="F96" s="4" t="s">
        <v>15</v>
      </c>
    </row>
    <row r="97" spans="1:6" x14ac:dyDescent="0.3">
      <c r="A97">
        <v>1594</v>
      </c>
      <c r="B97" s="5">
        <v>3</v>
      </c>
      <c r="C97" s="5">
        <v>2</v>
      </c>
      <c r="D97" s="5">
        <v>5.9</v>
      </c>
      <c r="E97" s="5">
        <v>2.76</v>
      </c>
      <c r="F97" s="4" t="s">
        <v>20</v>
      </c>
    </row>
    <row r="98" spans="1:6" x14ac:dyDescent="0.3">
      <c r="A98">
        <v>1757</v>
      </c>
      <c r="B98" s="5">
        <v>3.5</v>
      </c>
      <c r="C98" s="5">
        <v>2</v>
      </c>
      <c r="D98" s="5">
        <v>5.9</v>
      </c>
      <c r="E98" s="5">
        <v>2.1266666666666665</v>
      </c>
      <c r="F98" s="4" t="s">
        <v>15</v>
      </c>
    </row>
    <row r="99" spans="1:6" x14ac:dyDescent="0.3">
      <c r="A99">
        <v>1126</v>
      </c>
      <c r="B99" s="5">
        <v>5.666666666666667</v>
      </c>
      <c r="C99" s="5">
        <v>2.3333333333333335</v>
      </c>
      <c r="D99" s="5">
        <v>5.9000000000000012</v>
      </c>
      <c r="E99" s="5">
        <v>2.7666666666666671</v>
      </c>
      <c r="F99" s="4" t="s">
        <v>15</v>
      </c>
    </row>
    <row r="100" spans="1:6" x14ac:dyDescent="0.3">
      <c r="A100">
        <v>1672</v>
      </c>
      <c r="B100" s="5">
        <v>6.25</v>
      </c>
      <c r="C100" s="5">
        <v>2</v>
      </c>
      <c r="D100" s="5">
        <v>5.9250000000000007</v>
      </c>
      <c r="E100" s="5">
        <v>2.64</v>
      </c>
      <c r="F100" s="4" t="s">
        <v>15</v>
      </c>
    </row>
    <row r="101" spans="1:6" x14ac:dyDescent="0.3">
      <c r="A101">
        <v>1137</v>
      </c>
      <c r="B101" s="5">
        <v>6.666666666666667</v>
      </c>
      <c r="C101" s="5">
        <v>2</v>
      </c>
      <c r="D101" s="5">
        <v>5.9333333333333336</v>
      </c>
      <c r="E101" s="5">
        <v>3.64</v>
      </c>
      <c r="F101" s="4" t="s">
        <v>15</v>
      </c>
    </row>
    <row r="102" spans="1:6" x14ac:dyDescent="0.3">
      <c r="A102">
        <v>1208</v>
      </c>
      <c r="B102" s="5">
        <v>4.333333333333333</v>
      </c>
      <c r="C102" s="5">
        <v>1.3333333333333333</v>
      </c>
      <c r="D102" s="5">
        <v>5.9333333333333336</v>
      </c>
      <c r="E102" s="5">
        <v>2.0766666666666667</v>
      </c>
      <c r="F102" s="4" t="s">
        <v>20</v>
      </c>
    </row>
    <row r="103" spans="1:6" x14ac:dyDescent="0.3">
      <c r="A103">
        <v>1336</v>
      </c>
      <c r="B103" s="5">
        <v>6.5</v>
      </c>
      <c r="C103" s="5">
        <v>2.5</v>
      </c>
      <c r="D103" s="5">
        <v>5.9499999999999993</v>
      </c>
      <c r="E103" s="5">
        <v>3.1150000000000002</v>
      </c>
      <c r="F103" s="4" t="s">
        <v>20</v>
      </c>
    </row>
    <row r="104" spans="1:6" x14ac:dyDescent="0.3">
      <c r="A104">
        <v>1502</v>
      </c>
      <c r="B104" s="5">
        <v>3</v>
      </c>
      <c r="C104" s="5">
        <v>2.5</v>
      </c>
      <c r="D104" s="5">
        <v>5.95</v>
      </c>
      <c r="E104" s="5">
        <v>1.9350000000000001</v>
      </c>
      <c r="F104" s="4" t="s">
        <v>20</v>
      </c>
    </row>
    <row r="105" spans="1:6" x14ac:dyDescent="0.3">
      <c r="A105">
        <v>1735</v>
      </c>
      <c r="B105" s="5">
        <v>5.833333333333333</v>
      </c>
      <c r="C105" s="5">
        <v>2</v>
      </c>
      <c r="D105" s="5">
        <v>5.95</v>
      </c>
      <c r="E105" s="5">
        <v>2.898333333333333</v>
      </c>
      <c r="F105" s="4" t="s">
        <v>15</v>
      </c>
    </row>
    <row r="106" spans="1:6" x14ac:dyDescent="0.3">
      <c r="A106">
        <v>1164</v>
      </c>
      <c r="B106" s="5">
        <v>2.4</v>
      </c>
      <c r="C106" s="5">
        <v>1.6</v>
      </c>
      <c r="D106" s="5">
        <v>5.9599999999999991</v>
      </c>
      <c r="E106" s="5">
        <v>1.8980000000000001</v>
      </c>
      <c r="F106" s="4" t="s">
        <v>15</v>
      </c>
    </row>
    <row r="107" spans="1:6" x14ac:dyDescent="0.3">
      <c r="A107">
        <v>1762</v>
      </c>
      <c r="B107" s="5">
        <v>5.6</v>
      </c>
      <c r="C107" s="5">
        <v>1.6</v>
      </c>
      <c r="D107" s="5">
        <v>5.9799999999999995</v>
      </c>
      <c r="E107" s="5">
        <v>1.8539999999999999</v>
      </c>
      <c r="F107" s="4" t="s">
        <v>20</v>
      </c>
    </row>
    <row r="108" spans="1:6" x14ac:dyDescent="0.3">
      <c r="A108">
        <v>1005</v>
      </c>
      <c r="B108" s="5">
        <v>7</v>
      </c>
      <c r="C108" s="5">
        <v>2</v>
      </c>
      <c r="D108" s="5">
        <v>6</v>
      </c>
      <c r="E108" s="5">
        <v>1.31</v>
      </c>
      <c r="F108" s="4" t="s">
        <v>15</v>
      </c>
    </row>
    <row r="109" spans="1:6" x14ac:dyDescent="0.3">
      <c r="A109">
        <v>1047</v>
      </c>
      <c r="B109" s="5">
        <v>5.5</v>
      </c>
      <c r="C109" s="5">
        <v>2.5</v>
      </c>
      <c r="D109" s="5">
        <v>6</v>
      </c>
      <c r="E109" s="5">
        <v>2.15</v>
      </c>
      <c r="F109" s="4" t="s">
        <v>15</v>
      </c>
    </row>
    <row r="110" spans="1:6" x14ac:dyDescent="0.3">
      <c r="A110">
        <v>1109</v>
      </c>
      <c r="B110" s="5">
        <v>9</v>
      </c>
      <c r="C110" s="5">
        <v>3</v>
      </c>
      <c r="D110" s="5">
        <v>6</v>
      </c>
      <c r="E110" s="5">
        <v>1.77</v>
      </c>
      <c r="F110" s="4" t="s">
        <v>15</v>
      </c>
    </row>
    <row r="111" spans="1:6" x14ac:dyDescent="0.3">
      <c r="A111">
        <v>1368</v>
      </c>
      <c r="B111" s="5">
        <v>6.666666666666667</v>
      </c>
      <c r="C111" s="5">
        <v>1.6666666666666667</v>
      </c>
      <c r="D111" s="5">
        <v>6</v>
      </c>
      <c r="E111" s="5">
        <v>2.42</v>
      </c>
      <c r="F111" s="4" t="s">
        <v>15</v>
      </c>
    </row>
    <row r="112" spans="1:6" x14ac:dyDescent="0.3">
      <c r="A112">
        <v>1457</v>
      </c>
      <c r="B112" s="5">
        <v>3</v>
      </c>
      <c r="C112" s="5">
        <v>2.5</v>
      </c>
      <c r="D112" s="5">
        <v>6</v>
      </c>
      <c r="E112" s="5">
        <v>2.5300000000000002</v>
      </c>
      <c r="F112" s="4" t="s">
        <v>20</v>
      </c>
    </row>
    <row r="113" spans="1:6" x14ac:dyDescent="0.3">
      <c r="A113">
        <v>1534</v>
      </c>
      <c r="B113" s="5">
        <v>10</v>
      </c>
      <c r="C113" s="5">
        <v>1</v>
      </c>
      <c r="D113" s="5">
        <v>6</v>
      </c>
      <c r="E113" s="5">
        <v>2.72</v>
      </c>
      <c r="F113" s="4" t="s">
        <v>20</v>
      </c>
    </row>
    <row r="114" spans="1:6" x14ac:dyDescent="0.3">
      <c r="A114">
        <v>1548</v>
      </c>
      <c r="B114" s="5">
        <v>3</v>
      </c>
      <c r="C114" s="5">
        <v>2</v>
      </c>
      <c r="D114" s="5">
        <v>6</v>
      </c>
      <c r="E114" s="5">
        <v>2.16</v>
      </c>
      <c r="F114" s="4" t="s">
        <v>15</v>
      </c>
    </row>
    <row r="115" spans="1:6" x14ac:dyDescent="0.3">
      <c r="A115">
        <v>1649</v>
      </c>
      <c r="B115" s="5">
        <v>5.666666666666667</v>
      </c>
      <c r="C115" s="5">
        <v>2.3333333333333335</v>
      </c>
      <c r="D115" s="5">
        <v>6</v>
      </c>
      <c r="E115" s="5">
        <v>2.6366666666666667</v>
      </c>
      <c r="F115" s="4" t="s">
        <v>20</v>
      </c>
    </row>
    <row r="116" spans="1:6" x14ac:dyDescent="0.3">
      <c r="A116">
        <v>1745</v>
      </c>
      <c r="B116" s="5">
        <v>3.5</v>
      </c>
      <c r="C116" s="5">
        <v>2</v>
      </c>
      <c r="D116" s="5">
        <v>6</v>
      </c>
      <c r="E116" s="5">
        <v>2.9849999999999999</v>
      </c>
      <c r="F116" s="4" t="s">
        <v>15</v>
      </c>
    </row>
    <row r="117" spans="1:6" x14ac:dyDescent="0.3">
      <c r="A117">
        <v>1869</v>
      </c>
      <c r="B117" s="5">
        <v>9</v>
      </c>
      <c r="C117" s="5">
        <v>2</v>
      </c>
      <c r="D117" s="5">
        <v>6</v>
      </c>
      <c r="E117" s="5">
        <v>3.17</v>
      </c>
      <c r="F117" s="4" t="s">
        <v>20</v>
      </c>
    </row>
    <row r="118" spans="1:6" x14ac:dyDescent="0.3">
      <c r="A118">
        <v>1876</v>
      </c>
      <c r="B118" s="5">
        <v>6.2</v>
      </c>
      <c r="C118" s="5">
        <v>2</v>
      </c>
      <c r="D118" s="5">
        <v>6</v>
      </c>
      <c r="E118" s="5">
        <v>2.9416666666666664</v>
      </c>
      <c r="F118" s="4" t="s">
        <v>15</v>
      </c>
    </row>
    <row r="119" spans="1:6" x14ac:dyDescent="0.3">
      <c r="A119">
        <v>1934</v>
      </c>
      <c r="B119" s="5">
        <v>4</v>
      </c>
      <c r="C119" s="5">
        <v>1</v>
      </c>
      <c r="D119" s="5">
        <v>6</v>
      </c>
      <c r="E119" s="5">
        <v>1.87</v>
      </c>
      <c r="F119" s="4" t="s">
        <v>15</v>
      </c>
    </row>
    <row r="120" spans="1:6" x14ac:dyDescent="0.3">
      <c r="A120">
        <v>1466</v>
      </c>
      <c r="B120" s="5">
        <v>7</v>
      </c>
      <c r="C120" s="5">
        <v>1.6</v>
      </c>
      <c r="D120" s="5">
        <v>6.02</v>
      </c>
      <c r="E120" s="5">
        <v>2.1619999999999999</v>
      </c>
      <c r="F120" s="4" t="s">
        <v>20</v>
      </c>
    </row>
    <row r="121" spans="1:6" x14ac:dyDescent="0.3">
      <c r="A121">
        <v>1150</v>
      </c>
      <c r="B121" s="5">
        <v>7.25</v>
      </c>
      <c r="C121" s="5">
        <v>2.25</v>
      </c>
      <c r="D121" s="5">
        <v>6.0249999999999995</v>
      </c>
      <c r="E121" s="5">
        <v>3.0766666666666667</v>
      </c>
      <c r="F121" s="4" t="s">
        <v>15</v>
      </c>
    </row>
    <row r="122" spans="1:6" x14ac:dyDescent="0.3">
      <c r="A122">
        <v>1376</v>
      </c>
      <c r="B122" s="5">
        <v>6.666666666666667</v>
      </c>
      <c r="C122" s="5">
        <v>2.3333333333333335</v>
      </c>
      <c r="D122" s="5">
        <v>6.0333333333333341</v>
      </c>
      <c r="E122" s="5">
        <v>3.11</v>
      </c>
      <c r="F122" s="4" t="s">
        <v>20</v>
      </c>
    </row>
    <row r="123" spans="1:6" x14ac:dyDescent="0.3">
      <c r="A123">
        <v>1022</v>
      </c>
      <c r="B123" s="5">
        <v>6.4</v>
      </c>
      <c r="C123" s="5">
        <v>2.6</v>
      </c>
      <c r="D123" s="5">
        <v>6.04</v>
      </c>
      <c r="E123" s="5">
        <v>2.766</v>
      </c>
      <c r="F123" s="4" t="s">
        <v>20</v>
      </c>
    </row>
    <row r="124" spans="1:6" x14ac:dyDescent="0.3">
      <c r="A124">
        <v>1414</v>
      </c>
      <c r="B124" s="5">
        <v>3.5</v>
      </c>
      <c r="C124" s="5">
        <v>1</v>
      </c>
      <c r="D124" s="5">
        <v>6.05</v>
      </c>
      <c r="E124" s="5">
        <v>2.8049999999999997</v>
      </c>
      <c r="F124" s="4" t="s">
        <v>20</v>
      </c>
    </row>
    <row r="125" spans="1:6" x14ac:dyDescent="0.3">
      <c r="A125">
        <v>1292</v>
      </c>
      <c r="B125" s="5">
        <v>5.4</v>
      </c>
      <c r="C125" s="5">
        <v>2.4</v>
      </c>
      <c r="D125" s="5">
        <v>6.0600000000000005</v>
      </c>
      <c r="E125" s="5">
        <v>2.2320000000000002</v>
      </c>
      <c r="F125" s="4" t="s">
        <v>20</v>
      </c>
    </row>
    <row r="126" spans="1:6" x14ac:dyDescent="0.3">
      <c r="A126">
        <v>1158</v>
      </c>
      <c r="B126" s="5">
        <v>4.166666666666667</v>
      </c>
      <c r="C126" s="5">
        <v>2.1666666666666665</v>
      </c>
      <c r="D126" s="5">
        <v>6.0666666666666664</v>
      </c>
      <c r="E126" s="5">
        <v>2.6533333333333338</v>
      </c>
      <c r="F126" s="4" t="s">
        <v>15</v>
      </c>
    </row>
    <row r="127" spans="1:6" x14ac:dyDescent="0.3">
      <c r="A127">
        <v>1708</v>
      </c>
      <c r="B127" s="5">
        <v>6.333333333333333</v>
      </c>
      <c r="C127" s="5">
        <v>2.6666666666666665</v>
      </c>
      <c r="D127" s="5">
        <v>6.0999999999999988</v>
      </c>
      <c r="E127" s="5">
        <v>2.3033333333333332</v>
      </c>
      <c r="F127" s="4" t="s">
        <v>15</v>
      </c>
    </row>
    <row r="128" spans="1:6" x14ac:dyDescent="0.3">
      <c r="A128">
        <v>1338</v>
      </c>
      <c r="B128" s="5">
        <v>8</v>
      </c>
      <c r="C128" s="5">
        <v>2.5</v>
      </c>
      <c r="D128" s="5">
        <v>6.1</v>
      </c>
      <c r="E128" s="5">
        <v>2.5499999999999998</v>
      </c>
      <c r="F128" s="4" t="s">
        <v>15</v>
      </c>
    </row>
    <row r="129" spans="1:6" x14ac:dyDescent="0.3">
      <c r="A129">
        <v>1391</v>
      </c>
      <c r="B129" s="5">
        <v>6.5</v>
      </c>
      <c r="C129" s="5">
        <v>1.75</v>
      </c>
      <c r="D129" s="5">
        <v>6.1</v>
      </c>
      <c r="E129" s="5">
        <v>1.8166666666666664</v>
      </c>
      <c r="F129" s="4" t="s">
        <v>15</v>
      </c>
    </row>
    <row r="130" spans="1:6" x14ac:dyDescent="0.3">
      <c r="A130">
        <v>1621</v>
      </c>
      <c r="B130" s="5">
        <v>3</v>
      </c>
      <c r="C130" s="5">
        <v>2</v>
      </c>
      <c r="D130" s="5">
        <v>6.1</v>
      </c>
      <c r="E130" s="5">
        <v>1.9900000000000002</v>
      </c>
      <c r="F130" s="4" t="s">
        <v>20</v>
      </c>
    </row>
    <row r="131" spans="1:6" x14ac:dyDescent="0.3">
      <c r="A131">
        <v>1860</v>
      </c>
      <c r="B131" s="5">
        <v>5.5</v>
      </c>
      <c r="C131" s="5">
        <v>2</v>
      </c>
      <c r="D131" s="5">
        <v>6.1</v>
      </c>
      <c r="E131" s="5">
        <v>2.5166666666666671</v>
      </c>
      <c r="F131" s="4" t="s">
        <v>20</v>
      </c>
    </row>
    <row r="132" spans="1:6" x14ac:dyDescent="0.3">
      <c r="A132">
        <v>1883</v>
      </c>
      <c r="B132" s="5">
        <v>9</v>
      </c>
      <c r="C132" s="5">
        <v>3</v>
      </c>
      <c r="D132" s="5">
        <v>6.1</v>
      </c>
      <c r="E132" s="5">
        <v>2.7749999999999999</v>
      </c>
      <c r="F132" s="4" t="s">
        <v>15</v>
      </c>
    </row>
    <row r="133" spans="1:6" x14ac:dyDescent="0.3">
      <c r="A133">
        <v>1272</v>
      </c>
      <c r="B133" s="5">
        <v>4.5</v>
      </c>
      <c r="C133" s="5">
        <v>1.6666666666666667</v>
      </c>
      <c r="D133" s="5">
        <v>6.1000000000000005</v>
      </c>
      <c r="E133" s="5">
        <v>2.8616666666666668</v>
      </c>
      <c r="F133" s="4" t="s">
        <v>15</v>
      </c>
    </row>
    <row r="134" spans="1:6" x14ac:dyDescent="0.3">
      <c r="A134">
        <v>1345</v>
      </c>
      <c r="B134" s="5">
        <v>7</v>
      </c>
      <c r="C134" s="5">
        <v>2.5</v>
      </c>
      <c r="D134" s="5">
        <v>6.1166666666666671</v>
      </c>
      <c r="E134" s="5">
        <v>2.1875</v>
      </c>
      <c r="F134" s="4" t="s">
        <v>15</v>
      </c>
    </row>
    <row r="135" spans="1:6" x14ac:dyDescent="0.3">
      <c r="A135">
        <v>1018</v>
      </c>
      <c r="B135" s="5">
        <v>7</v>
      </c>
      <c r="C135" s="5">
        <v>1.6</v>
      </c>
      <c r="D135" s="5">
        <v>6.12</v>
      </c>
      <c r="E135" s="5">
        <v>2.7859999999999996</v>
      </c>
      <c r="F135" s="4" t="s">
        <v>15</v>
      </c>
    </row>
    <row r="136" spans="1:6" x14ac:dyDescent="0.3">
      <c r="A136">
        <v>1057</v>
      </c>
      <c r="B136" s="5">
        <v>6.8</v>
      </c>
      <c r="C136" s="5">
        <v>2.8</v>
      </c>
      <c r="D136" s="5">
        <v>6.12</v>
      </c>
      <c r="E136" s="5">
        <v>2.5420000000000003</v>
      </c>
      <c r="F136" s="4" t="s">
        <v>20</v>
      </c>
    </row>
    <row r="137" spans="1:6" x14ac:dyDescent="0.3">
      <c r="A137">
        <v>1325</v>
      </c>
      <c r="B137" s="5">
        <v>4.5</v>
      </c>
      <c r="C137" s="5">
        <v>2.5</v>
      </c>
      <c r="D137" s="5">
        <v>6.125</v>
      </c>
      <c r="E137" s="5">
        <v>2.813333333333333</v>
      </c>
      <c r="F137" s="4" t="s">
        <v>20</v>
      </c>
    </row>
    <row r="138" spans="1:6" x14ac:dyDescent="0.3">
      <c r="A138">
        <v>1844</v>
      </c>
      <c r="B138" s="5">
        <v>4.75</v>
      </c>
      <c r="C138" s="5">
        <v>1.75</v>
      </c>
      <c r="D138" s="5">
        <v>6.125</v>
      </c>
      <c r="E138" s="5">
        <v>2.62</v>
      </c>
      <c r="F138" s="4" t="s">
        <v>15</v>
      </c>
    </row>
    <row r="139" spans="1:6" x14ac:dyDescent="0.3">
      <c r="A139">
        <v>1311</v>
      </c>
      <c r="B139" s="5">
        <v>3.25</v>
      </c>
      <c r="C139" s="5">
        <v>2</v>
      </c>
      <c r="D139" s="5">
        <v>6.15</v>
      </c>
      <c r="E139" s="5">
        <v>1.81</v>
      </c>
      <c r="F139" s="4" t="s">
        <v>20</v>
      </c>
    </row>
    <row r="140" spans="1:6" x14ac:dyDescent="0.3">
      <c r="A140">
        <v>1397</v>
      </c>
      <c r="B140" s="5">
        <v>2</v>
      </c>
      <c r="C140" s="5">
        <v>1.5</v>
      </c>
      <c r="D140" s="5">
        <v>6.15</v>
      </c>
      <c r="E140" s="5">
        <v>2.69</v>
      </c>
      <c r="F140" s="4" t="s">
        <v>20</v>
      </c>
    </row>
    <row r="141" spans="1:6" x14ac:dyDescent="0.3">
      <c r="A141">
        <v>1545</v>
      </c>
      <c r="B141" s="5">
        <v>6.5</v>
      </c>
      <c r="C141" s="5">
        <v>1.5</v>
      </c>
      <c r="D141" s="5">
        <v>6.15</v>
      </c>
      <c r="E141" s="5">
        <v>2.3450000000000002</v>
      </c>
      <c r="F141" s="4" t="s">
        <v>15</v>
      </c>
    </row>
    <row r="142" spans="1:6" x14ac:dyDescent="0.3">
      <c r="A142">
        <v>1866</v>
      </c>
      <c r="B142" s="5">
        <v>4.5</v>
      </c>
      <c r="C142" s="5">
        <v>2.5</v>
      </c>
      <c r="D142" s="5">
        <v>6.15</v>
      </c>
      <c r="E142" s="5">
        <v>2.5150000000000001</v>
      </c>
      <c r="F142" s="4" t="s">
        <v>20</v>
      </c>
    </row>
    <row r="143" spans="1:6" x14ac:dyDescent="0.3">
      <c r="A143">
        <v>1640</v>
      </c>
      <c r="B143" s="5">
        <v>4.333333333333333</v>
      </c>
      <c r="C143" s="5">
        <v>2.3333333333333335</v>
      </c>
      <c r="D143" s="5">
        <v>6.166666666666667</v>
      </c>
      <c r="E143" s="5">
        <v>2.42</v>
      </c>
      <c r="F143" s="4" t="s">
        <v>20</v>
      </c>
    </row>
    <row r="144" spans="1:6" x14ac:dyDescent="0.3">
      <c r="A144">
        <v>1982</v>
      </c>
      <c r="B144" s="5">
        <v>5.666666666666667</v>
      </c>
      <c r="C144" s="5">
        <v>2.6666666666666665</v>
      </c>
      <c r="D144" s="5">
        <v>6.166666666666667</v>
      </c>
      <c r="E144" s="5">
        <v>1.8466666666666665</v>
      </c>
      <c r="F144" s="4" t="s">
        <v>20</v>
      </c>
    </row>
    <row r="145" spans="1:6" x14ac:dyDescent="0.3">
      <c r="A145">
        <v>1337</v>
      </c>
      <c r="B145" s="5">
        <v>6.75</v>
      </c>
      <c r="C145" s="5">
        <v>1.75</v>
      </c>
      <c r="D145" s="5">
        <v>6.1749999999999998</v>
      </c>
      <c r="E145" s="5">
        <v>2.665</v>
      </c>
      <c r="F145" s="4" t="s">
        <v>15</v>
      </c>
    </row>
    <row r="146" spans="1:6" x14ac:dyDescent="0.3">
      <c r="A146">
        <v>1800</v>
      </c>
      <c r="B146" s="5">
        <v>6.25</v>
      </c>
      <c r="C146" s="5">
        <v>2</v>
      </c>
      <c r="D146" s="5">
        <v>6.1750000000000007</v>
      </c>
      <c r="E146" s="5">
        <v>2.5500000000000003</v>
      </c>
      <c r="F146" s="4" t="s">
        <v>15</v>
      </c>
    </row>
    <row r="147" spans="1:6" x14ac:dyDescent="0.3">
      <c r="A147">
        <v>1475</v>
      </c>
      <c r="B147" s="5">
        <v>5.166666666666667</v>
      </c>
      <c r="C147" s="5">
        <v>2</v>
      </c>
      <c r="D147" s="5">
        <v>6.1833333333333336</v>
      </c>
      <c r="E147" s="5">
        <v>2.7516666666666669</v>
      </c>
      <c r="F147" s="4" t="s">
        <v>15</v>
      </c>
    </row>
    <row r="148" spans="1:6" x14ac:dyDescent="0.3">
      <c r="A148">
        <v>1523</v>
      </c>
      <c r="B148" s="5">
        <v>4.666666666666667</v>
      </c>
      <c r="C148" s="5">
        <v>2.1666666666666665</v>
      </c>
      <c r="D148" s="5">
        <v>6.1833333333333336</v>
      </c>
      <c r="E148" s="5">
        <v>2.4883333333333333</v>
      </c>
      <c r="F148" s="4" t="s">
        <v>20</v>
      </c>
    </row>
    <row r="149" spans="1:6" x14ac:dyDescent="0.3">
      <c r="A149">
        <v>1060</v>
      </c>
      <c r="B149" s="5">
        <v>6.666666666666667</v>
      </c>
      <c r="C149" s="5">
        <v>2</v>
      </c>
      <c r="D149" s="5">
        <v>6.1999999999999993</v>
      </c>
      <c r="E149" s="5">
        <v>2.4266666666666663</v>
      </c>
      <c r="F149" s="4" t="s">
        <v>20</v>
      </c>
    </row>
    <row r="150" spans="1:6" x14ac:dyDescent="0.3">
      <c r="A150">
        <v>1484</v>
      </c>
      <c r="B150" s="5">
        <v>5</v>
      </c>
      <c r="C150" s="5">
        <v>1.75</v>
      </c>
      <c r="D150" s="5">
        <v>6.1999999999999993</v>
      </c>
      <c r="E150" s="5">
        <v>2.4325000000000001</v>
      </c>
      <c r="F150" s="4" t="s">
        <v>20</v>
      </c>
    </row>
    <row r="151" spans="1:6" x14ac:dyDescent="0.3">
      <c r="A151">
        <v>1563</v>
      </c>
      <c r="B151" s="5">
        <v>7.75</v>
      </c>
      <c r="C151" s="5">
        <v>3</v>
      </c>
      <c r="D151" s="5">
        <v>6.1999999999999993</v>
      </c>
      <c r="E151" s="5">
        <v>2.8575000000000004</v>
      </c>
      <c r="F151" s="4" t="s">
        <v>15</v>
      </c>
    </row>
    <row r="152" spans="1:6" x14ac:dyDescent="0.3">
      <c r="A152">
        <v>1179</v>
      </c>
      <c r="B152" s="5">
        <v>5</v>
      </c>
      <c r="C152" s="5">
        <v>1.6666666666666667</v>
      </c>
      <c r="D152" s="5">
        <v>6.2</v>
      </c>
      <c r="E152" s="5">
        <v>3.03</v>
      </c>
      <c r="F152" s="4" t="s">
        <v>15</v>
      </c>
    </row>
    <row r="153" spans="1:6" x14ac:dyDescent="0.3">
      <c r="A153">
        <v>1234</v>
      </c>
      <c r="B153" s="5">
        <v>3.3333333333333335</v>
      </c>
      <c r="C153" s="5">
        <v>2.3333333333333335</v>
      </c>
      <c r="D153" s="5">
        <v>6.2</v>
      </c>
      <c r="E153" s="5">
        <v>2.1999999999999997</v>
      </c>
      <c r="F153" s="4" t="s">
        <v>20</v>
      </c>
    </row>
    <row r="154" spans="1:6" x14ac:dyDescent="0.3">
      <c r="A154">
        <v>1264</v>
      </c>
      <c r="B154" s="5">
        <v>4</v>
      </c>
      <c r="C154" s="5">
        <v>3</v>
      </c>
      <c r="D154" s="5">
        <v>6.2</v>
      </c>
      <c r="E154" s="5">
        <v>1.79</v>
      </c>
      <c r="F154" s="4" t="s">
        <v>20</v>
      </c>
    </row>
    <row r="155" spans="1:6" x14ac:dyDescent="0.3">
      <c r="A155">
        <v>1314</v>
      </c>
      <c r="B155" s="5">
        <v>4</v>
      </c>
      <c r="C155" s="5">
        <v>3</v>
      </c>
      <c r="D155" s="5">
        <v>6.2</v>
      </c>
      <c r="E155" s="5">
        <v>3.82</v>
      </c>
      <c r="F155" s="4" t="s">
        <v>15</v>
      </c>
    </row>
    <row r="156" spans="1:6" x14ac:dyDescent="0.3">
      <c r="A156">
        <v>1324</v>
      </c>
      <c r="B156" s="5">
        <v>6</v>
      </c>
      <c r="C156" s="5">
        <v>2</v>
      </c>
      <c r="D156" s="5">
        <v>6.2</v>
      </c>
      <c r="E156" s="5">
        <v>2.95</v>
      </c>
      <c r="F156" s="4" t="s">
        <v>20</v>
      </c>
    </row>
    <row r="157" spans="1:6" x14ac:dyDescent="0.3">
      <c r="A157">
        <v>1450</v>
      </c>
      <c r="B157" s="5">
        <v>1</v>
      </c>
      <c r="C157" s="5">
        <v>1</v>
      </c>
      <c r="D157" s="5">
        <v>6.2</v>
      </c>
      <c r="E157" s="5">
        <v>1</v>
      </c>
      <c r="F157" s="4" t="s">
        <v>20</v>
      </c>
    </row>
    <row r="158" spans="1:6" x14ac:dyDescent="0.3">
      <c r="A158">
        <v>1467</v>
      </c>
      <c r="B158" s="5">
        <v>10</v>
      </c>
      <c r="C158" s="5">
        <v>2</v>
      </c>
      <c r="D158" s="5">
        <v>6.2</v>
      </c>
      <c r="E158" s="5">
        <v>2.94</v>
      </c>
      <c r="F158" s="4" t="s">
        <v>20</v>
      </c>
    </row>
    <row r="159" spans="1:6" x14ac:dyDescent="0.3">
      <c r="A159">
        <v>1600</v>
      </c>
      <c r="B159" s="5">
        <v>5</v>
      </c>
      <c r="C159" s="5">
        <v>2</v>
      </c>
      <c r="D159" s="5">
        <v>6.2</v>
      </c>
      <c r="E159" s="5">
        <v>2.3433333333333333</v>
      </c>
      <c r="F159" s="4" t="s">
        <v>20</v>
      </c>
    </row>
    <row r="160" spans="1:6" x14ac:dyDescent="0.3">
      <c r="A160">
        <v>1964</v>
      </c>
      <c r="B160" s="5">
        <v>1</v>
      </c>
      <c r="C160" s="5">
        <v>1</v>
      </c>
      <c r="D160" s="5">
        <v>6.2</v>
      </c>
      <c r="E160" s="5">
        <v>1.5</v>
      </c>
      <c r="F160" s="4" t="s">
        <v>15</v>
      </c>
    </row>
    <row r="161" spans="1:6" x14ac:dyDescent="0.3">
      <c r="A161">
        <v>1230</v>
      </c>
      <c r="B161" s="5">
        <v>5.333333333333333</v>
      </c>
      <c r="C161" s="5">
        <v>1.5</v>
      </c>
      <c r="D161" s="5">
        <v>6.2166666666666677</v>
      </c>
      <c r="E161" s="5">
        <v>1.9119999999999997</v>
      </c>
      <c r="F161" s="4" t="s">
        <v>20</v>
      </c>
    </row>
    <row r="162" spans="1:6" x14ac:dyDescent="0.3">
      <c r="A162">
        <v>1130</v>
      </c>
      <c r="B162" s="5">
        <v>4.5</v>
      </c>
      <c r="C162" s="5">
        <v>2.75</v>
      </c>
      <c r="D162" s="5">
        <v>6.2249999999999996</v>
      </c>
      <c r="E162" s="5">
        <v>1.6233333333333333</v>
      </c>
      <c r="F162" s="4" t="s">
        <v>15</v>
      </c>
    </row>
    <row r="163" spans="1:6" x14ac:dyDescent="0.3">
      <c r="A163">
        <v>1155</v>
      </c>
      <c r="B163" s="5">
        <v>4.5</v>
      </c>
      <c r="C163" s="5">
        <v>2</v>
      </c>
      <c r="D163" s="5">
        <v>6.2249999999999996</v>
      </c>
      <c r="E163" s="5">
        <v>3.415</v>
      </c>
      <c r="F163" s="4" t="s">
        <v>15</v>
      </c>
    </row>
    <row r="164" spans="1:6" x14ac:dyDescent="0.3">
      <c r="A164">
        <v>1519</v>
      </c>
      <c r="B164" s="5">
        <v>5</v>
      </c>
      <c r="C164" s="5">
        <v>2.5</v>
      </c>
      <c r="D164" s="5">
        <v>6.2249999999999996</v>
      </c>
      <c r="E164" s="5">
        <v>2.1724999999999999</v>
      </c>
      <c r="F164" s="4" t="s">
        <v>20</v>
      </c>
    </row>
    <row r="165" spans="1:6" x14ac:dyDescent="0.3">
      <c r="A165">
        <v>1561</v>
      </c>
      <c r="B165" s="5">
        <v>6</v>
      </c>
      <c r="C165" s="5">
        <v>2.25</v>
      </c>
      <c r="D165" s="5">
        <v>6.2250000000000005</v>
      </c>
      <c r="E165" s="5">
        <v>2.3449999999999998</v>
      </c>
      <c r="F165" s="4" t="s">
        <v>20</v>
      </c>
    </row>
    <row r="166" spans="1:6" x14ac:dyDescent="0.3">
      <c r="A166">
        <v>1568</v>
      </c>
      <c r="B166" s="5">
        <v>7</v>
      </c>
      <c r="C166" s="5">
        <v>1.6666666666666667</v>
      </c>
      <c r="D166" s="5">
        <v>6.2333333333333334</v>
      </c>
      <c r="E166" s="5">
        <v>2.5100000000000002</v>
      </c>
      <c r="F166" s="4" t="s">
        <v>15</v>
      </c>
    </row>
    <row r="167" spans="1:6" x14ac:dyDescent="0.3">
      <c r="A167">
        <v>1591</v>
      </c>
      <c r="B167" s="5">
        <v>9.6666666666666661</v>
      </c>
      <c r="C167" s="5">
        <v>2.3333333333333335</v>
      </c>
      <c r="D167" s="5">
        <v>6.2333333333333334</v>
      </c>
      <c r="E167" s="5">
        <v>2.14</v>
      </c>
      <c r="F167" s="4" t="s">
        <v>20</v>
      </c>
    </row>
    <row r="168" spans="1:6" x14ac:dyDescent="0.3">
      <c r="A168">
        <v>1326</v>
      </c>
      <c r="B168" s="5">
        <v>4.333333333333333</v>
      </c>
      <c r="C168" s="5">
        <v>2.6666666666666665</v>
      </c>
      <c r="D168" s="5">
        <v>6.2333333333333343</v>
      </c>
      <c r="E168" s="5">
        <v>3.5166666666666671</v>
      </c>
      <c r="F168" s="4" t="s">
        <v>15</v>
      </c>
    </row>
    <row r="169" spans="1:6" x14ac:dyDescent="0.3">
      <c r="A169">
        <v>1620</v>
      </c>
      <c r="B169" s="5">
        <v>5</v>
      </c>
      <c r="C169" s="5">
        <v>2</v>
      </c>
      <c r="D169" s="5">
        <v>6.25</v>
      </c>
      <c r="E169" s="5">
        <v>2.5499999999999998</v>
      </c>
      <c r="F169" s="4" t="s">
        <v>15</v>
      </c>
    </row>
    <row r="170" spans="1:6" x14ac:dyDescent="0.3">
      <c r="A170">
        <v>1493</v>
      </c>
      <c r="B170" s="5">
        <v>5</v>
      </c>
      <c r="C170" s="5">
        <v>2.8</v>
      </c>
      <c r="D170" s="5">
        <v>6.26</v>
      </c>
      <c r="E170" s="5">
        <v>2.266</v>
      </c>
      <c r="F170" s="4" t="s">
        <v>20</v>
      </c>
    </row>
    <row r="171" spans="1:6" x14ac:dyDescent="0.3">
      <c r="A171">
        <v>1221</v>
      </c>
      <c r="B171" s="5">
        <v>6</v>
      </c>
      <c r="C171" s="5">
        <v>2.6666666666666665</v>
      </c>
      <c r="D171" s="5">
        <v>6.2666666666666666</v>
      </c>
      <c r="E171" s="5">
        <v>2.8433333333333337</v>
      </c>
      <c r="F171" s="4" t="s">
        <v>20</v>
      </c>
    </row>
    <row r="172" spans="1:6" x14ac:dyDescent="0.3">
      <c r="A172">
        <v>1409</v>
      </c>
      <c r="B172" s="5">
        <v>5.333333333333333</v>
      </c>
      <c r="C172" s="5">
        <v>1.3333333333333333</v>
      </c>
      <c r="D172" s="5">
        <v>6.2666666666666666</v>
      </c>
      <c r="E172" s="5">
        <v>2.9133333333333336</v>
      </c>
      <c r="F172" s="4" t="s">
        <v>20</v>
      </c>
    </row>
    <row r="173" spans="1:6" x14ac:dyDescent="0.3">
      <c r="A173">
        <v>1480</v>
      </c>
      <c r="B173" s="5">
        <v>5.333333333333333</v>
      </c>
      <c r="C173" s="5">
        <v>1.6666666666666667</v>
      </c>
      <c r="D173" s="5">
        <v>6.2666666666666666</v>
      </c>
      <c r="E173" s="5">
        <v>2.2266666666666666</v>
      </c>
      <c r="F173" s="4" t="s">
        <v>15</v>
      </c>
    </row>
    <row r="174" spans="1:6" x14ac:dyDescent="0.3">
      <c r="A174">
        <v>1645</v>
      </c>
      <c r="B174" s="5">
        <v>7</v>
      </c>
      <c r="C174" s="5">
        <v>1.75</v>
      </c>
      <c r="D174" s="5">
        <v>6.2749999999999995</v>
      </c>
      <c r="E174" s="5">
        <v>2.645</v>
      </c>
      <c r="F174" s="4" t="s">
        <v>15</v>
      </c>
    </row>
    <row r="175" spans="1:6" x14ac:dyDescent="0.3">
      <c r="A175">
        <v>1045</v>
      </c>
      <c r="B175" s="5">
        <v>3.75</v>
      </c>
      <c r="C175" s="5">
        <v>2.25</v>
      </c>
      <c r="D175" s="5">
        <v>6.2750000000000004</v>
      </c>
      <c r="E175" s="5">
        <v>2.1800000000000002</v>
      </c>
      <c r="F175" s="4" t="s">
        <v>20</v>
      </c>
    </row>
    <row r="176" spans="1:6" x14ac:dyDescent="0.3">
      <c r="A176">
        <v>1004</v>
      </c>
      <c r="B176" s="5">
        <v>6.2</v>
      </c>
      <c r="C176" s="5">
        <v>2.2000000000000002</v>
      </c>
      <c r="D176" s="5">
        <v>6.3</v>
      </c>
      <c r="E176" s="5">
        <v>2.6850000000000001</v>
      </c>
      <c r="F176" s="4" t="s">
        <v>15</v>
      </c>
    </row>
    <row r="177" spans="1:6" x14ac:dyDescent="0.3">
      <c r="A177">
        <v>1107</v>
      </c>
      <c r="B177" s="5">
        <v>3.6</v>
      </c>
      <c r="C177" s="5">
        <v>2</v>
      </c>
      <c r="D177" s="5">
        <v>6.3</v>
      </c>
      <c r="E177" s="5">
        <v>3.1420000000000003</v>
      </c>
      <c r="F177" s="4" t="s">
        <v>15</v>
      </c>
    </row>
    <row r="178" spans="1:6" x14ac:dyDescent="0.3">
      <c r="A178">
        <v>1184</v>
      </c>
      <c r="B178" s="5">
        <v>6</v>
      </c>
      <c r="C178" s="5">
        <v>3</v>
      </c>
      <c r="D178" s="5">
        <v>6.3</v>
      </c>
      <c r="E178" s="5">
        <v>2.29</v>
      </c>
      <c r="F178" s="4" t="s">
        <v>15</v>
      </c>
    </row>
    <row r="179" spans="1:6" x14ac:dyDescent="0.3">
      <c r="A179">
        <v>1188</v>
      </c>
      <c r="B179" s="5">
        <v>5</v>
      </c>
      <c r="C179" s="5">
        <v>1</v>
      </c>
      <c r="D179" s="5">
        <v>6.3</v>
      </c>
      <c r="E179" s="5">
        <v>2.72</v>
      </c>
      <c r="F179" s="4" t="s">
        <v>20</v>
      </c>
    </row>
    <row r="180" spans="1:6" x14ac:dyDescent="0.3">
      <c r="A180">
        <v>1244</v>
      </c>
      <c r="B180" s="5">
        <v>3</v>
      </c>
      <c r="C180" s="5">
        <v>1</v>
      </c>
      <c r="D180" s="5">
        <v>6.3</v>
      </c>
      <c r="E180" s="5">
        <v>1.89</v>
      </c>
      <c r="F180" s="4" t="s">
        <v>15</v>
      </c>
    </row>
    <row r="181" spans="1:6" x14ac:dyDescent="0.3">
      <c r="A181">
        <v>1247</v>
      </c>
      <c r="B181" s="5">
        <v>7</v>
      </c>
      <c r="C181" s="5">
        <v>3</v>
      </c>
      <c r="D181" s="5">
        <v>6.3</v>
      </c>
      <c r="E181" s="5">
        <v>2.63</v>
      </c>
      <c r="F181" s="4" t="s">
        <v>15</v>
      </c>
    </row>
    <row r="182" spans="1:6" x14ac:dyDescent="0.3">
      <c r="A182">
        <v>1269</v>
      </c>
      <c r="B182" s="5">
        <v>5.25</v>
      </c>
      <c r="C182" s="5">
        <v>2.75</v>
      </c>
      <c r="D182" s="5">
        <v>6.3</v>
      </c>
      <c r="E182" s="5">
        <v>2.19</v>
      </c>
      <c r="F182" s="4" t="s">
        <v>20</v>
      </c>
    </row>
    <row r="183" spans="1:6" x14ac:dyDescent="0.3">
      <c r="A183">
        <v>1290</v>
      </c>
      <c r="B183" s="5">
        <v>4.333333333333333</v>
      </c>
      <c r="C183" s="5">
        <v>2.3333333333333335</v>
      </c>
      <c r="D183" s="5">
        <v>6.3</v>
      </c>
      <c r="E183" s="5">
        <v>2.64</v>
      </c>
      <c r="F183" s="4" t="s">
        <v>15</v>
      </c>
    </row>
    <row r="184" spans="1:6" x14ac:dyDescent="0.3">
      <c r="A184">
        <v>1350</v>
      </c>
      <c r="B184" s="5">
        <v>5.5</v>
      </c>
      <c r="C184" s="5">
        <v>1.5</v>
      </c>
      <c r="D184" s="5">
        <v>6.3</v>
      </c>
      <c r="E184" s="5">
        <v>2.31</v>
      </c>
      <c r="F184" s="4" t="s">
        <v>15</v>
      </c>
    </row>
    <row r="185" spans="1:6" x14ac:dyDescent="0.3">
      <c r="A185">
        <v>1353</v>
      </c>
      <c r="B185" s="5">
        <v>6.333333333333333</v>
      </c>
      <c r="C185" s="5">
        <v>1.6666666666666667</v>
      </c>
      <c r="D185" s="5">
        <v>6.3</v>
      </c>
      <c r="E185" s="5">
        <v>3.0150000000000001</v>
      </c>
      <c r="F185" s="4" t="s">
        <v>20</v>
      </c>
    </row>
    <row r="186" spans="1:6" x14ac:dyDescent="0.3">
      <c r="A186">
        <v>1647</v>
      </c>
      <c r="B186" s="5">
        <v>5.5</v>
      </c>
      <c r="C186" s="5">
        <v>2.375</v>
      </c>
      <c r="D186" s="5">
        <v>6.3</v>
      </c>
      <c r="E186" s="5">
        <v>2.3737499999999998</v>
      </c>
      <c r="F186" s="4" t="s">
        <v>20</v>
      </c>
    </row>
    <row r="187" spans="1:6" x14ac:dyDescent="0.3">
      <c r="A187">
        <v>1716</v>
      </c>
      <c r="B187" s="5">
        <v>6</v>
      </c>
      <c r="C187" s="5">
        <v>1.5</v>
      </c>
      <c r="D187" s="5">
        <v>6.3</v>
      </c>
      <c r="E187" s="5">
        <v>1.53</v>
      </c>
      <c r="F187" s="4" t="s">
        <v>20</v>
      </c>
    </row>
    <row r="188" spans="1:6" x14ac:dyDescent="0.3">
      <c r="A188">
        <v>1927</v>
      </c>
      <c r="B188" s="5">
        <v>4</v>
      </c>
      <c r="C188" s="5">
        <v>3</v>
      </c>
      <c r="D188" s="5">
        <v>6.3</v>
      </c>
      <c r="E188" s="5">
        <v>1.7249999999999999</v>
      </c>
      <c r="F188" s="4" t="s">
        <v>15</v>
      </c>
    </row>
    <row r="189" spans="1:6" x14ac:dyDescent="0.3">
      <c r="A189">
        <v>1136</v>
      </c>
      <c r="B189" s="5">
        <v>4.4000000000000004</v>
      </c>
      <c r="C189" s="5">
        <v>1.4</v>
      </c>
      <c r="D189" s="5">
        <v>6.3199999999999994</v>
      </c>
      <c r="E189" s="5">
        <v>2.3519999999999994</v>
      </c>
      <c r="F189" s="4" t="s">
        <v>20</v>
      </c>
    </row>
    <row r="190" spans="1:6" x14ac:dyDescent="0.3">
      <c r="A190">
        <v>1525</v>
      </c>
      <c r="B190" s="5">
        <v>5</v>
      </c>
      <c r="C190" s="5">
        <v>2</v>
      </c>
      <c r="D190" s="5">
        <v>6.32</v>
      </c>
      <c r="E190" s="5">
        <v>2.3120000000000003</v>
      </c>
      <c r="F190" s="4" t="s">
        <v>15</v>
      </c>
    </row>
    <row r="191" spans="1:6" x14ac:dyDescent="0.3">
      <c r="A191">
        <v>1500</v>
      </c>
      <c r="B191" s="5">
        <v>6</v>
      </c>
      <c r="C191" s="5">
        <v>2.25</v>
      </c>
      <c r="D191" s="5">
        <v>6.3250000000000002</v>
      </c>
      <c r="E191" s="5">
        <v>2.6024999999999996</v>
      </c>
      <c r="F191" s="4" t="s">
        <v>20</v>
      </c>
    </row>
    <row r="192" spans="1:6" x14ac:dyDescent="0.3">
      <c r="A192">
        <v>1106</v>
      </c>
      <c r="B192" s="5">
        <v>4.666666666666667</v>
      </c>
      <c r="C192" s="5">
        <v>1.6666666666666667</v>
      </c>
      <c r="D192" s="5">
        <v>6.333333333333333</v>
      </c>
      <c r="E192" s="5">
        <v>3.2033333333333331</v>
      </c>
      <c r="F192" s="4" t="s">
        <v>15</v>
      </c>
    </row>
    <row r="193" spans="1:6" x14ac:dyDescent="0.3">
      <c r="A193">
        <v>1161</v>
      </c>
      <c r="B193" s="5">
        <v>2.6666666666666665</v>
      </c>
      <c r="C193" s="5">
        <v>1</v>
      </c>
      <c r="D193" s="5">
        <v>6.333333333333333</v>
      </c>
      <c r="E193" s="5">
        <v>2.72</v>
      </c>
      <c r="F193" s="4" t="s">
        <v>15</v>
      </c>
    </row>
    <row r="194" spans="1:6" x14ac:dyDescent="0.3">
      <c r="A194">
        <v>1256</v>
      </c>
      <c r="B194" s="5">
        <v>7.333333333333333</v>
      </c>
      <c r="C194" s="5">
        <v>2.3333333333333335</v>
      </c>
      <c r="D194" s="5">
        <v>6.333333333333333</v>
      </c>
      <c r="E194" s="5">
        <v>2.06</v>
      </c>
      <c r="F194" s="4" t="s">
        <v>20</v>
      </c>
    </row>
    <row r="195" spans="1:6" x14ac:dyDescent="0.3">
      <c r="A195">
        <v>1488</v>
      </c>
      <c r="B195" s="5">
        <v>4.333333333333333</v>
      </c>
      <c r="C195" s="5">
        <v>2.3333333333333335</v>
      </c>
      <c r="D195" s="5">
        <v>6.333333333333333</v>
      </c>
      <c r="E195" s="5">
        <v>2.5333333333333332</v>
      </c>
      <c r="F195" s="4" t="s">
        <v>20</v>
      </c>
    </row>
    <row r="196" spans="1:6" x14ac:dyDescent="0.3">
      <c r="A196">
        <v>1631</v>
      </c>
      <c r="B196" s="5">
        <v>5.666666666666667</v>
      </c>
      <c r="C196" s="5">
        <v>2.6666666666666665</v>
      </c>
      <c r="D196" s="5">
        <v>6.333333333333333</v>
      </c>
      <c r="E196" s="5">
        <v>2.4299999999999997</v>
      </c>
      <c r="F196" s="4" t="s">
        <v>15</v>
      </c>
    </row>
    <row r="197" spans="1:6" x14ac:dyDescent="0.3">
      <c r="A197">
        <v>1710</v>
      </c>
      <c r="B197" s="5">
        <v>4.666666666666667</v>
      </c>
      <c r="C197" s="5">
        <v>2</v>
      </c>
      <c r="D197" s="5">
        <v>6.333333333333333</v>
      </c>
      <c r="E197" s="5">
        <v>2.19</v>
      </c>
      <c r="F197" s="4" t="s">
        <v>20</v>
      </c>
    </row>
    <row r="198" spans="1:6" x14ac:dyDescent="0.3">
      <c r="A198">
        <v>1881</v>
      </c>
      <c r="B198" s="5">
        <v>6</v>
      </c>
      <c r="C198" s="5">
        <v>2</v>
      </c>
      <c r="D198" s="5">
        <v>6.333333333333333</v>
      </c>
      <c r="E198" s="5">
        <v>2.1166666666666667</v>
      </c>
      <c r="F198" s="4" t="s">
        <v>20</v>
      </c>
    </row>
    <row r="199" spans="1:6" x14ac:dyDescent="0.3">
      <c r="A199">
        <v>1965</v>
      </c>
      <c r="B199" s="5">
        <v>5.6</v>
      </c>
      <c r="C199" s="5">
        <v>2.2000000000000002</v>
      </c>
      <c r="D199" s="5">
        <v>6.339999999999999</v>
      </c>
      <c r="E199" s="5">
        <v>2.63</v>
      </c>
      <c r="F199" s="4" t="s">
        <v>20</v>
      </c>
    </row>
    <row r="200" spans="1:6" x14ac:dyDescent="0.3">
      <c r="A200">
        <v>1824</v>
      </c>
      <c r="B200" s="5">
        <v>4</v>
      </c>
      <c r="C200" s="5">
        <v>2</v>
      </c>
      <c r="D200" s="5">
        <v>6.34</v>
      </c>
      <c r="E200" s="5">
        <v>1.6799999999999997</v>
      </c>
      <c r="F200" s="4" t="s">
        <v>20</v>
      </c>
    </row>
    <row r="201" spans="1:6" x14ac:dyDescent="0.3">
      <c r="A201">
        <v>1968</v>
      </c>
      <c r="B201" s="5">
        <v>5</v>
      </c>
      <c r="C201" s="5">
        <v>1.4</v>
      </c>
      <c r="D201" s="5">
        <v>6.34</v>
      </c>
      <c r="E201" s="5">
        <v>1.7220000000000002</v>
      </c>
      <c r="F201" s="4" t="s">
        <v>20</v>
      </c>
    </row>
    <row r="202" spans="1:6" x14ac:dyDescent="0.3">
      <c r="A202">
        <v>1440</v>
      </c>
      <c r="B202" s="5">
        <v>6.8</v>
      </c>
      <c r="C202" s="5">
        <v>2.2000000000000002</v>
      </c>
      <c r="D202" s="5">
        <v>6.3400000000000007</v>
      </c>
      <c r="E202" s="5">
        <v>2.6060000000000003</v>
      </c>
      <c r="F202" s="4" t="s">
        <v>15</v>
      </c>
    </row>
    <row r="203" spans="1:6" x14ac:dyDescent="0.3">
      <c r="A203">
        <v>1118</v>
      </c>
      <c r="B203" s="5">
        <v>4.166666666666667</v>
      </c>
      <c r="C203" s="5">
        <v>2.1666666666666665</v>
      </c>
      <c r="D203" s="5">
        <v>6.3499999999999988</v>
      </c>
      <c r="E203" s="5">
        <v>2.4300000000000002</v>
      </c>
      <c r="F203" s="4" t="s">
        <v>20</v>
      </c>
    </row>
    <row r="204" spans="1:6" x14ac:dyDescent="0.3">
      <c r="A204">
        <v>1011</v>
      </c>
      <c r="B204" s="5">
        <v>4.5999999999999996</v>
      </c>
      <c r="C204" s="5">
        <v>2</v>
      </c>
      <c r="D204" s="5">
        <v>6.35</v>
      </c>
      <c r="E204" s="5">
        <v>2.4539999999999997</v>
      </c>
      <c r="F204" s="4" t="s">
        <v>15</v>
      </c>
    </row>
    <row r="205" spans="1:6" x14ac:dyDescent="0.3">
      <c r="A205">
        <v>1291</v>
      </c>
      <c r="B205" s="5">
        <v>5</v>
      </c>
      <c r="C205" s="5">
        <v>2.5</v>
      </c>
      <c r="D205" s="5">
        <v>6.35</v>
      </c>
      <c r="E205" s="5">
        <v>2.2050000000000001</v>
      </c>
      <c r="F205" s="4" t="s">
        <v>20</v>
      </c>
    </row>
    <row r="206" spans="1:6" x14ac:dyDescent="0.3">
      <c r="A206">
        <v>1481</v>
      </c>
      <c r="B206" s="5">
        <v>4.5</v>
      </c>
      <c r="C206" s="5">
        <v>2.25</v>
      </c>
      <c r="D206" s="5">
        <v>6.35</v>
      </c>
      <c r="E206" s="5">
        <v>3.085</v>
      </c>
      <c r="F206" s="4" t="s">
        <v>15</v>
      </c>
    </row>
    <row r="207" spans="1:6" x14ac:dyDescent="0.3">
      <c r="A207">
        <v>1585</v>
      </c>
      <c r="B207" s="5">
        <v>6.5</v>
      </c>
      <c r="C207" s="5">
        <v>2.5</v>
      </c>
      <c r="D207" s="5">
        <v>6.35</v>
      </c>
      <c r="E207" s="5">
        <v>3.0250000000000004</v>
      </c>
      <c r="F207" s="4" t="s">
        <v>15</v>
      </c>
    </row>
    <row r="208" spans="1:6" x14ac:dyDescent="0.3">
      <c r="A208">
        <v>1763</v>
      </c>
      <c r="B208" s="5">
        <v>6</v>
      </c>
      <c r="C208" s="5">
        <v>1.75</v>
      </c>
      <c r="D208" s="5">
        <v>6.35</v>
      </c>
      <c r="E208" s="5">
        <v>2.2175000000000002</v>
      </c>
      <c r="F208" s="4" t="s">
        <v>20</v>
      </c>
    </row>
    <row r="209" spans="1:6" x14ac:dyDescent="0.3">
      <c r="A209">
        <v>1870</v>
      </c>
      <c r="B209" s="5">
        <v>3.5</v>
      </c>
      <c r="C209" s="5">
        <v>1</v>
      </c>
      <c r="D209" s="5">
        <v>6.35</v>
      </c>
      <c r="E209" s="5">
        <v>2.2000000000000002</v>
      </c>
      <c r="F209" s="4" t="s">
        <v>15</v>
      </c>
    </row>
    <row r="210" spans="1:6" x14ac:dyDescent="0.3">
      <c r="A210">
        <v>1644</v>
      </c>
      <c r="B210" s="5">
        <v>4.2</v>
      </c>
      <c r="C210" s="5">
        <v>1.8</v>
      </c>
      <c r="D210" s="5">
        <v>6.3599999999999994</v>
      </c>
      <c r="E210" s="5">
        <v>2.7020000000000004</v>
      </c>
      <c r="F210" s="4" t="s">
        <v>15</v>
      </c>
    </row>
    <row r="211" spans="1:6" x14ac:dyDescent="0.3">
      <c r="A211">
        <v>1707</v>
      </c>
      <c r="B211" s="5">
        <v>3.3333333333333335</v>
      </c>
      <c r="C211" s="5">
        <v>2</v>
      </c>
      <c r="D211" s="5">
        <v>6.3666666666666671</v>
      </c>
      <c r="E211" s="5">
        <v>2.253333333333333</v>
      </c>
      <c r="F211" s="4" t="s">
        <v>15</v>
      </c>
    </row>
    <row r="212" spans="1:6" x14ac:dyDescent="0.3">
      <c r="A212">
        <v>1826</v>
      </c>
      <c r="B212" s="5">
        <v>2.6666666666666665</v>
      </c>
      <c r="C212" s="5">
        <v>2.6666666666666665</v>
      </c>
      <c r="D212" s="5">
        <v>6.3666666666666671</v>
      </c>
      <c r="E212" s="5">
        <v>2.8000000000000003</v>
      </c>
      <c r="F212" s="4" t="s">
        <v>20</v>
      </c>
    </row>
    <row r="213" spans="1:6" x14ac:dyDescent="0.3">
      <c r="A213">
        <v>1969</v>
      </c>
      <c r="B213" s="5">
        <v>6</v>
      </c>
      <c r="C213" s="5">
        <v>1.6666666666666667</v>
      </c>
      <c r="D213" s="5">
        <v>6.3666666666666671</v>
      </c>
      <c r="E213" s="5">
        <v>2.48</v>
      </c>
      <c r="F213" s="4" t="s">
        <v>20</v>
      </c>
    </row>
    <row r="214" spans="1:6" x14ac:dyDescent="0.3">
      <c r="A214">
        <v>1117</v>
      </c>
      <c r="B214" s="5">
        <v>6.2857142857142856</v>
      </c>
      <c r="C214" s="5">
        <v>2.1428571428571428</v>
      </c>
      <c r="D214" s="5">
        <v>6.371428571428571</v>
      </c>
      <c r="E214" s="5">
        <v>2.4428571428571431</v>
      </c>
      <c r="F214" s="4" t="s">
        <v>20</v>
      </c>
    </row>
    <row r="215" spans="1:6" x14ac:dyDescent="0.3">
      <c r="A215">
        <v>1347</v>
      </c>
      <c r="B215" s="5">
        <v>6.5</v>
      </c>
      <c r="C215" s="5">
        <v>2.25</v>
      </c>
      <c r="D215" s="5">
        <v>6.375</v>
      </c>
      <c r="E215" s="5">
        <v>2.8824999999999998</v>
      </c>
      <c r="F215" s="4" t="s">
        <v>15</v>
      </c>
    </row>
    <row r="216" spans="1:6" x14ac:dyDescent="0.3">
      <c r="A216">
        <v>1657</v>
      </c>
      <c r="B216" s="5">
        <v>5</v>
      </c>
      <c r="C216" s="5">
        <v>1.25</v>
      </c>
      <c r="D216" s="5">
        <v>6.375</v>
      </c>
      <c r="E216" s="5">
        <v>2.3775000000000004</v>
      </c>
      <c r="F216" s="4" t="s">
        <v>15</v>
      </c>
    </row>
    <row r="217" spans="1:6" x14ac:dyDescent="0.3">
      <c r="A217">
        <v>1811</v>
      </c>
      <c r="B217" s="5">
        <v>7.75</v>
      </c>
      <c r="C217" s="5">
        <v>2</v>
      </c>
      <c r="D217" s="5">
        <v>6.375</v>
      </c>
      <c r="E217" s="5">
        <v>2.5950000000000002</v>
      </c>
      <c r="F217" s="4" t="s">
        <v>15</v>
      </c>
    </row>
    <row r="218" spans="1:6" x14ac:dyDescent="0.3">
      <c r="A218">
        <v>1007</v>
      </c>
      <c r="B218" s="5">
        <v>3</v>
      </c>
      <c r="C218" s="5">
        <v>2</v>
      </c>
      <c r="D218" s="5">
        <v>6.38</v>
      </c>
      <c r="E218" s="5">
        <v>2.286</v>
      </c>
      <c r="F218" s="4" t="s">
        <v>20</v>
      </c>
    </row>
    <row r="219" spans="1:6" x14ac:dyDescent="0.3">
      <c r="A219">
        <v>1089</v>
      </c>
      <c r="B219" s="5">
        <v>4.2</v>
      </c>
      <c r="C219" s="5">
        <v>2.4</v>
      </c>
      <c r="D219" s="5">
        <v>6.38</v>
      </c>
      <c r="E219" s="5">
        <v>3.03</v>
      </c>
      <c r="F219" s="4" t="s">
        <v>15</v>
      </c>
    </row>
    <row r="220" spans="1:6" x14ac:dyDescent="0.3">
      <c r="A220">
        <v>1778</v>
      </c>
      <c r="B220" s="5">
        <v>6.5</v>
      </c>
      <c r="C220" s="5">
        <v>2</v>
      </c>
      <c r="D220" s="5">
        <v>6.3833333333333329</v>
      </c>
      <c r="E220" s="5">
        <v>2.5916666666666668</v>
      </c>
      <c r="F220" s="4" t="s">
        <v>20</v>
      </c>
    </row>
    <row r="221" spans="1:6" x14ac:dyDescent="0.3">
      <c r="A221">
        <v>1399</v>
      </c>
      <c r="B221" s="5">
        <v>5.6</v>
      </c>
      <c r="C221" s="5">
        <v>2.2000000000000002</v>
      </c>
      <c r="D221" s="5">
        <v>6.3999999999999995</v>
      </c>
      <c r="E221" s="5">
        <v>2.9474999999999998</v>
      </c>
      <c r="F221" s="4" t="s">
        <v>15</v>
      </c>
    </row>
    <row r="222" spans="1:6" x14ac:dyDescent="0.3">
      <c r="A222">
        <v>1178</v>
      </c>
      <c r="B222" s="5">
        <v>6.5</v>
      </c>
      <c r="C222" s="5">
        <v>2</v>
      </c>
      <c r="D222" s="5">
        <v>6.4</v>
      </c>
      <c r="E222" s="5">
        <v>2.4950000000000001</v>
      </c>
      <c r="F222" s="4" t="s">
        <v>20</v>
      </c>
    </row>
    <row r="223" spans="1:6" x14ac:dyDescent="0.3">
      <c r="A223">
        <v>1270</v>
      </c>
      <c r="B223" s="5">
        <v>7</v>
      </c>
      <c r="C223" s="5">
        <v>1.5</v>
      </c>
      <c r="D223" s="5">
        <v>6.4</v>
      </c>
      <c r="E223" s="5">
        <v>3.3150000000000004</v>
      </c>
      <c r="F223" s="4" t="s">
        <v>15</v>
      </c>
    </row>
    <row r="224" spans="1:6" x14ac:dyDescent="0.3">
      <c r="A224">
        <v>1294</v>
      </c>
      <c r="B224" s="5">
        <v>6.5</v>
      </c>
      <c r="C224" s="5">
        <v>1.75</v>
      </c>
      <c r="D224" s="5">
        <v>6.4</v>
      </c>
      <c r="E224" s="5">
        <v>2.2174999999999998</v>
      </c>
      <c r="F224" s="4" t="s">
        <v>15</v>
      </c>
    </row>
    <row r="225" spans="1:6" x14ac:dyDescent="0.3">
      <c r="A225">
        <v>1346</v>
      </c>
      <c r="B225" s="5">
        <v>6</v>
      </c>
      <c r="C225" s="5">
        <v>2</v>
      </c>
      <c r="D225" s="5">
        <v>6.4</v>
      </c>
      <c r="E225" s="5">
        <v>1.61</v>
      </c>
      <c r="F225" s="4" t="s">
        <v>20</v>
      </c>
    </row>
    <row r="226" spans="1:6" x14ac:dyDescent="0.3">
      <c r="A226">
        <v>1559</v>
      </c>
      <c r="B226" s="5">
        <v>1</v>
      </c>
      <c r="C226" s="5">
        <v>1.5</v>
      </c>
      <c r="D226" s="5">
        <v>6.4</v>
      </c>
      <c r="E226" s="5">
        <v>2.7199999999999998</v>
      </c>
      <c r="F226" s="4" t="s">
        <v>15</v>
      </c>
    </row>
    <row r="227" spans="1:6" x14ac:dyDescent="0.3">
      <c r="A227">
        <v>1761</v>
      </c>
      <c r="B227" s="5">
        <v>9</v>
      </c>
      <c r="C227" s="5">
        <v>2</v>
      </c>
      <c r="D227" s="5">
        <v>6.4</v>
      </c>
      <c r="E227" s="5">
        <v>3.1666666666666665</v>
      </c>
      <c r="F227" s="4" t="s">
        <v>15</v>
      </c>
    </row>
    <row r="228" spans="1:6" x14ac:dyDescent="0.3">
      <c r="A228">
        <v>1765</v>
      </c>
      <c r="B228" s="5">
        <v>8</v>
      </c>
      <c r="C228" s="5">
        <v>2</v>
      </c>
      <c r="D228" s="5">
        <v>6.4</v>
      </c>
      <c r="E228" s="5">
        <v>3.53</v>
      </c>
      <c r="F228" s="4" t="s">
        <v>15</v>
      </c>
    </row>
    <row r="229" spans="1:6" x14ac:dyDescent="0.3">
      <c r="A229">
        <v>1906</v>
      </c>
      <c r="B229" s="5">
        <v>2</v>
      </c>
      <c r="C229" s="5">
        <v>2</v>
      </c>
      <c r="D229" s="5">
        <v>6.4</v>
      </c>
      <c r="E229" s="5">
        <v>2.87</v>
      </c>
      <c r="F229" s="4" t="s">
        <v>15</v>
      </c>
    </row>
    <row r="230" spans="1:6" x14ac:dyDescent="0.3">
      <c r="A230">
        <v>1929</v>
      </c>
      <c r="B230" s="5">
        <v>6.5</v>
      </c>
      <c r="C230" s="5">
        <v>1.5</v>
      </c>
      <c r="D230" s="5">
        <v>6.4</v>
      </c>
      <c r="E230" s="5">
        <v>1.76</v>
      </c>
      <c r="F230" s="4" t="s">
        <v>20</v>
      </c>
    </row>
    <row r="231" spans="1:6" x14ac:dyDescent="0.3">
      <c r="A231">
        <v>1453</v>
      </c>
      <c r="B231" s="5">
        <v>4</v>
      </c>
      <c r="C231" s="5">
        <v>2.3333333333333335</v>
      </c>
      <c r="D231" s="5">
        <v>6.4000000000000012</v>
      </c>
      <c r="E231" s="5">
        <v>1.9799999999999998</v>
      </c>
      <c r="F231" s="4" t="s">
        <v>20</v>
      </c>
    </row>
    <row r="232" spans="1:6" x14ac:dyDescent="0.3">
      <c r="A232">
        <v>1550</v>
      </c>
      <c r="B232" s="5">
        <v>3.6666666666666665</v>
      </c>
      <c r="C232" s="5">
        <v>1.6666666666666667</v>
      </c>
      <c r="D232" s="5">
        <v>6.4000000000000012</v>
      </c>
      <c r="E232" s="5">
        <v>2.9499999999999997</v>
      </c>
      <c r="F232" s="4" t="s">
        <v>15</v>
      </c>
    </row>
    <row r="233" spans="1:6" x14ac:dyDescent="0.3">
      <c r="A233">
        <v>1396</v>
      </c>
      <c r="B233" s="5">
        <v>6.5714285714285712</v>
      </c>
      <c r="C233" s="5">
        <v>1.7142857142857142</v>
      </c>
      <c r="D233" s="5">
        <v>6.4142857142857137</v>
      </c>
      <c r="E233" s="5">
        <v>2.4385714285714286</v>
      </c>
      <c r="F233" s="4" t="s">
        <v>20</v>
      </c>
    </row>
    <row r="234" spans="1:6" x14ac:dyDescent="0.3">
      <c r="A234">
        <v>1355</v>
      </c>
      <c r="B234" s="5">
        <v>4.166666666666667</v>
      </c>
      <c r="C234" s="5">
        <v>1.8333333333333333</v>
      </c>
      <c r="D234" s="5">
        <v>6.416666666666667</v>
      </c>
      <c r="E234" s="5">
        <v>2.1350000000000002</v>
      </c>
      <c r="F234" s="4" t="s">
        <v>20</v>
      </c>
    </row>
    <row r="235" spans="1:6" x14ac:dyDescent="0.3">
      <c r="A235">
        <v>1773</v>
      </c>
      <c r="B235" s="5">
        <v>4.2</v>
      </c>
      <c r="C235" s="5">
        <v>2.6</v>
      </c>
      <c r="D235" s="5">
        <v>6.419999999999999</v>
      </c>
      <c r="E235" s="5">
        <v>2.7919999999999994</v>
      </c>
      <c r="F235" s="4" t="s">
        <v>20</v>
      </c>
    </row>
    <row r="236" spans="1:6" x14ac:dyDescent="0.3">
      <c r="A236">
        <v>1526</v>
      </c>
      <c r="B236" s="5">
        <v>4</v>
      </c>
      <c r="C236" s="5">
        <v>1.6666666666666667</v>
      </c>
      <c r="D236" s="5">
        <v>6.4333333333333336</v>
      </c>
      <c r="E236" s="5">
        <v>2.5733333333333337</v>
      </c>
      <c r="F236" s="4" t="s">
        <v>15</v>
      </c>
    </row>
    <row r="237" spans="1:6" x14ac:dyDescent="0.3">
      <c r="A237">
        <v>1802</v>
      </c>
      <c r="B237" s="5">
        <v>6.5</v>
      </c>
      <c r="C237" s="5">
        <v>1.6666666666666667</v>
      </c>
      <c r="D237" s="5">
        <v>6.4333333333333336</v>
      </c>
      <c r="E237" s="5">
        <v>2.4016666666666668</v>
      </c>
      <c r="F237" s="4" t="s">
        <v>15</v>
      </c>
    </row>
    <row r="238" spans="1:6" x14ac:dyDescent="0.3">
      <c r="A238">
        <v>1091</v>
      </c>
      <c r="B238" s="5">
        <v>3.2</v>
      </c>
      <c r="C238" s="5">
        <v>2</v>
      </c>
      <c r="D238" s="5">
        <v>6.4399999999999995</v>
      </c>
      <c r="E238" s="5">
        <v>2.2275</v>
      </c>
      <c r="F238" s="4" t="s">
        <v>20</v>
      </c>
    </row>
    <row r="239" spans="1:6" x14ac:dyDescent="0.3">
      <c r="A239">
        <v>1449</v>
      </c>
      <c r="B239" s="5">
        <v>6</v>
      </c>
      <c r="C239" s="5">
        <v>1.6</v>
      </c>
      <c r="D239" s="5">
        <v>6.4399999999999995</v>
      </c>
      <c r="E239" s="5">
        <v>2.96</v>
      </c>
      <c r="F239" s="4" t="s">
        <v>15</v>
      </c>
    </row>
    <row r="240" spans="1:6" x14ac:dyDescent="0.3">
      <c r="A240">
        <v>1212</v>
      </c>
      <c r="B240" s="5">
        <v>6</v>
      </c>
      <c r="C240" s="5">
        <v>1.75</v>
      </c>
      <c r="D240" s="5">
        <v>6.4499999999999993</v>
      </c>
      <c r="E240" s="5">
        <v>1.925</v>
      </c>
      <c r="F240" s="4" t="s">
        <v>20</v>
      </c>
    </row>
    <row r="241" spans="1:6" x14ac:dyDescent="0.3">
      <c r="A241">
        <v>1236</v>
      </c>
      <c r="B241" s="5">
        <v>3.25</v>
      </c>
      <c r="C241" s="5">
        <v>1</v>
      </c>
      <c r="D241" s="5">
        <v>6.4499999999999993</v>
      </c>
      <c r="E241" s="5">
        <v>2.6633333333333336</v>
      </c>
      <c r="F241" s="4" t="s">
        <v>15</v>
      </c>
    </row>
    <row r="242" spans="1:6" x14ac:dyDescent="0.3">
      <c r="A242">
        <v>1421</v>
      </c>
      <c r="B242" s="5">
        <v>4.833333333333333</v>
      </c>
      <c r="C242" s="5">
        <v>1.3333333333333333</v>
      </c>
      <c r="D242" s="5">
        <v>6.4499999999999993</v>
      </c>
      <c r="E242" s="5">
        <v>2.0566666666666666</v>
      </c>
      <c r="F242" s="4" t="s">
        <v>20</v>
      </c>
    </row>
    <row r="243" spans="1:6" x14ac:dyDescent="0.3">
      <c r="A243">
        <v>1743</v>
      </c>
      <c r="B243" s="5">
        <v>5</v>
      </c>
      <c r="C243" s="5">
        <v>2</v>
      </c>
      <c r="D243" s="5">
        <v>6.4499999999999993</v>
      </c>
      <c r="E243" s="5">
        <v>1.8625</v>
      </c>
      <c r="F243" s="4" t="s">
        <v>15</v>
      </c>
    </row>
    <row r="244" spans="1:6" x14ac:dyDescent="0.3">
      <c r="A244">
        <v>1111</v>
      </c>
      <c r="B244" s="5">
        <v>5.5</v>
      </c>
      <c r="C244" s="5">
        <v>1</v>
      </c>
      <c r="D244" s="5">
        <v>6.45</v>
      </c>
      <c r="E244" s="5">
        <v>2.48</v>
      </c>
      <c r="F244" s="4" t="s">
        <v>20</v>
      </c>
    </row>
    <row r="245" spans="1:6" x14ac:dyDescent="0.3">
      <c r="A245">
        <v>1331</v>
      </c>
      <c r="B245" s="5">
        <v>5.5</v>
      </c>
      <c r="C245" s="5">
        <v>3</v>
      </c>
      <c r="D245" s="5">
        <v>6.45</v>
      </c>
      <c r="E245" s="5">
        <v>2.4750000000000001</v>
      </c>
      <c r="F245" s="4" t="s">
        <v>15</v>
      </c>
    </row>
    <row r="246" spans="1:6" x14ac:dyDescent="0.3">
      <c r="A246">
        <v>1718</v>
      </c>
      <c r="B246" s="5">
        <v>8.5</v>
      </c>
      <c r="C246" s="5">
        <v>2.5</v>
      </c>
      <c r="D246" s="5">
        <v>6.45</v>
      </c>
      <c r="E246" s="5">
        <v>2.9649999999999999</v>
      </c>
      <c r="F246" s="4" t="s">
        <v>20</v>
      </c>
    </row>
    <row r="247" spans="1:6" x14ac:dyDescent="0.3">
      <c r="A247">
        <v>1895</v>
      </c>
      <c r="B247" s="5">
        <v>6.5</v>
      </c>
      <c r="C247" s="5">
        <v>2.5</v>
      </c>
      <c r="D247" s="5">
        <v>6.45</v>
      </c>
      <c r="E247" s="5">
        <v>2.7233333333333332</v>
      </c>
      <c r="F247" s="4" t="s">
        <v>20</v>
      </c>
    </row>
    <row r="248" spans="1:6" x14ac:dyDescent="0.3">
      <c r="A248">
        <v>1737</v>
      </c>
      <c r="B248" s="5">
        <v>3.4</v>
      </c>
      <c r="C248" s="5">
        <v>1.4</v>
      </c>
      <c r="D248" s="5">
        <v>6.4599999999999991</v>
      </c>
      <c r="E248" s="5">
        <v>2.2679999999999998</v>
      </c>
      <c r="F248" s="4" t="s">
        <v>15</v>
      </c>
    </row>
    <row r="249" spans="1:6" x14ac:dyDescent="0.3">
      <c r="A249">
        <v>1628</v>
      </c>
      <c r="B249" s="5">
        <v>4.4000000000000004</v>
      </c>
      <c r="C249" s="5">
        <v>2.4</v>
      </c>
      <c r="D249" s="5">
        <v>6.4600000000000009</v>
      </c>
      <c r="E249" s="5">
        <v>2.6220000000000003</v>
      </c>
      <c r="F249" s="4" t="s">
        <v>15</v>
      </c>
    </row>
    <row r="250" spans="1:6" x14ac:dyDescent="0.3">
      <c r="A250">
        <v>1445</v>
      </c>
      <c r="B250" s="5">
        <v>4.666666666666667</v>
      </c>
      <c r="C250" s="5">
        <v>2</v>
      </c>
      <c r="D250" s="5">
        <v>6.4666666666666659</v>
      </c>
      <c r="E250" s="5">
        <v>1.8133333333333332</v>
      </c>
      <c r="F250" s="4" t="s">
        <v>20</v>
      </c>
    </row>
    <row r="251" spans="1:6" x14ac:dyDescent="0.3">
      <c r="A251">
        <v>1535</v>
      </c>
      <c r="B251" s="5">
        <v>5.333333333333333</v>
      </c>
      <c r="C251" s="5">
        <v>1.6666666666666667</v>
      </c>
      <c r="D251" s="5">
        <v>6.4666666666666659</v>
      </c>
      <c r="E251" s="5">
        <v>2.3066666666666666</v>
      </c>
      <c r="F251" s="4" t="s">
        <v>15</v>
      </c>
    </row>
    <row r="252" spans="1:6" x14ac:dyDescent="0.3">
      <c r="A252">
        <v>1541</v>
      </c>
      <c r="B252" s="5">
        <v>7.666666666666667</v>
      </c>
      <c r="C252" s="5">
        <v>1.6666666666666667</v>
      </c>
      <c r="D252" s="5">
        <v>6.4666666666666659</v>
      </c>
      <c r="E252" s="5">
        <v>2.91</v>
      </c>
      <c r="F252" s="4" t="s">
        <v>15</v>
      </c>
    </row>
    <row r="253" spans="1:6" x14ac:dyDescent="0.3">
      <c r="A253">
        <v>1182</v>
      </c>
      <c r="B253" s="5">
        <v>7.1428571428571432</v>
      </c>
      <c r="C253" s="5">
        <v>1.8571428571428572</v>
      </c>
      <c r="D253" s="5">
        <v>6.4714285714285724</v>
      </c>
      <c r="E253" s="5">
        <v>2.5385714285714287</v>
      </c>
      <c r="F253" s="4" t="s">
        <v>20</v>
      </c>
    </row>
    <row r="254" spans="1:6" x14ac:dyDescent="0.3">
      <c r="A254">
        <v>1823</v>
      </c>
      <c r="B254" s="5">
        <v>4.75</v>
      </c>
      <c r="C254" s="5">
        <v>2.25</v>
      </c>
      <c r="D254" s="5">
        <v>6.4749999999999996</v>
      </c>
      <c r="E254" s="5">
        <v>2.6375000000000002</v>
      </c>
      <c r="F254" s="4" t="s">
        <v>20</v>
      </c>
    </row>
    <row r="255" spans="1:6" x14ac:dyDescent="0.3">
      <c r="A255">
        <v>1002</v>
      </c>
      <c r="B255" s="5">
        <v>2.75</v>
      </c>
      <c r="C255" s="5">
        <v>2</v>
      </c>
      <c r="D255" s="5">
        <v>6.4750000000000005</v>
      </c>
      <c r="E255" s="5">
        <v>2.8274999999999997</v>
      </c>
      <c r="F255" s="4" t="s">
        <v>20</v>
      </c>
    </row>
    <row r="256" spans="1:6" x14ac:dyDescent="0.3">
      <c r="A256">
        <v>1425</v>
      </c>
      <c r="B256" s="5">
        <v>3.5</v>
      </c>
      <c r="C256" s="5">
        <v>2.25</v>
      </c>
      <c r="D256" s="5">
        <v>6.4750000000000005</v>
      </c>
      <c r="E256" s="5">
        <v>2.1800000000000002</v>
      </c>
      <c r="F256" s="4" t="s">
        <v>20</v>
      </c>
    </row>
    <row r="257" spans="1:6" x14ac:dyDescent="0.3">
      <c r="A257">
        <v>1989</v>
      </c>
      <c r="B257" s="5">
        <v>4.8</v>
      </c>
      <c r="C257" s="5">
        <v>1.6</v>
      </c>
      <c r="D257" s="5">
        <v>6.4799999999999995</v>
      </c>
      <c r="E257" s="5">
        <v>2.23</v>
      </c>
      <c r="F257" s="4" t="s">
        <v>15</v>
      </c>
    </row>
    <row r="258" spans="1:6" x14ac:dyDescent="0.3">
      <c r="A258">
        <v>1961</v>
      </c>
      <c r="B258" s="5">
        <v>5.4285714285714288</v>
      </c>
      <c r="C258" s="5">
        <v>1.8571428571428572</v>
      </c>
      <c r="D258" s="5">
        <v>6.4857142857142858</v>
      </c>
      <c r="E258" s="5">
        <v>2.1285714285714286</v>
      </c>
      <c r="F258" s="4" t="s">
        <v>15</v>
      </c>
    </row>
    <row r="259" spans="1:6" x14ac:dyDescent="0.3">
      <c r="A259">
        <v>1015</v>
      </c>
      <c r="B259" s="5">
        <v>6.333333333333333</v>
      </c>
      <c r="C259" s="5">
        <v>2</v>
      </c>
      <c r="D259" s="5">
        <v>6.5</v>
      </c>
      <c r="E259" s="5">
        <v>2.9466666666666668</v>
      </c>
      <c r="F259" s="4" t="s">
        <v>20</v>
      </c>
    </row>
    <row r="260" spans="1:6" x14ac:dyDescent="0.3">
      <c r="A260">
        <v>1185</v>
      </c>
      <c r="B260" s="5">
        <v>4</v>
      </c>
      <c r="C260" s="5">
        <v>1</v>
      </c>
      <c r="D260" s="5">
        <v>6.5</v>
      </c>
      <c r="E260" s="5">
        <v>3.0166666666666671</v>
      </c>
      <c r="F260" s="4" t="s">
        <v>15</v>
      </c>
    </row>
    <row r="261" spans="1:6" x14ac:dyDescent="0.3">
      <c r="A261">
        <v>1416</v>
      </c>
      <c r="B261" s="5">
        <v>5.5</v>
      </c>
      <c r="C261" s="5">
        <v>2</v>
      </c>
      <c r="D261" s="5">
        <v>6.5</v>
      </c>
      <c r="E261" s="5">
        <v>2.8250000000000002</v>
      </c>
      <c r="F261" s="4" t="s">
        <v>15</v>
      </c>
    </row>
    <row r="262" spans="1:6" x14ac:dyDescent="0.3">
      <c r="A262">
        <v>1423</v>
      </c>
      <c r="B262" s="5">
        <v>5.5</v>
      </c>
      <c r="C262" s="5">
        <v>1.5</v>
      </c>
      <c r="D262" s="5">
        <v>6.5</v>
      </c>
      <c r="E262" s="5">
        <v>2.9849999999999999</v>
      </c>
      <c r="F262" s="4" t="s">
        <v>20</v>
      </c>
    </row>
    <row r="263" spans="1:6" x14ac:dyDescent="0.3">
      <c r="A263">
        <v>1456</v>
      </c>
      <c r="B263" s="5">
        <v>3.3333333333333335</v>
      </c>
      <c r="C263" s="5">
        <v>2.3333333333333335</v>
      </c>
      <c r="D263" s="5">
        <v>6.5</v>
      </c>
      <c r="E263" s="5">
        <v>2.6733333333333333</v>
      </c>
      <c r="F263" s="4" t="s">
        <v>20</v>
      </c>
    </row>
    <row r="264" spans="1:6" x14ac:dyDescent="0.3">
      <c r="A264">
        <v>1597</v>
      </c>
      <c r="B264" s="5">
        <v>4.166666666666667</v>
      </c>
      <c r="C264" s="5">
        <v>2.1666666666666665</v>
      </c>
      <c r="D264" s="5">
        <v>6.5</v>
      </c>
      <c r="E264" s="5">
        <v>2.7666666666666662</v>
      </c>
      <c r="F264" s="4" t="s">
        <v>15</v>
      </c>
    </row>
    <row r="265" spans="1:6" x14ac:dyDescent="0.3">
      <c r="A265">
        <v>1682</v>
      </c>
      <c r="B265" s="5">
        <v>7.333333333333333</v>
      </c>
      <c r="C265" s="5">
        <v>1.6666666666666667</v>
      </c>
      <c r="D265" s="5">
        <v>6.5</v>
      </c>
      <c r="E265" s="5">
        <v>3.02</v>
      </c>
      <c r="F265" s="4" t="s">
        <v>20</v>
      </c>
    </row>
    <row r="266" spans="1:6" x14ac:dyDescent="0.3">
      <c r="A266">
        <v>1769</v>
      </c>
      <c r="B266" s="5">
        <v>8</v>
      </c>
      <c r="C266" s="5">
        <v>2.2000000000000002</v>
      </c>
      <c r="D266" s="5">
        <v>6.5</v>
      </c>
      <c r="E266" s="5">
        <v>2.4579999999999997</v>
      </c>
      <c r="F266" s="4" t="s">
        <v>20</v>
      </c>
    </row>
    <row r="267" spans="1:6" x14ac:dyDescent="0.3">
      <c r="A267">
        <v>1779</v>
      </c>
      <c r="B267" s="5">
        <v>4</v>
      </c>
      <c r="C267" s="5">
        <v>1</v>
      </c>
      <c r="D267" s="5">
        <v>6.5</v>
      </c>
      <c r="E267" s="5">
        <v>3.2249999999999996</v>
      </c>
      <c r="F267" s="4" t="s">
        <v>20</v>
      </c>
    </row>
    <row r="268" spans="1:6" x14ac:dyDescent="0.3">
      <c r="A268">
        <v>1788</v>
      </c>
      <c r="B268" s="5">
        <v>2.75</v>
      </c>
      <c r="C268" s="5">
        <v>2</v>
      </c>
      <c r="D268" s="5">
        <v>6.5</v>
      </c>
      <c r="E268" s="5">
        <v>2.1875</v>
      </c>
      <c r="F268" s="4" t="s">
        <v>20</v>
      </c>
    </row>
    <row r="269" spans="1:6" x14ac:dyDescent="0.3">
      <c r="A269">
        <v>1846</v>
      </c>
      <c r="B269" s="5">
        <v>6</v>
      </c>
      <c r="C269" s="5">
        <v>1.5</v>
      </c>
      <c r="D269" s="5">
        <v>6.5</v>
      </c>
      <c r="E269" s="5">
        <v>2.5249999999999999</v>
      </c>
      <c r="F269" s="4" t="s">
        <v>20</v>
      </c>
    </row>
    <row r="270" spans="1:6" x14ac:dyDescent="0.3">
      <c r="A270">
        <v>1868</v>
      </c>
      <c r="B270" s="5">
        <v>9</v>
      </c>
      <c r="C270" s="5">
        <v>1</v>
      </c>
      <c r="D270" s="5">
        <v>6.5</v>
      </c>
      <c r="E270" s="5">
        <v>2.476666666666667</v>
      </c>
      <c r="F270" s="4" t="s">
        <v>20</v>
      </c>
    </row>
    <row r="271" spans="1:6" x14ac:dyDescent="0.3">
      <c r="A271">
        <v>1896</v>
      </c>
      <c r="B271" s="5">
        <v>5.5</v>
      </c>
      <c r="C271" s="5">
        <v>2.5</v>
      </c>
      <c r="D271" s="5">
        <v>6.5</v>
      </c>
      <c r="E271" s="5">
        <v>2.3499999999999996</v>
      </c>
      <c r="F271" s="4" t="s">
        <v>20</v>
      </c>
    </row>
    <row r="272" spans="1:6" x14ac:dyDescent="0.3">
      <c r="A272">
        <v>1988</v>
      </c>
      <c r="B272" s="5">
        <v>2.5</v>
      </c>
      <c r="C272" s="5">
        <v>2.25</v>
      </c>
      <c r="D272" s="5">
        <v>6.5</v>
      </c>
      <c r="E272" s="5">
        <v>2.6725000000000003</v>
      </c>
      <c r="F272" s="4" t="s">
        <v>15</v>
      </c>
    </row>
    <row r="273" spans="1:6" x14ac:dyDescent="0.3">
      <c r="A273">
        <v>1098</v>
      </c>
      <c r="B273" s="5">
        <v>6.2727272727272725</v>
      </c>
      <c r="C273" s="5">
        <v>2.0909090909090908</v>
      </c>
      <c r="D273" s="5">
        <v>6.5090909090909097</v>
      </c>
      <c r="E273" s="5">
        <v>3.0416666666666665</v>
      </c>
      <c r="F273" s="4" t="s">
        <v>15</v>
      </c>
    </row>
    <row r="274" spans="1:6" x14ac:dyDescent="0.3">
      <c r="A274">
        <v>1171</v>
      </c>
      <c r="B274" s="5">
        <v>6.833333333333333</v>
      </c>
      <c r="C274" s="5">
        <v>2</v>
      </c>
      <c r="D274" s="5">
        <v>6.5166666666666657</v>
      </c>
      <c r="E274" s="5">
        <v>2.5659999999999998</v>
      </c>
      <c r="F274" s="4" t="s">
        <v>20</v>
      </c>
    </row>
    <row r="275" spans="1:6" x14ac:dyDescent="0.3">
      <c r="A275">
        <v>1452</v>
      </c>
      <c r="B275" s="5">
        <v>4</v>
      </c>
      <c r="C275" s="5">
        <v>2.5</v>
      </c>
      <c r="D275" s="5">
        <v>6.5250000000000004</v>
      </c>
      <c r="E275" s="5">
        <v>3.2</v>
      </c>
      <c r="F275" s="4" t="s">
        <v>15</v>
      </c>
    </row>
    <row r="276" spans="1:6" x14ac:dyDescent="0.3">
      <c r="A276">
        <v>1654</v>
      </c>
      <c r="B276" s="5">
        <v>5.25</v>
      </c>
      <c r="C276" s="5">
        <v>2.25</v>
      </c>
      <c r="D276" s="5">
        <v>6.5250000000000004</v>
      </c>
      <c r="E276" s="5">
        <v>2.7224999999999997</v>
      </c>
      <c r="F276" s="4" t="s">
        <v>15</v>
      </c>
    </row>
    <row r="277" spans="1:6" x14ac:dyDescent="0.3">
      <c r="A277">
        <v>1987</v>
      </c>
      <c r="B277" s="5">
        <v>7</v>
      </c>
      <c r="C277" s="5">
        <v>2.6666666666666665</v>
      </c>
      <c r="D277" s="5">
        <v>6.5333333333333341</v>
      </c>
      <c r="E277" s="5">
        <v>2.5925000000000002</v>
      </c>
      <c r="F277" s="4" t="s">
        <v>20</v>
      </c>
    </row>
    <row r="278" spans="1:6" x14ac:dyDescent="0.3">
      <c r="A278">
        <v>1312</v>
      </c>
      <c r="B278" s="5">
        <v>3.4</v>
      </c>
      <c r="C278" s="5">
        <v>1.6</v>
      </c>
      <c r="D278" s="5">
        <v>6.5400000000000009</v>
      </c>
      <c r="E278" s="5">
        <v>2.0499999999999998</v>
      </c>
      <c r="F278" s="4" t="s">
        <v>20</v>
      </c>
    </row>
    <row r="279" spans="1:6" x14ac:dyDescent="0.3">
      <c r="A279">
        <v>1424</v>
      </c>
      <c r="B279" s="5">
        <v>6</v>
      </c>
      <c r="C279" s="5">
        <v>2.2000000000000002</v>
      </c>
      <c r="D279" s="5">
        <v>6.5400000000000009</v>
      </c>
      <c r="E279" s="5">
        <v>2.3319999999999999</v>
      </c>
      <c r="F279" s="4" t="s">
        <v>20</v>
      </c>
    </row>
    <row r="280" spans="1:6" x14ac:dyDescent="0.3">
      <c r="A280">
        <v>1813</v>
      </c>
      <c r="B280" s="5">
        <v>4.5999999999999996</v>
      </c>
      <c r="C280" s="5">
        <v>2</v>
      </c>
      <c r="D280" s="5">
        <v>6.5400000000000009</v>
      </c>
      <c r="E280" s="5">
        <v>2.4780000000000002</v>
      </c>
      <c r="F280" s="4" t="s">
        <v>15</v>
      </c>
    </row>
    <row r="281" spans="1:6" x14ac:dyDescent="0.3">
      <c r="A281">
        <v>1957</v>
      </c>
      <c r="B281" s="5">
        <v>4.8</v>
      </c>
      <c r="C281" s="5">
        <v>1.8</v>
      </c>
      <c r="D281" s="5">
        <v>6.5400000000000009</v>
      </c>
      <c r="E281" s="5">
        <v>2.2599999999999998</v>
      </c>
      <c r="F281" s="4" t="s">
        <v>15</v>
      </c>
    </row>
    <row r="282" spans="1:6" x14ac:dyDescent="0.3">
      <c r="A282">
        <v>1151</v>
      </c>
      <c r="B282" s="5">
        <v>6</v>
      </c>
      <c r="C282" s="5">
        <v>2</v>
      </c>
      <c r="D282" s="5">
        <v>6.5499999999999989</v>
      </c>
      <c r="E282" s="5">
        <v>2.6066666666666669</v>
      </c>
      <c r="F282" s="4" t="s">
        <v>20</v>
      </c>
    </row>
    <row r="283" spans="1:6" x14ac:dyDescent="0.3">
      <c r="A283">
        <v>1009</v>
      </c>
      <c r="B283" s="5">
        <v>4.666666666666667</v>
      </c>
      <c r="C283" s="5">
        <v>2.8333333333333335</v>
      </c>
      <c r="D283" s="5">
        <v>6.55</v>
      </c>
      <c r="E283" s="5">
        <v>2.4716666666666671</v>
      </c>
      <c r="F283" s="4" t="s">
        <v>20</v>
      </c>
    </row>
    <row r="284" spans="1:6" x14ac:dyDescent="0.3">
      <c r="A284">
        <v>1255</v>
      </c>
      <c r="B284" s="5">
        <v>6.25</v>
      </c>
      <c r="C284" s="5">
        <v>3</v>
      </c>
      <c r="D284" s="5">
        <v>6.55</v>
      </c>
      <c r="E284" s="5">
        <v>2.9</v>
      </c>
      <c r="F284" s="4" t="s">
        <v>20</v>
      </c>
    </row>
    <row r="285" spans="1:6" x14ac:dyDescent="0.3">
      <c r="A285">
        <v>1604</v>
      </c>
      <c r="B285" s="5">
        <v>6.25</v>
      </c>
      <c r="C285" s="5">
        <v>2.5</v>
      </c>
      <c r="D285" s="5">
        <v>6.55</v>
      </c>
      <c r="E285" s="5">
        <v>3.0125000000000002</v>
      </c>
      <c r="F285" s="4" t="s">
        <v>15</v>
      </c>
    </row>
    <row r="286" spans="1:6" x14ac:dyDescent="0.3">
      <c r="A286">
        <v>1213</v>
      </c>
      <c r="B286" s="5">
        <v>7.5</v>
      </c>
      <c r="C286" s="5">
        <v>3</v>
      </c>
      <c r="D286" s="5">
        <v>6.5500000000000007</v>
      </c>
      <c r="E286" s="5">
        <v>2.13</v>
      </c>
      <c r="F286" s="4" t="s">
        <v>15</v>
      </c>
    </row>
    <row r="287" spans="1:6" x14ac:dyDescent="0.3">
      <c r="A287">
        <v>1717</v>
      </c>
      <c r="B287" s="5">
        <v>6.5</v>
      </c>
      <c r="C287" s="5">
        <v>2</v>
      </c>
      <c r="D287" s="5">
        <v>6.5500000000000007</v>
      </c>
      <c r="E287" s="5">
        <v>2.7350000000000003</v>
      </c>
      <c r="F287" s="4" t="s">
        <v>15</v>
      </c>
    </row>
    <row r="288" spans="1:6" x14ac:dyDescent="0.3">
      <c r="A288">
        <v>1754</v>
      </c>
      <c r="B288" s="5">
        <v>5.5</v>
      </c>
      <c r="C288" s="5">
        <v>1.75</v>
      </c>
      <c r="D288" s="5">
        <v>6.5500000000000007</v>
      </c>
      <c r="E288" s="5">
        <v>2.83</v>
      </c>
      <c r="F288" s="4" t="s">
        <v>15</v>
      </c>
    </row>
    <row r="289" spans="1:6" x14ac:dyDescent="0.3">
      <c r="A289">
        <v>1313</v>
      </c>
      <c r="B289" s="5">
        <v>4.4000000000000004</v>
      </c>
      <c r="C289" s="5">
        <v>1.8</v>
      </c>
      <c r="D289" s="5">
        <v>6.56</v>
      </c>
      <c r="E289" s="5">
        <v>3.1199999999999997</v>
      </c>
      <c r="F289" s="4" t="s">
        <v>15</v>
      </c>
    </row>
    <row r="290" spans="1:6" x14ac:dyDescent="0.3">
      <c r="A290">
        <v>1183</v>
      </c>
      <c r="B290" s="5">
        <v>7.333333333333333</v>
      </c>
      <c r="C290" s="5">
        <v>2</v>
      </c>
      <c r="D290" s="5">
        <v>6.5666666666666664</v>
      </c>
      <c r="E290" s="5">
        <v>2.2599999999999998</v>
      </c>
      <c r="F290" s="4" t="s">
        <v>15</v>
      </c>
    </row>
    <row r="291" spans="1:6" x14ac:dyDescent="0.3">
      <c r="A291">
        <v>1309</v>
      </c>
      <c r="B291" s="5">
        <v>3.3333333333333335</v>
      </c>
      <c r="C291" s="5">
        <v>3</v>
      </c>
      <c r="D291" s="5">
        <v>6.5666666666666664</v>
      </c>
      <c r="E291" s="5">
        <v>2.5100000000000002</v>
      </c>
      <c r="F291" s="4" t="s">
        <v>15</v>
      </c>
    </row>
    <row r="292" spans="1:6" x14ac:dyDescent="0.3">
      <c r="A292">
        <v>1386</v>
      </c>
      <c r="B292" s="5">
        <v>6.666666666666667</v>
      </c>
      <c r="C292" s="5">
        <v>2.6666666666666665</v>
      </c>
      <c r="D292" s="5">
        <v>6.5666666666666664</v>
      </c>
      <c r="E292" s="5">
        <v>3.5666666666666664</v>
      </c>
      <c r="F292" s="4" t="s">
        <v>15</v>
      </c>
    </row>
    <row r="293" spans="1:6" x14ac:dyDescent="0.3">
      <c r="A293">
        <v>1132</v>
      </c>
      <c r="B293" s="5">
        <v>6.5</v>
      </c>
      <c r="C293" s="5">
        <v>2.1666666666666665</v>
      </c>
      <c r="D293" s="5">
        <v>6.5666666666666673</v>
      </c>
      <c r="E293" s="5">
        <v>2.3733333333333335</v>
      </c>
      <c r="F293" s="4" t="s">
        <v>20</v>
      </c>
    </row>
    <row r="294" spans="1:6" x14ac:dyDescent="0.3">
      <c r="A294">
        <v>1152</v>
      </c>
      <c r="B294" s="5">
        <v>6.5</v>
      </c>
      <c r="C294" s="5">
        <v>2.25</v>
      </c>
      <c r="D294" s="5">
        <v>6.5750000000000002</v>
      </c>
      <c r="E294" s="5">
        <v>2.2533333333333334</v>
      </c>
      <c r="F294" s="4" t="s">
        <v>15</v>
      </c>
    </row>
    <row r="295" spans="1:6" x14ac:dyDescent="0.3">
      <c r="A295">
        <v>1945</v>
      </c>
      <c r="B295" s="5">
        <v>3.5</v>
      </c>
      <c r="C295" s="5">
        <v>2.25</v>
      </c>
      <c r="D295" s="5">
        <v>6.5750000000000002</v>
      </c>
      <c r="E295" s="5">
        <v>2.9180000000000001</v>
      </c>
      <c r="F295" s="4" t="s">
        <v>20</v>
      </c>
    </row>
    <row r="296" spans="1:6" x14ac:dyDescent="0.3">
      <c r="A296">
        <v>1140</v>
      </c>
      <c r="B296" s="5">
        <v>4.2</v>
      </c>
      <c r="C296" s="5">
        <v>1.8</v>
      </c>
      <c r="D296" s="5">
        <v>6.58</v>
      </c>
      <c r="E296" s="5">
        <v>2.3159999999999998</v>
      </c>
      <c r="F296" s="4" t="s">
        <v>20</v>
      </c>
    </row>
    <row r="297" spans="1:6" x14ac:dyDescent="0.3">
      <c r="A297">
        <v>1352</v>
      </c>
      <c r="B297" s="5">
        <v>6.2</v>
      </c>
      <c r="C297" s="5">
        <v>1.8</v>
      </c>
      <c r="D297" s="5">
        <v>6.58</v>
      </c>
      <c r="E297" s="5">
        <v>2.9859999999999998</v>
      </c>
      <c r="F297" s="4" t="s">
        <v>15</v>
      </c>
    </row>
    <row r="298" spans="1:6" x14ac:dyDescent="0.3">
      <c r="A298">
        <v>1933</v>
      </c>
      <c r="B298" s="5">
        <v>4.4000000000000004</v>
      </c>
      <c r="C298" s="5">
        <v>2.2000000000000002</v>
      </c>
      <c r="D298" s="5">
        <v>6.58</v>
      </c>
      <c r="E298" s="5">
        <v>2.0840000000000001</v>
      </c>
      <c r="F298" s="4" t="s">
        <v>20</v>
      </c>
    </row>
    <row r="299" spans="1:6" x14ac:dyDescent="0.3">
      <c r="A299">
        <v>1153</v>
      </c>
      <c r="B299" s="5">
        <v>5.333333333333333</v>
      </c>
      <c r="C299" s="5">
        <v>2.1666666666666665</v>
      </c>
      <c r="D299" s="5">
        <v>6.583333333333333</v>
      </c>
      <c r="E299" s="5">
        <v>2.6440000000000001</v>
      </c>
      <c r="F299" s="4" t="s">
        <v>15</v>
      </c>
    </row>
    <row r="300" spans="1:6" x14ac:dyDescent="0.3">
      <c r="A300">
        <v>1549</v>
      </c>
      <c r="B300" s="5">
        <v>4.166666666666667</v>
      </c>
      <c r="C300" s="5">
        <v>1.3333333333333333</v>
      </c>
      <c r="D300" s="5">
        <v>6.583333333333333</v>
      </c>
      <c r="E300" s="5">
        <v>2.5133333333333332</v>
      </c>
      <c r="F300" s="4" t="s">
        <v>20</v>
      </c>
    </row>
    <row r="301" spans="1:6" x14ac:dyDescent="0.3">
      <c r="A301">
        <v>1689</v>
      </c>
      <c r="B301" s="5">
        <v>4.2857142857142856</v>
      </c>
      <c r="C301" s="5">
        <v>2.1428571428571428</v>
      </c>
      <c r="D301" s="5">
        <v>6.5857142857142863</v>
      </c>
      <c r="E301" s="5">
        <v>2.8149999999999999</v>
      </c>
      <c r="F301" s="4" t="s">
        <v>15</v>
      </c>
    </row>
    <row r="302" spans="1:6" x14ac:dyDescent="0.3">
      <c r="A302">
        <v>1847</v>
      </c>
      <c r="B302" s="5">
        <v>4</v>
      </c>
      <c r="C302" s="5">
        <v>2.6666666666666665</v>
      </c>
      <c r="D302" s="5">
        <v>6.5999999999999988</v>
      </c>
      <c r="E302" s="5">
        <v>2.41</v>
      </c>
      <c r="F302" s="4" t="s">
        <v>20</v>
      </c>
    </row>
    <row r="303" spans="1:6" x14ac:dyDescent="0.3">
      <c r="A303">
        <v>1156</v>
      </c>
      <c r="B303" s="5">
        <v>5.5</v>
      </c>
      <c r="C303" s="5">
        <v>1.75</v>
      </c>
      <c r="D303" s="5">
        <v>6.6</v>
      </c>
      <c r="E303" s="5">
        <v>2.75</v>
      </c>
      <c r="F303" s="4" t="s">
        <v>15</v>
      </c>
    </row>
    <row r="304" spans="1:6" x14ac:dyDescent="0.3">
      <c r="A304">
        <v>1343</v>
      </c>
      <c r="B304" s="5">
        <v>6</v>
      </c>
      <c r="C304" s="5">
        <v>2.5</v>
      </c>
      <c r="D304" s="5">
        <v>6.6</v>
      </c>
      <c r="E304" s="5">
        <v>2.5724999999999998</v>
      </c>
      <c r="F304" s="4" t="s">
        <v>20</v>
      </c>
    </row>
    <row r="305" spans="1:6" x14ac:dyDescent="0.3">
      <c r="A305">
        <v>1539</v>
      </c>
      <c r="B305" s="5">
        <v>9</v>
      </c>
      <c r="C305" s="5">
        <v>1</v>
      </c>
      <c r="D305" s="5">
        <v>6.6</v>
      </c>
      <c r="E305" s="5">
        <v>2.67</v>
      </c>
      <c r="F305" s="4" t="s">
        <v>20</v>
      </c>
    </row>
    <row r="306" spans="1:6" x14ac:dyDescent="0.3">
      <c r="A306">
        <v>1567</v>
      </c>
      <c r="B306" s="5">
        <v>2</v>
      </c>
      <c r="C306" s="5">
        <v>1</v>
      </c>
      <c r="D306" s="5">
        <v>6.6</v>
      </c>
      <c r="E306" s="5">
        <v>3.64</v>
      </c>
      <c r="F306" s="4" t="s">
        <v>15</v>
      </c>
    </row>
    <row r="307" spans="1:6" x14ac:dyDescent="0.3">
      <c r="A307">
        <v>1612</v>
      </c>
      <c r="B307" s="5">
        <v>4.4000000000000004</v>
      </c>
      <c r="C307" s="5">
        <v>2</v>
      </c>
      <c r="D307" s="5">
        <v>6.6</v>
      </c>
      <c r="E307" s="5">
        <v>2.4420000000000002</v>
      </c>
      <c r="F307" s="4" t="s">
        <v>15</v>
      </c>
    </row>
    <row r="308" spans="1:6" x14ac:dyDescent="0.3">
      <c r="A308">
        <v>1951</v>
      </c>
      <c r="B308" s="5">
        <v>7.2</v>
      </c>
      <c r="C308" s="5">
        <v>1.8</v>
      </c>
      <c r="D308" s="5">
        <v>6.6</v>
      </c>
      <c r="E308" s="5">
        <v>2.27</v>
      </c>
      <c r="F308" s="4" t="s">
        <v>20</v>
      </c>
    </row>
    <row r="309" spans="1:6" x14ac:dyDescent="0.3">
      <c r="A309">
        <v>1996</v>
      </c>
      <c r="B309" s="5">
        <v>7</v>
      </c>
      <c r="C309" s="5">
        <v>1.6</v>
      </c>
      <c r="D309" s="5">
        <v>6.6</v>
      </c>
      <c r="E309" s="5">
        <v>2.2019999999999995</v>
      </c>
      <c r="F309" s="4" t="s">
        <v>15</v>
      </c>
    </row>
    <row r="310" spans="1:6" x14ac:dyDescent="0.3">
      <c r="A310">
        <v>1278</v>
      </c>
      <c r="B310" s="5">
        <v>5.333333333333333</v>
      </c>
      <c r="C310" s="5">
        <v>2</v>
      </c>
      <c r="D310" s="5">
        <v>6.6000000000000005</v>
      </c>
      <c r="E310" s="5">
        <v>2.8933333333333331</v>
      </c>
      <c r="F310" s="4" t="s">
        <v>20</v>
      </c>
    </row>
    <row r="311" spans="1:6" x14ac:dyDescent="0.3">
      <c r="A311">
        <v>1454</v>
      </c>
      <c r="B311" s="5">
        <v>6.2857142857142856</v>
      </c>
      <c r="C311" s="5">
        <v>2.1428571428571428</v>
      </c>
      <c r="D311" s="5">
        <v>6.6000000000000005</v>
      </c>
      <c r="E311" s="5">
        <v>2.5457142857142858</v>
      </c>
      <c r="F311" s="4" t="s">
        <v>15</v>
      </c>
    </row>
    <row r="312" spans="1:6" x14ac:dyDescent="0.3">
      <c r="A312">
        <v>1348</v>
      </c>
      <c r="B312" s="5">
        <v>6.8571428571428568</v>
      </c>
      <c r="C312" s="5">
        <v>2.7142857142857144</v>
      </c>
      <c r="D312" s="5">
        <v>6.6142857142857139</v>
      </c>
      <c r="E312" s="5">
        <v>2.585</v>
      </c>
      <c r="F312" s="4" t="s">
        <v>15</v>
      </c>
    </row>
    <row r="313" spans="1:6" x14ac:dyDescent="0.3">
      <c r="A313">
        <v>1660</v>
      </c>
      <c r="B313" s="5">
        <v>6.8</v>
      </c>
      <c r="C313" s="5">
        <v>2</v>
      </c>
      <c r="D313" s="5">
        <v>6.62</v>
      </c>
      <c r="E313" s="5">
        <v>1.9439999999999997</v>
      </c>
      <c r="F313" s="4" t="s">
        <v>15</v>
      </c>
    </row>
    <row r="314" spans="1:6" x14ac:dyDescent="0.3">
      <c r="A314">
        <v>1979</v>
      </c>
      <c r="B314" s="5">
        <v>5.4</v>
      </c>
      <c r="C314" s="5">
        <v>2.4</v>
      </c>
      <c r="D314" s="5">
        <v>6.62</v>
      </c>
      <c r="E314" s="5">
        <v>2.4940000000000002</v>
      </c>
      <c r="F314" s="4" t="s">
        <v>20</v>
      </c>
    </row>
    <row r="315" spans="1:6" x14ac:dyDescent="0.3">
      <c r="A315">
        <v>1016</v>
      </c>
      <c r="B315" s="5">
        <v>7.625</v>
      </c>
      <c r="C315" s="5">
        <v>2.125</v>
      </c>
      <c r="D315" s="5">
        <v>6.625</v>
      </c>
      <c r="E315" s="5">
        <v>3.12</v>
      </c>
      <c r="F315" s="4" t="s">
        <v>15</v>
      </c>
    </row>
    <row r="316" spans="1:6" x14ac:dyDescent="0.3">
      <c r="A316">
        <v>1510</v>
      </c>
      <c r="B316" s="5">
        <v>5</v>
      </c>
      <c r="C316" s="5">
        <v>2.25</v>
      </c>
      <c r="D316" s="5">
        <v>6.625</v>
      </c>
      <c r="E316" s="5">
        <v>2.4524999999999997</v>
      </c>
      <c r="F316" s="4" t="s">
        <v>15</v>
      </c>
    </row>
    <row r="317" spans="1:6" x14ac:dyDescent="0.3">
      <c r="A317">
        <v>1731</v>
      </c>
      <c r="B317" s="5">
        <v>5.5</v>
      </c>
      <c r="C317" s="5">
        <v>1.75</v>
      </c>
      <c r="D317" s="5">
        <v>6.625</v>
      </c>
      <c r="E317" s="5">
        <v>2.3624999999999998</v>
      </c>
      <c r="F317" s="4" t="s">
        <v>20</v>
      </c>
    </row>
    <row r="318" spans="1:6" x14ac:dyDescent="0.3">
      <c r="A318">
        <v>1304</v>
      </c>
      <c r="B318" s="5">
        <v>7.5714285714285712</v>
      </c>
      <c r="C318" s="5">
        <v>2.1428571428571428</v>
      </c>
      <c r="D318" s="5">
        <v>6.628571428571429</v>
      </c>
      <c r="E318" s="5">
        <v>2.4516666666666667</v>
      </c>
      <c r="F318" s="4" t="s">
        <v>20</v>
      </c>
    </row>
    <row r="319" spans="1:6" x14ac:dyDescent="0.3">
      <c r="A319">
        <v>1066</v>
      </c>
      <c r="B319" s="5">
        <v>3.3333333333333335</v>
      </c>
      <c r="C319" s="5">
        <v>1.3333333333333333</v>
      </c>
      <c r="D319" s="5">
        <v>6.6333333333333329</v>
      </c>
      <c r="E319" s="5">
        <v>2.5166666666666666</v>
      </c>
      <c r="F319" s="4" t="s">
        <v>20</v>
      </c>
    </row>
    <row r="320" spans="1:6" x14ac:dyDescent="0.3">
      <c r="A320">
        <v>1201</v>
      </c>
      <c r="B320" s="5">
        <v>8</v>
      </c>
      <c r="C320" s="5">
        <v>2.3333333333333335</v>
      </c>
      <c r="D320" s="5">
        <v>6.6333333333333329</v>
      </c>
      <c r="E320" s="5">
        <v>2.3666666666666667</v>
      </c>
      <c r="F320" s="4" t="s">
        <v>15</v>
      </c>
    </row>
    <row r="321" spans="1:6" x14ac:dyDescent="0.3">
      <c r="A321">
        <v>1634</v>
      </c>
      <c r="B321" s="5">
        <v>7.666666666666667</v>
      </c>
      <c r="C321" s="5">
        <v>1.6666666666666667</v>
      </c>
      <c r="D321" s="5">
        <v>6.6333333333333329</v>
      </c>
      <c r="E321" s="5">
        <v>1.8066666666666666</v>
      </c>
      <c r="F321" s="4" t="s">
        <v>20</v>
      </c>
    </row>
    <row r="322" spans="1:6" x14ac:dyDescent="0.3">
      <c r="A322">
        <v>1880</v>
      </c>
      <c r="B322" s="5">
        <v>5</v>
      </c>
      <c r="C322" s="5">
        <v>3</v>
      </c>
      <c r="D322" s="5">
        <v>6.6333333333333337</v>
      </c>
      <c r="E322" s="5">
        <v>2.7649999999999997</v>
      </c>
      <c r="F322" s="4" t="s">
        <v>15</v>
      </c>
    </row>
    <row r="323" spans="1:6" x14ac:dyDescent="0.3">
      <c r="A323">
        <v>1692</v>
      </c>
      <c r="B323" s="5">
        <v>3.5714285714285716</v>
      </c>
      <c r="C323" s="5">
        <v>1.8571428571428572</v>
      </c>
      <c r="D323" s="5">
        <v>6.6428571428571432</v>
      </c>
      <c r="E323" s="5">
        <v>2.3157142857142858</v>
      </c>
      <c r="F323" s="4" t="s">
        <v>15</v>
      </c>
    </row>
    <row r="324" spans="1:6" x14ac:dyDescent="0.3">
      <c r="A324">
        <v>1128</v>
      </c>
      <c r="B324" s="5">
        <v>7.5</v>
      </c>
      <c r="C324" s="5">
        <v>2.25</v>
      </c>
      <c r="D324" s="5">
        <v>6.6499999999999995</v>
      </c>
      <c r="E324" s="5">
        <v>2.0966666666666667</v>
      </c>
      <c r="F324" s="4" t="s">
        <v>15</v>
      </c>
    </row>
    <row r="325" spans="1:6" x14ac:dyDescent="0.3">
      <c r="A325">
        <v>1099</v>
      </c>
      <c r="B325" s="5">
        <v>3.5</v>
      </c>
      <c r="C325" s="5">
        <v>2.5</v>
      </c>
      <c r="D325" s="5">
        <v>6.65</v>
      </c>
      <c r="E325" s="5">
        <v>3.85</v>
      </c>
      <c r="F325" s="4" t="s">
        <v>15</v>
      </c>
    </row>
    <row r="326" spans="1:6" x14ac:dyDescent="0.3">
      <c r="A326">
        <v>1537</v>
      </c>
      <c r="B326" s="5">
        <v>5.25</v>
      </c>
      <c r="C326" s="5">
        <v>2.25</v>
      </c>
      <c r="D326" s="5">
        <v>6.65</v>
      </c>
      <c r="E326" s="5">
        <v>2.6033333333333335</v>
      </c>
      <c r="F326" s="4" t="s">
        <v>20</v>
      </c>
    </row>
    <row r="327" spans="1:6" x14ac:dyDescent="0.3">
      <c r="A327">
        <v>1147</v>
      </c>
      <c r="B327" s="5">
        <v>3.6</v>
      </c>
      <c r="C327" s="5">
        <v>2</v>
      </c>
      <c r="D327" s="5">
        <v>6.6599999999999993</v>
      </c>
      <c r="E327" s="5">
        <v>2.6550000000000002</v>
      </c>
      <c r="F327" s="4" t="s">
        <v>20</v>
      </c>
    </row>
    <row r="328" spans="1:6" x14ac:dyDescent="0.3">
      <c r="A328">
        <v>1197</v>
      </c>
      <c r="B328" s="5">
        <v>5</v>
      </c>
      <c r="C328" s="5">
        <v>1.4</v>
      </c>
      <c r="D328" s="5">
        <v>6.6599999999999993</v>
      </c>
      <c r="E328" s="5">
        <v>2.5225</v>
      </c>
      <c r="F328" s="4" t="s">
        <v>20</v>
      </c>
    </row>
    <row r="329" spans="1:6" x14ac:dyDescent="0.3">
      <c r="A329">
        <v>1760</v>
      </c>
      <c r="B329" s="5">
        <v>4.5999999999999996</v>
      </c>
      <c r="C329" s="5">
        <v>1.2</v>
      </c>
      <c r="D329" s="5">
        <v>6.660000000000001</v>
      </c>
      <c r="E329" s="5">
        <v>2.274</v>
      </c>
      <c r="F329" s="4" t="s">
        <v>15</v>
      </c>
    </row>
    <row r="330" spans="1:6" x14ac:dyDescent="0.3">
      <c r="A330">
        <v>1890</v>
      </c>
      <c r="B330" s="5">
        <v>4.875</v>
      </c>
      <c r="C330" s="5">
        <v>1.75</v>
      </c>
      <c r="D330" s="5">
        <v>6.6624999999999996</v>
      </c>
      <c r="E330" s="5">
        <v>2.5633333333333335</v>
      </c>
      <c r="F330" s="4" t="s">
        <v>20</v>
      </c>
    </row>
    <row r="331" spans="1:6" x14ac:dyDescent="0.3">
      <c r="A331">
        <v>1026</v>
      </c>
      <c r="B331" s="5">
        <v>4</v>
      </c>
      <c r="C331" s="5">
        <v>2</v>
      </c>
      <c r="D331" s="5">
        <v>6.666666666666667</v>
      </c>
      <c r="E331" s="5">
        <v>2.4699999999999998</v>
      </c>
      <c r="F331" s="4" t="s">
        <v>20</v>
      </c>
    </row>
    <row r="332" spans="1:6" x14ac:dyDescent="0.3">
      <c r="A332">
        <v>1491</v>
      </c>
      <c r="B332" s="5">
        <v>2.3333333333333335</v>
      </c>
      <c r="C332" s="5">
        <v>2.3333333333333335</v>
      </c>
      <c r="D332" s="5">
        <v>6.666666666666667</v>
      </c>
      <c r="E332" s="5">
        <v>3.5333333333333332</v>
      </c>
      <c r="F332" s="4" t="s">
        <v>20</v>
      </c>
    </row>
    <row r="333" spans="1:6" x14ac:dyDescent="0.3">
      <c r="A333">
        <v>1404</v>
      </c>
      <c r="B333" s="5">
        <v>4.2857142857142856</v>
      </c>
      <c r="C333" s="5">
        <v>2.1428571428571428</v>
      </c>
      <c r="D333" s="5">
        <v>6.6714285714285699</v>
      </c>
      <c r="E333" s="5">
        <v>2.8</v>
      </c>
      <c r="F333" s="4" t="s">
        <v>15</v>
      </c>
    </row>
    <row r="334" spans="1:6" x14ac:dyDescent="0.3">
      <c r="A334">
        <v>1301</v>
      </c>
      <c r="B334" s="5">
        <v>5.5</v>
      </c>
      <c r="C334" s="5">
        <v>2</v>
      </c>
      <c r="D334" s="5">
        <v>6.6749999999999998</v>
      </c>
      <c r="E334" s="5">
        <v>2.3299999999999996</v>
      </c>
      <c r="F334" s="4" t="s">
        <v>20</v>
      </c>
    </row>
    <row r="335" spans="1:6" x14ac:dyDescent="0.3">
      <c r="A335">
        <v>1295</v>
      </c>
      <c r="B335" s="5">
        <v>5.4</v>
      </c>
      <c r="C335" s="5">
        <v>1.4</v>
      </c>
      <c r="D335" s="5">
        <v>6.68</v>
      </c>
      <c r="E335" s="5">
        <v>1.9359999999999999</v>
      </c>
      <c r="F335" s="4" t="s">
        <v>15</v>
      </c>
    </row>
    <row r="336" spans="1:6" x14ac:dyDescent="0.3">
      <c r="A336">
        <v>1579</v>
      </c>
      <c r="B336" s="5">
        <v>3.8</v>
      </c>
      <c r="C336" s="5">
        <v>1.6</v>
      </c>
      <c r="D336" s="5">
        <v>6.6800000000000015</v>
      </c>
      <c r="E336" s="5">
        <v>2.6219999999999999</v>
      </c>
      <c r="F336" s="4" t="s">
        <v>20</v>
      </c>
    </row>
    <row r="337" spans="1:6" x14ac:dyDescent="0.3">
      <c r="A337">
        <v>1193</v>
      </c>
      <c r="B337" s="5">
        <v>4.25</v>
      </c>
      <c r="C337" s="5">
        <v>2.25</v>
      </c>
      <c r="D337" s="5">
        <v>6.6999999999999993</v>
      </c>
      <c r="E337" s="5">
        <v>2.4524999999999997</v>
      </c>
      <c r="F337" s="4" t="s">
        <v>20</v>
      </c>
    </row>
    <row r="338" spans="1:6" x14ac:dyDescent="0.3">
      <c r="A338">
        <v>1553</v>
      </c>
      <c r="B338" s="5">
        <v>5.166666666666667</v>
      </c>
      <c r="C338" s="5">
        <v>2.1666666666666665</v>
      </c>
      <c r="D338" s="5">
        <v>6.6999999999999993</v>
      </c>
      <c r="E338" s="5">
        <v>1.918333333333333</v>
      </c>
      <c r="F338" s="4" t="s">
        <v>15</v>
      </c>
    </row>
    <row r="339" spans="1:6" x14ac:dyDescent="0.3">
      <c r="A339">
        <v>1913</v>
      </c>
      <c r="B339" s="5">
        <v>4</v>
      </c>
      <c r="C339" s="5">
        <v>2</v>
      </c>
      <c r="D339" s="5">
        <v>6.6999999999999993</v>
      </c>
      <c r="E339" s="5">
        <v>2.9350000000000001</v>
      </c>
      <c r="F339" s="4" t="s">
        <v>15</v>
      </c>
    </row>
    <row r="340" spans="1:6" x14ac:dyDescent="0.3">
      <c r="A340">
        <v>1050</v>
      </c>
      <c r="B340" s="5">
        <v>5.833333333333333</v>
      </c>
      <c r="C340" s="5">
        <v>2.1666666666666665</v>
      </c>
      <c r="D340" s="5">
        <v>6.7</v>
      </c>
      <c r="E340" s="5">
        <v>2.62</v>
      </c>
      <c r="F340" s="4" t="s">
        <v>20</v>
      </c>
    </row>
    <row r="341" spans="1:6" x14ac:dyDescent="0.3">
      <c r="A341">
        <v>1393</v>
      </c>
      <c r="B341" s="5">
        <v>5.666666666666667</v>
      </c>
      <c r="C341" s="5">
        <v>2</v>
      </c>
      <c r="D341" s="5">
        <v>6.7</v>
      </c>
      <c r="E341" s="5">
        <v>2.0733333333333337</v>
      </c>
      <c r="F341" s="4" t="s">
        <v>20</v>
      </c>
    </row>
    <row r="342" spans="1:6" x14ac:dyDescent="0.3">
      <c r="A342">
        <v>1509</v>
      </c>
      <c r="B342" s="5">
        <v>2.5</v>
      </c>
      <c r="C342" s="5">
        <v>2</v>
      </c>
      <c r="D342" s="5">
        <v>6.7</v>
      </c>
      <c r="E342" s="5">
        <v>2.8049999999999997</v>
      </c>
      <c r="F342" s="4" t="s">
        <v>15</v>
      </c>
    </row>
    <row r="343" spans="1:6" x14ac:dyDescent="0.3">
      <c r="A343">
        <v>1532</v>
      </c>
      <c r="B343" s="5">
        <v>1</v>
      </c>
      <c r="C343" s="5">
        <v>1</v>
      </c>
      <c r="D343" s="5">
        <v>6.7</v>
      </c>
      <c r="E343" s="5">
        <v>1.71</v>
      </c>
      <c r="F343" s="4" t="s">
        <v>20</v>
      </c>
    </row>
    <row r="344" spans="1:6" x14ac:dyDescent="0.3">
      <c r="A344">
        <v>1777</v>
      </c>
      <c r="B344" s="5">
        <v>4.4000000000000004</v>
      </c>
      <c r="C344" s="5">
        <v>2.4</v>
      </c>
      <c r="D344" s="5">
        <v>6.7</v>
      </c>
      <c r="E344" s="5">
        <v>1.9440000000000002</v>
      </c>
      <c r="F344" s="4" t="s">
        <v>20</v>
      </c>
    </row>
    <row r="345" spans="1:6" x14ac:dyDescent="0.3">
      <c r="A345">
        <v>1816</v>
      </c>
      <c r="B345" s="5">
        <v>4.4000000000000004</v>
      </c>
      <c r="C345" s="5">
        <v>1.8</v>
      </c>
      <c r="D345" s="5">
        <v>6.7</v>
      </c>
      <c r="E345" s="5">
        <v>2.9940000000000007</v>
      </c>
      <c r="F345" s="4" t="s">
        <v>15</v>
      </c>
    </row>
    <row r="346" spans="1:6" x14ac:dyDescent="0.3">
      <c r="A346">
        <v>1831</v>
      </c>
      <c r="B346" s="5">
        <v>5.75</v>
      </c>
      <c r="C346" s="5">
        <v>1.25</v>
      </c>
      <c r="D346" s="5">
        <v>6.7</v>
      </c>
      <c r="E346" s="5">
        <v>2.7050000000000001</v>
      </c>
      <c r="F346" s="4" t="s">
        <v>20</v>
      </c>
    </row>
    <row r="347" spans="1:6" x14ac:dyDescent="0.3">
      <c r="A347">
        <v>1884</v>
      </c>
      <c r="B347" s="5">
        <v>3</v>
      </c>
      <c r="C347" s="5">
        <v>2.5</v>
      </c>
      <c r="D347" s="5">
        <v>6.7</v>
      </c>
      <c r="E347" s="5">
        <v>2.8733333333333335</v>
      </c>
      <c r="F347" s="4" t="s">
        <v>20</v>
      </c>
    </row>
    <row r="348" spans="1:6" x14ac:dyDescent="0.3">
      <c r="A348">
        <v>1923</v>
      </c>
      <c r="B348" s="5">
        <v>5.5</v>
      </c>
      <c r="C348" s="5">
        <v>1.5</v>
      </c>
      <c r="D348" s="5">
        <v>6.7</v>
      </c>
      <c r="E348" s="5">
        <v>3.0650000000000004</v>
      </c>
      <c r="F348" s="4" t="s">
        <v>20</v>
      </c>
    </row>
    <row r="349" spans="1:6" x14ac:dyDescent="0.3">
      <c r="A349">
        <v>1300</v>
      </c>
      <c r="B349" s="5">
        <v>5.2</v>
      </c>
      <c r="C349" s="5">
        <v>1.8</v>
      </c>
      <c r="D349" s="5">
        <v>6.7200000000000006</v>
      </c>
      <c r="E349" s="5">
        <v>1.8</v>
      </c>
      <c r="F349" s="4" t="s">
        <v>15</v>
      </c>
    </row>
    <row r="350" spans="1:6" x14ac:dyDescent="0.3">
      <c r="A350">
        <v>1482</v>
      </c>
      <c r="B350" s="5">
        <v>7.4</v>
      </c>
      <c r="C350" s="5">
        <v>2.4</v>
      </c>
      <c r="D350" s="5">
        <v>6.7200000000000006</v>
      </c>
      <c r="E350" s="5">
        <v>2.5539999999999998</v>
      </c>
      <c r="F350" s="4" t="s">
        <v>15</v>
      </c>
    </row>
    <row r="351" spans="1:6" x14ac:dyDescent="0.3">
      <c r="A351">
        <v>1123</v>
      </c>
      <c r="B351" s="5">
        <v>4.833333333333333</v>
      </c>
      <c r="C351" s="5">
        <v>2.5</v>
      </c>
      <c r="D351" s="5">
        <v>6.7333333333333334</v>
      </c>
      <c r="E351" s="5">
        <v>2.536</v>
      </c>
      <c r="F351" s="4" t="s">
        <v>20</v>
      </c>
    </row>
    <row r="352" spans="1:6" x14ac:dyDescent="0.3">
      <c r="A352">
        <v>1165</v>
      </c>
      <c r="B352" s="5">
        <v>7.333333333333333</v>
      </c>
      <c r="C352" s="5">
        <v>2</v>
      </c>
      <c r="D352" s="5">
        <v>6.7333333333333334</v>
      </c>
      <c r="E352" s="5">
        <v>1.6600000000000001</v>
      </c>
      <c r="F352" s="4" t="s">
        <v>20</v>
      </c>
    </row>
    <row r="353" spans="1:6" x14ac:dyDescent="0.3">
      <c r="A353">
        <v>1497</v>
      </c>
      <c r="B353" s="5">
        <v>3</v>
      </c>
      <c r="C353" s="5">
        <v>1.6666666666666667</v>
      </c>
      <c r="D353" s="5">
        <v>6.7333333333333334</v>
      </c>
      <c r="E353" s="5">
        <v>1.9633333333333336</v>
      </c>
      <c r="F353" s="4" t="s">
        <v>20</v>
      </c>
    </row>
    <row r="354" spans="1:6" x14ac:dyDescent="0.3">
      <c r="A354">
        <v>1504</v>
      </c>
      <c r="B354" s="5">
        <v>4.333333333333333</v>
      </c>
      <c r="C354" s="5">
        <v>2</v>
      </c>
      <c r="D354" s="5">
        <v>6.7333333333333334</v>
      </c>
      <c r="E354" s="5">
        <v>2.8233333333333337</v>
      </c>
      <c r="F354" s="4" t="s">
        <v>15</v>
      </c>
    </row>
    <row r="355" spans="1:6" x14ac:dyDescent="0.3">
      <c r="A355">
        <v>1958</v>
      </c>
      <c r="B355" s="5">
        <v>4.333333333333333</v>
      </c>
      <c r="C355" s="5">
        <v>1</v>
      </c>
      <c r="D355" s="5">
        <v>6.7333333333333334</v>
      </c>
      <c r="E355" s="5">
        <v>2.75</v>
      </c>
      <c r="F355" s="4" t="s">
        <v>20</v>
      </c>
    </row>
    <row r="356" spans="1:6" x14ac:dyDescent="0.3">
      <c r="A356">
        <v>1036</v>
      </c>
      <c r="B356" s="5">
        <v>6.2</v>
      </c>
      <c r="C356" s="5">
        <v>2</v>
      </c>
      <c r="D356" s="5">
        <v>6.7399999999999993</v>
      </c>
      <c r="E356" s="5">
        <v>2.2766666666666664</v>
      </c>
      <c r="F356" s="4" t="s">
        <v>20</v>
      </c>
    </row>
    <row r="357" spans="1:6" x14ac:dyDescent="0.3">
      <c r="A357">
        <v>1936</v>
      </c>
      <c r="B357" s="5">
        <v>5.2</v>
      </c>
      <c r="C357" s="5">
        <v>2.2000000000000002</v>
      </c>
      <c r="D357" s="5">
        <v>6.74</v>
      </c>
      <c r="E357" s="5">
        <v>1.8900000000000001</v>
      </c>
      <c r="F357" s="4" t="s">
        <v>20</v>
      </c>
    </row>
    <row r="358" spans="1:6" x14ac:dyDescent="0.3">
      <c r="A358">
        <v>1684</v>
      </c>
      <c r="B358" s="5">
        <v>4.8571428571428568</v>
      </c>
      <c r="C358" s="5">
        <v>1.5714285714285714</v>
      </c>
      <c r="D358" s="5">
        <v>6.742857142857142</v>
      </c>
      <c r="E358" s="5">
        <v>2.4914285714285711</v>
      </c>
      <c r="F358" s="4" t="s">
        <v>15</v>
      </c>
    </row>
    <row r="359" spans="1:6" x14ac:dyDescent="0.3">
      <c r="A359">
        <v>1113</v>
      </c>
      <c r="B359" s="5">
        <v>7.25</v>
      </c>
      <c r="C359" s="5">
        <v>1.75</v>
      </c>
      <c r="D359" s="5">
        <v>6.75</v>
      </c>
      <c r="E359" s="5">
        <v>3.0449999999999999</v>
      </c>
      <c r="F359" s="4" t="s">
        <v>20</v>
      </c>
    </row>
    <row r="360" spans="1:6" x14ac:dyDescent="0.3">
      <c r="A360">
        <v>1142</v>
      </c>
      <c r="B360" s="5">
        <v>5</v>
      </c>
      <c r="C360" s="5">
        <v>1.8333333333333333</v>
      </c>
      <c r="D360" s="5">
        <v>6.75</v>
      </c>
      <c r="E360" s="5">
        <v>2.9279999999999999</v>
      </c>
      <c r="F360" s="4" t="s">
        <v>15</v>
      </c>
    </row>
    <row r="361" spans="1:6" x14ac:dyDescent="0.3">
      <c r="A361">
        <v>1170</v>
      </c>
      <c r="B361" s="5">
        <v>10</v>
      </c>
      <c r="C361" s="5">
        <v>3</v>
      </c>
      <c r="D361" s="5">
        <v>6.75</v>
      </c>
      <c r="E361" s="5">
        <v>2.46</v>
      </c>
      <c r="F361" s="4" t="s">
        <v>20</v>
      </c>
    </row>
    <row r="362" spans="1:6" x14ac:dyDescent="0.3">
      <c r="A362">
        <v>1447</v>
      </c>
      <c r="B362" s="5">
        <v>5</v>
      </c>
      <c r="C362" s="5">
        <v>2</v>
      </c>
      <c r="D362" s="5">
        <v>6.75</v>
      </c>
      <c r="E362" s="5">
        <v>2.4950000000000001</v>
      </c>
      <c r="F362" s="4" t="s">
        <v>15</v>
      </c>
    </row>
    <row r="363" spans="1:6" x14ac:dyDescent="0.3">
      <c r="A363">
        <v>1529</v>
      </c>
      <c r="B363" s="5">
        <v>4.5</v>
      </c>
      <c r="C363" s="5">
        <v>2</v>
      </c>
      <c r="D363" s="5">
        <v>6.75</v>
      </c>
      <c r="E363" s="5">
        <v>2.2349999999999999</v>
      </c>
      <c r="F363" s="4" t="s">
        <v>15</v>
      </c>
    </row>
    <row r="364" spans="1:6" x14ac:dyDescent="0.3">
      <c r="A364">
        <v>1904</v>
      </c>
      <c r="B364" s="5">
        <v>5.5</v>
      </c>
      <c r="C364" s="5">
        <v>2</v>
      </c>
      <c r="D364" s="5">
        <v>6.75</v>
      </c>
      <c r="E364" s="5">
        <v>2.3624999999999998</v>
      </c>
      <c r="F364" s="4" t="s">
        <v>20</v>
      </c>
    </row>
    <row r="365" spans="1:6" x14ac:dyDescent="0.3">
      <c r="A365">
        <v>1949</v>
      </c>
      <c r="B365" s="5">
        <v>4</v>
      </c>
      <c r="C365" s="5">
        <v>2</v>
      </c>
      <c r="D365" s="5">
        <v>6.75</v>
      </c>
      <c r="E365" s="5">
        <v>3.2350000000000003</v>
      </c>
      <c r="F365" s="4" t="s">
        <v>15</v>
      </c>
    </row>
    <row r="366" spans="1:6" x14ac:dyDescent="0.3">
      <c r="A366">
        <v>1317</v>
      </c>
      <c r="B366" s="5">
        <v>6</v>
      </c>
      <c r="C366" s="5">
        <v>2.625</v>
      </c>
      <c r="D366" s="5">
        <v>6.7500000000000009</v>
      </c>
      <c r="E366" s="5">
        <v>2.4449999999999998</v>
      </c>
      <c r="F366" s="4" t="s">
        <v>20</v>
      </c>
    </row>
    <row r="367" spans="1:6" x14ac:dyDescent="0.3">
      <c r="A367">
        <v>1552</v>
      </c>
      <c r="B367" s="5">
        <v>6.333333333333333</v>
      </c>
      <c r="C367" s="5">
        <v>3</v>
      </c>
      <c r="D367" s="5">
        <v>6.7666666666666657</v>
      </c>
      <c r="E367" s="5">
        <v>1.6566666666666665</v>
      </c>
      <c r="F367" s="4" t="s">
        <v>15</v>
      </c>
    </row>
    <row r="368" spans="1:6" x14ac:dyDescent="0.3">
      <c r="A368">
        <v>1078</v>
      </c>
      <c r="B368" s="5">
        <v>4.333333333333333</v>
      </c>
      <c r="C368" s="5">
        <v>1.6666666666666667</v>
      </c>
      <c r="D368" s="5">
        <v>6.7666666666666666</v>
      </c>
      <c r="E368" s="5">
        <v>1.7966666666666669</v>
      </c>
      <c r="F368" s="4" t="s">
        <v>15</v>
      </c>
    </row>
    <row r="369" spans="1:6" x14ac:dyDescent="0.3">
      <c r="A369">
        <v>1232</v>
      </c>
      <c r="B369" s="5">
        <v>5.4444444444444446</v>
      </c>
      <c r="C369" s="5">
        <v>1.5555555555555556</v>
      </c>
      <c r="D369" s="5">
        <v>6.7666666666666666</v>
      </c>
      <c r="E369" s="5">
        <v>2.3128571428571432</v>
      </c>
      <c r="F369" s="4" t="s">
        <v>15</v>
      </c>
    </row>
    <row r="370" spans="1:6" x14ac:dyDescent="0.3">
      <c r="A370">
        <v>1335</v>
      </c>
      <c r="B370" s="5">
        <v>5.166666666666667</v>
      </c>
      <c r="C370" s="5">
        <v>2.1666666666666665</v>
      </c>
      <c r="D370" s="5">
        <v>6.7666666666666666</v>
      </c>
      <c r="E370" s="5">
        <v>2.8079999999999998</v>
      </c>
      <c r="F370" s="4" t="s">
        <v>20</v>
      </c>
    </row>
    <row r="371" spans="1:6" x14ac:dyDescent="0.3">
      <c r="A371">
        <v>1427</v>
      </c>
      <c r="B371" s="5">
        <v>4.666666666666667</v>
      </c>
      <c r="C371" s="5">
        <v>2.3333333333333335</v>
      </c>
      <c r="D371" s="5">
        <v>6.7666666666666666</v>
      </c>
      <c r="E371" s="5">
        <v>2.293333333333333</v>
      </c>
      <c r="F371" s="4" t="s">
        <v>15</v>
      </c>
    </row>
    <row r="372" spans="1:6" x14ac:dyDescent="0.3">
      <c r="A372">
        <v>1908</v>
      </c>
      <c r="B372" s="5">
        <v>5.75</v>
      </c>
      <c r="C372" s="5">
        <v>2.25</v>
      </c>
      <c r="D372" s="5">
        <v>6.7749999999999995</v>
      </c>
      <c r="E372" s="5">
        <v>2.875</v>
      </c>
      <c r="F372" s="4" t="s">
        <v>20</v>
      </c>
    </row>
    <row r="373" spans="1:6" x14ac:dyDescent="0.3">
      <c r="A373">
        <v>1926</v>
      </c>
      <c r="B373" s="5">
        <v>4</v>
      </c>
      <c r="C373" s="5">
        <v>1.75</v>
      </c>
      <c r="D373" s="5">
        <v>6.7750000000000004</v>
      </c>
      <c r="E373" s="5">
        <v>2.2225000000000001</v>
      </c>
      <c r="F373" s="4" t="s">
        <v>15</v>
      </c>
    </row>
    <row r="374" spans="1:6" x14ac:dyDescent="0.3">
      <c r="A374">
        <v>1804</v>
      </c>
      <c r="B374" s="5">
        <v>6</v>
      </c>
      <c r="C374" s="5">
        <v>1.7777777777777777</v>
      </c>
      <c r="D374" s="5">
        <v>6.7777777777777777</v>
      </c>
      <c r="E374" s="5">
        <v>2.7755555555555556</v>
      </c>
      <c r="F374" s="4" t="s">
        <v>15</v>
      </c>
    </row>
    <row r="375" spans="1:6" x14ac:dyDescent="0.3">
      <c r="A375">
        <v>1520</v>
      </c>
      <c r="B375" s="5">
        <v>6</v>
      </c>
      <c r="C375" s="5">
        <v>2</v>
      </c>
      <c r="D375" s="5">
        <v>6.7799999999999985</v>
      </c>
      <c r="E375" s="5">
        <v>2.4059999999999997</v>
      </c>
      <c r="F375" s="4" t="s">
        <v>15</v>
      </c>
    </row>
    <row r="376" spans="1:6" x14ac:dyDescent="0.3">
      <c r="A376">
        <v>1302</v>
      </c>
      <c r="B376" s="5">
        <v>6.5714285714285712</v>
      </c>
      <c r="C376" s="5">
        <v>1.8571428571428572</v>
      </c>
      <c r="D376" s="5">
        <v>6.7857142857142856</v>
      </c>
      <c r="E376" s="5">
        <v>2.1514285714285712</v>
      </c>
      <c r="F376" s="4" t="s">
        <v>15</v>
      </c>
    </row>
    <row r="377" spans="1:6" x14ac:dyDescent="0.3">
      <c r="A377">
        <v>1380</v>
      </c>
      <c r="B377" s="5">
        <v>7.4285714285714288</v>
      </c>
      <c r="C377" s="5">
        <v>1.7142857142857142</v>
      </c>
      <c r="D377" s="5">
        <v>6.7857142857142856</v>
      </c>
      <c r="E377" s="5">
        <v>2.3285714285714287</v>
      </c>
      <c r="F377" s="4" t="s">
        <v>20</v>
      </c>
    </row>
    <row r="378" spans="1:6" x14ac:dyDescent="0.3">
      <c r="A378">
        <v>1092</v>
      </c>
      <c r="B378" s="5">
        <v>4.5</v>
      </c>
      <c r="C378" s="5">
        <v>2.5</v>
      </c>
      <c r="D378" s="5">
        <v>6.8</v>
      </c>
      <c r="E378" s="5">
        <v>1.9249999999999998</v>
      </c>
      <c r="F378" s="4" t="s">
        <v>20</v>
      </c>
    </row>
    <row r="379" spans="1:6" x14ac:dyDescent="0.3">
      <c r="A379">
        <v>1192</v>
      </c>
      <c r="B379" s="5">
        <v>1</v>
      </c>
      <c r="C379" s="5">
        <v>1</v>
      </c>
      <c r="D379" s="5">
        <v>6.8</v>
      </c>
      <c r="E379" s="5">
        <v>1.82</v>
      </c>
      <c r="F379" s="4" t="s">
        <v>15</v>
      </c>
    </row>
    <row r="380" spans="1:6" x14ac:dyDescent="0.3">
      <c r="A380">
        <v>1339</v>
      </c>
      <c r="B380" s="5">
        <v>6</v>
      </c>
      <c r="C380" s="5">
        <v>2</v>
      </c>
      <c r="D380" s="5">
        <v>6.8</v>
      </c>
      <c r="E380" s="5">
        <v>2.4500000000000002</v>
      </c>
      <c r="F380" s="4" t="s">
        <v>20</v>
      </c>
    </row>
    <row r="381" spans="1:6" x14ac:dyDescent="0.3">
      <c r="A381">
        <v>1471</v>
      </c>
      <c r="B381" s="5">
        <v>6</v>
      </c>
      <c r="C381" s="5">
        <v>3</v>
      </c>
      <c r="D381" s="5">
        <v>6.8</v>
      </c>
      <c r="E381" s="5">
        <v>2.48</v>
      </c>
      <c r="F381" s="4" t="s">
        <v>20</v>
      </c>
    </row>
    <row r="382" spans="1:6" x14ac:dyDescent="0.3">
      <c r="A382">
        <v>1528</v>
      </c>
      <c r="B382" s="5">
        <v>5.5</v>
      </c>
      <c r="C382" s="5">
        <v>2</v>
      </c>
      <c r="D382" s="5">
        <v>6.8</v>
      </c>
      <c r="E382" s="5">
        <v>2.8650000000000002</v>
      </c>
      <c r="F382" s="4" t="s">
        <v>20</v>
      </c>
    </row>
    <row r="383" spans="1:6" x14ac:dyDescent="0.3">
      <c r="A383">
        <v>1701</v>
      </c>
      <c r="B383" s="5">
        <v>5.5</v>
      </c>
      <c r="C383" s="5">
        <v>2.5</v>
      </c>
      <c r="D383" s="5">
        <v>6.8</v>
      </c>
      <c r="E383" s="5">
        <v>2.12</v>
      </c>
      <c r="F383" s="4" t="s">
        <v>20</v>
      </c>
    </row>
    <row r="384" spans="1:6" x14ac:dyDescent="0.3">
      <c r="A384">
        <v>1742</v>
      </c>
      <c r="B384" s="5">
        <v>9</v>
      </c>
      <c r="C384" s="5">
        <v>1.6666666666666667</v>
      </c>
      <c r="D384" s="5">
        <v>6.8</v>
      </c>
      <c r="E384" s="5">
        <v>2.3766666666666669</v>
      </c>
      <c r="F384" s="4" t="s">
        <v>15</v>
      </c>
    </row>
    <row r="385" spans="1:6" x14ac:dyDescent="0.3">
      <c r="A385">
        <v>1857</v>
      </c>
      <c r="B385" s="5">
        <v>8</v>
      </c>
      <c r="C385" s="5">
        <v>2</v>
      </c>
      <c r="D385" s="5">
        <v>6.8</v>
      </c>
      <c r="E385" s="5">
        <v>2.2000000000000002</v>
      </c>
      <c r="F385" s="4" t="s">
        <v>15</v>
      </c>
    </row>
    <row r="386" spans="1:6" x14ac:dyDescent="0.3">
      <c r="A386">
        <v>1867</v>
      </c>
      <c r="B386" s="5">
        <v>2</v>
      </c>
      <c r="C386" s="5">
        <v>2</v>
      </c>
      <c r="D386" s="5">
        <v>6.8</v>
      </c>
      <c r="E386" s="5">
        <v>2.77</v>
      </c>
      <c r="F386" s="4" t="s">
        <v>15</v>
      </c>
    </row>
    <row r="387" spans="1:6" x14ac:dyDescent="0.3">
      <c r="A387">
        <v>1909</v>
      </c>
      <c r="B387" s="5">
        <v>5</v>
      </c>
      <c r="C387" s="5">
        <v>1.6666666666666667</v>
      </c>
      <c r="D387" s="5">
        <v>6.8</v>
      </c>
      <c r="E387" s="5">
        <v>2.52</v>
      </c>
      <c r="F387" s="4" t="s">
        <v>15</v>
      </c>
    </row>
    <row r="388" spans="1:6" x14ac:dyDescent="0.3">
      <c r="A388">
        <v>1975</v>
      </c>
      <c r="B388" s="5">
        <v>7</v>
      </c>
      <c r="C388" s="5">
        <v>1.6666666666666667</v>
      </c>
      <c r="D388" s="5">
        <v>6.8</v>
      </c>
      <c r="E388" s="5">
        <v>3.0066666666666664</v>
      </c>
      <c r="F388" s="4" t="s">
        <v>20</v>
      </c>
    </row>
    <row r="389" spans="1:6" x14ac:dyDescent="0.3">
      <c r="A389">
        <v>1970</v>
      </c>
      <c r="B389" s="5">
        <v>6.125</v>
      </c>
      <c r="C389" s="5">
        <v>2.125</v>
      </c>
      <c r="D389" s="5">
        <v>6.8125</v>
      </c>
      <c r="E389" s="5">
        <v>2.6025000000000005</v>
      </c>
      <c r="F389" s="4" t="s">
        <v>15</v>
      </c>
    </row>
    <row r="390" spans="1:6" x14ac:dyDescent="0.3">
      <c r="A390">
        <v>1379</v>
      </c>
      <c r="B390" s="5">
        <v>8.25</v>
      </c>
      <c r="C390" s="5">
        <v>1.5</v>
      </c>
      <c r="D390" s="5">
        <v>6.8249999999999993</v>
      </c>
      <c r="E390" s="5">
        <v>2.5099999999999998</v>
      </c>
      <c r="F390" s="4" t="s">
        <v>15</v>
      </c>
    </row>
    <row r="391" spans="1:6" x14ac:dyDescent="0.3">
      <c r="A391">
        <v>1406</v>
      </c>
      <c r="B391" s="5">
        <v>5.5</v>
      </c>
      <c r="C391" s="5">
        <v>1.5</v>
      </c>
      <c r="D391" s="5">
        <v>6.8249999999999993</v>
      </c>
      <c r="E391" s="5">
        <v>2.5775000000000001</v>
      </c>
      <c r="F391" s="4" t="s">
        <v>15</v>
      </c>
    </row>
    <row r="392" spans="1:6" x14ac:dyDescent="0.3">
      <c r="A392">
        <v>1431</v>
      </c>
      <c r="B392" s="5">
        <v>2.75</v>
      </c>
      <c r="C392" s="5">
        <v>2</v>
      </c>
      <c r="D392" s="5">
        <v>6.8250000000000002</v>
      </c>
      <c r="E392" s="5">
        <v>2.1033333333333331</v>
      </c>
      <c r="F392" s="4" t="s">
        <v>20</v>
      </c>
    </row>
    <row r="393" spans="1:6" x14ac:dyDescent="0.3">
      <c r="A393">
        <v>1363</v>
      </c>
      <c r="B393" s="5">
        <v>6</v>
      </c>
      <c r="C393" s="5">
        <v>2</v>
      </c>
      <c r="D393" s="5">
        <v>6.833333333333333</v>
      </c>
      <c r="E393" s="5">
        <v>2.3016666666666663</v>
      </c>
      <c r="F393" s="4" t="s">
        <v>20</v>
      </c>
    </row>
    <row r="394" spans="1:6" x14ac:dyDescent="0.3">
      <c r="A394">
        <v>1677</v>
      </c>
      <c r="B394" s="5">
        <v>6.666666666666667</v>
      </c>
      <c r="C394" s="5">
        <v>1.6666666666666667</v>
      </c>
      <c r="D394" s="5">
        <v>6.833333333333333</v>
      </c>
      <c r="E394" s="5">
        <v>3.08</v>
      </c>
      <c r="F394" s="4" t="s">
        <v>20</v>
      </c>
    </row>
    <row r="395" spans="1:6" x14ac:dyDescent="0.3">
      <c r="A395">
        <v>1842</v>
      </c>
      <c r="B395" s="5">
        <v>8</v>
      </c>
      <c r="C395" s="5">
        <v>1.3333333333333333</v>
      </c>
      <c r="D395" s="5">
        <v>6.833333333333333</v>
      </c>
      <c r="E395" s="5">
        <v>2.8533333333333331</v>
      </c>
      <c r="F395" s="4" t="s">
        <v>20</v>
      </c>
    </row>
    <row r="396" spans="1:6" x14ac:dyDescent="0.3">
      <c r="A396">
        <v>1849</v>
      </c>
      <c r="B396" s="5">
        <v>4.666666666666667</v>
      </c>
      <c r="C396" s="5">
        <v>2</v>
      </c>
      <c r="D396" s="5">
        <v>6.833333333333333</v>
      </c>
      <c r="E396" s="5">
        <v>1.86</v>
      </c>
      <c r="F396" s="4" t="s">
        <v>20</v>
      </c>
    </row>
    <row r="397" spans="1:6" x14ac:dyDescent="0.3">
      <c r="A397">
        <v>1851</v>
      </c>
      <c r="B397" s="5">
        <v>6</v>
      </c>
      <c r="C397" s="5">
        <v>1.6666666666666667</v>
      </c>
      <c r="D397" s="5">
        <v>6.833333333333333</v>
      </c>
      <c r="E397" s="5">
        <v>2.2966666666666664</v>
      </c>
      <c r="F397" s="4" t="s">
        <v>20</v>
      </c>
    </row>
    <row r="398" spans="1:6" x14ac:dyDescent="0.3">
      <c r="A398">
        <v>1952</v>
      </c>
      <c r="B398" s="5">
        <v>3.6666666666666665</v>
      </c>
      <c r="C398" s="5">
        <v>3</v>
      </c>
      <c r="D398" s="5">
        <v>6.833333333333333</v>
      </c>
      <c r="E398" s="5">
        <v>1.6166666666666665</v>
      </c>
      <c r="F398" s="4" t="s">
        <v>20</v>
      </c>
    </row>
    <row r="399" spans="1:6" x14ac:dyDescent="0.3">
      <c r="A399">
        <v>1994</v>
      </c>
      <c r="B399" s="5">
        <v>5.8</v>
      </c>
      <c r="C399" s="5">
        <v>2</v>
      </c>
      <c r="D399" s="5">
        <v>6.839999999999999</v>
      </c>
      <c r="E399" s="5">
        <v>2.5140000000000002</v>
      </c>
      <c r="F399" s="4" t="s">
        <v>20</v>
      </c>
    </row>
    <row r="400" spans="1:6" x14ac:dyDescent="0.3">
      <c r="A400">
        <v>1580</v>
      </c>
      <c r="B400" s="5">
        <v>6.5</v>
      </c>
      <c r="C400" s="5">
        <v>1.6666666666666667</v>
      </c>
      <c r="D400" s="5">
        <v>6.8499999999999988</v>
      </c>
      <c r="E400" s="5">
        <v>3.0220000000000002</v>
      </c>
      <c r="F400" s="4" t="s">
        <v>15</v>
      </c>
    </row>
    <row r="401" spans="1:6" x14ac:dyDescent="0.3">
      <c r="A401">
        <v>1203</v>
      </c>
      <c r="B401" s="5">
        <v>5</v>
      </c>
      <c r="C401" s="5">
        <v>2</v>
      </c>
      <c r="D401" s="5">
        <v>6.85</v>
      </c>
      <c r="E401" s="5">
        <v>1.21</v>
      </c>
      <c r="F401" s="4" t="s">
        <v>15</v>
      </c>
    </row>
    <row r="402" spans="1:6" x14ac:dyDescent="0.3">
      <c r="A402">
        <v>1231</v>
      </c>
      <c r="B402" s="5">
        <v>4</v>
      </c>
      <c r="C402" s="5">
        <v>1.5</v>
      </c>
      <c r="D402" s="5">
        <v>6.85</v>
      </c>
      <c r="E402" s="5">
        <v>1.59</v>
      </c>
      <c r="F402" s="4" t="s">
        <v>20</v>
      </c>
    </row>
    <row r="403" spans="1:6" x14ac:dyDescent="0.3">
      <c r="A403">
        <v>1265</v>
      </c>
      <c r="B403" s="5">
        <v>8.5</v>
      </c>
      <c r="C403" s="5">
        <v>3</v>
      </c>
      <c r="D403" s="5">
        <v>6.85</v>
      </c>
      <c r="E403" s="5">
        <v>3.125</v>
      </c>
      <c r="F403" s="4" t="s">
        <v>20</v>
      </c>
    </row>
    <row r="404" spans="1:6" x14ac:dyDescent="0.3">
      <c r="A404">
        <v>1461</v>
      </c>
      <c r="B404" s="5">
        <v>8.5</v>
      </c>
      <c r="C404" s="5">
        <v>2</v>
      </c>
      <c r="D404" s="5">
        <v>6.85</v>
      </c>
      <c r="E404" s="5">
        <v>2.7</v>
      </c>
      <c r="F404" s="4" t="s">
        <v>20</v>
      </c>
    </row>
    <row r="405" spans="1:6" x14ac:dyDescent="0.3">
      <c r="A405">
        <v>1772</v>
      </c>
      <c r="B405" s="5">
        <v>1.5</v>
      </c>
      <c r="C405" s="5">
        <v>2</v>
      </c>
      <c r="D405" s="5">
        <v>6.85</v>
      </c>
      <c r="E405" s="5">
        <v>2.8200000000000003</v>
      </c>
      <c r="F405" s="4" t="s">
        <v>15</v>
      </c>
    </row>
    <row r="406" spans="1:6" x14ac:dyDescent="0.3">
      <c r="A406">
        <v>1100</v>
      </c>
      <c r="B406" s="5">
        <v>5</v>
      </c>
      <c r="C406" s="5">
        <v>2.5</v>
      </c>
      <c r="D406" s="5">
        <v>6.8500000000000005</v>
      </c>
      <c r="E406" s="5">
        <v>1.86</v>
      </c>
      <c r="F406" s="4" t="s">
        <v>15</v>
      </c>
    </row>
    <row r="407" spans="1:6" x14ac:dyDescent="0.3">
      <c r="A407">
        <v>1474</v>
      </c>
      <c r="B407" s="5">
        <v>6</v>
      </c>
      <c r="C407" s="5">
        <v>2</v>
      </c>
      <c r="D407" s="5">
        <v>6.8500000000000005</v>
      </c>
      <c r="E407" s="5">
        <v>1.94</v>
      </c>
      <c r="F407" s="4" t="s">
        <v>20</v>
      </c>
    </row>
    <row r="408" spans="1:6" x14ac:dyDescent="0.3">
      <c r="A408">
        <v>1793</v>
      </c>
      <c r="B408" s="5">
        <v>6.1428571428571432</v>
      </c>
      <c r="C408" s="5">
        <v>2.5714285714285716</v>
      </c>
      <c r="D408" s="5">
        <v>6.8571428571428568</v>
      </c>
      <c r="E408" s="5">
        <v>2.9714285714285715</v>
      </c>
      <c r="F408" s="4" t="s">
        <v>20</v>
      </c>
    </row>
    <row r="409" spans="1:6" x14ac:dyDescent="0.3">
      <c r="A409">
        <v>1146</v>
      </c>
      <c r="B409" s="5">
        <v>4.2</v>
      </c>
      <c r="C409" s="5">
        <v>2.2000000000000002</v>
      </c>
      <c r="D409" s="5">
        <v>6.8599999999999994</v>
      </c>
      <c r="E409" s="5">
        <v>2.9550000000000001</v>
      </c>
      <c r="F409" s="4" t="s">
        <v>15</v>
      </c>
    </row>
    <row r="410" spans="1:6" x14ac:dyDescent="0.3">
      <c r="A410">
        <v>1217</v>
      </c>
      <c r="B410" s="5">
        <v>7.2</v>
      </c>
      <c r="C410" s="5">
        <v>2.2000000000000002</v>
      </c>
      <c r="D410" s="5">
        <v>6.8599999999999994</v>
      </c>
      <c r="E410" s="5">
        <v>2.58</v>
      </c>
      <c r="F410" s="4" t="s">
        <v>20</v>
      </c>
    </row>
    <row r="411" spans="1:6" x14ac:dyDescent="0.3">
      <c r="A411">
        <v>1752</v>
      </c>
      <c r="B411" s="5">
        <v>8</v>
      </c>
      <c r="C411" s="5">
        <v>1.6666666666666667</v>
      </c>
      <c r="D411" s="5">
        <v>6.8666666666666663</v>
      </c>
      <c r="E411" s="5">
        <v>2.2200000000000002</v>
      </c>
      <c r="F411" s="4" t="s">
        <v>15</v>
      </c>
    </row>
    <row r="412" spans="1:6" x14ac:dyDescent="0.3">
      <c r="A412">
        <v>1055</v>
      </c>
      <c r="B412" s="5">
        <v>3.6666666666666665</v>
      </c>
      <c r="C412" s="5">
        <v>2.3333333333333335</v>
      </c>
      <c r="D412" s="5">
        <v>6.8666666666666671</v>
      </c>
      <c r="E412" s="5">
        <v>2.7733333333333334</v>
      </c>
      <c r="F412" s="4" t="s">
        <v>20</v>
      </c>
    </row>
    <row r="413" spans="1:6" x14ac:dyDescent="0.3">
      <c r="A413">
        <v>1220</v>
      </c>
      <c r="B413" s="5">
        <v>7</v>
      </c>
      <c r="C413" s="5">
        <v>2</v>
      </c>
      <c r="D413" s="5">
        <v>6.8666666666666671</v>
      </c>
      <c r="E413" s="5">
        <v>2.436666666666667</v>
      </c>
      <c r="F413" s="4" t="s">
        <v>20</v>
      </c>
    </row>
    <row r="414" spans="1:6" x14ac:dyDescent="0.3">
      <c r="A414">
        <v>1307</v>
      </c>
      <c r="B414" s="5">
        <v>6.333333333333333</v>
      </c>
      <c r="C414" s="5">
        <v>2.3333333333333335</v>
      </c>
      <c r="D414" s="5">
        <v>6.8666666666666671</v>
      </c>
      <c r="E414" s="5">
        <v>2.3333333333333335</v>
      </c>
      <c r="F414" s="4" t="s">
        <v>15</v>
      </c>
    </row>
    <row r="415" spans="1:6" x14ac:dyDescent="0.3">
      <c r="A415">
        <v>1369</v>
      </c>
      <c r="B415" s="5">
        <v>9.3333333333333339</v>
      </c>
      <c r="C415" s="5">
        <v>2.3333333333333335</v>
      </c>
      <c r="D415" s="5">
        <v>6.8666666666666671</v>
      </c>
      <c r="E415" s="5">
        <v>2.5049999999999999</v>
      </c>
      <c r="F415" s="4" t="s">
        <v>15</v>
      </c>
    </row>
    <row r="416" spans="1:6" x14ac:dyDescent="0.3">
      <c r="A416">
        <v>1375</v>
      </c>
      <c r="B416" s="5">
        <v>5</v>
      </c>
      <c r="C416" s="5">
        <v>2</v>
      </c>
      <c r="D416" s="5">
        <v>6.8749999999999991</v>
      </c>
      <c r="E416" s="5">
        <v>2.54</v>
      </c>
      <c r="F416" s="4" t="s">
        <v>20</v>
      </c>
    </row>
    <row r="417" spans="1:6" x14ac:dyDescent="0.3">
      <c r="A417">
        <v>1407</v>
      </c>
      <c r="B417" s="5">
        <v>6</v>
      </c>
      <c r="C417" s="5">
        <v>1.5</v>
      </c>
      <c r="D417" s="5">
        <v>6.875</v>
      </c>
      <c r="E417" s="5">
        <v>2.936666666666667</v>
      </c>
      <c r="F417" s="4" t="s">
        <v>20</v>
      </c>
    </row>
    <row r="418" spans="1:6" x14ac:dyDescent="0.3">
      <c r="A418">
        <v>1611</v>
      </c>
      <c r="B418" s="5">
        <v>4.5</v>
      </c>
      <c r="C418" s="5">
        <v>1.5</v>
      </c>
      <c r="D418" s="5">
        <v>6.875</v>
      </c>
      <c r="E418" s="5">
        <v>2.4950000000000001</v>
      </c>
      <c r="F418" s="4" t="s">
        <v>20</v>
      </c>
    </row>
    <row r="419" spans="1:6" x14ac:dyDescent="0.3">
      <c r="A419">
        <v>1685</v>
      </c>
      <c r="B419" s="5">
        <v>3.75</v>
      </c>
      <c r="C419" s="5">
        <v>1.5</v>
      </c>
      <c r="D419" s="5">
        <v>6.875</v>
      </c>
      <c r="E419" s="5">
        <v>1.8074999999999999</v>
      </c>
      <c r="F419" s="4" t="s">
        <v>20</v>
      </c>
    </row>
    <row r="420" spans="1:6" x14ac:dyDescent="0.3">
      <c r="A420">
        <v>1748</v>
      </c>
      <c r="B420" s="5">
        <v>6.75</v>
      </c>
      <c r="C420" s="5">
        <v>2</v>
      </c>
      <c r="D420" s="5">
        <v>6.875</v>
      </c>
      <c r="E420" s="5">
        <v>2.5949999999999998</v>
      </c>
      <c r="F420" s="4" t="s">
        <v>15</v>
      </c>
    </row>
    <row r="421" spans="1:6" x14ac:dyDescent="0.3">
      <c r="A421">
        <v>1219</v>
      </c>
      <c r="B421" s="5">
        <v>4.2222222222222223</v>
      </c>
      <c r="C421" s="5">
        <v>1.8888888888888888</v>
      </c>
      <c r="D421" s="5">
        <v>6.8777777777777764</v>
      </c>
      <c r="E421" s="5">
        <v>2.6616666666666666</v>
      </c>
      <c r="F421" s="4" t="s">
        <v>15</v>
      </c>
    </row>
    <row r="422" spans="1:6" x14ac:dyDescent="0.3">
      <c r="A422">
        <v>1812</v>
      </c>
      <c r="B422" s="5">
        <v>6.2</v>
      </c>
      <c r="C422" s="5">
        <v>2.2000000000000002</v>
      </c>
      <c r="D422" s="5">
        <v>6.88</v>
      </c>
      <c r="E422" s="5">
        <v>2.64</v>
      </c>
      <c r="F422" s="4" t="s">
        <v>15</v>
      </c>
    </row>
    <row r="423" spans="1:6" x14ac:dyDescent="0.3">
      <c r="A423">
        <v>1094</v>
      </c>
      <c r="B423" s="5">
        <v>4.2</v>
      </c>
      <c r="C423" s="5">
        <v>1.6</v>
      </c>
      <c r="D423" s="5">
        <v>6.8800000000000008</v>
      </c>
      <c r="E423" s="5">
        <v>1.982</v>
      </c>
      <c r="F423" s="4" t="s">
        <v>15</v>
      </c>
    </row>
    <row r="424" spans="1:6" x14ac:dyDescent="0.3">
      <c r="A424">
        <v>1458</v>
      </c>
      <c r="B424" s="5">
        <v>3.6666666666666665</v>
      </c>
      <c r="C424" s="5">
        <v>1.6666666666666667</v>
      </c>
      <c r="D424" s="5">
        <v>6.8833333333333329</v>
      </c>
      <c r="E424" s="5">
        <v>2.855</v>
      </c>
      <c r="F424" s="4" t="s">
        <v>15</v>
      </c>
    </row>
    <row r="425" spans="1:6" x14ac:dyDescent="0.3">
      <c r="A425">
        <v>1738</v>
      </c>
      <c r="B425" s="5">
        <v>4.5</v>
      </c>
      <c r="C425" s="5">
        <v>2</v>
      </c>
      <c r="D425" s="5">
        <v>6.8833333333333329</v>
      </c>
      <c r="E425" s="5">
        <v>2.8020000000000005</v>
      </c>
      <c r="F425" s="4" t="s">
        <v>15</v>
      </c>
    </row>
    <row r="426" spans="1:6" x14ac:dyDescent="0.3">
      <c r="A426">
        <v>1882</v>
      </c>
      <c r="B426" s="5">
        <v>6.833333333333333</v>
      </c>
      <c r="C426" s="5">
        <v>2.8333333333333335</v>
      </c>
      <c r="D426" s="5">
        <v>6.8833333333333329</v>
      </c>
      <c r="E426" s="5">
        <v>2.6583333333333332</v>
      </c>
      <c r="F426" s="4" t="s">
        <v>15</v>
      </c>
    </row>
    <row r="427" spans="1:6" x14ac:dyDescent="0.3">
      <c r="A427">
        <v>1821</v>
      </c>
      <c r="B427" s="5">
        <v>7.166666666666667</v>
      </c>
      <c r="C427" s="5">
        <v>2.3333333333333335</v>
      </c>
      <c r="D427" s="5">
        <v>6.8833333333333337</v>
      </c>
      <c r="E427" s="5">
        <v>2.6666666666666665</v>
      </c>
      <c r="F427" s="4" t="s">
        <v>15</v>
      </c>
    </row>
    <row r="428" spans="1:6" x14ac:dyDescent="0.3">
      <c r="A428">
        <v>1032</v>
      </c>
      <c r="B428" s="5">
        <v>5.333333333333333</v>
      </c>
      <c r="C428" s="5">
        <v>2.3333333333333335</v>
      </c>
      <c r="D428" s="5">
        <v>6.8999999999999995</v>
      </c>
      <c r="E428" s="5">
        <v>2.54</v>
      </c>
      <c r="F428" s="4" t="s">
        <v>20</v>
      </c>
    </row>
    <row r="429" spans="1:6" x14ac:dyDescent="0.3">
      <c r="A429">
        <v>1366</v>
      </c>
      <c r="B429" s="5">
        <v>8</v>
      </c>
      <c r="C429" s="5">
        <v>2.3333333333333335</v>
      </c>
      <c r="D429" s="5">
        <v>6.8999999999999995</v>
      </c>
      <c r="E429" s="5">
        <v>3.1500000000000004</v>
      </c>
      <c r="F429" s="4" t="s">
        <v>20</v>
      </c>
    </row>
    <row r="430" spans="1:6" x14ac:dyDescent="0.3">
      <c r="A430">
        <v>1489</v>
      </c>
      <c r="B430" s="5">
        <v>5.833333333333333</v>
      </c>
      <c r="C430" s="5">
        <v>2.1666666666666665</v>
      </c>
      <c r="D430" s="5">
        <v>6.8999999999999995</v>
      </c>
      <c r="E430" s="5">
        <v>2.3359999999999999</v>
      </c>
      <c r="F430" s="4" t="s">
        <v>15</v>
      </c>
    </row>
    <row r="431" spans="1:6" x14ac:dyDescent="0.3">
      <c r="A431">
        <v>1898</v>
      </c>
      <c r="B431" s="5">
        <v>6.75</v>
      </c>
      <c r="C431" s="5">
        <v>1.75</v>
      </c>
      <c r="D431" s="5">
        <v>6.8999999999999995</v>
      </c>
      <c r="E431" s="5">
        <v>2.9650000000000003</v>
      </c>
      <c r="F431" s="4" t="s">
        <v>20</v>
      </c>
    </row>
    <row r="432" spans="1:6" x14ac:dyDescent="0.3">
      <c r="A432">
        <v>1014</v>
      </c>
      <c r="B432" s="5">
        <v>4.2</v>
      </c>
      <c r="C432" s="5">
        <v>1.8</v>
      </c>
      <c r="D432" s="5">
        <v>6.9</v>
      </c>
      <c r="E432" s="5">
        <v>1.9966666666666668</v>
      </c>
      <c r="F432" s="4" t="s">
        <v>20</v>
      </c>
    </row>
    <row r="433" spans="1:6" x14ac:dyDescent="0.3">
      <c r="A433">
        <v>1049</v>
      </c>
      <c r="B433" s="5">
        <v>5</v>
      </c>
      <c r="C433" s="5">
        <v>3</v>
      </c>
      <c r="D433" s="5">
        <v>6.9</v>
      </c>
      <c r="E433" s="5">
        <v>2.65</v>
      </c>
      <c r="F433" s="4" t="s">
        <v>15</v>
      </c>
    </row>
    <row r="434" spans="1:6" x14ac:dyDescent="0.3">
      <c r="A434">
        <v>1167</v>
      </c>
      <c r="B434" s="5">
        <v>7</v>
      </c>
      <c r="C434" s="5">
        <v>2.8</v>
      </c>
      <c r="D434" s="5">
        <v>6.9</v>
      </c>
      <c r="E434" s="5">
        <v>2.2624999999999997</v>
      </c>
      <c r="F434" s="4" t="s">
        <v>15</v>
      </c>
    </row>
    <row r="435" spans="1:6" x14ac:dyDescent="0.3">
      <c r="A435">
        <v>1187</v>
      </c>
      <c r="B435" s="5">
        <v>4.75</v>
      </c>
      <c r="C435" s="5">
        <v>1.75</v>
      </c>
      <c r="D435" s="5">
        <v>6.9</v>
      </c>
      <c r="E435" s="5">
        <v>2.5150000000000001</v>
      </c>
      <c r="F435" s="4" t="s">
        <v>15</v>
      </c>
    </row>
    <row r="436" spans="1:6" x14ac:dyDescent="0.3">
      <c r="A436">
        <v>1271</v>
      </c>
      <c r="B436" s="5">
        <v>3</v>
      </c>
      <c r="C436" s="5">
        <v>2</v>
      </c>
      <c r="D436" s="5">
        <v>6.9</v>
      </c>
      <c r="E436" s="5">
        <v>2.66</v>
      </c>
      <c r="F436" s="4" t="s">
        <v>20</v>
      </c>
    </row>
    <row r="437" spans="1:6" x14ac:dyDescent="0.3">
      <c r="A437">
        <v>1274</v>
      </c>
      <c r="B437" s="5">
        <v>8</v>
      </c>
      <c r="C437" s="5">
        <v>1</v>
      </c>
      <c r="D437" s="5">
        <v>6.9</v>
      </c>
      <c r="E437" s="5">
        <v>2.4300000000000002</v>
      </c>
      <c r="F437" s="4" t="s">
        <v>20</v>
      </c>
    </row>
    <row r="438" spans="1:6" x14ac:dyDescent="0.3">
      <c r="A438">
        <v>1344</v>
      </c>
      <c r="B438" s="5">
        <v>6.8</v>
      </c>
      <c r="C438" s="5">
        <v>1.6</v>
      </c>
      <c r="D438" s="5">
        <v>6.9</v>
      </c>
      <c r="E438" s="5">
        <v>2.4579999999999997</v>
      </c>
      <c r="F438" s="4" t="s">
        <v>20</v>
      </c>
    </row>
    <row r="439" spans="1:6" x14ac:dyDescent="0.3">
      <c r="A439">
        <v>1370</v>
      </c>
      <c r="B439" s="5">
        <v>6.2</v>
      </c>
      <c r="C439" s="5">
        <v>2</v>
      </c>
      <c r="D439" s="5">
        <v>6.9</v>
      </c>
      <c r="E439" s="5">
        <v>2.4740000000000002</v>
      </c>
      <c r="F439" s="4" t="s">
        <v>15</v>
      </c>
    </row>
    <row r="440" spans="1:6" x14ac:dyDescent="0.3">
      <c r="A440">
        <v>1373</v>
      </c>
      <c r="B440" s="5">
        <v>6.4</v>
      </c>
      <c r="C440" s="5">
        <v>2</v>
      </c>
      <c r="D440" s="5">
        <v>6.9</v>
      </c>
      <c r="E440" s="5">
        <v>2.5760000000000001</v>
      </c>
      <c r="F440" s="4" t="s">
        <v>15</v>
      </c>
    </row>
    <row r="441" spans="1:6" x14ac:dyDescent="0.3">
      <c r="A441">
        <v>1395</v>
      </c>
      <c r="B441" s="5">
        <v>9.25</v>
      </c>
      <c r="C441" s="5">
        <v>1.5</v>
      </c>
      <c r="D441" s="5">
        <v>6.9</v>
      </c>
      <c r="E441" s="5">
        <v>3.7050000000000001</v>
      </c>
      <c r="F441" s="4" t="s">
        <v>20</v>
      </c>
    </row>
    <row r="442" spans="1:6" x14ac:dyDescent="0.3">
      <c r="A442">
        <v>1605</v>
      </c>
      <c r="B442" s="5">
        <v>3</v>
      </c>
      <c r="C442" s="5">
        <v>3</v>
      </c>
      <c r="D442" s="5">
        <v>6.9</v>
      </c>
      <c r="E442" s="5">
        <v>2.5649999999999999</v>
      </c>
      <c r="F442" s="4" t="s">
        <v>20</v>
      </c>
    </row>
    <row r="443" spans="1:6" x14ac:dyDescent="0.3">
      <c r="A443">
        <v>1623</v>
      </c>
      <c r="B443" s="5">
        <v>5.25</v>
      </c>
      <c r="C443" s="5">
        <v>1.75</v>
      </c>
      <c r="D443" s="5">
        <v>6.9</v>
      </c>
      <c r="E443" s="5">
        <v>1.9750000000000001</v>
      </c>
      <c r="F443" s="4" t="s">
        <v>15</v>
      </c>
    </row>
    <row r="444" spans="1:6" x14ac:dyDescent="0.3">
      <c r="A444">
        <v>1676</v>
      </c>
      <c r="B444" s="5">
        <v>5.5</v>
      </c>
      <c r="C444" s="5">
        <v>2.5</v>
      </c>
      <c r="D444" s="5">
        <v>6.9</v>
      </c>
      <c r="E444" s="5">
        <v>1.9750000000000001</v>
      </c>
      <c r="F444" s="4" t="s">
        <v>15</v>
      </c>
    </row>
    <row r="445" spans="1:6" x14ac:dyDescent="0.3">
      <c r="A445">
        <v>1698</v>
      </c>
      <c r="B445" s="5">
        <v>7</v>
      </c>
      <c r="C445" s="5">
        <v>1.5</v>
      </c>
      <c r="D445" s="5">
        <v>6.9</v>
      </c>
      <c r="E445" s="5">
        <v>2.74</v>
      </c>
      <c r="F445" s="4" t="s">
        <v>20</v>
      </c>
    </row>
    <row r="446" spans="1:6" x14ac:dyDescent="0.3">
      <c r="A446">
        <v>1740</v>
      </c>
      <c r="B446" s="5">
        <v>7.75</v>
      </c>
      <c r="C446" s="5">
        <v>2.25</v>
      </c>
      <c r="D446" s="5">
        <v>6.9</v>
      </c>
      <c r="E446" s="5">
        <v>2.8774999999999999</v>
      </c>
      <c r="F446" s="4" t="s">
        <v>20</v>
      </c>
    </row>
    <row r="447" spans="1:6" x14ac:dyDescent="0.3">
      <c r="A447">
        <v>1930</v>
      </c>
      <c r="B447" s="5">
        <v>10</v>
      </c>
      <c r="C447" s="5">
        <v>1.5</v>
      </c>
      <c r="D447" s="5">
        <v>6.9</v>
      </c>
      <c r="E447" s="5">
        <v>2.2250000000000001</v>
      </c>
      <c r="F447" s="4" t="s">
        <v>20</v>
      </c>
    </row>
    <row r="448" spans="1:6" x14ac:dyDescent="0.3">
      <c r="A448">
        <v>1990</v>
      </c>
      <c r="B448" s="5">
        <v>2.5</v>
      </c>
      <c r="C448" s="5">
        <v>2</v>
      </c>
      <c r="D448" s="5">
        <v>6.9</v>
      </c>
      <c r="E448" s="5">
        <v>2.2999999999999998</v>
      </c>
      <c r="F448" s="4" t="s">
        <v>20</v>
      </c>
    </row>
    <row r="449" spans="1:6" x14ac:dyDescent="0.3">
      <c r="A449">
        <v>1661</v>
      </c>
      <c r="B449" s="5">
        <v>4.833333333333333</v>
      </c>
      <c r="C449" s="5">
        <v>2</v>
      </c>
      <c r="D449" s="5">
        <v>6.9000000000000012</v>
      </c>
      <c r="E449" s="5">
        <v>2.4233333333333333</v>
      </c>
      <c r="F449" s="4" t="s">
        <v>20</v>
      </c>
    </row>
    <row r="450" spans="1:6" x14ac:dyDescent="0.3">
      <c r="A450">
        <v>1899</v>
      </c>
      <c r="B450" s="5">
        <v>5.666666666666667</v>
      </c>
      <c r="C450" s="5">
        <v>2.3333333333333335</v>
      </c>
      <c r="D450" s="5">
        <v>6.9000000000000012</v>
      </c>
      <c r="E450" s="5">
        <v>2.2533333333333334</v>
      </c>
      <c r="F450" s="4" t="s">
        <v>15</v>
      </c>
    </row>
    <row r="451" spans="1:6" x14ac:dyDescent="0.3">
      <c r="A451">
        <v>1669</v>
      </c>
      <c r="B451" s="5">
        <v>5.4285714285714288</v>
      </c>
      <c r="C451" s="5">
        <v>2.2857142857142856</v>
      </c>
      <c r="D451" s="5">
        <v>6.9142857142857155</v>
      </c>
      <c r="E451" s="5">
        <v>2.3485714285714283</v>
      </c>
      <c r="F451" s="4" t="s">
        <v>20</v>
      </c>
    </row>
    <row r="452" spans="1:6" x14ac:dyDescent="0.3">
      <c r="A452">
        <v>1105</v>
      </c>
      <c r="B452" s="5">
        <v>4.8</v>
      </c>
      <c r="C452" s="5">
        <v>2.4</v>
      </c>
      <c r="D452" s="5">
        <v>6.92</v>
      </c>
      <c r="E452" s="5">
        <v>2.415</v>
      </c>
      <c r="F452" s="4" t="s">
        <v>15</v>
      </c>
    </row>
    <row r="453" spans="1:6" x14ac:dyDescent="0.3">
      <c r="A453">
        <v>1377</v>
      </c>
      <c r="B453" s="5">
        <v>6.4</v>
      </c>
      <c r="C453" s="5">
        <v>1.6</v>
      </c>
      <c r="D453" s="5">
        <v>6.92</v>
      </c>
      <c r="E453" s="5">
        <v>1.736</v>
      </c>
      <c r="F453" s="4" t="s">
        <v>20</v>
      </c>
    </row>
    <row r="454" spans="1:6" x14ac:dyDescent="0.3">
      <c r="A454">
        <v>1637</v>
      </c>
      <c r="B454" s="5">
        <v>6.4</v>
      </c>
      <c r="C454" s="5">
        <v>2</v>
      </c>
      <c r="D454" s="5">
        <v>6.92</v>
      </c>
      <c r="E454" s="5">
        <v>2.7774999999999999</v>
      </c>
      <c r="F454" s="4" t="s">
        <v>20</v>
      </c>
    </row>
    <row r="455" spans="1:6" x14ac:dyDescent="0.3">
      <c r="A455">
        <v>1659</v>
      </c>
      <c r="B455" s="5">
        <v>6.8</v>
      </c>
      <c r="C455" s="5">
        <v>1.8</v>
      </c>
      <c r="D455" s="5">
        <v>6.92</v>
      </c>
      <c r="E455" s="5">
        <v>3.0959999999999996</v>
      </c>
      <c r="F455" s="4" t="s">
        <v>20</v>
      </c>
    </row>
    <row r="456" spans="1:6" x14ac:dyDescent="0.3">
      <c r="A456">
        <v>1935</v>
      </c>
      <c r="B456" s="5">
        <v>7.8</v>
      </c>
      <c r="C456" s="5">
        <v>2</v>
      </c>
      <c r="D456" s="5">
        <v>6.92</v>
      </c>
      <c r="E456" s="5">
        <v>2.8679999999999999</v>
      </c>
      <c r="F456" s="4" t="s">
        <v>15</v>
      </c>
    </row>
    <row r="457" spans="1:6" x14ac:dyDescent="0.3">
      <c r="A457">
        <v>1040</v>
      </c>
      <c r="B457" s="5">
        <v>4.75</v>
      </c>
      <c r="C457" s="5">
        <v>2.5</v>
      </c>
      <c r="D457" s="5">
        <v>6.9249999999999998</v>
      </c>
      <c r="E457" s="5">
        <v>2.2649999999999997</v>
      </c>
      <c r="F457" s="4" t="s">
        <v>15</v>
      </c>
    </row>
    <row r="458" spans="1:6" x14ac:dyDescent="0.3">
      <c r="A458">
        <v>1169</v>
      </c>
      <c r="B458" s="5">
        <v>4.75</v>
      </c>
      <c r="C458" s="5">
        <v>1.5</v>
      </c>
      <c r="D458" s="5">
        <v>6.9249999999999998</v>
      </c>
      <c r="E458" s="5">
        <v>3.07</v>
      </c>
      <c r="F458" s="4" t="s">
        <v>20</v>
      </c>
    </row>
    <row r="459" spans="1:6" x14ac:dyDescent="0.3">
      <c r="A459">
        <v>1434</v>
      </c>
      <c r="B459" s="5">
        <v>6.125</v>
      </c>
      <c r="C459" s="5">
        <v>2.375</v>
      </c>
      <c r="D459" s="5">
        <v>6.9249999999999998</v>
      </c>
      <c r="E459" s="5">
        <v>2.3485714285714288</v>
      </c>
      <c r="F459" s="4" t="s">
        <v>20</v>
      </c>
    </row>
    <row r="460" spans="1:6" x14ac:dyDescent="0.3">
      <c r="A460">
        <v>1616</v>
      </c>
      <c r="B460" s="5">
        <v>5</v>
      </c>
      <c r="C460" s="5">
        <v>2.5</v>
      </c>
      <c r="D460" s="5">
        <v>6.9249999999999998</v>
      </c>
      <c r="E460" s="5">
        <v>2.9866666666666664</v>
      </c>
      <c r="F460" s="4" t="s">
        <v>20</v>
      </c>
    </row>
    <row r="461" spans="1:6" x14ac:dyDescent="0.3">
      <c r="A461">
        <v>1027</v>
      </c>
      <c r="B461" s="5">
        <v>4.833333333333333</v>
      </c>
      <c r="C461" s="5">
        <v>1.5</v>
      </c>
      <c r="D461" s="5">
        <v>6.9333333333333327</v>
      </c>
      <c r="E461" s="5">
        <v>2.0024999999999999</v>
      </c>
      <c r="F461" s="4" t="s">
        <v>20</v>
      </c>
    </row>
    <row r="462" spans="1:6" x14ac:dyDescent="0.3">
      <c r="A462">
        <v>1364</v>
      </c>
      <c r="B462" s="5">
        <v>5.666666666666667</v>
      </c>
      <c r="C462" s="5">
        <v>1.1666666666666667</v>
      </c>
      <c r="D462" s="5">
        <v>6.9333333333333327</v>
      </c>
      <c r="E462" s="5">
        <v>2.7149999999999999</v>
      </c>
      <c r="F462" s="4" t="s">
        <v>15</v>
      </c>
    </row>
    <row r="463" spans="1:6" x14ac:dyDescent="0.3">
      <c r="A463">
        <v>1501</v>
      </c>
      <c r="B463" s="5">
        <v>4.666666666666667</v>
      </c>
      <c r="C463" s="5">
        <v>1.6666666666666667</v>
      </c>
      <c r="D463" s="5">
        <v>6.9333333333333327</v>
      </c>
      <c r="E463" s="5">
        <v>2.35</v>
      </c>
      <c r="F463" s="4" t="s">
        <v>15</v>
      </c>
    </row>
    <row r="464" spans="1:6" x14ac:dyDescent="0.3">
      <c r="A464">
        <v>1006</v>
      </c>
      <c r="B464" s="5">
        <v>5.833333333333333</v>
      </c>
      <c r="C464" s="5">
        <v>1.3333333333333333</v>
      </c>
      <c r="D464" s="5">
        <v>6.9333333333333336</v>
      </c>
      <c r="E464" s="5">
        <v>2.6283333333333334</v>
      </c>
      <c r="F464" s="4" t="s">
        <v>15</v>
      </c>
    </row>
    <row r="465" spans="1:6" x14ac:dyDescent="0.3">
      <c r="A465">
        <v>1058</v>
      </c>
      <c r="B465" s="5">
        <v>6.666666666666667</v>
      </c>
      <c r="C465" s="5">
        <v>2.6666666666666665</v>
      </c>
      <c r="D465" s="5">
        <v>6.9333333333333336</v>
      </c>
      <c r="E465" s="5">
        <v>3.1533333333333338</v>
      </c>
      <c r="F465" s="4" t="s">
        <v>20</v>
      </c>
    </row>
    <row r="466" spans="1:6" x14ac:dyDescent="0.3">
      <c r="A466">
        <v>1598</v>
      </c>
      <c r="B466" s="5">
        <v>6.333333333333333</v>
      </c>
      <c r="C466" s="5">
        <v>1.3333333333333333</v>
      </c>
      <c r="D466" s="5">
        <v>6.9333333333333336</v>
      </c>
      <c r="E466" s="5">
        <v>2.1933333333333334</v>
      </c>
      <c r="F466" s="4" t="s">
        <v>15</v>
      </c>
    </row>
    <row r="467" spans="1:6" x14ac:dyDescent="0.3">
      <c r="A467">
        <v>1671</v>
      </c>
      <c r="B467" s="5">
        <v>6</v>
      </c>
      <c r="C467" s="5">
        <v>2.1428571428571428</v>
      </c>
      <c r="D467" s="5">
        <v>6.9428571428571431</v>
      </c>
      <c r="E467" s="5">
        <v>2.3957142857142855</v>
      </c>
      <c r="F467" s="4" t="s">
        <v>15</v>
      </c>
    </row>
    <row r="468" spans="1:6" x14ac:dyDescent="0.3">
      <c r="A468">
        <v>1038</v>
      </c>
      <c r="B468" s="5">
        <v>5</v>
      </c>
      <c r="C468" s="5">
        <v>1.9166666666666667</v>
      </c>
      <c r="D468" s="5">
        <v>6.9499999999999984</v>
      </c>
      <c r="E468" s="5">
        <v>2.4969999999999999</v>
      </c>
      <c r="F468" s="4" t="s">
        <v>20</v>
      </c>
    </row>
    <row r="469" spans="1:6" x14ac:dyDescent="0.3">
      <c r="A469">
        <v>1713</v>
      </c>
      <c r="B469" s="5">
        <v>6</v>
      </c>
      <c r="C469" s="5">
        <v>1.5</v>
      </c>
      <c r="D469" s="5">
        <v>6.9499999999999993</v>
      </c>
      <c r="E469" s="5">
        <v>2.5533333333333332</v>
      </c>
      <c r="F469" s="4" t="s">
        <v>20</v>
      </c>
    </row>
    <row r="470" spans="1:6" x14ac:dyDescent="0.3">
      <c r="A470">
        <v>1020</v>
      </c>
      <c r="B470" s="5">
        <v>6.5</v>
      </c>
      <c r="C470" s="5">
        <v>2</v>
      </c>
      <c r="D470" s="5">
        <v>6.95</v>
      </c>
      <c r="E470" s="5">
        <v>2.1280000000000001</v>
      </c>
      <c r="F470" s="4" t="s">
        <v>15</v>
      </c>
    </row>
    <row r="471" spans="1:6" x14ac:dyDescent="0.3">
      <c r="A471">
        <v>1082</v>
      </c>
      <c r="B471" s="5">
        <v>8</v>
      </c>
      <c r="C471" s="5">
        <v>3</v>
      </c>
      <c r="D471" s="5">
        <v>6.95</v>
      </c>
      <c r="E471" s="5">
        <v>1.895</v>
      </c>
      <c r="F471" s="4" t="s">
        <v>20</v>
      </c>
    </row>
    <row r="472" spans="1:6" x14ac:dyDescent="0.3">
      <c r="A472">
        <v>1163</v>
      </c>
      <c r="B472" s="5">
        <v>6.5</v>
      </c>
      <c r="C472" s="5">
        <v>1.5</v>
      </c>
      <c r="D472" s="5">
        <v>6.95</v>
      </c>
      <c r="E472" s="5">
        <v>2.75</v>
      </c>
      <c r="F472" s="4" t="s">
        <v>20</v>
      </c>
    </row>
    <row r="473" spans="1:6" x14ac:dyDescent="0.3">
      <c r="A473">
        <v>1177</v>
      </c>
      <c r="B473" s="5">
        <v>4.75</v>
      </c>
      <c r="C473" s="5">
        <v>1.75</v>
      </c>
      <c r="D473" s="5">
        <v>6.95</v>
      </c>
      <c r="E473" s="5">
        <v>2.9049999999999998</v>
      </c>
      <c r="F473" s="4" t="s">
        <v>20</v>
      </c>
    </row>
    <row r="474" spans="1:6" x14ac:dyDescent="0.3">
      <c r="A474">
        <v>1214</v>
      </c>
      <c r="B474" s="5">
        <v>7</v>
      </c>
      <c r="C474" s="5">
        <v>3</v>
      </c>
      <c r="D474" s="5">
        <v>6.95</v>
      </c>
      <c r="E474" s="5">
        <v>4.0199999999999996</v>
      </c>
      <c r="F474" s="4" t="s">
        <v>15</v>
      </c>
    </row>
    <row r="475" spans="1:6" x14ac:dyDescent="0.3">
      <c r="A475">
        <v>1469</v>
      </c>
      <c r="B475" s="5">
        <v>6</v>
      </c>
      <c r="C475" s="5">
        <v>2.5</v>
      </c>
      <c r="D475" s="5">
        <v>6.95</v>
      </c>
      <c r="E475" s="5">
        <v>2.62</v>
      </c>
      <c r="F475" s="4" t="s">
        <v>15</v>
      </c>
    </row>
    <row r="476" spans="1:6" x14ac:dyDescent="0.3">
      <c r="A476">
        <v>1728</v>
      </c>
      <c r="B476" s="5">
        <v>6</v>
      </c>
      <c r="C476" s="5">
        <v>1.5</v>
      </c>
      <c r="D476" s="5">
        <v>6.95</v>
      </c>
      <c r="E476" s="5">
        <v>2.71</v>
      </c>
      <c r="F476" s="4" t="s">
        <v>20</v>
      </c>
    </row>
    <row r="477" spans="1:6" x14ac:dyDescent="0.3">
      <c r="A477">
        <v>1810</v>
      </c>
      <c r="B477" s="5">
        <v>6</v>
      </c>
      <c r="C477" s="5">
        <v>1.5</v>
      </c>
      <c r="D477" s="5">
        <v>6.95</v>
      </c>
      <c r="E477" s="5">
        <v>2.71</v>
      </c>
      <c r="F477" s="4" t="s">
        <v>20</v>
      </c>
    </row>
    <row r="478" spans="1:6" x14ac:dyDescent="0.3">
      <c r="A478">
        <v>1963</v>
      </c>
      <c r="B478" s="5">
        <v>4.75</v>
      </c>
      <c r="C478" s="5">
        <v>2.25</v>
      </c>
      <c r="D478" s="5">
        <v>6.95</v>
      </c>
      <c r="E478" s="5">
        <v>2.6074999999999999</v>
      </c>
      <c r="F478" s="4" t="s">
        <v>20</v>
      </c>
    </row>
    <row r="479" spans="1:6" x14ac:dyDescent="0.3">
      <c r="A479">
        <v>1110</v>
      </c>
      <c r="B479" s="5">
        <v>7</v>
      </c>
      <c r="C479" s="5">
        <v>1.8</v>
      </c>
      <c r="D479" s="5">
        <v>6.9600000000000009</v>
      </c>
      <c r="E479" s="5">
        <v>2.8459999999999996</v>
      </c>
      <c r="F479" s="4" t="s">
        <v>15</v>
      </c>
    </row>
    <row r="480" spans="1:6" x14ac:dyDescent="0.3">
      <c r="A480">
        <v>1714</v>
      </c>
      <c r="B480" s="5">
        <v>8</v>
      </c>
      <c r="C480" s="5">
        <v>2</v>
      </c>
      <c r="D480" s="5">
        <v>6.9666666666666659</v>
      </c>
      <c r="E480" s="5">
        <v>2.1833333333333331</v>
      </c>
      <c r="F480" s="4" t="s">
        <v>15</v>
      </c>
    </row>
    <row r="481" spans="1:6" x14ac:dyDescent="0.3">
      <c r="A481">
        <v>1571</v>
      </c>
      <c r="B481" s="5">
        <v>5.5</v>
      </c>
      <c r="C481" s="5">
        <v>2</v>
      </c>
      <c r="D481" s="5">
        <v>6.9749999999999996</v>
      </c>
      <c r="E481" s="5">
        <v>2.2766666666666668</v>
      </c>
      <c r="F481" s="4" t="s">
        <v>20</v>
      </c>
    </row>
    <row r="482" spans="1:6" x14ac:dyDescent="0.3">
      <c r="A482">
        <v>1724</v>
      </c>
      <c r="B482" s="5">
        <v>4.4000000000000004</v>
      </c>
      <c r="C482" s="5">
        <v>1.8</v>
      </c>
      <c r="D482" s="5">
        <v>6.9800000000000013</v>
      </c>
      <c r="E482" s="5">
        <v>3.3460000000000001</v>
      </c>
      <c r="F482" s="4" t="s">
        <v>20</v>
      </c>
    </row>
    <row r="483" spans="1:6" x14ac:dyDescent="0.3">
      <c r="A483">
        <v>1143</v>
      </c>
      <c r="B483" s="5">
        <v>5.5</v>
      </c>
      <c r="C483" s="5">
        <v>2.1666666666666665</v>
      </c>
      <c r="D483" s="5">
        <v>6.9833333333333343</v>
      </c>
      <c r="E483" s="5">
        <v>3.4449999999999998</v>
      </c>
      <c r="F483" s="4" t="s">
        <v>15</v>
      </c>
    </row>
    <row r="484" spans="1:6" x14ac:dyDescent="0.3">
      <c r="A484">
        <v>1250</v>
      </c>
      <c r="B484" s="5">
        <v>3.8333333333333335</v>
      </c>
      <c r="C484" s="5">
        <v>2.1666666666666665</v>
      </c>
      <c r="D484" s="5">
        <v>6.9833333333333343</v>
      </c>
      <c r="E484" s="5">
        <v>2.3650000000000002</v>
      </c>
      <c r="F484" s="4" t="s">
        <v>20</v>
      </c>
    </row>
    <row r="485" spans="1:6" x14ac:dyDescent="0.3">
      <c r="A485">
        <v>1780</v>
      </c>
      <c r="B485" s="5">
        <v>4.8571428571428568</v>
      </c>
      <c r="C485" s="5">
        <v>1.7142857142857142</v>
      </c>
      <c r="D485" s="5">
        <v>6.9857142857142858</v>
      </c>
      <c r="E485" s="5">
        <v>2.8757142857142854</v>
      </c>
      <c r="F485" s="4" t="s">
        <v>15</v>
      </c>
    </row>
    <row r="486" spans="1:6" x14ac:dyDescent="0.3">
      <c r="A486">
        <v>1372</v>
      </c>
      <c r="B486" s="5">
        <v>6</v>
      </c>
      <c r="C486" s="5">
        <v>2.25</v>
      </c>
      <c r="D486" s="5">
        <v>6.9999999999999991</v>
      </c>
      <c r="E486" s="5">
        <v>3.2466666666666666</v>
      </c>
      <c r="F486" s="4" t="s">
        <v>15</v>
      </c>
    </row>
    <row r="487" spans="1:6" x14ac:dyDescent="0.3">
      <c r="A487">
        <v>1013</v>
      </c>
      <c r="B487" s="5">
        <v>3.5</v>
      </c>
      <c r="C487" s="5">
        <v>1.5</v>
      </c>
      <c r="D487" s="5">
        <v>7</v>
      </c>
      <c r="E487" s="5">
        <v>2.5233333333333334</v>
      </c>
      <c r="F487" s="4" t="s">
        <v>20</v>
      </c>
    </row>
    <row r="488" spans="1:6" x14ac:dyDescent="0.3">
      <c r="A488">
        <v>1037</v>
      </c>
      <c r="B488" s="5">
        <v>5.333333333333333</v>
      </c>
      <c r="C488" s="5">
        <v>1.6666666666666667</v>
      </c>
      <c r="D488" s="5">
        <v>7</v>
      </c>
      <c r="E488" s="5">
        <v>1.615</v>
      </c>
      <c r="F488" s="4" t="s">
        <v>15</v>
      </c>
    </row>
    <row r="489" spans="1:6" x14ac:dyDescent="0.3">
      <c r="A489">
        <v>1112</v>
      </c>
      <c r="B489" s="5">
        <v>5.4</v>
      </c>
      <c r="C489" s="5">
        <v>1.9</v>
      </c>
      <c r="D489" s="5">
        <v>7</v>
      </c>
      <c r="E489" s="5">
        <v>2.2000000000000002</v>
      </c>
      <c r="F489" s="4" t="s">
        <v>20</v>
      </c>
    </row>
    <row r="490" spans="1:6" x14ac:dyDescent="0.3">
      <c r="A490">
        <v>1131</v>
      </c>
      <c r="B490" s="5">
        <v>7.5</v>
      </c>
      <c r="C490" s="5">
        <v>2.25</v>
      </c>
      <c r="D490" s="5">
        <v>7</v>
      </c>
      <c r="E490" s="5">
        <v>2.7900000000000005</v>
      </c>
      <c r="F490" s="4" t="s">
        <v>15</v>
      </c>
    </row>
    <row r="491" spans="1:6" x14ac:dyDescent="0.3">
      <c r="A491">
        <v>1166</v>
      </c>
      <c r="B491" s="5">
        <v>5</v>
      </c>
      <c r="C491" s="5">
        <v>2</v>
      </c>
      <c r="D491" s="5">
        <v>7</v>
      </c>
      <c r="E491" s="5">
        <v>2.9166666666666665</v>
      </c>
      <c r="F491" s="4" t="s">
        <v>15</v>
      </c>
    </row>
    <row r="492" spans="1:6" x14ac:dyDescent="0.3">
      <c r="A492">
        <v>1252</v>
      </c>
      <c r="B492" s="5">
        <v>4.5714285714285712</v>
      </c>
      <c r="C492" s="5">
        <v>2.1428571428571428</v>
      </c>
      <c r="D492" s="5">
        <v>7</v>
      </c>
      <c r="E492" s="5">
        <v>1.95</v>
      </c>
      <c r="F492" s="4" t="s">
        <v>15</v>
      </c>
    </row>
    <row r="493" spans="1:6" x14ac:dyDescent="0.3">
      <c r="A493">
        <v>1392</v>
      </c>
      <c r="B493" s="5">
        <v>5.8</v>
      </c>
      <c r="C493" s="5">
        <v>2.4</v>
      </c>
      <c r="D493" s="5">
        <v>7</v>
      </c>
      <c r="E493" s="5">
        <v>2.4000000000000004</v>
      </c>
      <c r="F493" s="4" t="s">
        <v>20</v>
      </c>
    </row>
    <row r="494" spans="1:6" x14ac:dyDescent="0.3">
      <c r="A494">
        <v>1412</v>
      </c>
      <c r="B494" s="5">
        <v>4</v>
      </c>
      <c r="C494" s="5">
        <v>1</v>
      </c>
      <c r="D494" s="5">
        <v>7</v>
      </c>
      <c r="E494" s="5">
        <v>2.2599999999999998</v>
      </c>
      <c r="F494" s="4" t="s">
        <v>15</v>
      </c>
    </row>
    <row r="495" spans="1:6" x14ac:dyDescent="0.3">
      <c r="A495">
        <v>1415</v>
      </c>
      <c r="B495" s="5">
        <v>3.6666666666666665</v>
      </c>
      <c r="C495" s="5">
        <v>2</v>
      </c>
      <c r="D495" s="5">
        <v>7</v>
      </c>
      <c r="E495" s="5">
        <v>2.5266666666666668</v>
      </c>
      <c r="F495" s="4" t="s">
        <v>15</v>
      </c>
    </row>
    <row r="496" spans="1:6" x14ac:dyDescent="0.3">
      <c r="A496">
        <v>1575</v>
      </c>
      <c r="B496" s="5">
        <v>2.5</v>
      </c>
      <c r="C496" s="5">
        <v>2</v>
      </c>
      <c r="D496" s="5">
        <v>7</v>
      </c>
      <c r="E496" s="5">
        <v>1.8599999999999999</v>
      </c>
      <c r="F496" s="4" t="s">
        <v>20</v>
      </c>
    </row>
    <row r="497" spans="1:6" x14ac:dyDescent="0.3">
      <c r="A497">
        <v>1576</v>
      </c>
      <c r="B497" s="5">
        <v>3.6666666666666665</v>
      </c>
      <c r="C497" s="5">
        <v>2</v>
      </c>
      <c r="D497" s="5">
        <v>7</v>
      </c>
      <c r="E497" s="5">
        <v>1.7349999999999999</v>
      </c>
      <c r="F497" s="4" t="s">
        <v>15</v>
      </c>
    </row>
    <row r="498" spans="1:6" x14ac:dyDescent="0.3">
      <c r="A498">
        <v>1663</v>
      </c>
      <c r="B498" s="5">
        <v>5.9</v>
      </c>
      <c r="C498" s="5">
        <v>1.5</v>
      </c>
      <c r="D498" s="5">
        <v>7</v>
      </c>
      <c r="E498" s="5">
        <v>2.35</v>
      </c>
      <c r="F498" s="4" t="s">
        <v>20</v>
      </c>
    </row>
    <row r="499" spans="1:6" x14ac:dyDescent="0.3">
      <c r="A499">
        <v>1734</v>
      </c>
      <c r="B499" s="5">
        <v>6</v>
      </c>
      <c r="C499" s="5">
        <v>1.6666666666666667</v>
      </c>
      <c r="D499" s="5">
        <v>7</v>
      </c>
      <c r="E499" s="5">
        <v>2.2400000000000002</v>
      </c>
      <c r="F499" s="4" t="s">
        <v>15</v>
      </c>
    </row>
    <row r="500" spans="1:6" x14ac:dyDescent="0.3">
      <c r="A500">
        <v>1872</v>
      </c>
      <c r="B500" s="5">
        <v>7.5</v>
      </c>
      <c r="C500" s="5">
        <v>1.5</v>
      </c>
      <c r="D500" s="5">
        <v>7</v>
      </c>
      <c r="E500" s="5">
        <v>3.0949999999999998</v>
      </c>
      <c r="F500" s="4" t="s">
        <v>20</v>
      </c>
    </row>
    <row r="501" spans="1:6" x14ac:dyDescent="0.3">
      <c r="A501">
        <v>1476</v>
      </c>
      <c r="B501" s="5">
        <v>6</v>
      </c>
      <c r="C501" s="5">
        <v>2</v>
      </c>
      <c r="D501" s="5">
        <v>7.0166666666666666</v>
      </c>
      <c r="E501" s="5">
        <v>2.2774999999999999</v>
      </c>
      <c r="F501" s="4" t="s">
        <v>15</v>
      </c>
    </row>
    <row r="502" spans="1:6" x14ac:dyDescent="0.3">
      <c r="A502">
        <v>1235</v>
      </c>
      <c r="B502" s="5">
        <v>5.5</v>
      </c>
      <c r="C502" s="5">
        <v>2.5</v>
      </c>
      <c r="D502" s="5">
        <v>7.0250000000000004</v>
      </c>
      <c r="E502" s="5">
        <v>1.9349999999999998</v>
      </c>
      <c r="F502" s="4" t="s">
        <v>15</v>
      </c>
    </row>
    <row r="503" spans="1:6" x14ac:dyDescent="0.3">
      <c r="A503">
        <v>1901</v>
      </c>
      <c r="B503" s="5">
        <v>4.5</v>
      </c>
      <c r="C503" s="5">
        <v>1.75</v>
      </c>
      <c r="D503" s="5">
        <v>7.0250000000000004</v>
      </c>
      <c r="E503" s="5">
        <v>2.2524999999999999</v>
      </c>
      <c r="F503" s="4" t="s">
        <v>15</v>
      </c>
    </row>
    <row r="504" spans="1:6" x14ac:dyDescent="0.3">
      <c r="A504">
        <v>1601</v>
      </c>
      <c r="B504" s="5">
        <v>7.2857142857142856</v>
      </c>
      <c r="C504" s="5">
        <v>1.1428571428571428</v>
      </c>
      <c r="D504" s="5">
        <v>7.0285714285714276</v>
      </c>
      <c r="E504" s="5">
        <v>2.73</v>
      </c>
      <c r="F504" s="4" t="s">
        <v>15</v>
      </c>
    </row>
    <row r="505" spans="1:6" x14ac:dyDescent="0.3">
      <c r="A505">
        <v>1008</v>
      </c>
      <c r="B505" s="5">
        <v>8.6666666666666661</v>
      </c>
      <c r="C505" s="5">
        <v>2.3333333333333335</v>
      </c>
      <c r="D505" s="5">
        <v>7.0333333333333341</v>
      </c>
      <c r="E505" s="5">
        <v>2.35</v>
      </c>
      <c r="F505" s="4" t="s">
        <v>15</v>
      </c>
    </row>
    <row r="506" spans="1:6" x14ac:dyDescent="0.3">
      <c r="A506">
        <v>1190</v>
      </c>
      <c r="B506" s="5">
        <v>5.333333333333333</v>
      </c>
      <c r="C506" s="5">
        <v>1</v>
      </c>
      <c r="D506" s="5">
        <v>7.0333333333333341</v>
      </c>
      <c r="E506" s="5">
        <v>1.3900000000000001</v>
      </c>
      <c r="F506" s="4" t="s">
        <v>15</v>
      </c>
    </row>
    <row r="507" spans="1:6" x14ac:dyDescent="0.3">
      <c r="A507">
        <v>1303</v>
      </c>
      <c r="B507" s="5">
        <v>5.666666666666667</v>
      </c>
      <c r="C507" s="5">
        <v>2</v>
      </c>
      <c r="D507" s="5">
        <v>7.0333333333333341</v>
      </c>
      <c r="E507" s="5">
        <v>3.0150000000000001</v>
      </c>
      <c r="F507" s="4" t="s">
        <v>20</v>
      </c>
    </row>
    <row r="508" spans="1:6" x14ac:dyDescent="0.3">
      <c r="A508">
        <v>1562</v>
      </c>
      <c r="B508" s="5">
        <v>8.3333333333333339</v>
      </c>
      <c r="C508" s="5">
        <v>2.3333333333333335</v>
      </c>
      <c r="D508" s="5">
        <v>7.0333333333333341</v>
      </c>
      <c r="E508" s="5">
        <v>2.77</v>
      </c>
      <c r="F508" s="4" t="s">
        <v>15</v>
      </c>
    </row>
    <row r="509" spans="1:6" x14ac:dyDescent="0.3">
      <c r="A509">
        <v>1603</v>
      </c>
      <c r="B509" s="5">
        <v>5.6</v>
      </c>
      <c r="C509" s="5">
        <v>2</v>
      </c>
      <c r="D509" s="5">
        <v>7.0400000000000009</v>
      </c>
      <c r="E509" s="5">
        <v>2.2450000000000001</v>
      </c>
      <c r="F509" s="4" t="s">
        <v>15</v>
      </c>
    </row>
    <row r="510" spans="1:6" x14ac:dyDescent="0.3">
      <c r="A510">
        <v>1885</v>
      </c>
      <c r="B510" s="5">
        <v>9</v>
      </c>
      <c r="C510" s="5">
        <v>2.2000000000000002</v>
      </c>
      <c r="D510" s="5">
        <v>7.0400000000000009</v>
      </c>
      <c r="E510" s="5">
        <v>2.504</v>
      </c>
      <c r="F510" s="4" t="s">
        <v>15</v>
      </c>
    </row>
    <row r="511" spans="1:6" x14ac:dyDescent="0.3">
      <c r="A511">
        <v>1609</v>
      </c>
      <c r="B511" s="5">
        <v>7.5714285714285712</v>
      </c>
      <c r="C511" s="5">
        <v>2</v>
      </c>
      <c r="D511" s="5">
        <v>7.0428571428571436</v>
      </c>
      <c r="E511" s="5">
        <v>2.3442857142857143</v>
      </c>
      <c r="F511" s="4" t="s">
        <v>20</v>
      </c>
    </row>
    <row r="512" spans="1:6" x14ac:dyDescent="0.3">
      <c r="A512">
        <v>1003</v>
      </c>
      <c r="B512" s="5">
        <v>7</v>
      </c>
      <c r="C512" s="5">
        <v>3</v>
      </c>
      <c r="D512" s="5">
        <v>7.05</v>
      </c>
      <c r="E512" s="5">
        <v>2.8499999999999996</v>
      </c>
      <c r="F512" s="4" t="s">
        <v>20</v>
      </c>
    </row>
    <row r="513" spans="1:6" x14ac:dyDescent="0.3">
      <c r="A513">
        <v>1145</v>
      </c>
      <c r="B513" s="5">
        <v>5.666666666666667</v>
      </c>
      <c r="C513" s="5">
        <v>2.3333333333333335</v>
      </c>
      <c r="D513" s="5">
        <v>7.05</v>
      </c>
      <c r="E513" s="5">
        <v>2.2983333333333333</v>
      </c>
      <c r="F513" s="4" t="s">
        <v>15</v>
      </c>
    </row>
    <row r="514" spans="1:6" x14ac:dyDescent="0.3">
      <c r="A514">
        <v>1299</v>
      </c>
      <c r="B514" s="5">
        <v>9.5</v>
      </c>
      <c r="C514" s="5">
        <v>2.5</v>
      </c>
      <c r="D514" s="5">
        <v>7.05</v>
      </c>
      <c r="E514" s="5">
        <v>1.48</v>
      </c>
      <c r="F514" s="4" t="s">
        <v>15</v>
      </c>
    </row>
    <row r="515" spans="1:6" x14ac:dyDescent="0.3">
      <c r="A515">
        <v>1496</v>
      </c>
      <c r="B515" s="5">
        <v>5.25</v>
      </c>
      <c r="C515" s="5">
        <v>2.25</v>
      </c>
      <c r="D515" s="5">
        <v>7.05</v>
      </c>
      <c r="E515" s="5">
        <v>2.8183333333333334</v>
      </c>
      <c r="F515" s="4" t="s">
        <v>20</v>
      </c>
    </row>
    <row r="516" spans="1:6" x14ac:dyDescent="0.3">
      <c r="A516">
        <v>1577</v>
      </c>
      <c r="B516" s="5">
        <v>3.75</v>
      </c>
      <c r="C516" s="5">
        <v>2.25</v>
      </c>
      <c r="D516" s="5">
        <v>7.05</v>
      </c>
      <c r="E516" s="5">
        <v>2.1075000000000004</v>
      </c>
      <c r="F516" s="4" t="s">
        <v>15</v>
      </c>
    </row>
    <row r="517" spans="1:6" x14ac:dyDescent="0.3">
      <c r="A517">
        <v>1919</v>
      </c>
      <c r="B517" s="5">
        <v>4.5</v>
      </c>
      <c r="C517" s="5">
        <v>2</v>
      </c>
      <c r="D517" s="5">
        <v>7.05</v>
      </c>
      <c r="E517" s="5">
        <v>3.06</v>
      </c>
      <c r="F517" s="4" t="s">
        <v>15</v>
      </c>
    </row>
    <row r="518" spans="1:6" x14ac:dyDescent="0.3">
      <c r="A518">
        <v>1071</v>
      </c>
      <c r="B518" s="5">
        <v>9</v>
      </c>
      <c r="C518" s="5">
        <v>2</v>
      </c>
      <c r="D518" s="5">
        <v>7.0500000000000007</v>
      </c>
      <c r="E518" s="5">
        <v>3.09</v>
      </c>
      <c r="F518" s="4" t="s">
        <v>15</v>
      </c>
    </row>
    <row r="519" spans="1:6" x14ac:dyDescent="0.3">
      <c r="A519">
        <v>1088</v>
      </c>
      <c r="B519" s="5">
        <v>5.5</v>
      </c>
      <c r="C519" s="5">
        <v>1.75</v>
      </c>
      <c r="D519" s="5">
        <v>7.0500000000000007</v>
      </c>
      <c r="E519" s="5">
        <v>1.7575000000000001</v>
      </c>
      <c r="F519" s="4" t="s">
        <v>15</v>
      </c>
    </row>
    <row r="520" spans="1:6" x14ac:dyDescent="0.3">
      <c r="A520">
        <v>1249</v>
      </c>
      <c r="B520" s="5">
        <v>5</v>
      </c>
      <c r="C520" s="5">
        <v>1.5</v>
      </c>
      <c r="D520" s="5">
        <v>7.0500000000000007</v>
      </c>
      <c r="E520" s="5">
        <v>3.02</v>
      </c>
      <c r="F520" s="4" t="s">
        <v>15</v>
      </c>
    </row>
    <row r="521" spans="1:6" x14ac:dyDescent="0.3">
      <c r="A521">
        <v>1398</v>
      </c>
      <c r="B521" s="5">
        <v>4.666666666666667</v>
      </c>
      <c r="C521" s="5">
        <v>1.5</v>
      </c>
      <c r="D521" s="5">
        <v>7.0500000000000007</v>
      </c>
      <c r="E521" s="5">
        <v>2.5983333333333332</v>
      </c>
      <c r="F521" s="4" t="s">
        <v>15</v>
      </c>
    </row>
    <row r="522" spans="1:6" x14ac:dyDescent="0.3">
      <c r="A522">
        <v>1675</v>
      </c>
      <c r="B522" s="5">
        <v>5.7777777777777777</v>
      </c>
      <c r="C522" s="5">
        <v>2.2222222222222223</v>
      </c>
      <c r="D522" s="5">
        <v>7.0555555555555562</v>
      </c>
      <c r="E522" s="5">
        <v>2.5662499999999997</v>
      </c>
      <c r="F522" s="4" t="s">
        <v>15</v>
      </c>
    </row>
    <row r="523" spans="1:6" x14ac:dyDescent="0.3">
      <c r="A523">
        <v>1085</v>
      </c>
      <c r="B523" s="5">
        <v>4</v>
      </c>
      <c r="C523" s="5">
        <v>1.5</v>
      </c>
      <c r="D523" s="5">
        <v>7.0666666666666655</v>
      </c>
      <c r="E523" s="5">
        <v>2.7874999999999996</v>
      </c>
      <c r="F523" s="4" t="s">
        <v>15</v>
      </c>
    </row>
    <row r="524" spans="1:6" x14ac:dyDescent="0.3">
      <c r="A524">
        <v>1042</v>
      </c>
      <c r="B524" s="5">
        <v>4.833333333333333</v>
      </c>
      <c r="C524" s="5">
        <v>2.1666666666666665</v>
      </c>
      <c r="D524" s="5">
        <v>7.0666666666666664</v>
      </c>
      <c r="E524" s="5">
        <v>2.3899999999999997</v>
      </c>
      <c r="F524" s="4" t="s">
        <v>20</v>
      </c>
    </row>
    <row r="525" spans="1:6" x14ac:dyDescent="0.3">
      <c r="A525">
        <v>1439</v>
      </c>
      <c r="B525" s="5">
        <v>7</v>
      </c>
      <c r="C525" s="5">
        <v>1.6666666666666667</v>
      </c>
      <c r="D525" s="5">
        <v>7.0666666666666664</v>
      </c>
      <c r="E525" s="5">
        <v>2.8833333333333333</v>
      </c>
      <c r="F525" s="4" t="s">
        <v>20</v>
      </c>
    </row>
    <row r="526" spans="1:6" x14ac:dyDescent="0.3">
      <c r="A526">
        <v>1792</v>
      </c>
      <c r="B526" s="5">
        <v>6.333333333333333</v>
      </c>
      <c r="C526" s="5">
        <v>2.3333333333333335</v>
      </c>
      <c r="D526" s="5">
        <v>7.0666666666666664</v>
      </c>
      <c r="E526" s="5">
        <v>3.0400000000000005</v>
      </c>
      <c r="F526" s="4" t="s">
        <v>15</v>
      </c>
    </row>
    <row r="527" spans="1:6" x14ac:dyDescent="0.3">
      <c r="A527">
        <v>1871</v>
      </c>
      <c r="B527" s="5">
        <v>4</v>
      </c>
      <c r="C527" s="5">
        <v>2.3333333333333335</v>
      </c>
      <c r="D527" s="5">
        <v>7.0666666666666664</v>
      </c>
      <c r="E527" s="5">
        <v>2.5833333333333335</v>
      </c>
      <c r="F527" s="4" t="s">
        <v>15</v>
      </c>
    </row>
    <row r="528" spans="1:6" x14ac:dyDescent="0.3">
      <c r="A528">
        <v>1891</v>
      </c>
      <c r="B528" s="5">
        <v>3.3333333333333335</v>
      </c>
      <c r="C528" s="5">
        <v>1.6666666666666667</v>
      </c>
      <c r="D528" s="5">
        <v>7.0666666666666664</v>
      </c>
      <c r="E528" s="5">
        <v>2.72</v>
      </c>
      <c r="F528" s="4" t="s">
        <v>20</v>
      </c>
    </row>
    <row r="529" spans="1:6" x14ac:dyDescent="0.3">
      <c r="A529">
        <v>1980</v>
      </c>
      <c r="B529" s="5">
        <v>3.6666666666666665</v>
      </c>
      <c r="C529" s="5">
        <v>3</v>
      </c>
      <c r="D529" s="5">
        <v>7.0666666666666664</v>
      </c>
      <c r="E529" s="5">
        <v>2.9800000000000004</v>
      </c>
      <c r="F529" s="4" t="s">
        <v>15</v>
      </c>
    </row>
    <row r="530" spans="1:6" x14ac:dyDescent="0.3">
      <c r="A530">
        <v>1756</v>
      </c>
      <c r="B530" s="5">
        <v>5.666666666666667</v>
      </c>
      <c r="C530" s="5">
        <v>2</v>
      </c>
      <c r="D530" s="5">
        <v>7.0666666666666673</v>
      </c>
      <c r="E530" s="5">
        <v>2.8366666666666664</v>
      </c>
      <c r="F530" s="4" t="s">
        <v>15</v>
      </c>
    </row>
    <row r="531" spans="1:6" x14ac:dyDescent="0.3">
      <c r="A531">
        <v>1697</v>
      </c>
      <c r="B531" s="5">
        <v>5</v>
      </c>
      <c r="C531" s="5">
        <v>1.5</v>
      </c>
      <c r="D531" s="5">
        <v>7.0749999999999993</v>
      </c>
      <c r="E531" s="5">
        <v>2.6074999999999999</v>
      </c>
      <c r="F531" s="4" t="s">
        <v>20</v>
      </c>
    </row>
    <row r="532" spans="1:6" x14ac:dyDescent="0.3">
      <c r="A532">
        <v>1499</v>
      </c>
      <c r="B532" s="5">
        <v>7.25</v>
      </c>
      <c r="C532" s="5">
        <v>1.75</v>
      </c>
      <c r="D532" s="5">
        <v>7.0750000000000002</v>
      </c>
      <c r="E532" s="5">
        <v>2.7714285714285718</v>
      </c>
      <c r="F532" s="4" t="s">
        <v>20</v>
      </c>
    </row>
    <row r="533" spans="1:6" x14ac:dyDescent="0.3">
      <c r="A533">
        <v>1286</v>
      </c>
      <c r="B533" s="5">
        <v>4.8</v>
      </c>
      <c r="C533" s="5">
        <v>2.2000000000000002</v>
      </c>
      <c r="D533" s="5">
        <v>7.08</v>
      </c>
      <c r="E533" s="5">
        <v>2.6479999999999997</v>
      </c>
      <c r="F533" s="4" t="s">
        <v>15</v>
      </c>
    </row>
    <row r="534" spans="1:6" x14ac:dyDescent="0.3">
      <c r="A534">
        <v>1531</v>
      </c>
      <c r="B534" s="5">
        <v>6.4</v>
      </c>
      <c r="C534" s="5">
        <v>2.2000000000000002</v>
      </c>
      <c r="D534" s="5">
        <v>7.08</v>
      </c>
      <c r="E534" s="5">
        <v>2.4975000000000001</v>
      </c>
      <c r="F534" s="4" t="s">
        <v>20</v>
      </c>
    </row>
    <row r="535" spans="1:6" x14ac:dyDescent="0.3">
      <c r="A535">
        <v>1216</v>
      </c>
      <c r="B535" s="5">
        <v>4.166666666666667</v>
      </c>
      <c r="C535" s="5">
        <v>2.1666666666666665</v>
      </c>
      <c r="D535" s="5">
        <v>7.083333333333333</v>
      </c>
      <c r="E535" s="5">
        <v>2.5674999999999999</v>
      </c>
      <c r="F535" s="4" t="s">
        <v>20</v>
      </c>
    </row>
    <row r="536" spans="1:6" x14ac:dyDescent="0.3">
      <c r="A536">
        <v>1144</v>
      </c>
      <c r="B536" s="5">
        <v>5.1428571428571432</v>
      </c>
      <c r="C536" s="5">
        <v>1.8571428571428572</v>
      </c>
      <c r="D536" s="5">
        <v>7.0857142857142863</v>
      </c>
      <c r="E536" s="5">
        <v>2.7242857142857142</v>
      </c>
      <c r="F536" s="4" t="s">
        <v>20</v>
      </c>
    </row>
    <row r="537" spans="1:6" x14ac:dyDescent="0.3">
      <c r="A537">
        <v>1830</v>
      </c>
      <c r="B537" s="5">
        <v>5.166666666666667</v>
      </c>
      <c r="C537" s="5">
        <v>1.8333333333333333</v>
      </c>
      <c r="D537" s="5">
        <v>7.0999999999999988</v>
      </c>
      <c r="E537" s="5">
        <v>2.4949999999999997</v>
      </c>
      <c r="F537" s="4" t="s">
        <v>20</v>
      </c>
    </row>
    <row r="538" spans="1:6" x14ac:dyDescent="0.3">
      <c r="A538">
        <v>1053</v>
      </c>
      <c r="B538" s="5">
        <v>5</v>
      </c>
      <c r="C538" s="5">
        <v>1.8</v>
      </c>
      <c r="D538" s="5">
        <v>7.1</v>
      </c>
      <c r="E538" s="5">
        <v>2.2000000000000002</v>
      </c>
      <c r="F538" s="4" t="s">
        <v>20</v>
      </c>
    </row>
    <row r="539" spans="1:6" x14ac:dyDescent="0.3">
      <c r="A539">
        <v>1202</v>
      </c>
      <c r="B539" s="5">
        <v>7.25</v>
      </c>
      <c r="C539" s="5">
        <v>2</v>
      </c>
      <c r="D539" s="5">
        <v>7.1</v>
      </c>
      <c r="E539" s="5">
        <v>1.6400000000000001</v>
      </c>
      <c r="F539" s="4" t="s">
        <v>20</v>
      </c>
    </row>
    <row r="540" spans="1:6" x14ac:dyDescent="0.3">
      <c r="A540">
        <v>1321</v>
      </c>
      <c r="B540" s="5">
        <v>3</v>
      </c>
      <c r="C540" s="5">
        <v>2</v>
      </c>
      <c r="D540" s="5">
        <v>7.1</v>
      </c>
      <c r="E540" s="5">
        <v>2.59</v>
      </c>
      <c r="F540" s="4" t="s">
        <v>15</v>
      </c>
    </row>
    <row r="541" spans="1:6" x14ac:dyDescent="0.3">
      <c r="A541">
        <v>1328</v>
      </c>
      <c r="B541" s="5">
        <v>6.5</v>
      </c>
      <c r="C541" s="5">
        <v>1.75</v>
      </c>
      <c r="D541" s="5">
        <v>7.1</v>
      </c>
      <c r="E541" s="5">
        <v>2.6125000000000003</v>
      </c>
      <c r="F541" s="4" t="s">
        <v>20</v>
      </c>
    </row>
    <row r="542" spans="1:6" x14ac:dyDescent="0.3">
      <c r="A542">
        <v>1435</v>
      </c>
      <c r="B542" s="5">
        <v>3.4</v>
      </c>
      <c r="C542" s="5">
        <v>1.8</v>
      </c>
      <c r="D542" s="5">
        <v>7.1</v>
      </c>
      <c r="E542" s="5">
        <v>2.58</v>
      </c>
      <c r="F542" s="4" t="s">
        <v>15</v>
      </c>
    </row>
    <row r="543" spans="1:6" x14ac:dyDescent="0.3">
      <c r="A543">
        <v>1556</v>
      </c>
      <c r="B543" s="5">
        <v>6.5</v>
      </c>
      <c r="C543" s="5">
        <v>1.5</v>
      </c>
      <c r="D543" s="5">
        <v>7.1</v>
      </c>
      <c r="E543" s="5">
        <v>3.1549999999999998</v>
      </c>
      <c r="F543" s="4" t="s">
        <v>20</v>
      </c>
    </row>
    <row r="544" spans="1:6" x14ac:dyDescent="0.3">
      <c r="A544">
        <v>1607</v>
      </c>
      <c r="B544" s="5">
        <v>5</v>
      </c>
      <c r="C544" s="5">
        <v>2.25</v>
      </c>
      <c r="D544" s="5">
        <v>7.1</v>
      </c>
      <c r="E544" s="5">
        <v>2.8166666666666664</v>
      </c>
      <c r="F544" s="4" t="s">
        <v>15</v>
      </c>
    </row>
    <row r="545" spans="1:6" x14ac:dyDescent="0.3">
      <c r="A545">
        <v>1619</v>
      </c>
      <c r="B545" s="5">
        <v>3.5</v>
      </c>
      <c r="C545" s="5">
        <v>1.5</v>
      </c>
      <c r="D545" s="5">
        <v>7.1</v>
      </c>
      <c r="E545" s="5">
        <v>2.355</v>
      </c>
      <c r="F545" s="4" t="s">
        <v>20</v>
      </c>
    </row>
    <row r="546" spans="1:6" x14ac:dyDescent="0.3">
      <c r="A546">
        <v>1746</v>
      </c>
      <c r="B546" s="5">
        <v>7.5</v>
      </c>
      <c r="C546" s="5">
        <v>1.5</v>
      </c>
      <c r="D546" s="5">
        <v>7.1</v>
      </c>
      <c r="E546" s="5">
        <v>2.9</v>
      </c>
      <c r="F546" s="4" t="s">
        <v>20</v>
      </c>
    </row>
    <row r="547" spans="1:6" x14ac:dyDescent="0.3">
      <c r="A547">
        <v>1942</v>
      </c>
      <c r="B547" s="5">
        <v>2</v>
      </c>
      <c r="C547" s="5">
        <v>2</v>
      </c>
      <c r="D547" s="5">
        <v>7.1</v>
      </c>
      <c r="E547" s="5">
        <v>1.75</v>
      </c>
      <c r="F547" s="4" t="s">
        <v>15</v>
      </c>
    </row>
    <row r="548" spans="1:6" x14ac:dyDescent="0.3">
      <c r="A548">
        <v>1955</v>
      </c>
      <c r="B548" s="5">
        <v>5.2857142857142856</v>
      </c>
      <c r="C548" s="5">
        <v>1.8571428571428572</v>
      </c>
      <c r="D548" s="5">
        <v>7.1</v>
      </c>
      <c r="E548" s="5">
        <v>2.2114285714285717</v>
      </c>
      <c r="F548" s="4" t="s">
        <v>15</v>
      </c>
    </row>
    <row r="549" spans="1:6" x14ac:dyDescent="0.3">
      <c r="A549">
        <v>1033</v>
      </c>
      <c r="B549" s="5">
        <v>4</v>
      </c>
      <c r="C549" s="5">
        <v>1.6666666666666667</v>
      </c>
      <c r="D549" s="5">
        <v>7.1000000000000005</v>
      </c>
      <c r="E549" s="5">
        <v>2.9666666666666668</v>
      </c>
      <c r="F549" s="4" t="s">
        <v>15</v>
      </c>
    </row>
    <row r="550" spans="1:6" x14ac:dyDescent="0.3">
      <c r="A550">
        <v>1114</v>
      </c>
      <c r="B550" s="5">
        <v>5.666666666666667</v>
      </c>
      <c r="C550" s="5">
        <v>1.3333333333333333</v>
      </c>
      <c r="D550" s="5">
        <v>7.1000000000000005</v>
      </c>
      <c r="E550" s="5">
        <v>2.125</v>
      </c>
      <c r="F550" s="4" t="s">
        <v>15</v>
      </c>
    </row>
    <row r="551" spans="1:6" x14ac:dyDescent="0.3">
      <c r="A551">
        <v>1276</v>
      </c>
      <c r="B551" s="5">
        <v>7.5</v>
      </c>
      <c r="C551" s="5">
        <v>1.6666666666666667</v>
      </c>
      <c r="D551" s="5">
        <v>7.1000000000000005</v>
      </c>
      <c r="E551" s="5">
        <v>2.4166666666666665</v>
      </c>
      <c r="F551" s="4" t="s">
        <v>15</v>
      </c>
    </row>
    <row r="552" spans="1:6" x14ac:dyDescent="0.3">
      <c r="A552">
        <v>1280</v>
      </c>
      <c r="B552" s="5">
        <v>4</v>
      </c>
      <c r="C552" s="5">
        <v>1.6666666666666667</v>
      </c>
      <c r="D552" s="5">
        <v>7.1000000000000005</v>
      </c>
      <c r="E552" s="5">
        <v>2.8266666666666667</v>
      </c>
      <c r="F552" s="4" t="s">
        <v>20</v>
      </c>
    </row>
    <row r="553" spans="1:6" x14ac:dyDescent="0.3">
      <c r="A553">
        <v>1283</v>
      </c>
      <c r="B553" s="5">
        <v>7.666666666666667</v>
      </c>
      <c r="C553" s="5">
        <v>1.3333333333333333</v>
      </c>
      <c r="D553" s="5">
        <v>7.1000000000000005</v>
      </c>
      <c r="E553" s="5">
        <v>2.98</v>
      </c>
      <c r="F553" s="4" t="s">
        <v>15</v>
      </c>
    </row>
    <row r="554" spans="1:6" x14ac:dyDescent="0.3">
      <c r="A554">
        <v>1319</v>
      </c>
      <c r="B554" s="5">
        <v>2.6666666666666665</v>
      </c>
      <c r="C554" s="5">
        <v>2</v>
      </c>
      <c r="D554" s="5">
        <v>7.1000000000000005</v>
      </c>
      <c r="E554" s="5">
        <v>2.3516666666666666</v>
      </c>
      <c r="F554" s="4" t="s">
        <v>15</v>
      </c>
    </row>
    <row r="555" spans="1:6" x14ac:dyDescent="0.3">
      <c r="A555">
        <v>1751</v>
      </c>
      <c r="B555" s="5">
        <v>5.25</v>
      </c>
      <c r="C555" s="5">
        <v>1.75</v>
      </c>
      <c r="D555" s="5">
        <v>7.1000000000000005</v>
      </c>
      <c r="E555" s="5">
        <v>2.4300000000000002</v>
      </c>
      <c r="F555" s="4" t="s">
        <v>20</v>
      </c>
    </row>
    <row r="556" spans="1:6" x14ac:dyDescent="0.3">
      <c r="A556">
        <v>1825</v>
      </c>
      <c r="B556" s="5">
        <v>3.5</v>
      </c>
      <c r="C556" s="5">
        <v>2.25</v>
      </c>
      <c r="D556" s="5">
        <v>7.1000000000000005</v>
      </c>
      <c r="E556" s="5">
        <v>2.65</v>
      </c>
      <c r="F556" s="4" t="s">
        <v>20</v>
      </c>
    </row>
    <row r="557" spans="1:6" x14ac:dyDescent="0.3">
      <c r="A557">
        <v>1893</v>
      </c>
      <c r="B557" s="5">
        <v>5.333333333333333</v>
      </c>
      <c r="C557" s="5">
        <v>2</v>
      </c>
      <c r="D557" s="5">
        <v>7.1000000000000005</v>
      </c>
      <c r="E557" s="5">
        <v>3.5933333333333337</v>
      </c>
      <c r="F557" s="4" t="s">
        <v>20</v>
      </c>
    </row>
    <row r="558" spans="1:6" x14ac:dyDescent="0.3">
      <c r="A558">
        <v>1622</v>
      </c>
      <c r="B558" s="5">
        <v>4.125</v>
      </c>
      <c r="C558" s="5">
        <v>1.75</v>
      </c>
      <c r="D558" s="5">
        <v>7.1125000000000007</v>
      </c>
      <c r="E558" s="5">
        <v>2.2462499999999999</v>
      </c>
      <c r="F558" s="4" t="s">
        <v>15</v>
      </c>
    </row>
    <row r="559" spans="1:6" x14ac:dyDescent="0.3">
      <c r="A559">
        <v>1019</v>
      </c>
      <c r="B559" s="5">
        <v>6.166666666666667</v>
      </c>
      <c r="C559" s="5">
        <v>2</v>
      </c>
      <c r="D559" s="5">
        <v>7.1166666666666671</v>
      </c>
      <c r="E559" s="5">
        <v>2.3280000000000003</v>
      </c>
      <c r="F559" s="4" t="s">
        <v>20</v>
      </c>
    </row>
    <row r="560" spans="1:6" x14ac:dyDescent="0.3">
      <c r="A560">
        <v>1560</v>
      </c>
      <c r="B560" s="5">
        <v>4.5999999999999996</v>
      </c>
      <c r="C560" s="5">
        <v>2</v>
      </c>
      <c r="D560" s="5">
        <v>7.12</v>
      </c>
      <c r="E560" s="5">
        <v>2.5840000000000001</v>
      </c>
      <c r="F560" s="4" t="s">
        <v>15</v>
      </c>
    </row>
    <row r="561" spans="1:6" x14ac:dyDescent="0.3">
      <c r="A561">
        <v>1536</v>
      </c>
      <c r="B561" s="5">
        <v>5.4285714285714288</v>
      </c>
      <c r="C561" s="5">
        <v>2.1428571428571428</v>
      </c>
      <c r="D561" s="5">
        <v>7.128571428571429</v>
      </c>
      <c r="E561" s="5">
        <v>2.8457142857142861</v>
      </c>
      <c r="F561" s="4" t="s">
        <v>15</v>
      </c>
    </row>
    <row r="562" spans="1:6" x14ac:dyDescent="0.3">
      <c r="A562">
        <v>1428</v>
      </c>
      <c r="B562" s="5">
        <v>2.6666666666666665</v>
      </c>
      <c r="C562" s="5">
        <v>1.6666666666666667</v>
      </c>
      <c r="D562" s="5">
        <v>7.1333333333333329</v>
      </c>
      <c r="E562" s="5">
        <v>1.9966666666666668</v>
      </c>
      <c r="F562" s="4" t="s">
        <v>15</v>
      </c>
    </row>
    <row r="563" spans="1:6" x14ac:dyDescent="0.3">
      <c r="A563">
        <v>1400</v>
      </c>
      <c r="B563" s="5">
        <v>5.75</v>
      </c>
      <c r="C563" s="5">
        <v>2.25</v>
      </c>
      <c r="D563" s="5">
        <v>7.1374999999999993</v>
      </c>
      <c r="E563" s="5">
        <v>2.4542857142857142</v>
      </c>
      <c r="F563" s="4" t="s">
        <v>20</v>
      </c>
    </row>
    <row r="564" spans="1:6" x14ac:dyDescent="0.3">
      <c r="A564">
        <v>1572</v>
      </c>
      <c r="B564" s="5">
        <v>5</v>
      </c>
      <c r="C564" s="5">
        <v>1.8</v>
      </c>
      <c r="D564" s="5">
        <v>7.1400000000000006</v>
      </c>
      <c r="E564" s="5">
        <v>2.274</v>
      </c>
      <c r="F564" s="4" t="s">
        <v>20</v>
      </c>
    </row>
    <row r="565" spans="1:6" x14ac:dyDescent="0.3">
      <c r="A565">
        <v>1116</v>
      </c>
      <c r="B565" s="5">
        <v>4.625</v>
      </c>
      <c r="C565" s="5">
        <v>1.875</v>
      </c>
      <c r="D565" s="5">
        <v>7.1499999999999995</v>
      </c>
      <c r="E565" s="5">
        <v>2.3666666666666667</v>
      </c>
      <c r="F565" s="4" t="s">
        <v>20</v>
      </c>
    </row>
    <row r="566" spans="1:6" x14ac:dyDescent="0.3">
      <c r="A566">
        <v>1775</v>
      </c>
      <c r="B566" s="5">
        <v>6</v>
      </c>
      <c r="C566" s="5">
        <v>1.8333333333333333</v>
      </c>
      <c r="D566" s="5">
        <v>7.1499999999999995</v>
      </c>
      <c r="E566" s="5">
        <v>3.0666666666666664</v>
      </c>
      <c r="F566" s="4" t="s">
        <v>15</v>
      </c>
    </row>
    <row r="567" spans="1:6" x14ac:dyDescent="0.3">
      <c r="A567">
        <v>1073</v>
      </c>
      <c r="B567" s="5">
        <v>6</v>
      </c>
      <c r="C567" s="5">
        <v>2</v>
      </c>
      <c r="D567" s="5">
        <v>7.15</v>
      </c>
      <c r="E567" s="5">
        <v>2.38</v>
      </c>
      <c r="F567" s="4" t="s">
        <v>15</v>
      </c>
    </row>
    <row r="568" spans="1:6" x14ac:dyDescent="0.3">
      <c r="A568">
        <v>1108</v>
      </c>
      <c r="B568" s="5">
        <v>3.5</v>
      </c>
      <c r="C568" s="5">
        <v>2</v>
      </c>
      <c r="D568" s="5">
        <v>7.15</v>
      </c>
      <c r="E568" s="5">
        <v>3.2833333333333332</v>
      </c>
      <c r="F568" s="4" t="s">
        <v>15</v>
      </c>
    </row>
    <row r="569" spans="1:6" x14ac:dyDescent="0.3">
      <c r="A569">
        <v>1233</v>
      </c>
      <c r="B569" s="5">
        <v>10</v>
      </c>
      <c r="C569" s="5">
        <v>2.5</v>
      </c>
      <c r="D569" s="5">
        <v>7.15</v>
      </c>
      <c r="E569" s="5">
        <v>1.72</v>
      </c>
      <c r="F569" s="4" t="s">
        <v>20</v>
      </c>
    </row>
    <row r="570" spans="1:6" x14ac:dyDescent="0.3">
      <c r="A570">
        <v>1429</v>
      </c>
      <c r="B570" s="5">
        <v>5.5</v>
      </c>
      <c r="C570" s="5">
        <v>2</v>
      </c>
      <c r="D570" s="5">
        <v>7.15</v>
      </c>
      <c r="E570" s="5">
        <v>2.8449999999999998</v>
      </c>
      <c r="F570" s="4" t="s">
        <v>15</v>
      </c>
    </row>
    <row r="571" spans="1:6" x14ac:dyDescent="0.3">
      <c r="A571">
        <v>1543</v>
      </c>
      <c r="B571" s="5">
        <v>4.5</v>
      </c>
      <c r="C571" s="5">
        <v>1.5</v>
      </c>
      <c r="D571" s="5">
        <v>7.15</v>
      </c>
      <c r="E571" s="5">
        <v>2.4300000000000002</v>
      </c>
      <c r="F571" s="4" t="s">
        <v>15</v>
      </c>
    </row>
    <row r="572" spans="1:6" x14ac:dyDescent="0.3">
      <c r="A572">
        <v>1148</v>
      </c>
      <c r="B572" s="5">
        <v>5.7142857142857144</v>
      </c>
      <c r="C572" s="5">
        <v>2</v>
      </c>
      <c r="D572" s="5">
        <v>7.1571428571428584</v>
      </c>
      <c r="E572" s="5">
        <v>2.3949999999999996</v>
      </c>
      <c r="F572" s="4" t="s">
        <v>20</v>
      </c>
    </row>
    <row r="573" spans="1:6" x14ac:dyDescent="0.3">
      <c r="A573">
        <v>1725</v>
      </c>
      <c r="B573" s="5">
        <v>6.2</v>
      </c>
      <c r="C573" s="5">
        <v>1.8</v>
      </c>
      <c r="D573" s="5">
        <v>7.1599999999999993</v>
      </c>
      <c r="E573" s="5">
        <v>2.6940000000000004</v>
      </c>
      <c r="F573" s="4" t="s">
        <v>20</v>
      </c>
    </row>
    <row r="574" spans="1:6" x14ac:dyDescent="0.3">
      <c r="A574">
        <v>1228</v>
      </c>
      <c r="B574" s="5">
        <v>5.25</v>
      </c>
      <c r="C574" s="5">
        <v>2</v>
      </c>
      <c r="D574" s="5">
        <v>7.1624999999999996</v>
      </c>
      <c r="E574" s="5">
        <v>2.5300000000000002</v>
      </c>
      <c r="F574" s="4" t="s">
        <v>15</v>
      </c>
    </row>
    <row r="575" spans="1:6" x14ac:dyDescent="0.3">
      <c r="A575">
        <v>1287</v>
      </c>
      <c r="B575" s="5">
        <v>4.625</v>
      </c>
      <c r="C575" s="5">
        <v>2</v>
      </c>
      <c r="D575" s="5">
        <v>7.1624999999999996</v>
      </c>
      <c r="E575" s="5">
        <v>2.3457142857142856</v>
      </c>
      <c r="F575" s="4" t="s">
        <v>20</v>
      </c>
    </row>
    <row r="576" spans="1:6" x14ac:dyDescent="0.3">
      <c r="A576">
        <v>1061</v>
      </c>
      <c r="B576" s="5">
        <v>5</v>
      </c>
      <c r="C576" s="5">
        <v>2.3333333333333335</v>
      </c>
      <c r="D576" s="5">
        <v>7.166666666666667</v>
      </c>
      <c r="E576" s="5">
        <v>2.8849999999999998</v>
      </c>
      <c r="F576" s="4" t="s">
        <v>15</v>
      </c>
    </row>
    <row r="577" spans="1:6" x14ac:dyDescent="0.3">
      <c r="A577">
        <v>1618</v>
      </c>
      <c r="B577" s="5">
        <v>4</v>
      </c>
      <c r="C577" s="5">
        <v>1.6666666666666667</v>
      </c>
      <c r="D577" s="5">
        <v>7.166666666666667</v>
      </c>
      <c r="E577" s="5">
        <v>2.94</v>
      </c>
      <c r="F577" s="4" t="s">
        <v>20</v>
      </c>
    </row>
    <row r="578" spans="1:6" x14ac:dyDescent="0.3">
      <c r="A578">
        <v>1768</v>
      </c>
      <c r="B578" s="5">
        <v>4</v>
      </c>
      <c r="C578" s="5">
        <v>2.3333333333333335</v>
      </c>
      <c r="D578" s="5">
        <v>7.166666666666667</v>
      </c>
      <c r="E578" s="5">
        <v>2.2066666666666666</v>
      </c>
      <c r="F578" s="4" t="s">
        <v>15</v>
      </c>
    </row>
    <row r="579" spans="1:6" x14ac:dyDescent="0.3">
      <c r="A579">
        <v>1262</v>
      </c>
      <c r="B579" s="5">
        <v>7</v>
      </c>
      <c r="C579" s="5">
        <v>1.75</v>
      </c>
      <c r="D579" s="5">
        <v>7.1749999999999998</v>
      </c>
      <c r="E579" s="5">
        <v>3.1300000000000003</v>
      </c>
      <c r="F579" s="4" t="s">
        <v>15</v>
      </c>
    </row>
    <row r="580" spans="1:6" x14ac:dyDescent="0.3">
      <c r="A580">
        <v>1390</v>
      </c>
      <c r="B580" s="5">
        <v>2.25</v>
      </c>
      <c r="C580" s="5">
        <v>1.75</v>
      </c>
      <c r="D580" s="5">
        <v>7.1750000000000007</v>
      </c>
      <c r="E580" s="5">
        <v>2.8125</v>
      </c>
      <c r="F580" s="4" t="s">
        <v>15</v>
      </c>
    </row>
    <row r="581" spans="1:6" x14ac:dyDescent="0.3">
      <c r="A581">
        <v>1841</v>
      </c>
      <c r="B581" s="5">
        <v>6.75</v>
      </c>
      <c r="C581" s="5">
        <v>2</v>
      </c>
      <c r="D581" s="5">
        <v>7.1750000000000007</v>
      </c>
      <c r="E581" s="5">
        <v>2.3675000000000002</v>
      </c>
      <c r="F581" s="4" t="s">
        <v>20</v>
      </c>
    </row>
    <row r="582" spans="1:6" x14ac:dyDescent="0.3">
      <c r="A582">
        <v>1101</v>
      </c>
      <c r="B582" s="5">
        <v>4.8</v>
      </c>
      <c r="C582" s="5">
        <v>2</v>
      </c>
      <c r="D582" s="5">
        <v>7.18</v>
      </c>
      <c r="E582" s="5">
        <v>1.8440000000000001</v>
      </c>
      <c r="F582" s="4" t="s">
        <v>15</v>
      </c>
    </row>
    <row r="583" spans="1:6" x14ac:dyDescent="0.3">
      <c r="A583">
        <v>1726</v>
      </c>
      <c r="B583" s="5">
        <v>5.5714285714285712</v>
      </c>
      <c r="C583" s="5">
        <v>1.7142857142857142</v>
      </c>
      <c r="D583" s="5">
        <v>7.1857142857142851</v>
      </c>
      <c r="E583" s="5">
        <v>1.9366666666666668</v>
      </c>
      <c r="F583" s="4" t="s">
        <v>15</v>
      </c>
    </row>
    <row r="584" spans="1:6" x14ac:dyDescent="0.3">
      <c r="A584">
        <v>1068</v>
      </c>
      <c r="B584" s="5">
        <v>6</v>
      </c>
      <c r="C584" s="5">
        <v>2</v>
      </c>
      <c r="D584" s="5">
        <v>7.1999999999999993</v>
      </c>
      <c r="E584" s="5">
        <v>2.4200000000000004</v>
      </c>
      <c r="F584" s="4" t="s">
        <v>15</v>
      </c>
    </row>
    <row r="585" spans="1:6" x14ac:dyDescent="0.3">
      <c r="A585">
        <v>1024</v>
      </c>
      <c r="B585" s="5">
        <v>6.6</v>
      </c>
      <c r="C585" s="5">
        <v>1.8</v>
      </c>
      <c r="D585" s="5">
        <v>7.2</v>
      </c>
      <c r="E585" s="5">
        <v>2.8850000000000002</v>
      </c>
      <c r="F585" s="4" t="s">
        <v>20</v>
      </c>
    </row>
    <row r="586" spans="1:6" x14ac:dyDescent="0.3">
      <c r="A586">
        <v>1025</v>
      </c>
      <c r="B586" s="5">
        <v>6.333333333333333</v>
      </c>
      <c r="C586" s="5">
        <v>1.3333333333333333</v>
      </c>
      <c r="D586" s="5">
        <v>7.2</v>
      </c>
      <c r="E586" s="5">
        <v>2.09</v>
      </c>
      <c r="F586" s="4" t="s">
        <v>15</v>
      </c>
    </row>
    <row r="587" spans="1:6" x14ac:dyDescent="0.3">
      <c r="A587">
        <v>1046</v>
      </c>
      <c r="B587" s="5">
        <v>3.5</v>
      </c>
      <c r="C587" s="5">
        <v>2</v>
      </c>
      <c r="D587" s="5">
        <v>7.2</v>
      </c>
      <c r="E587" s="5">
        <v>2.1160000000000001</v>
      </c>
      <c r="F587" s="4" t="s">
        <v>15</v>
      </c>
    </row>
    <row r="588" spans="1:6" x14ac:dyDescent="0.3">
      <c r="A588">
        <v>1048</v>
      </c>
      <c r="B588" s="5">
        <v>4.5</v>
      </c>
      <c r="C588" s="5">
        <v>2</v>
      </c>
      <c r="D588" s="5">
        <v>7.2</v>
      </c>
      <c r="E588" s="5">
        <v>2.7733333333333334</v>
      </c>
      <c r="F588" s="4" t="s">
        <v>20</v>
      </c>
    </row>
    <row r="589" spans="1:6" x14ac:dyDescent="0.3">
      <c r="A589">
        <v>1062</v>
      </c>
      <c r="B589" s="5">
        <v>6.2</v>
      </c>
      <c r="C589" s="5">
        <v>1.4</v>
      </c>
      <c r="D589" s="5">
        <v>7.2</v>
      </c>
      <c r="E589" s="5">
        <v>2.4925000000000002</v>
      </c>
      <c r="F589" s="4" t="s">
        <v>20</v>
      </c>
    </row>
    <row r="590" spans="1:6" x14ac:dyDescent="0.3">
      <c r="A590">
        <v>1229</v>
      </c>
      <c r="B590" s="5">
        <v>6.333333333333333</v>
      </c>
      <c r="C590" s="5">
        <v>1.6666666666666667</v>
      </c>
      <c r="D590" s="5">
        <v>7.2</v>
      </c>
      <c r="E590" s="5">
        <v>2.59</v>
      </c>
      <c r="F590" s="4" t="s">
        <v>15</v>
      </c>
    </row>
    <row r="591" spans="1:6" x14ac:dyDescent="0.3">
      <c r="A591">
        <v>1277</v>
      </c>
      <c r="B591" s="5">
        <v>4</v>
      </c>
      <c r="C591" s="5">
        <v>1.3333333333333333</v>
      </c>
      <c r="D591" s="5">
        <v>7.2</v>
      </c>
      <c r="E591" s="5">
        <v>1.7733333333333334</v>
      </c>
      <c r="F591" s="4" t="s">
        <v>20</v>
      </c>
    </row>
    <row r="592" spans="1:6" x14ac:dyDescent="0.3">
      <c r="A592">
        <v>1342</v>
      </c>
      <c r="B592" s="5">
        <v>7</v>
      </c>
      <c r="C592" s="5">
        <v>3</v>
      </c>
      <c r="D592" s="5">
        <v>7.2</v>
      </c>
      <c r="E592" s="5">
        <v>2.48</v>
      </c>
      <c r="F592" s="4" t="s">
        <v>15</v>
      </c>
    </row>
    <row r="593" spans="1:6" x14ac:dyDescent="0.3">
      <c r="A593">
        <v>1349</v>
      </c>
      <c r="B593" s="5">
        <v>4.8571428571428568</v>
      </c>
      <c r="C593" s="5">
        <v>2.4285714285714284</v>
      </c>
      <c r="D593" s="5">
        <v>7.2</v>
      </c>
      <c r="E593" s="5">
        <v>2.4833333333333334</v>
      </c>
      <c r="F593" s="4" t="s">
        <v>20</v>
      </c>
    </row>
    <row r="594" spans="1:6" x14ac:dyDescent="0.3">
      <c r="A594">
        <v>1578</v>
      </c>
      <c r="B594" s="5">
        <v>8</v>
      </c>
      <c r="C594" s="5">
        <v>2</v>
      </c>
      <c r="D594" s="5">
        <v>7.2</v>
      </c>
      <c r="E594" s="5">
        <v>1.88</v>
      </c>
      <c r="F594" s="4" t="s">
        <v>15</v>
      </c>
    </row>
    <row r="595" spans="1:6" x14ac:dyDescent="0.3">
      <c r="A595">
        <v>1633</v>
      </c>
      <c r="B595" s="5">
        <v>6.6</v>
      </c>
      <c r="C595" s="5">
        <v>2</v>
      </c>
      <c r="D595" s="5">
        <v>7.2</v>
      </c>
      <c r="E595" s="5">
        <v>1.9550000000000001</v>
      </c>
      <c r="F595" s="4" t="s">
        <v>15</v>
      </c>
    </row>
    <row r="596" spans="1:6" x14ac:dyDescent="0.3">
      <c r="A596">
        <v>1801</v>
      </c>
      <c r="B596" s="5">
        <v>6</v>
      </c>
      <c r="C596" s="5">
        <v>2.3333333333333335</v>
      </c>
      <c r="D596" s="5">
        <v>7.2</v>
      </c>
      <c r="E596" s="5">
        <v>2.0666666666666669</v>
      </c>
      <c r="F596" s="4" t="s">
        <v>20</v>
      </c>
    </row>
    <row r="597" spans="1:6" x14ac:dyDescent="0.3">
      <c r="A597">
        <v>1854</v>
      </c>
      <c r="B597" s="5">
        <v>1</v>
      </c>
      <c r="C597" s="5">
        <v>2</v>
      </c>
      <c r="D597" s="5">
        <v>7.2</v>
      </c>
      <c r="E597" s="5">
        <v>3.14</v>
      </c>
      <c r="F597" s="4" t="s">
        <v>20</v>
      </c>
    </row>
    <row r="598" spans="1:6" x14ac:dyDescent="0.3">
      <c r="A598">
        <v>1928</v>
      </c>
      <c r="B598" s="5">
        <v>3.8</v>
      </c>
      <c r="C598" s="5">
        <v>2.2000000000000002</v>
      </c>
      <c r="D598" s="5">
        <v>7.2</v>
      </c>
      <c r="E598" s="5">
        <v>2.84</v>
      </c>
      <c r="F598" s="4" t="s">
        <v>15</v>
      </c>
    </row>
    <row r="599" spans="1:6" x14ac:dyDescent="0.3">
      <c r="A599">
        <v>1086</v>
      </c>
      <c r="B599" s="5">
        <v>4.5</v>
      </c>
      <c r="C599" s="5">
        <v>2.25</v>
      </c>
      <c r="D599" s="5">
        <v>7.2000000000000011</v>
      </c>
      <c r="E599" s="5">
        <v>3.4324999999999997</v>
      </c>
      <c r="F599" s="4" t="s">
        <v>20</v>
      </c>
    </row>
    <row r="600" spans="1:6" x14ac:dyDescent="0.3">
      <c r="A600">
        <v>1077</v>
      </c>
      <c r="B600" s="5">
        <v>6.833333333333333</v>
      </c>
      <c r="C600" s="5">
        <v>1.6666666666666667</v>
      </c>
      <c r="D600" s="5">
        <v>7.2166666666666659</v>
      </c>
      <c r="E600" s="5">
        <v>2.4216666666666669</v>
      </c>
      <c r="F600" s="4" t="s">
        <v>20</v>
      </c>
    </row>
    <row r="601" spans="1:6" x14ac:dyDescent="0.3">
      <c r="A601">
        <v>1796</v>
      </c>
      <c r="B601" s="5">
        <v>6.4</v>
      </c>
      <c r="C601" s="5">
        <v>1.6</v>
      </c>
      <c r="D601" s="5">
        <v>7.2199999999999989</v>
      </c>
      <c r="E601" s="5">
        <v>2.6840000000000002</v>
      </c>
      <c r="F601" s="4" t="s">
        <v>15</v>
      </c>
    </row>
    <row r="602" spans="1:6" x14ac:dyDescent="0.3">
      <c r="A602">
        <v>1518</v>
      </c>
      <c r="B602" s="5">
        <v>8.75</v>
      </c>
      <c r="C602" s="5">
        <v>2</v>
      </c>
      <c r="D602" s="5">
        <v>7.2249999999999996</v>
      </c>
      <c r="E602" s="5">
        <v>2.7333333333333338</v>
      </c>
      <c r="F602" s="4" t="s">
        <v>20</v>
      </c>
    </row>
    <row r="603" spans="1:6" x14ac:dyDescent="0.3">
      <c r="A603">
        <v>1260</v>
      </c>
      <c r="B603" s="5">
        <v>5.875</v>
      </c>
      <c r="C603" s="5">
        <v>1.25</v>
      </c>
      <c r="D603" s="5">
        <v>7.2250000000000005</v>
      </c>
      <c r="E603" s="5">
        <v>2.4612500000000002</v>
      </c>
      <c r="F603" s="4" t="s">
        <v>20</v>
      </c>
    </row>
    <row r="604" spans="1:6" x14ac:dyDescent="0.3">
      <c r="A604">
        <v>1245</v>
      </c>
      <c r="B604" s="5">
        <v>3.6666666666666665</v>
      </c>
      <c r="C604" s="5">
        <v>2</v>
      </c>
      <c r="D604" s="5">
        <v>7.2333333333333343</v>
      </c>
      <c r="E604" s="5">
        <v>2.77</v>
      </c>
      <c r="F604" s="4" t="s">
        <v>15</v>
      </c>
    </row>
    <row r="605" spans="1:6" x14ac:dyDescent="0.3">
      <c r="A605">
        <v>1687</v>
      </c>
      <c r="B605" s="5">
        <v>4.333333333333333</v>
      </c>
      <c r="C605" s="5">
        <v>2</v>
      </c>
      <c r="D605" s="5">
        <v>7.2333333333333343</v>
      </c>
      <c r="E605" s="5">
        <v>2.9333333333333336</v>
      </c>
      <c r="F605" s="4" t="s">
        <v>20</v>
      </c>
    </row>
    <row r="606" spans="1:6" x14ac:dyDescent="0.3">
      <c r="A606">
        <v>1688</v>
      </c>
      <c r="B606" s="5">
        <v>7.166666666666667</v>
      </c>
      <c r="C606" s="5">
        <v>2</v>
      </c>
      <c r="D606" s="5">
        <v>7.2333333333333343</v>
      </c>
      <c r="E606" s="5">
        <v>2.3259999999999996</v>
      </c>
      <c r="F606" s="4" t="s">
        <v>15</v>
      </c>
    </row>
    <row r="607" spans="1:6" x14ac:dyDescent="0.3">
      <c r="A607">
        <v>1784</v>
      </c>
      <c r="B607" s="5">
        <v>4.333333333333333</v>
      </c>
      <c r="C607" s="5">
        <v>1.6666666666666667</v>
      </c>
      <c r="D607" s="5">
        <v>7.2333333333333343</v>
      </c>
      <c r="E607" s="5">
        <v>2.5133333333333332</v>
      </c>
      <c r="F607" s="4" t="s">
        <v>20</v>
      </c>
    </row>
    <row r="608" spans="1:6" x14ac:dyDescent="0.3">
      <c r="A608">
        <v>1470</v>
      </c>
      <c r="B608" s="5">
        <v>3</v>
      </c>
      <c r="C608" s="5">
        <v>2.2000000000000002</v>
      </c>
      <c r="D608" s="5">
        <v>7.2399999999999993</v>
      </c>
      <c r="E608" s="5">
        <v>2.3166666666666664</v>
      </c>
      <c r="F608" s="4" t="s">
        <v>20</v>
      </c>
    </row>
    <row r="609" spans="1:6" x14ac:dyDescent="0.3">
      <c r="A609">
        <v>1359</v>
      </c>
      <c r="B609" s="5">
        <v>5.4</v>
      </c>
      <c r="C609" s="5">
        <v>2</v>
      </c>
      <c r="D609" s="5">
        <v>7.24</v>
      </c>
      <c r="E609" s="5">
        <v>2.6439999999999997</v>
      </c>
      <c r="F609" s="4" t="s">
        <v>20</v>
      </c>
    </row>
    <row r="610" spans="1:6" x14ac:dyDescent="0.3">
      <c r="A610">
        <v>1069</v>
      </c>
      <c r="B610" s="5">
        <v>4.5</v>
      </c>
      <c r="C610" s="5">
        <v>1.75</v>
      </c>
      <c r="D610" s="5">
        <v>7.25</v>
      </c>
      <c r="E610" s="5">
        <v>2.8266666666666667</v>
      </c>
      <c r="F610" s="4" t="s">
        <v>20</v>
      </c>
    </row>
    <row r="611" spans="1:6" x14ac:dyDescent="0.3">
      <c r="A611">
        <v>1204</v>
      </c>
      <c r="B611" s="5">
        <v>5.5</v>
      </c>
      <c r="C611" s="5">
        <v>2</v>
      </c>
      <c r="D611" s="5">
        <v>7.25</v>
      </c>
      <c r="E611" s="5">
        <v>2.17</v>
      </c>
      <c r="F611" s="4" t="s">
        <v>20</v>
      </c>
    </row>
    <row r="612" spans="1:6" x14ac:dyDescent="0.3">
      <c r="A612">
        <v>1237</v>
      </c>
      <c r="B612" s="5">
        <v>4</v>
      </c>
      <c r="C612" s="5">
        <v>2</v>
      </c>
      <c r="D612" s="5">
        <v>7.25</v>
      </c>
      <c r="E612" s="5">
        <v>2.74</v>
      </c>
      <c r="F612" s="4" t="s">
        <v>15</v>
      </c>
    </row>
    <row r="613" spans="1:6" x14ac:dyDescent="0.3">
      <c r="A613">
        <v>1781</v>
      </c>
      <c r="B613" s="5">
        <v>5.5</v>
      </c>
      <c r="C613" s="5">
        <v>2.5</v>
      </c>
      <c r="D613" s="5">
        <v>7.25</v>
      </c>
      <c r="E613" s="5">
        <v>2.1150000000000002</v>
      </c>
      <c r="F613" s="4" t="s">
        <v>20</v>
      </c>
    </row>
    <row r="614" spans="1:6" x14ac:dyDescent="0.3">
      <c r="A614">
        <v>1850</v>
      </c>
      <c r="B614" s="5">
        <v>7.5</v>
      </c>
      <c r="C614" s="5">
        <v>2</v>
      </c>
      <c r="D614" s="5">
        <v>7.25</v>
      </c>
      <c r="E614" s="5">
        <v>2.0550000000000002</v>
      </c>
      <c r="F614" s="4" t="s">
        <v>20</v>
      </c>
    </row>
    <row r="615" spans="1:6" x14ac:dyDescent="0.3">
      <c r="A615">
        <v>1941</v>
      </c>
      <c r="B615" s="5">
        <v>9</v>
      </c>
      <c r="C615" s="5">
        <v>1.5</v>
      </c>
      <c r="D615" s="5">
        <v>7.25</v>
      </c>
      <c r="E615" s="5">
        <v>2.5700000000000003</v>
      </c>
      <c r="F615" s="4" t="s">
        <v>15</v>
      </c>
    </row>
    <row r="616" spans="1:6" x14ac:dyDescent="0.3">
      <c r="A616">
        <v>1507</v>
      </c>
      <c r="B616" s="5">
        <v>6.333333333333333</v>
      </c>
      <c r="C616" s="5">
        <v>1.6666666666666667</v>
      </c>
      <c r="D616" s="5">
        <v>7.2666666666666666</v>
      </c>
      <c r="E616" s="5">
        <v>2.665</v>
      </c>
      <c r="F616" s="4" t="s">
        <v>15</v>
      </c>
    </row>
    <row r="617" spans="1:6" x14ac:dyDescent="0.3">
      <c r="A617">
        <v>1873</v>
      </c>
      <c r="B617" s="5">
        <v>4</v>
      </c>
      <c r="C617" s="5">
        <v>2.3333333333333335</v>
      </c>
      <c r="D617" s="5">
        <v>7.2666666666666666</v>
      </c>
      <c r="E617" s="5">
        <v>2.4766666666666666</v>
      </c>
      <c r="F617" s="4" t="s">
        <v>20</v>
      </c>
    </row>
    <row r="618" spans="1:6" x14ac:dyDescent="0.3">
      <c r="A618">
        <v>1241</v>
      </c>
      <c r="B618" s="5">
        <v>6.4285714285714288</v>
      </c>
      <c r="C618" s="5">
        <v>1.8571428571428572</v>
      </c>
      <c r="D618" s="5">
        <v>7.2714285714285714</v>
      </c>
      <c r="E618" s="5">
        <v>2.4000000000000004</v>
      </c>
      <c r="F618" s="4" t="s">
        <v>20</v>
      </c>
    </row>
    <row r="619" spans="1:6" x14ac:dyDescent="0.3">
      <c r="A619">
        <v>1887</v>
      </c>
      <c r="B619" s="5">
        <v>3.5714285714285716</v>
      </c>
      <c r="C619" s="5">
        <v>2.1428571428571428</v>
      </c>
      <c r="D619" s="5">
        <v>7.2714285714285722</v>
      </c>
      <c r="E619" s="5">
        <v>2.7328571428571427</v>
      </c>
      <c r="F619" s="4" t="s">
        <v>15</v>
      </c>
    </row>
    <row r="620" spans="1:6" x14ac:dyDescent="0.3">
      <c r="A620">
        <v>1782</v>
      </c>
      <c r="B620" s="5">
        <v>3.25</v>
      </c>
      <c r="C620" s="5">
        <v>2</v>
      </c>
      <c r="D620" s="5">
        <v>7.2749999999999995</v>
      </c>
      <c r="E620" s="5">
        <v>2.1475</v>
      </c>
      <c r="F620" s="4" t="s">
        <v>20</v>
      </c>
    </row>
    <row r="621" spans="1:6" x14ac:dyDescent="0.3">
      <c r="A621">
        <v>1329</v>
      </c>
      <c r="B621" s="5">
        <v>3.8</v>
      </c>
      <c r="C621" s="5">
        <v>2</v>
      </c>
      <c r="D621" s="5">
        <v>7.2799999999999994</v>
      </c>
      <c r="E621" s="5">
        <v>2.5700000000000003</v>
      </c>
      <c r="F621" s="4" t="s">
        <v>15</v>
      </c>
    </row>
    <row r="622" spans="1:6" x14ac:dyDescent="0.3">
      <c r="A622">
        <v>1181</v>
      </c>
      <c r="B622" s="5">
        <v>5.333333333333333</v>
      </c>
      <c r="C622" s="5">
        <v>1.5</v>
      </c>
      <c r="D622" s="5">
        <v>7.2833333333333341</v>
      </c>
      <c r="E622" s="5">
        <v>2.5059999999999998</v>
      </c>
      <c r="F622" s="4" t="s">
        <v>20</v>
      </c>
    </row>
    <row r="623" spans="1:6" x14ac:dyDescent="0.3">
      <c r="A623">
        <v>1916</v>
      </c>
      <c r="B623" s="5">
        <v>6.666666666666667</v>
      </c>
      <c r="C623" s="5">
        <v>1.5</v>
      </c>
      <c r="D623" s="5">
        <v>7.2833333333333341</v>
      </c>
      <c r="E623" s="5">
        <v>2.5500000000000003</v>
      </c>
      <c r="F623" s="4" t="s">
        <v>15</v>
      </c>
    </row>
    <row r="624" spans="1:6" x14ac:dyDescent="0.3">
      <c r="A624">
        <v>1340</v>
      </c>
      <c r="B624" s="5">
        <v>2.6666666666666665</v>
      </c>
      <c r="C624" s="5">
        <v>1.3333333333333333</v>
      </c>
      <c r="D624" s="5">
        <v>7.3</v>
      </c>
      <c r="E624" s="5">
        <v>2.4500000000000002</v>
      </c>
      <c r="F624" s="4" t="s">
        <v>20</v>
      </c>
    </row>
    <row r="625" spans="1:6" x14ac:dyDescent="0.3">
      <c r="A625">
        <v>1517</v>
      </c>
      <c r="B625" s="5">
        <v>3.5</v>
      </c>
      <c r="C625" s="5">
        <v>1.5</v>
      </c>
      <c r="D625" s="5">
        <v>7.3</v>
      </c>
      <c r="E625" s="5">
        <v>2.7</v>
      </c>
      <c r="F625" s="4" t="s">
        <v>15</v>
      </c>
    </row>
    <row r="626" spans="1:6" x14ac:dyDescent="0.3">
      <c r="A626">
        <v>1565</v>
      </c>
      <c r="B626" s="5">
        <v>7.5</v>
      </c>
      <c r="C626" s="5">
        <v>2.5</v>
      </c>
      <c r="D626" s="5">
        <v>7.3</v>
      </c>
      <c r="E626" s="5">
        <v>2.73</v>
      </c>
      <c r="F626" s="4" t="s">
        <v>20</v>
      </c>
    </row>
    <row r="627" spans="1:6" x14ac:dyDescent="0.3">
      <c r="A627">
        <v>1673</v>
      </c>
      <c r="B627" s="5">
        <v>8</v>
      </c>
      <c r="C627" s="5">
        <v>1</v>
      </c>
      <c r="D627" s="5">
        <v>7.3</v>
      </c>
      <c r="E627" s="5">
        <v>2.82</v>
      </c>
      <c r="F627" s="4" t="s">
        <v>15</v>
      </c>
    </row>
    <row r="628" spans="1:6" x14ac:dyDescent="0.3">
      <c r="A628">
        <v>1791</v>
      </c>
      <c r="B628" s="5">
        <v>1</v>
      </c>
      <c r="C628" s="5">
        <v>3</v>
      </c>
      <c r="D628" s="5">
        <v>7.3</v>
      </c>
      <c r="E628" s="5">
        <v>3.1949999999999998</v>
      </c>
      <c r="F628" s="4" t="s">
        <v>15</v>
      </c>
    </row>
    <row r="629" spans="1:6" x14ac:dyDescent="0.3">
      <c r="A629">
        <v>1940</v>
      </c>
      <c r="B629" s="5">
        <v>6</v>
      </c>
      <c r="C629" s="5">
        <v>1</v>
      </c>
      <c r="D629" s="5">
        <v>7.3</v>
      </c>
      <c r="E629" s="5">
        <v>1.49</v>
      </c>
      <c r="F629" s="4" t="s">
        <v>15</v>
      </c>
    </row>
    <row r="630" spans="1:6" x14ac:dyDescent="0.3">
      <c r="A630">
        <v>1985</v>
      </c>
      <c r="B630" s="5">
        <v>7</v>
      </c>
      <c r="C630" s="5">
        <v>2.3333333333333335</v>
      </c>
      <c r="D630" s="5">
        <v>7.3</v>
      </c>
      <c r="E630" s="5">
        <v>2.8733333333333335</v>
      </c>
      <c r="F630" s="4" t="s">
        <v>20</v>
      </c>
    </row>
    <row r="631" spans="1:6" x14ac:dyDescent="0.3">
      <c r="A631">
        <v>1655</v>
      </c>
      <c r="B631" s="5">
        <v>6.25</v>
      </c>
      <c r="C631" s="5">
        <v>2</v>
      </c>
      <c r="D631" s="5">
        <v>7.3000000000000007</v>
      </c>
      <c r="E631" s="5">
        <v>2.0350000000000001</v>
      </c>
      <c r="F631" s="4" t="s">
        <v>15</v>
      </c>
    </row>
    <row r="632" spans="1:6" x14ac:dyDescent="0.3">
      <c r="A632">
        <v>1861</v>
      </c>
      <c r="B632" s="5">
        <v>5</v>
      </c>
      <c r="C632" s="5">
        <v>2.6666666666666665</v>
      </c>
      <c r="D632" s="5">
        <v>7.3000000000000007</v>
      </c>
      <c r="E632" s="5">
        <v>2.1633333333333336</v>
      </c>
      <c r="F632" s="4" t="s">
        <v>20</v>
      </c>
    </row>
    <row r="633" spans="1:6" x14ac:dyDescent="0.3">
      <c r="A633">
        <v>1200</v>
      </c>
      <c r="B633" s="5">
        <v>4.5</v>
      </c>
      <c r="C633" s="5">
        <v>1.25</v>
      </c>
      <c r="D633" s="5">
        <v>7.3249999999999993</v>
      </c>
      <c r="E633" s="5">
        <v>2.1</v>
      </c>
      <c r="F633" s="4" t="s">
        <v>20</v>
      </c>
    </row>
    <row r="634" spans="1:6" x14ac:dyDescent="0.3">
      <c r="A634">
        <v>1394</v>
      </c>
      <c r="B634" s="5">
        <v>3.5</v>
      </c>
      <c r="C634" s="5">
        <v>1.75</v>
      </c>
      <c r="D634" s="5">
        <v>7.3249999999999993</v>
      </c>
      <c r="E634" s="5">
        <v>2.0500000000000003</v>
      </c>
      <c r="F634" s="4" t="s">
        <v>15</v>
      </c>
    </row>
    <row r="635" spans="1:6" x14ac:dyDescent="0.3">
      <c r="A635">
        <v>1401</v>
      </c>
      <c r="B635" s="5">
        <v>5.5</v>
      </c>
      <c r="C635" s="5">
        <v>2.25</v>
      </c>
      <c r="D635" s="5">
        <v>7.3250000000000002</v>
      </c>
      <c r="E635" s="5">
        <v>1.6199999999999999</v>
      </c>
      <c r="F635" s="4" t="s">
        <v>15</v>
      </c>
    </row>
    <row r="636" spans="1:6" x14ac:dyDescent="0.3">
      <c r="A636">
        <v>1284</v>
      </c>
      <c r="B636" s="5">
        <v>4.7142857142857144</v>
      </c>
      <c r="C636" s="5">
        <v>2.2857142857142856</v>
      </c>
      <c r="D636" s="5">
        <v>7.3285714285714283</v>
      </c>
      <c r="E636" s="5">
        <v>2.3600000000000003</v>
      </c>
      <c r="F636" s="4" t="s">
        <v>15</v>
      </c>
    </row>
    <row r="637" spans="1:6" x14ac:dyDescent="0.3">
      <c r="A637">
        <v>1205</v>
      </c>
      <c r="B637" s="5">
        <v>5.666666666666667</v>
      </c>
      <c r="C637" s="5">
        <v>1.3333333333333333</v>
      </c>
      <c r="D637" s="5">
        <v>7.333333333333333</v>
      </c>
      <c r="E637" s="5">
        <v>2.2966666666666664</v>
      </c>
      <c r="F637" s="4" t="s">
        <v>20</v>
      </c>
    </row>
    <row r="638" spans="1:6" x14ac:dyDescent="0.3">
      <c r="A638">
        <v>1297</v>
      </c>
      <c r="B638" s="5">
        <v>5.666666666666667</v>
      </c>
      <c r="C638" s="5">
        <v>1.3333333333333333</v>
      </c>
      <c r="D638" s="5">
        <v>7.333333333333333</v>
      </c>
      <c r="E638" s="5">
        <v>2.085</v>
      </c>
      <c r="F638" s="4" t="s">
        <v>15</v>
      </c>
    </row>
    <row r="639" spans="1:6" x14ac:dyDescent="0.3">
      <c r="A639">
        <v>1886</v>
      </c>
      <c r="B639" s="5">
        <v>7.666666666666667</v>
      </c>
      <c r="C639" s="5">
        <v>2</v>
      </c>
      <c r="D639" s="5">
        <v>7.333333333333333</v>
      </c>
      <c r="E639" s="5">
        <v>1.9666666666666666</v>
      </c>
      <c r="F639" s="4" t="s">
        <v>15</v>
      </c>
    </row>
    <row r="640" spans="1:6" x14ac:dyDescent="0.3">
      <c r="A640">
        <v>1894</v>
      </c>
      <c r="B640" s="5">
        <v>7.333333333333333</v>
      </c>
      <c r="C640" s="5">
        <v>1.6666666666666667</v>
      </c>
      <c r="D640" s="5">
        <v>7.333333333333333</v>
      </c>
      <c r="E640" s="5">
        <v>3.1349999999999998</v>
      </c>
      <c r="F640" s="4" t="s">
        <v>20</v>
      </c>
    </row>
    <row r="641" spans="1:6" x14ac:dyDescent="0.3">
      <c r="A641">
        <v>1946</v>
      </c>
      <c r="B641" s="5">
        <v>4</v>
      </c>
      <c r="C641" s="5">
        <v>1.6666666666666667</v>
      </c>
      <c r="D641" s="5">
        <v>7.333333333333333</v>
      </c>
      <c r="E641" s="5">
        <v>2.7249999999999996</v>
      </c>
      <c r="F641" s="4" t="s">
        <v>15</v>
      </c>
    </row>
    <row r="642" spans="1:6" x14ac:dyDescent="0.3">
      <c r="A642">
        <v>1739</v>
      </c>
      <c r="B642" s="5">
        <v>5.2</v>
      </c>
      <c r="C642" s="5">
        <v>2</v>
      </c>
      <c r="D642" s="5">
        <v>7.339999999999999</v>
      </c>
      <c r="E642" s="5">
        <v>2.335</v>
      </c>
      <c r="F642" s="4" t="s">
        <v>15</v>
      </c>
    </row>
    <row r="643" spans="1:6" x14ac:dyDescent="0.3">
      <c r="A643">
        <v>1512</v>
      </c>
      <c r="B643" s="5">
        <v>4.4000000000000004</v>
      </c>
      <c r="C643" s="5">
        <v>2.2000000000000002</v>
      </c>
      <c r="D643" s="5">
        <v>7.3400000000000007</v>
      </c>
      <c r="E643" s="5">
        <v>2.0699999999999998</v>
      </c>
      <c r="F643" s="4" t="s">
        <v>20</v>
      </c>
    </row>
    <row r="644" spans="1:6" x14ac:dyDescent="0.3">
      <c r="A644">
        <v>1322</v>
      </c>
      <c r="B644" s="5">
        <v>6.75</v>
      </c>
      <c r="C644" s="5">
        <v>2.75</v>
      </c>
      <c r="D644" s="5">
        <v>7.35</v>
      </c>
      <c r="E644" s="5">
        <v>1.4649999999999999</v>
      </c>
      <c r="F644" s="4" t="s">
        <v>20</v>
      </c>
    </row>
    <row r="645" spans="1:6" x14ac:dyDescent="0.3">
      <c r="A645">
        <v>1381</v>
      </c>
      <c r="B645" s="5">
        <v>4.5</v>
      </c>
      <c r="C645" s="5">
        <v>1.75</v>
      </c>
      <c r="D645" s="5">
        <v>7.35</v>
      </c>
      <c r="E645" s="5">
        <v>1.6400000000000001</v>
      </c>
      <c r="F645" s="4" t="s">
        <v>15</v>
      </c>
    </row>
    <row r="646" spans="1:6" x14ac:dyDescent="0.3">
      <c r="A646">
        <v>1614</v>
      </c>
      <c r="B646" s="5">
        <v>6</v>
      </c>
      <c r="C646" s="5">
        <v>2</v>
      </c>
      <c r="D646" s="5">
        <v>7.35</v>
      </c>
      <c r="E646" s="5">
        <v>1.8</v>
      </c>
      <c r="F646" s="4" t="s">
        <v>20</v>
      </c>
    </row>
    <row r="647" spans="1:6" x14ac:dyDescent="0.3">
      <c r="A647">
        <v>1888</v>
      </c>
      <c r="B647" s="5">
        <v>2</v>
      </c>
      <c r="C647" s="5">
        <v>1.5</v>
      </c>
      <c r="D647" s="5">
        <v>7.35</v>
      </c>
      <c r="E647" s="5">
        <v>1.7999999999999998</v>
      </c>
      <c r="F647" s="4" t="s">
        <v>20</v>
      </c>
    </row>
    <row r="648" spans="1:6" x14ac:dyDescent="0.3">
      <c r="A648">
        <v>1341</v>
      </c>
      <c r="B648" s="5">
        <v>6</v>
      </c>
      <c r="C648" s="5">
        <v>2.25</v>
      </c>
      <c r="D648" s="5">
        <v>7.3624999999999998</v>
      </c>
      <c r="E648" s="5">
        <v>2.6680000000000001</v>
      </c>
      <c r="F648" s="4" t="s">
        <v>20</v>
      </c>
    </row>
    <row r="649" spans="1:6" x14ac:dyDescent="0.3">
      <c r="A649">
        <v>1282</v>
      </c>
      <c r="B649" s="5">
        <v>4</v>
      </c>
      <c r="C649" s="5">
        <v>2</v>
      </c>
      <c r="D649" s="5">
        <v>7.3666666666666671</v>
      </c>
      <c r="E649" s="5">
        <v>3.24</v>
      </c>
      <c r="F649" s="4" t="s">
        <v>15</v>
      </c>
    </row>
    <row r="650" spans="1:6" x14ac:dyDescent="0.3">
      <c r="A650">
        <v>1557</v>
      </c>
      <c r="B650" s="5">
        <v>4</v>
      </c>
      <c r="C650" s="5">
        <v>2</v>
      </c>
      <c r="D650" s="5">
        <v>7.3666666666666671</v>
      </c>
      <c r="E650" s="5">
        <v>2.65</v>
      </c>
      <c r="F650" s="4" t="s">
        <v>15</v>
      </c>
    </row>
    <row r="651" spans="1:6" x14ac:dyDescent="0.3">
      <c r="A651">
        <v>1680</v>
      </c>
      <c r="B651" s="5">
        <v>6</v>
      </c>
      <c r="C651" s="5">
        <v>1</v>
      </c>
      <c r="D651" s="5">
        <v>7.3666666666666671</v>
      </c>
      <c r="E651" s="5">
        <v>2.9133333333333336</v>
      </c>
      <c r="F651" s="4" t="s">
        <v>20</v>
      </c>
    </row>
    <row r="652" spans="1:6" x14ac:dyDescent="0.3">
      <c r="A652">
        <v>1856</v>
      </c>
      <c r="B652" s="5">
        <v>4</v>
      </c>
      <c r="C652" s="5">
        <v>1.6666666666666667</v>
      </c>
      <c r="D652" s="5">
        <v>7.3666666666666671</v>
      </c>
      <c r="E652" s="5">
        <v>2.563333333333333</v>
      </c>
      <c r="F652" s="4" t="s">
        <v>15</v>
      </c>
    </row>
    <row r="653" spans="1:6" x14ac:dyDescent="0.3">
      <c r="A653">
        <v>1310</v>
      </c>
      <c r="B653" s="5">
        <v>8.25</v>
      </c>
      <c r="C653" s="5">
        <v>1.25</v>
      </c>
      <c r="D653" s="5">
        <v>7.3749999999999991</v>
      </c>
      <c r="E653" s="5">
        <v>2.3825000000000003</v>
      </c>
      <c r="F653" s="4" t="s">
        <v>15</v>
      </c>
    </row>
    <row r="654" spans="1:6" x14ac:dyDescent="0.3">
      <c r="A654">
        <v>1848</v>
      </c>
      <c r="B654" s="5">
        <v>6.25</v>
      </c>
      <c r="C654" s="5">
        <v>1.75</v>
      </c>
      <c r="D654" s="5">
        <v>7.375</v>
      </c>
      <c r="E654" s="5">
        <v>1.8624999999999998</v>
      </c>
      <c r="F654" s="4" t="s">
        <v>15</v>
      </c>
    </row>
    <row r="655" spans="1:6" x14ac:dyDescent="0.3">
      <c r="A655">
        <v>1222</v>
      </c>
      <c r="B655" s="5">
        <v>6.25</v>
      </c>
      <c r="C655" s="5">
        <v>1.875</v>
      </c>
      <c r="D655" s="5">
        <v>7.3875000000000011</v>
      </c>
      <c r="E655" s="5">
        <v>2.4966666666666666</v>
      </c>
      <c r="F655" s="4" t="s">
        <v>15</v>
      </c>
    </row>
    <row r="656" spans="1:6" x14ac:dyDescent="0.3">
      <c r="A656">
        <v>1115</v>
      </c>
      <c r="B656" s="5">
        <v>7</v>
      </c>
      <c r="C656" s="5">
        <v>2.3333333333333335</v>
      </c>
      <c r="D656" s="5">
        <v>7.3999999999999995</v>
      </c>
      <c r="E656" s="5">
        <v>2.9550000000000001</v>
      </c>
      <c r="F656" s="4" t="s">
        <v>15</v>
      </c>
    </row>
    <row r="657" spans="1:6" x14ac:dyDescent="0.3">
      <c r="A657">
        <v>1709</v>
      </c>
      <c r="B657" s="5">
        <v>7.666666666666667</v>
      </c>
      <c r="C657" s="5">
        <v>2.1666666666666665</v>
      </c>
      <c r="D657" s="5">
        <v>7.3999999999999995</v>
      </c>
      <c r="E657" s="5">
        <v>2.11</v>
      </c>
      <c r="F657" s="4" t="s">
        <v>20</v>
      </c>
    </row>
    <row r="658" spans="1:6" x14ac:dyDescent="0.3">
      <c r="A658">
        <v>1924</v>
      </c>
      <c r="B658" s="5">
        <v>2.6666666666666665</v>
      </c>
      <c r="C658" s="5">
        <v>2.3333333333333335</v>
      </c>
      <c r="D658" s="5">
        <v>7.3999999999999995</v>
      </c>
      <c r="E658" s="5">
        <v>2.2549999999999999</v>
      </c>
      <c r="F658" s="4" t="s">
        <v>20</v>
      </c>
    </row>
    <row r="659" spans="1:6" x14ac:dyDescent="0.3">
      <c r="A659">
        <v>1023</v>
      </c>
      <c r="B659" s="5">
        <v>2</v>
      </c>
      <c r="C659" s="5">
        <v>1</v>
      </c>
      <c r="D659" s="5">
        <v>7.4</v>
      </c>
      <c r="E659" s="5">
        <v>1.44</v>
      </c>
      <c r="F659" s="4" t="s">
        <v>20</v>
      </c>
    </row>
    <row r="660" spans="1:6" x14ac:dyDescent="0.3">
      <c r="A660">
        <v>1076</v>
      </c>
      <c r="B660" s="5">
        <v>4</v>
      </c>
      <c r="C660" s="5">
        <v>3</v>
      </c>
      <c r="D660" s="5">
        <v>7.4</v>
      </c>
      <c r="E660" s="5">
        <v>2.8</v>
      </c>
      <c r="F660" s="4" t="s">
        <v>15</v>
      </c>
    </row>
    <row r="661" spans="1:6" x14ac:dyDescent="0.3">
      <c r="A661">
        <v>1357</v>
      </c>
      <c r="B661" s="5">
        <v>6.5</v>
      </c>
      <c r="C661" s="5">
        <v>1</v>
      </c>
      <c r="D661" s="5">
        <v>7.4</v>
      </c>
      <c r="E661" s="5">
        <v>2.54</v>
      </c>
      <c r="F661" s="4" t="s">
        <v>15</v>
      </c>
    </row>
    <row r="662" spans="1:6" x14ac:dyDescent="0.3">
      <c r="A662">
        <v>1418</v>
      </c>
      <c r="B662" s="5">
        <v>5.75</v>
      </c>
      <c r="C662" s="5">
        <v>2</v>
      </c>
      <c r="D662" s="5">
        <v>7.4</v>
      </c>
      <c r="E662" s="5">
        <v>2.5425</v>
      </c>
      <c r="F662" s="4" t="s">
        <v>15</v>
      </c>
    </row>
    <row r="663" spans="1:6" x14ac:dyDescent="0.3">
      <c r="A663">
        <v>1473</v>
      </c>
      <c r="B663" s="5">
        <v>6.2</v>
      </c>
      <c r="C663" s="5">
        <v>1.6</v>
      </c>
      <c r="D663" s="5">
        <v>7.4</v>
      </c>
      <c r="E663" s="5">
        <v>2.3066666666666666</v>
      </c>
      <c r="F663" s="4" t="s">
        <v>15</v>
      </c>
    </row>
    <row r="664" spans="1:6" x14ac:dyDescent="0.3">
      <c r="A664">
        <v>1638</v>
      </c>
      <c r="B664" s="5">
        <v>1.5</v>
      </c>
      <c r="C664" s="5">
        <v>2</v>
      </c>
      <c r="D664" s="5">
        <v>7.4</v>
      </c>
      <c r="E664" s="5">
        <v>3.08</v>
      </c>
      <c r="F664" s="4" t="s">
        <v>20</v>
      </c>
    </row>
    <row r="665" spans="1:6" x14ac:dyDescent="0.3">
      <c r="A665">
        <v>1651</v>
      </c>
      <c r="B665" s="5">
        <v>5</v>
      </c>
      <c r="C665" s="5">
        <v>1</v>
      </c>
      <c r="D665" s="5">
        <v>7.4</v>
      </c>
      <c r="E665" s="5">
        <v>1.83</v>
      </c>
      <c r="F665" s="4" t="s">
        <v>20</v>
      </c>
    </row>
    <row r="666" spans="1:6" x14ac:dyDescent="0.3">
      <c r="A666">
        <v>1712</v>
      </c>
      <c r="B666" s="5">
        <v>10</v>
      </c>
      <c r="C666" s="5">
        <v>1</v>
      </c>
      <c r="D666" s="5">
        <v>7.4</v>
      </c>
      <c r="E666" s="5">
        <v>3.42</v>
      </c>
      <c r="F666" s="4" t="s">
        <v>15</v>
      </c>
    </row>
    <row r="667" spans="1:6" x14ac:dyDescent="0.3">
      <c r="A667">
        <v>1815</v>
      </c>
      <c r="B667" s="5">
        <v>4.5</v>
      </c>
      <c r="C667" s="5">
        <v>3</v>
      </c>
      <c r="D667" s="5">
        <v>7.4</v>
      </c>
      <c r="E667" s="5">
        <v>2.7149999999999999</v>
      </c>
      <c r="F667" s="4" t="s">
        <v>20</v>
      </c>
    </row>
    <row r="668" spans="1:6" x14ac:dyDescent="0.3">
      <c r="A668">
        <v>1819</v>
      </c>
      <c r="B668" s="5">
        <v>6.5</v>
      </c>
      <c r="C668" s="5">
        <v>2</v>
      </c>
      <c r="D668" s="5">
        <v>7.4</v>
      </c>
      <c r="E668" s="5">
        <v>3.21</v>
      </c>
      <c r="F668" s="4" t="s">
        <v>15</v>
      </c>
    </row>
    <row r="669" spans="1:6" x14ac:dyDescent="0.3">
      <c r="A669">
        <v>1172</v>
      </c>
      <c r="B669" s="5">
        <v>7.333333333333333</v>
      </c>
      <c r="C669" s="5">
        <v>1.8333333333333333</v>
      </c>
      <c r="D669" s="5">
        <v>7.4000000000000012</v>
      </c>
      <c r="E669" s="5">
        <v>2.9925000000000002</v>
      </c>
      <c r="F669" s="4" t="s">
        <v>20</v>
      </c>
    </row>
    <row r="670" spans="1:6" x14ac:dyDescent="0.3">
      <c r="A670">
        <v>1226</v>
      </c>
      <c r="B670" s="5">
        <v>7.5</v>
      </c>
      <c r="C670" s="5">
        <v>1.8333333333333333</v>
      </c>
      <c r="D670" s="5">
        <v>7.416666666666667</v>
      </c>
      <c r="E670" s="5">
        <v>1.9825000000000004</v>
      </c>
      <c r="F670" s="4" t="s">
        <v>15</v>
      </c>
    </row>
    <row r="671" spans="1:6" x14ac:dyDescent="0.3">
      <c r="A671">
        <v>1419</v>
      </c>
      <c r="B671" s="5">
        <v>6.166666666666667</v>
      </c>
      <c r="C671" s="5">
        <v>1.5</v>
      </c>
      <c r="D671" s="5">
        <v>7.416666666666667</v>
      </c>
      <c r="E671" s="5">
        <v>1.5779999999999998</v>
      </c>
      <c r="F671" s="4" t="s">
        <v>20</v>
      </c>
    </row>
    <row r="672" spans="1:6" x14ac:dyDescent="0.3">
      <c r="A672">
        <v>1253</v>
      </c>
      <c r="B672" s="5">
        <v>4.375</v>
      </c>
      <c r="C672" s="5">
        <v>1.875</v>
      </c>
      <c r="D672" s="5">
        <v>7.4250000000000007</v>
      </c>
      <c r="E672" s="5">
        <v>1.8780000000000001</v>
      </c>
      <c r="F672" s="4" t="s">
        <v>15</v>
      </c>
    </row>
    <row r="673" spans="1:6" x14ac:dyDescent="0.3">
      <c r="A673">
        <v>1914</v>
      </c>
      <c r="B673" s="5">
        <v>5.7142857142857144</v>
      </c>
      <c r="C673" s="5">
        <v>1.8571428571428572</v>
      </c>
      <c r="D673" s="5">
        <v>7.4285714285714288</v>
      </c>
      <c r="E673" s="5">
        <v>2.1814285714285715</v>
      </c>
      <c r="F673" s="4" t="s">
        <v>20</v>
      </c>
    </row>
    <row r="674" spans="1:6" x14ac:dyDescent="0.3">
      <c r="A674">
        <v>1656</v>
      </c>
      <c r="B674" s="5">
        <v>7.333333333333333</v>
      </c>
      <c r="C674" s="5">
        <v>2</v>
      </c>
      <c r="D674" s="5">
        <v>7.4333333333333327</v>
      </c>
      <c r="E674" s="5">
        <v>2.9249999999999998</v>
      </c>
      <c r="F674" s="4" t="s">
        <v>20</v>
      </c>
    </row>
    <row r="675" spans="1:6" x14ac:dyDescent="0.3">
      <c r="A675">
        <v>1832</v>
      </c>
      <c r="B675" s="5">
        <v>7.333333333333333</v>
      </c>
      <c r="C675" s="5">
        <v>2.3333333333333335</v>
      </c>
      <c r="D675" s="5">
        <v>7.4333333333333327</v>
      </c>
      <c r="E675" s="5">
        <v>2.3449999999999998</v>
      </c>
      <c r="F675" s="4" t="s">
        <v>20</v>
      </c>
    </row>
    <row r="676" spans="1:6" x14ac:dyDescent="0.3">
      <c r="A676">
        <v>1460</v>
      </c>
      <c r="B676" s="5">
        <v>5</v>
      </c>
      <c r="C676" s="5">
        <v>2.6666666666666665</v>
      </c>
      <c r="D676" s="5">
        <v>7.4333333333333336</v>
      </c>
      <c r="E676" s="5">
        <v>2.81</v>
      </c>
      <c r="F676" s="4" t="s">
        <v>15</v>
      </c>
    </row>
    <row r="677" spans="1:6" x14ac:dyDescent="0.3">
      <c r="A677">
        <v>1902</v>
      </c>
      <c r="B677" s="5">
        <v>6.666666666666667</v>
      </c>
      <c r="C677" s="5">
        <v>1.3333333333333333</v>
      </c>
      <c r="D677" s="5">
        <v>7.4333333333333336</v>
      </c>
      <c r="E677" s="5">
        <v>2.1666666666666665</v>
      </c>
      <c r="F677" s="4" t="s">
        <v>20</v>
      </c>
    </row>
    <row r="678" spans="1:6" x14ac:dyDescent="0.3">
      <c r="A678">
        <v>1191</v>
      </c>
      <c r="B678" s="5">
        <v>4.8</v>
      </c>
      <c r="C678" s="5">
        <v>2</v>
      </c>
      <c r="D678" s="5">
        <v>7.44</v>
      </c>
      <c r="E678" s="5">
        <v>2.3666666666666667</v>
      </c>
      <c r="F678" s="4" t="s">
        <v>20</v>
      </c>
    </row>
    <row r="679" spans="1:6" x14ac:dyDescent="0.3">
      <c r="A679">
        <v>1593</v>
      </c>
      <c r="B679" s="5">
        <v>5.7142857142857144</v>
      </c>
      <c r="C679" s="5">
        <v>2</v>
      </c>
      <c r="D679" s="5">
        <v>7.4428571428571422</v>
      </c>
      <c r="E679" s="5">
        <v>2.4983333333333331</v>
      </c>
      <c r="F679" s="4" t="s">
        <v>15</v>
      </c>
    </row>
    <row r="680" spans="1:6" x14ac:dyDescent="0.3">
      <c r="A680">
        <v>1160</v>
      </c>
      <c r="B680" s="5">
        <v>6.7777777777777777</v>
      </c>
      <c r="C680" s="5">
        <v>2.4444444444444446</v>
      </c>
      <c r="D680" s="5">
        <v>7.4444444444444446</v>
      </c>
      <c r="E680" s="5">
        <v>2.6257142857142859</v>
      </c>
      <c r="F680" s="4" t="s">
        <v>20</v>
      </c>
    </row>
    <row r="681" spans="1:6" x14ac:dyDescent="0.3">
      <c r="A681">
        <v>1207</v>
      </c>
      <c r="B681" s="5">
        <v>5.25</v>
      </c>
      <c r="C681" s="5">
        <v>1.5</v>
      </c>
      <c r="D681" s="5">
        <v>7.4499999999999993</v>
      </c>
      <c r="E681" s="5">
        <v>2.3733333333333335</v>
      </c>
      <c r="F681" s="4" t="s">
        <v>15</v>
      </c>
    </row>
    <row r="682" spans="1:6" x14ac:dyDescent="0.3">
      <c r="A682">
        <v>1258</v>
      </c>
      <c r="B682" s="5">
        <v>5.5</v>
      </c>
      <c r="C682" s="5">
        <v>2.25</v>
      </c>
      <c r="D682" s="5">
        <v>7.4499999999999993</v>
      </c>
      <c r="E682" s="5">
        <v>2.7133333333333334</v>
      </c>
      <c r="F682" s="4" t="s">
        <v>15</v>
      </c>
    </row>
    <row r="683" spans="1:6" x14ac:dyDescent="0.3">
      <c r="A683">
        <v>1459</v>
      </c>
      <c r="B683" s="5">
        <v>4</v>
      </c>
      <c r="C683" s="5">
        <v>2.25</v>
      </c>
      <c r="D683" s="5">
        <v>7.4499999999999993</v>
      </c>
      <c r="E683" s="5">
        <v>2.3274999999999997</v>
      </c>
      <c r="F683" s="4" t="s">
        <v>15</v>
      </c>
    </row>
    <row r="684" spans="1:6" x14ac:dyDescent="0.3">
      <c r="A684">
        <v>1524</v>
      </c>
      <c r="B684" s="5">
        <v>7.5</v>
      </c>
      <c r="C684" s="5">
        <v>1.75</v>
      </c>
      <c r="D684" s="5">
        <v>7.4499999999999993</v>
      </c>
      <c r="E684" s="5">
        <v>1.6600000000000001</v>
      </c>
      <c r="F684" s="4" t="s">
        <v>15</v>
      </c>
    </row>
    <row r="685" spans="1:6" x14ac:dyDescent="0.3">
      <c r="A685">
        <v>1853</v>
      </c>
      <c r="B685" s="5">
        <v>5.5</v>
      </c>
      <c r="C685" s="5">
        <v>2.5</v>
      </c>
      <c r="D685" s="5">
        <v>7.4499999999999993</v>
      </c>
      <c r="E685" s="5">
        <v>3.33</v>
      </c>
      <c r="F685" s="4" t="s">
        <v>20</v>
      </c>
    </row>
    <row r="686" spans="1:6" x14ac:dyDescent="0.3">
      <c r="A686">
        <v>1175</v>
      </c>
      <c r="B686" s="5">
        <v>1.5</v>
      </c>
      <c r="C686" s="5">
        <v>3</v>
      </c>
      <c r="D686" s="5">
        <v>7.45</v>
      </c>
      <c r="E686" s="5">
        <v>1.84</v>
      </c>
      <c r="F686" s="4" t="s">
        <v>20</v>
      </c>
    </row>
    <row r="687" spans="1:6" x14ac:dyDescent="0.3">
      <c r="A687">
        <v>1021</v>
      </c>
      <c r="B687" s="5">
        <v>6.6</v>
      </c>
      <c r="C687" s="5">
        <v>2.8</v>
      </c>
      <c r="D687" s="5">
        <v>7.4599999999999991</v>
      </c>
      <c r="E687" s="5">
        <v>2.4966666666666666</v>
      </c>
      <c r="F687" s="4" t="s">
        <v>15</v>
      </c>
    </row>
    <row r="688" spans="1:6" x14ac:dyDescent="0.3">
      <c r="A688">
        <v>1267</v>
      </c>
      <c r="B688" s="5">
        <v>4.833333333333333</v>
      </c>
      <c r="C688" s="5">
        <v>1.6666666666666667</v>
      </c>
      <c r="D688" s="5">
        <v>7.4666666666666659</v>
      </c>
      <c r="E688" s="5">
        <v>2.3233333333333328</v>
      </c>
      <c r="F688" s="4" t="s">
        <v>20</v>
      </c>
    </row>
    <row r="689" spans="1:6" x14ac:dyDescent="0.3">
      <c r="A689">
        <v>1477</v>
      </c>
      <c r="B689" s="5">
        <v>4.666666666666667</v>
      </c>
      <c r="C689" s="5">
        <v>2.3333333333333335</v>
      </c>
      <c r="D689" s="5">
        <v>7.4666666666666659</v>
      </c>
      <c r="E689" s="5">
        <v>2.5666666666666664</v>
      </c>
      <c r="F689" s="4" t="s">
        <v>15</v>
      </c>
    </row>
    <row r="690" spans="1:6" x14ac:dyDescent="0.3">
      <c r="A690">
        <v>1877</v>
      </c>
      <c r="B690" s="5">
        <v>5.666666666666667</v>
      </c>
      <c r="C690" s="5">
        <v>2.3333333333333335</v>
      </c>
      <c r="D690" s="5">
        <v>7.4666666666666659</v>
      </c>
      <c r="E690" s="5">
        <v>3.0949999999999998</v>
      </c>
      <c r="F690" s="4" t="s">
        <v>20</v>
      </c>
    </row>
    <row r="691" spans="1:6" x14ac:dyDescent="0.3">
      <c r="A691">
        <v>1925</v>
      </c>
      <c r="B691" s="5">
        <v>5</v>
      </c>
      <c r="C691" s="5">
        <v>2.3333333333333335</v>
      </c>
      <c r="D691" s="5">
        <v>7.4666666666666659</v>
      </c>
      <c r="E691" s="5">
        <v>1.8</v>
      </c>
      <c r="F691" s="4" t="s">
        <v>20</v>
      </c>
    </row>
    <row r="692" spans="1:6" x14ac:dyDescent="0.3">
      <c r="A692">
        <v>1974</v>
      </c>
      <c r="B692" s="5">
        <v>4</v>
      </c>
      <c r="C692" s="5">
        <v>1.6666666666666667</v>
      </c>
      <c r="D692" s="5">
        <v>7.4666666666666659</v>
      </c>
      <c r="E692" s="5">
        <v>2.3766666666666669</v>
      </c>
      <c r="F692" s="4" t="s">
        <v>20</v>
      </c>
    </row>
    <row r="693" spans="1:6" x14ac:dyDescent="0.3">
      <c r="A693">
        <v>1920</v>
      </c>
      <c r="B693" s="5">
        <v>6.833333333333333</v>
      </c>
      <c r="C693" s="5">
        <v>2.1666666666666665</v>
      </c>
      <c r="D693" s="5">
        <v>7.4666666666666677</v>
      </c>
      <c r="E693" s="5">
        <v>2.9020000000000001</v>
      </c>
      <c r="F693" s="4" t="s">
        <v>15</v>
      </c>
    </row>
    <row r="694" spans="1:6" x14ac:dyDescent="0.3">
      <c r="A694">
        <v>1279</v>
      </c>
      <c r="B694" s="5">
        <v>6</v>
      </c>
      <c r="C694" s="5">
        <v>2.25</v>
      </c>
      <c r="D694" s="5">
        <v>7.4749999999999996</v>
      </c>
      <c r="E694" s="5">
        <v>1.6949999999999998</v>
      </c>
      <c r="F694" s="4" t="s">
        <v>20</v>
      </c>
    </row>
    <row r="695" spans="1:6" x14ac:dyDescent="0.3">
      <c r="A695">
        <v>1358</v>
      </c>
      <c r="B695" s="5">
        <v>4.75</v>
      </c>
      <c r="C695" s="5">
        <v>2.25</v>
      </c>
      <c r="D695" s="5">
        <v>7.4749999999999996</v>
      </c>
      <c r="E695" s="5">
        <v>2.2799999999999998</v>
      </c>
      <c r="F695" s="4" t="s">
        <v>20</v>
      </c>
    </row>
    <row r="696" spans="1:6" x14ac:dyDescent="0.3">
      <c r="A696">
        <v>1555</v>
      </c>
      <c r="B696" s="5">
        <v>5.5</v>
      </c>
      <c r="C696" s="5">
        <v>1.5</v>
      </c>
      <c r="D696" s="5">
        <v>7.4750000000000005</v>
      </c>
      <c r="E696" s="5">
        <v>2.8099999999999996</v>
      </c>
      <c r="F696" s="4" t="s">
        <v>15</v>
      </c>
    </row>
    <row r="697" spans="1:6" x14ac:dyDescent="0.3">
      <c r="A697">
        <v>1041</v>
      </c>
      <c r="B697" s="5">
        <v>6.6</v>
      </c>
      <c r="C697" s="5">
        <v>2.2000000000000002</v>
      </c>
      <c r="D697" s="5">
        <v>7.4800000000000013</v>
      </c>
      <c r="E697" s="5">
        <v>2.1749999999999998</v>
      </c>
      <c r="F697" s="4" t="s">
        <v>20</v>
      </c>
    </row>
    <row r="698" spans="1:6" x14ac:dyDescent="0.3">
      <c r="A698">
        <v>1703</v>
      </c>
      <c r="B698" s="5">
        <v>5.5</v>
      </c>
      <c r="C698" s="5">
        <v>1.6666666666666667</v>
      </c>
      <c r="D698" s="5">
        <v>7.4833333333333334</v>
      </c>
      <c r="E698" s="5">
        <v>2.0175000000000001</v>
      </c>
      <c r="F698" s="4" t="s">
        <v>15</v>
      </c>
    </row>
    <row r="699" spans="1:6" x14ac:dyDescent="0.3">
      <c r="A699">
        <v>1977</v>
      </c>
      <c r="B699" s="5">
        <v>8.3333333333333339</v>
      </c>
      <c r="C699" s="5">
        <v>2.3333333333333335</v>
      </c>
      <c r="D699" s="5">
        <v>7.4833333333333334</v>
      </c>
      <c r="E699" s="5">
        <v>2.5416666666666665</v>
      </c>
      <c r="F699" s="4" t="s">
        <v>20</v>
      </c>
    </row>
    <row r="700" spans="1:6" x14ac:dyDescent="0.3">
      <c r="A700">
        <v>1001</v>
      </c>
      <c r="B700" s="5">
        <v>6.166666666666667</v>
      </c>
      <c r="C700" s="5">
        <v>2.1666666666666665</v>
      </c>
      <c r="D700" s="5">
        <v>7.4833333333333343</v>
      </c>
      <c r="E700" s="5">
        <v>2.0333333333333332</v>
      </c>
      <c r="F700" s="4" t="s">
        <v>20</v>
      </c>
    </row>
    <row r="701" spans="1:6" x14ac:dyDescent="0.3">
      <c r="A701">
        <v>1799</v>
      </c>
      <c r="B701" s="5">
        <v>6</v>
      </c>
      <c r="C701" s="5">
        <v>1.5714285714285714</v>
      </c>
      <c r="D701" s="5">
        <v>7.4857142857142858</v>
      </c>
      <c r="E701" s="5">
        <v>2.2716666666666669</v>
      </c>
      <c r="F701" s="4" t="s">
        <v>20</v>
      </c>
    </row>
    <row r="702" spans="1:6" x14ac:dyDescent="0.3">
      <c r="A702">
        <v>1083</v>
      </c>
      <c r="B702" s="5">
        <v>5.375</v>
      </c>
      <c r="C702" s="5">
        <v>1.75</v>
      </c>
      <c r="D702" s="5">
        <v>7.4874999999999998</v>
      </c>
      <c r="E702" s="5">
        <v>2.5125000000000002</v>
      </c>
      <c r="F702" s="4" t="s">
        <v>15</v>
      </c>
    </row>
    <row r="703" spans="1:6" x14ac:dyDescent="0.3">
      <c r="A703">
        <v>1227</v>
      </c>
      <c r="B703" s="5">
        <v>4.75</v>
      </c>
      <c r="C703" s="5">
        <v>2.25</v>
      </c>
      <c r="D703" s="5">
        <v>7.4999999999999991</v>
      </c>
      <c r="E703" s="5">
        <v>2.7749999999999999</v>
      </c>
      <c r="F703" s="4" t="s">
        <v>20</v>
      </c>
    </row>
    <row r="704" spans="1:6" x14ac:dyDescent="0.3">
      <c r="A704">
        <v>1135</v>
      </c>
      <c r="B704" s="5">
        <v>4</v>
      </c>
      <c r="C704" s="5">
        <v>2</v>
      </c>
      <c r="D704" s="5">
        <v>7.5</v>
      </c>
      <c r="E704" s="5">
        <v>2.3199999999999998</v>
      </c>
      <c r="F704" s="4" t="s">
        <v>15</v>
      </c>
    </row>
    <row r="705" spans="1:6" x14ac:dyDescent="0.3">
      <c r="A705">
        <v>1266</v>
      </c>
      <c r="B705" s="5">
        <v>3</v>
      </c>
      <c r="C705" s="5">
        <v>2</v>
      </c>
      <c r="D705" s="5">
        <v>7.5</v>
      </c>
      <c r="E705" s="5">
        <v>2.44</v>
      </c>
      <c r="F705" s="4" t="s">
        <v>20</v>
      </c>
    </row>
    <row r="706" spans="1:6" x14ac:dyDescent="0.3">
      <c r="A706">
        <v>1330</v>
      </c>
      <c r="B706" s="5">
        <v>9</v>
      </c>
      <c r="C706" s="5">
        <v>3</v>
      </c>
      <c r="D706" s="5">
        <v>7.5</v>
      </c>
      <c r="E706" s="5">
        <v>2.31</v>
      </c>
      <c r="F706" s="4" t="s">
        <v>15</v>
      </c>
    </row>
    <row r="707" spans="1:6" x14ac:dyDescent="0.3">
      <c r="A707">
        <v>1446</v>
      </c>
      <c r="B707" s="5">
        <v>4</v>
      </c>
      <c r="C707" s="5">
        <v>2.6666666666666665</v>
      </c>
      <c r="D707" s="5">
        <v>7.5</v>
      </c>
      <c r="E707" s="5">
        <v>1.98</v>
      </c>
      <c r="F707" s="4" t="s">
        <v>20</v>
      </c>
    </row>
    <row r="708" spans="1:6" x14ac:dyDescent="0.3">
      <c r="A708">
        <v>1587</v>
      </c>
      <c r="B708" s="5">
        <v>7.2</v>
      </c>
      <c r="C708" s="5">
        <v>2.6</v>
      </c>
      <c r="D708" s="5">
        <v>7.5</v>
      </c>
      <c r="E708" s="5">
        <v>2.0149999999999997</v>
      </c>
      <c r="F708" s="4" t="s">
        <v>20</v>
      </c>
    </row>
    <row r="709" spans="1:6" x14ac:dyDescent="0.3">
      <c r="A709">
        <v>1630</v>
      </c>
      <c r="B709" s="5">
        <v>5.25</v>
      </c>
      <c r="C709" s="5">
        <v>1.75</v>
      </c>
      <c r="D709" s="5">
        <v>7.5</v>
      </c>
      <c r="E709" s="5">
        <v>2.48</v>
      </c>
      <c r="F709" s="4" t="s">
        <v>20</v>
      </c>
    </row>
    <row r="710" spans="1:6" x14ac:dyDescent="0.3">
      <c r="A710">
        <v>1643</v>
      </c>
      <c r="B710" s="5">
        <v>6.333333333333333</v>
      </c>
      <c r="C710" s="5">
        <v>1.3333333333333333</v>
      </c>
      <c r="D710" s="5">
        <v>7.5</v>
      </c>
      <c r="E710" s="5">
        <v>2.4066666666666667</v>
      </c>
      <c r="F710" s="4" t="s">
        <v>20</v>
      </c>
    </row>
    <row r="711" spans="1:6" x14ac:dyDescent="0.3">
      <c r="A711">
        <v>1836</v>
      </c>
      <c r="B711" s="5">
        <v>8</v>
      </c>
      <c r="C711" s="5">
        <v>1.3333333333333333</v>
      </c>
      <c r="D711" s="5">
        <v>7.5</v>
      </c>
      <c r="E711" s="5">
        <v>2.6066666666666669</v>
      </c>
      <c r="F711" s="4" t="s">
        <v>20</v>
      </c>
    </row>
    <row r="712" spans="1:6" x14ac:dyDescent="0.3">
      <c r="A712">
        <v>1039</v>
      </c>
      <c r="B712" s="5">
        <v>4</v>
      </c>
      <c r="C712" s="5">
        <v>1.6</v>
      </c>
      <c r="D712" s="5">
        <v>7.5200000000000005</v>
      </c>
      <c r="E712" s="5">
        <v>2.4799999999999995</v>
      </c>
      <c r="F712" s="4" t="s">
        <v>20</v>
      </c>
    </row>
    <row r="713" spans="1:6" x14ac:dyDescent="0.3">
      <c r="A713">
        <v>1915</v>
      </c>
      <c r="B713" s="5">
        <v>4.5</v>
      </c>
      <c r="C713" s="5">
        <v>1.75</v>
      </c>
      <c r="D713" s="5">
        <v>7.5249999999999995</v>
      </c>
      <c r="E713" s="5">
        <v>2.3925000000000001</v>
      </c>
      <c r="F713" s="4" t="s">
        <v>15</v>
      </c>
    </row>
    <row r="714" spans="1:6" x14ac:dyDescent="0.3">
      <c r="A714">
        <v>1570</v>
      </c>
      <c r="B714" s="5">
        <v>2.75</v>
      </c>
      <c r="C714" s="5">
        <v>2</v>
      </c>
      <c r="D714" s="5">
        <v>7.5250000000000004</v>
      </c>
      <c r="E714" s="5">
        <v>2.6675000000000004</v>
      </c>
      <c r="F714" s="4" t="s">
        <v>15</v>
      </c>
    </row>
    <row r="715" spans="1:6" x14ac:dyDescent="0.3">
      <c r="A715">
        <v>1917</v>
      </c>
      <c r="B715" s="5">
        <v>7</v>
      </c>
      <c r="C715" s="5">
        <v>2</v>
      </c>
      <c r="D715" s="5">
        <v>7.5250000000000004</v>
      </c>
      <c r="E715" s="5">
        <v>2.645</v>
      </c>
      <c r="F715" s="4" t="s">
        <v>20</v>
      </c>
    </row>
    <row r="716" spans="1:6" x14ac:dyDescent="0.3">
      <c r="A716">
        <v>1159</v>
      </c>
      <c r="B716" s="5">
        <v>6.1428571428571432</v>
      </c>
      <c r="C716" s="5">
        <v>2</v>
      </c>
      <c r="D716" s="5">
        <v>7.5285714285714294</v>
      </c>
      <c r="E716" s="5">
        <v>2.2349999999999999</v>
      </c>
      <c r="F716" s="4" t="s">
        <v>15</v>
      </c>
    </row>
    <row r="717" spans="1:6" x14ac:dyDescent="0.3">
      <c r="A717">
        <v>1699</v>
      </c>
      <c r="B717" s="5">
        <v>6.333333333333333</v>
      </c>
      <c r="C717" s="5">
        <v>2.1666666666666665</v>
      </c>
      <c r="D717" s="5">
        <v>7.5333333333333323</v>
      </c>
      <c r="E717" s="5">
        <v>2.4033333333333333</v>
      </c>
      <c r="F717" s="4" t="s">
        <v>15</v>
      </c>
    </row>
    <row r="718" spans="1:6" x14ac:dyDescent="0.3">
      <c r="A718">
        <v>1257</v>
      </c>
      <c r="B718" s="5">
        <v>4.5</v>
      </c>
      <c r="C718" s="5">
        <v>1.5</v>
      </c>
      <c r="D718" s="5">
        <v>7.55</v>
      </c>
      <c r="E718" s="5">
        <v>3.43</v>
      </c>
      <c r="F718" s="4" t="s">
        <v>15</v>
      </c>
    </row>
    <row r="719" spans="1:6" x14ac:dyDescent="0.3">
      <c r="A719">
        <v>1783</v>
      </c>
      <c r="B719" s="5">
        <v>8</v>
      </c>
      <c r="C719" s="5">
        <v>1.5</v>
      </c>
      <c r="D719" s="5">
        <v>7.55</v>
      </c>
      <c r="E719" s="5">
        <v>2.16</v>
      </c>
      <c r="F719" s="4" t="s">
        <v>20</v>
      </c>
    </row>
    <row r="720" spans="1:6" x14ac:dyDescent="0.3">
      <c r="A720">
        <v>1805</v>
      </c>
      <c r="B720" s="5">
        <v>5.5</v>
      </c>
      <c r="C720" s="5">
        <v>1.5</v>
      </c>
      <c r="D720" s="5">
        <v>7.55</v>
      </c>
      <c r="E720" s="5">
        <v>2.59</v>
      </c>
      <c r="F720" s="4" t="s">
        <v>15</v>
      </c>
    </row>
    <row r="721" spans="1:6" x14ac:dyDescent="0.3">
      <c r="A721">
        <v>1998</v>
      </c>
      <c r="B721" s="5">
        <v>6</v>
      </c>
      <c r="C721" s="5">
        <v>3</v>
      </c>
      <c r="D721" s="5">
        <v>7.55</v>
      </c>
      <c r="E721" s="5">
        <v>1.9750000000000001</v>
      </c>
      <c r="F721" s="4" t="s">
        <v>20</v>
      </c>
    </row>
    <row r="722" spans="1:6" x14ac:dyDescent="0.3">
      <c r="A722">
        <v>1189</v>
      </c>
      <c r="B722" s="5">
        <v>6.333333333333333</v>
      </c>
      <c r="C722" s="5">
        <v>2</v>
      </c>
      <c r="D722" s="5">
        <v>7.5500000000000007</v>
      </c>
      <c r="E722" s="5">
        <v>2.9449999999999998</v>
      </c>
      <c r="F722" s="4" t="s">
        <v>20</v>
      </c>
    </row>
    <row r="723" spans="1:6" x14ac:dyDescent="0.3">
      <c r="A723">
        <v>1361</v>
      </c>
      <c r="B723" s="5">
        <v>4.5</v>
      </c>
      <c r="C723" s="5">
        <v>1.5</v>
      </c>
      <c r="D723" s="5">
        <v>7.5500000000000007</v>
      </c>
      <c r="E723" s="5">
        <v>2.2649999999999997</v>
      </c>
      <c r="F723" s="4" t="s">
        <v>20</v>
      </c>
    </row>
    <row r="724" spans="1:6" x14ac:dyDescent="0.3">
      <c r="A724">
        <v>1776</v>
      </c>
      <c r="B724" s="5">
        <v>5</v>
      </c>
      <c r="C724" s="5">
        <v>2</v>
      </c>
      <c r="D724" s="5">
        <v>7.5500000000000007</v>
      </c>
      <c r="E724" s="5">
        <v>2.4950000000000001</v>
      </c>
      <c r="F724" s="4" t="s">
        <v>20</v>
      </c>
    </row>
    <row r="725" spans="1:6" x14ac:dyDescent="0.3">
      <c r="A725">
        <v>1129</v>
      </c>
      <c r="B725" s="5">
        <v>5</v>
      </c>
      <c r="C725" s="5">
        <v>2.1111111111111112</v>
      </c>
      <c r="D725" s="5">
        <v>7.5555555555555554</v>
      </c>
      <c r="E725" s="5">
        <v>2.6037500000000002</v>
      </c>
      <c r="F725" s="4" t="s">
        <v>15</v>
      </c>
    </row>
    <row r="726" spans="1:6" x14ac:dyDescent="0.3">
      <c r="A726">
        <v>1320</v>
      </c>
      <c r="B726" s="5">
        <v>4.333333333333333</v>
      </c>
      <c r="C726" s="5">
        <v>1.3333333333333333</v>
      </c>
      <c r="D726" s="5">
        <v>7.5666666666666664</v>
      </c>
      <c r="E726" s="5">
        <v>2.9350000000000001</v>
      </c>
      <c r="F726" s="4" t="s">
        <v>15</v>
      </c>
    </row>
    <row r="727" spans="1:6" x14ac:dyDescent="0.3">
      <c r="A727">
        <v>1462</v>
      </c>
      <c r="B727" s="5">
        <v>5.5</v>
      </c>
      <c r="C727" s="5">
        <v>2</v>
      </c>
      <c r="D727" s="5">
        <v>7.5666666666666664</v>
      </c>
      <c r="E727" s="5">
        <v>2.4150000000000005</v>
      </c>
      <c r="F727" s="4" t="s">
        <v>15</v>
      </c>
    </row>
    <row r="728" spans="1:6" x14ac:dyDescent="0.3">
      <c r="A728">
        <v>1547</v>
      </c>
      <c r="B728" s="5">
        <v>4.166666666666667</v>
      </c>
      <c r="C728" s="5">
        <v>2.3333333333333335</v>
      </c>
      <c r="D728" s="5">
        <v>7.5666666666666664</v>
      </c>
      <c r="E728" s="5">
        <v>2.6480000000000001</v>
      </c>
      <c r="F728" s="4" t="s">
        <v>20</v>
      </c>
    </row>
    <row r="729" spans="1:6" x14ac:dyDescent="0.3">
      <c r="A729">
        <v>1658</v>
      </c>
      <c r="B729" s="5">
        <v>2</v>
      </c>
      <c r="C729" s="5">
        <v>1.6666666666666667</v>
      </c>
      <c r="D729" s="5">
        <v>7.5666666666666664</v>
      </c>
      <c r="E729" s="5">
        <v>1.94</v>
      </c>
      <c r="F729" s="4" t="s">
        <v>20</v>
      </c>
    </row>
    <row r="730" spans="1:6" x14ac:dyDescent="0.3">
      <c r="A730">
        <v>1944</v>
      </c>
      <c r="B730" s="5">
        <v>4.666666666666667</v>
      </c>
      <c r="C730" s="5">
        <v>2.3333333333333335</v>
      </c>
      <c r="D730" s="5">
        <v>7.5666666666666673</v>
      </c>
      <c r="E730" s="5">
        <v>2.5299999999999998</v>
      </c>
      <c r="F730" s="4" t="s">
        <v>15</v>
      </c>
    </row>
    <row r="731" spans="1:6" x14ac:dyDescent="0.3">
      <c r="A731">
        <v>1690</v>
      </c>
      <c r="B731" s="5">
        <v>6.5</v>
      </c>
      <c r="C731" s="5">
        <v>2</v>
      </c>
      <c r="D731" s="5">
        <v>7.5750000000000002</v>
      </c>
      <c r="E731" s="5">
        <v>2.41</v>
      </c>
      <c r="F731" s="4" t="s">
        <v>15</v>
      </c>
    </row>
    <row r="732" spans="1:6" x14ac:dyDescent="0.3">
      <c r="A732">
        <v>1154</v>
      </c>
      <c r="B732" s="5">
        <v>6</v>
      </c>
      <c r="C732" s="5">
        <v>2.5</v>
      </c>
      <c r="D732" s="5">
        <v>7.6</v>
      </c>
      <c r="E732" s="5">
        <v>2.57</v>
      </c>
      <c r="F732" s="4" t="s">
        <v>20</v>
      </c>
    </row>
    <row r="733" spans="1:6" x14ac:dyDescent="0.3">
      <c r="A733">
        <v>1194</v>
      </c>
      <c r="B733" s="5">
        <v>5.25</v>
      </c>
      <c r="C733" s="5">
        <v>1.75</v>
      </c>
      <c r="D733" s="5">
        <v>7.6</v>
      </c>
      <c r="E733" s="5">
        <v>2.4033333333333338</v>
      </c>
      <c r="F733" s="4" t="s">
        <v>20</v>
      </c>
    </row>
    <row r="734" spans="1:6" x14ac:dyDescent="0.3">
      <c r="A734">
        <v>1248</v>
      </c>
      <c r="B734" s="5">
        <v>4.5</v>
      </c>
      <c r="C734" s="5">
        <v>1.5</v>
      </c>
      <c r="D734" s="5">
        <v>7.6</v>
      </c>
      <c r="E734" s="5">
        <v>2.72</v>
      </c>
      <c r="F734" s="4" t="s">
        <v>15</v>
      </c>
    </row>
    <row r="735" spans="1:6" x14ac:dyDescent="0.3">
      <c r="A735">
        <v>1464</v>
      </c>
      <c r="B735" s="5">
        <v>2</v>
      </c>
      <c r="C735" s="5">
        <v>2</v>
      </c>
      <c r="D735" s="5">
        <v>7.6</v>
      </c>
      <c r="E735" s="5">
        <v>2.2200000000000002</v>
      </c>
      <c r="F735" s="4" t="s">
        <v>15</v>
      </c>
    </row>
    <row r="736" spans="1:6" x14ac:dyDescent="0.3">
      <c r="A736">
        <v>1513</v>
      </c>
      <c r="B736" s="5">
        <v>5.5</v>
      </c>
      <c r="C736" s="5">
        <v>2</v>
      </c>
      <c r="D736" s="5">
        <v>7.6</v>
      </c>
      <c r="E736" s="5">
        <v>2.8849999999999998</v>
      </c>
      <c r="F736" s="4" t="s">
        <v>15</v>
      </c>
    </row>
    <row r="737" spans="1:6" x14ac:dyDescent="0.3">
      <c r="A737">
        <v>1538</v>
      </c>
      <c r="B737" s="5">
        <v>4.25</v>
      </c>
      <c r="C737" s="5">
        <v>2.25</v>
      </c>
      <c r="D737" s="5">
        <v>7.6</v>
      </c>
      <c r="E737" s="5">
        <v>2.4975000000000001</v>
      </c>
      <c r="F737" s="4" t="s">
        <v>20</v>
      </c>
    </row>
    <row r="738" spans="1:6" x14ac:dyDescent="0.3">
      <c r="A738">
        <v>1741</v>
      </c>
      <c r="B738" s="5">
        <v>7</v>
      </c>
      <c r="C738" s="5">
        <v>3</v>
      </c>
      <c r="D738" s="5">
        <v>7.6</v>
      </c>
      <c r="E738" s="5">
        <v>3.24</v>
      </c>
      <c r="F738" s="4" t="s">
        <v>15</v>
      </c>
    </row>
    <row r="739" spans="1:6" x14ac:dyDescent="0.3">
      <c r="A739">
        <v>1892</v>
      </c>
      <c r="B739" s="5">
        <v>8</v>
      </c>
      <c r="C739" s="5">
        <v>1.5</v>
      </c>
      <c r="D739" s="5">
        <v>7.6</v>
      </c>
      <c r="E739" s="5">
        <v>2.2650000000000001</v>
      </c>
      <c r="F739" s="4" t="s">
        <v>15</v>
      </c>
    </row>
    <row r="740" spans="1:6" x14ac:dyDescent="0.3">
      <c r="A740">
        <v>1581</v>
      </c>
      <c r="B740" s="5">
        <v>5.333333333333333</v>
      </c>
      <c r="C740" s="5">
        <v>2</v>
      </c>
      <c r="D740" s="5">
        <v>7.6000000000000005</v>
      </c>
      <c r="E740" s="5">
        <v>3.186666666666667</v>
      </c>
      <c r="F740" s="4" t="s">
        <v>20</v>
      </c>
    </row>
    <row r="741" spans="1:6" x14ac:dyDescent="0.3">
      <c r="A741">
        <v>1215</v>
      </c>
      <c r="B741" s="5">
        <v>5.4285714285714288</v>
      </c>
      <c r="C741" s="5">
        <v>2.1428571428571428</v>
      </c>
      <c r="D741" s="5">
        <v>7.6142857142857148</v>
      </c>
      <c r="E741" s="5">
        <v>2.5914285714285712</v>
      </c>
      <c r="F741" s="4" t="s">
        <v>20</v>
      </c>
    </row>
    <row r="742" spans="1:6" x14ac:dyDescent="0.3">
      <c r="A742">
        <v>1514</v>
      </c>
      <c r="B742" s="5">
        <v>6</v>
      </c>
      <c r="C742" s="5">
        <v>2.4</v>
      </c>
      <c r="D742" s="5">
        <v>7.62</v>
      </c>
      <c r="E742" s="5">
        <v>2.8619999999999997</v>
      </c>
      <c r="F742" s="4" t="s">
        <v>15</v>
      </c>
    </row>
    <row r="743" spans="1:6" x14ac:dyDescent="0.3">
      <c r="A743">
        <v>1733</v>
      </c>
      <c r="B743" s="5">
        <v>6.666666666666667</v>
      </c>
      <c r="C743" s="5">
        <v>2</v>
      </c>
      <c r="D743" s="5">
        <v>7.6333333333333329</v>
      </c>
      <c r="E743" s="5">
        <v>2.0699999999999998</v>
      </c>
      <c r="F743" s="4" t="s">
        <v>15</v>
      </c>
    </row>
    <row r="744" spans="1:6" x14ac:dyDescent="0.3">
      <c r="A744">
        <v>1242</v>
      </c>
      <c r="B744" s="5">
        <v>7.333333333333333</v>
      </c>
      <c r="C744" s="5">
        <v>2.3333333333333335</v>
      </c>
      <c r="D744" s="5">
        <v>7.6333333333333337</v>
      </c>
      <c r="E744" s="5">
        <v>2.39</v>
      </c>
      <c r="F744" s="4" t="s">
        <v>20</v>
      </c>
    </row>
    <row r="745" spans="1:6" x14ac:dyDescent="0.3">
      <c r="A745">
        <v>1993</v>
      </c>
      <c r="B745" s="5">
        <v>5.166666666666667</v>
      </c>
      <c r="C745" s="5">
        <v>2</v>
      </c>
      <c r="D745" s="5">
        <v>7.6333333333333337</v>
      </c>
      <c r="E745" s="5">
        <v>2.778</v>
      </c>
      <c r="F745" s="4" t="s">
        <v>15</v>
      </c>
    </row>
    <row r="746" spans="1:6" x14ac:dyDescent="0.3">
      <c r="A746">
        <v>1043</v>
      </c>
      <c r="B746" s="5">
        <v>6</v>
      </c>
      <c r="C746" s="5">
        <v>2.5</v>
      </c>
      <c r="D746" s="5">
        <v>7.65</v>
      </c>
      <c r="E746" s="5">
        <v>2.92</v>
      </c>
      <c r="F746" s="4" t="s">
        <v>20</v>
      </c>
    </row>
    <row r="747" spans="1:6" x14ac:dyDescent="0.3">
      <c r="A747">
        <v>1095</v>
      </c>
      <c r="B747" s="5">
        <v>5.75</v>
      </c>
      <c r="C747" s="5">
        <v>2</v>
      </c>
      <c r="D747" s="5">
        <v>7.65</v>
      </c>
      <c r="E747" s="5">
        <v>3.3</v>
      </c>
      <c r="F747" s="4" t="s">
        <v>15</v>
      </c>
    </row>
    <row r="748" spans="1:6" x14ac:dyDescent="0.3">
      <c r="A748">
        <v>1176</v>
      </c>
      <c r="B748" s="5">
        <v>8.25</v>
      </c>
      <c r="C748" s="5">
        <v>2</v>
      </c>
      <c r="D748" s="5">
        <v>7.65</v>
      </c>
      <c r="E748" s="5">
        <v>2.3449999999999998</v>
      </c>
      <c r="F748" s="4" t="s">
        <v>15</v>
      </c>
    </row>
    <row r="749" spans="1:6" x14ac:dyDescent="0.3">
      <c r="A749">
        <v>1938</v>
      </c>
      <c r="B749" s="5">
        <v>8.25</v>
      </c>
      <c r="C749" s="5">
        <v>2.25</v>
      </c>
      <c r="D749" s="5">
        <v>7.65</v>
      </c>
      <c r="E749" s="5">
        <v>2.4775</v>
      </c>
      <c r="F749" s="4" t="s">
        <v>15</v>
      </c>
    </row>
    <row r="750" spans="1:6" x14ac:dyDescent="0.3">
      <c r="A750">
        <v>1921</v>
      </c>
      <c r="B750" s="5">
        <v>5</v>
      </c>
      <c r="C750" s="5">
        <v>2.6666666666666665</v>
      </c>
      <c r="D750" s="5">
        <v>7.666666666666667</v>
      </c>
      <c r="E750" s="5">
        <v>2.4566666666666666</v>
      </c>
      <c r="F750" s="4" t="s">
        <v>15</v>
      </c>
    </row>
    <row r="751" spans="1:6" x14ac:dyDescent="0.3">
      <c r="A751">
        <v>1010</v>
      </c>
      <c r="B751" s="5">
        <v>7</v>
      </c>
      <c r="C751" s="5">
        <v>1.75</v>
      </c>
      <c r="D751" s="5">
        <v>7.6749999999999989</v>
      </c>
      <c r="E751" s="5">
        <v>2.4224999999999999</v>
      </c>
      <c r="F751" s="4" t="s">
        <v>15</v>
      </c>
    </row>
    <row r="752" spans="1:6" x14ac:dyDescent="0.3">
      <c r="A752">
        <v>1080</v>
      </c>
      <c r="B752" s="5">
        <v>4.75</v>
      </c>
      <c r="C752" s="5">
        <v>1.75</v>
      </c>
      <c r="D752" s="5">
        <v>7.6749999999999998</v>
      </c>
      <c r="E752" s="5">
        <v>2.16</v>
      </c>
      <c r="F752" s="4" t="s">
        <v>15</v>
      </c>
    </row>
    <row r="753" spans="1:6" x14ac:dyDescent="0.3">
      <c r="A753">
        <v>1922</v>
      </c>
      <c r="B753" s="5">
        <v>7.5</v>
      </c>
      <c r="C753" s="5">
        <v>1.5</v>
      </c>
      <c r="D753" s="5">
        <v>7.6750000000000007</v>
      </c>
      <c r="E753" s="5">
        <v>2.5433333333333334</v>
      </c>
      <c r="F753" s="4" t="s">
        <v>15</v>
      </c>
    </row>
    <row r="754" spans="1:6" x14ac:dyDescent="0.3">
      <c r="A754">
        <v>1444</v>
      </c>
      <c r="B754" s="5">
        <v>5</v>
      </c>
      <c r="C754" s="5">
        <v>2</v>
      </c>
      <c r="D754" s="5">
        <v>7.68</v>
      </c>
      <c r="E754" s="5">
        <v>2.2599999999999998</v>
      </c>
      <c r="F754" s="4" t="s">
        <v>15</v>
      </c>
    </row>
    <row r="755" spans="1:6" x14ac:dyDescent="0.3">
      <c r="A755">
        <v>1288</v>
      </c>
      <c r="B755" s="5">
        <v>6.125</v>
      </c>
      <c r="C755" s="5">
        <v>2.125</v>
      </c>
      <c r="D755" s="5">
        <v>7.6875</v>
      </c>
      <c r="E755" s="5">
        <v>2.6471428571428568</v>
      </c>
      <c r="F755" s="4" t="s">
        <v>15</v>
      </c>
    </row>
    <row r="756" spans="1:6" x14ac:dyDescent="0.3">
      <c r="A756">
        <v>1075</v>
      </c>
      <c r="B756" s="5">
        <v>6.25</v>
      </c>
      <c r="C756" s="5">
        <v>2</v>
      </c>
      <c r="D756" s="5">
        <v>7.6999999999999993</v>
      </c>
      <c r="E756" s="5">
        <v>2.7750000000000004</v>
      </c>
      <c r="F756" s="4" t="s">
        <v>15</v>
      </c>
    </row>
    <row r="757" spans="1:6" x14ac:dyDescent="0.3">
      <c r="A757">
        <v>1750</v>
      </c>
      <c r="B757" s="5">
        <v>4.5</v>
      </c>
      <c r="C757" s="5">
        <v>1.25</v>
      </c>
      <c r="D757" s="5">
        <v>7.6999999999999993</v>
      </c>
      <c r="E757" s="5">
        <v>2.33</v>
      </c>
      <c r="F757" s="4" t="s">
        <v>20</v>
      </c>
    </row>
    <row r="758" spans="1:6" x14ac:dyDescent="0.3">
      <c r="A758">
        <v>1973</v>
      </c>
      <c r="B758" s="5">
        <v>4.5</v>
      </c>
      <c r="C758" s="5">
        <v>1.5</v>
      </c>
      <c r="D758" s="5">
        <v>7.6999999999999993</v>
      </c>
      <c r="E758" s="5">
        <v>2.35</v>
      </c>
      <c r="F758" s="4" t="s">
        <v>15</v>
      </c>
    </row>
    <row r="759" spans="1:6" x14ac:dyDescent="0.3">
      <c r="A759">
        <v>1017</v>
      </c>
      <c r="B759" s="5">
        <v>5.5</v>
      </c>
      <c r="C759" s="5">
        <v>1</v>
      </c>
      <c r="D759" s="5">
        <v>7.7</v>
      </c>
      <c r="E759" s="5">
        <v>3.01</v>
      </c>
      <c r="F759" s="4" t="s">
        <v>20</v>
      </c>
    </row>
    <row r="760" spans="1:6" x14ac:dyDescent="0.3">
      <c r="A760">
        <v>1261</v>
      </c>
      <c r="B760" s="5">
        <v>4</v>
      </c>
      <c r="C760" s="5">
        <v>3</v>
      </c>
      <c r="D760" s="5">
        <v>7.7</v>
      </c>
      <c r="E760" s="5">
        <v>2.4500000000000002</v>
      </c>
      <c r="F760" s="4" t="s">
        <v>15</v>
      </c>
    </row>
    <row r="761" spans="1:6" x14ac:dyDescent="0.3">
      <c r="A761">
        <v>1422</v>
      </c>
      <c r="B761" s="5">
        <v>5</v>
      </c>
      <c r="C761" s="5">
        <v>2</v>
      </c>
      <c r="D761" s="5">
        <v>7.7</v>
      </c>
      <c r="E761" s="5">
        <v>2.15</v>
      </c>
      <c r="F761" s="4" t="s">
        <v>20</v>
      </c>
    </row>
    <row r="762" spans="1:6" x14ac:dyDescent="0.3">
      <c r="A762">
        <v>1629</v>
      </c>
      <c r="B762" s="5">
        <v>4.2</v>
      </c>
      <c r="C762" s="5">
        <v>2</v>
      </c>
      <c r="D762" s="5">
        <v>7.7</v>
      </c>
      <c r="E762" s="5">
        <v>2.61</v>
      </c>
      <c r="F762" s="4" t="s">
        <v>15</v>
      </c>
    </row>
    <row r="763" spans="1:6" x14ac:dyDescent="0.3">
      <c r="A763">
        <v>1829</v>
      </c>
      <c r="B763" s="5">
        <v>9</v>
      </c>
      <c r="C763" s="5">
        <v>2</v>
      </c>
      <c r="D763" s="5">
        <v>7.7</v>
      </c>
      <c r="E763" s="5">
        <v>1.1499999999999999</v>
      </c>
      <c r="F763" s="4" t="s">
        <v>20</v>
      </c>
    </row>
    <row r="764" spans="1:6" x14ac:dyDescent="0.3">
      <c r="A764">
        <v>1984</v>
      </c>
      <c r="B764" s="5">
        <v>6.833333333333333</v>
      </c>
      <c r="C764" s="5">
        <v>2</v>
      </c>
      <c r="D764" s="5">
        <v>7.7166666666666659</v>
      </c>
      <c r="E764" s="5">
        <v>2.1116666666666668</v>
      </c>
      <c r="F764" s="4" t="s">
        <v>20</v>
      </c>
    </row>
    <row r="765" spans="1:6" x14ac:dyDescent="0.3">
      <c r="A765">
        <v>1035</v>
      </c>
      <c r="B765" s="5">
        <v>4.25</v>
      </c>
      <c r="C765" s="5">
        <v>2</v>
      </c>
      <c r="D765" s="5">
        <v>7.7250000000000005</v>
      </c>
      <c r="E765" s="5">
        <v>2.915</v>
      </c>
      <c r="F765" s="4" t="s">
        <v>20</v>
      </c>
    </row>
    <row r="766" spans="1:6" x14ac:dyDescent="0.3">
      <c r="A766">
        <v>1771</v>
      </c>
      <c r="B766" s="5">
        <v>6.75</v>
      </c>
      <c r="C766" s="5">
        <v>2.5</v>
      </c>
      <c r="D766" s="5">
        <v>7.7250000000000005</v>
      </c>
      <c r="E766" s="5">
        <v>2.3199999999999998</v>
      </c>
      <c r="F766" s="4" t="s">
        <v>15</v>
      </c>
    </row>
    <row r="767" spans="1:6" x14ac:dyDescent="0.3">
      <c r="A767">
        <v>1814</v>
      </c>
      <c r="B767" s="5">
        <v>5.1428571428571432</v>
      </c>
      <c r="C767" s="5">
        <v>2.2857142857142856</v>
      </c>
      <c r="D767" s="5">
        <v>7.7285714285714286</v>
      </c>
      <c r="E767" s="5">
        <v>2.7039999999999997</v>
      </c>
      <c r="F767" s="4" t="s">
        <v>20</v>
      </c>
    </row>
    <row r="768" spans="1:6" x14ac:dyDescent="0.3">
      <c r="A768">
        <v>1084</v>
      </c>
      <c r="B768" s="5">
        <v>6</v>
      </c>
      <c r="C768" s="5">
        <v>2.3333333333333335</v>
      </c>
      <c r="D768" s="5">
        <v>7.7333333333333334</v>
      </c>
      <c r="E768" s="5">
        <v>1.96</v>
      </c>
      <c r="F768" s="4" t="s">
        <v>20</v>
      </c>
    </row>
    <row r="769" spans="1:6" x14ac:dyDescent="0.3">
      <c r="A769">
        <v>1097</v>
      </c>
      <c r="B769" s="5">
        <v>4</v>
      </c>
      <c r="C769" s="5">
        <v>1.6666666666666667</v>
      </c>
      <c r="D769" s="5">
        <v>7.7333333333333343</v>
      </c>
      <c r="E769" s="5">
        <v>2.4900000000000002</v>
      </c>
      <c r="F769" s="4" t="s">
        <v>20</v>
      </c>
    </row>
    <row r="770" spans="1:6" x14ac:dyDescent="0.3">
      <c r="A770">
        <v>1442</v>
      </c>
      <c r="B770" s="5">
        <v>7.333333333333333</v>
      </c>
      <c r="C770" s="5">
        <v>2</v>
      </c>
      <c r="D770" s="5">
        <v>7.7333333333333343</v>
      </c>
      <c r="E770" s="5">
        <v>3.1633333333333336</v>
      </c>
      <c r="F770" s="4" t="s">
        <v>15</v>
      </c>
    </row>
    <row r="771" spans="1:6" x14ac:dyDescent="0.3">
      <c r="A771">
        <v>1706</v>
      </c>
      <c r="B771" s="5">
        <v>8</v>
      </c>
      <c r="C771" s="5">
        <v>2</v>
      </c>
      <c r="D771" s="5">
        <v>7.7333333333333343</v>
      </c>
      <c r="E771" s="5">
        <v>2.6666666666666665</v>
      </c>
      <c r="F771" s="4" t="s">
        <v>15</v>
      </c>
    </row>
    <row r="772" spans="1:6" x14ac:dyDescent="0.3">
      <c r="A772">
        <v>1079</v>
      </c>
      <c r="B772" s="5">
        <v>5</v>
      </c>
      <c r="C772" s="5">
        <v>2.5</v>
      </c>
      <c r="D772" s="5">
        <v>7.75</v>
      </c>
      <c r="E772" s="5">
        <v>3.42</v>
      </c>
      <c r="F772" s="4" t="s">
        <v>20</v>
      </c>
    </row>
    <row r="773" spans="1:6" x14ac:dyDescent="0.3">
      <c r="A773">
        <v>1506</v>
      </c>
      <c r="B773" s="5">
        <v>4.5</v>
      </c>
      <c r="C773" s="5">
        <v>2</v>
      </c>
      <c r="D773" s="5">
        <v>7.75</v>
      </c>
      <c r="E773" s="5">
        <v>2.2350000000000003</v>
      </c>
      <c r="F773" s="4" t="s">
        <v>15</v>
      </c>
    </row>
    <row r="774" spans="1:6" x14ac:dyDescent="0.3">
      <c r="A774">
        <v>1608</v>
      </c>
      <c r="B774" s="5">
        <v>5.5</v>
      </c>
      <c r="C774" s="5">
        <v>2</v>
      </c>
      <c r="D774" s="5">
        <v>7.75</v>
      </c>
      <c r="E774" s="5">
        <v>2.37</v>
      </c>
      <c r="F774" s="4" t="s">
        <v>20</v>
      </c>
    </row>
    <row r="775" spans="1:6" x14ac:dyDescent="0.3">
      <c r="A775">
        <v>1744</v>
      </c>
      <c r="B775" s="5">
        <v>5</v>
      </c>
      <c r="C775" s="5">
        <v>2</v>
      </c>
      <c r="D775" s="5">
        <v>7.75</v>
      </c>
      <c r="E775" s="5">
        <v>2.125</v>
      </c>
      <c r="F775" s="4" t="s">
        <v>20</v>
      </c>
    </row>
    <row r="776" spans="1:6" x14ac:dyDescent="0.3">
      <c r="A776">
        <v>1822</v>
      </c>
      <c r="B776" s="5">
        <v>5.75</v>
      </c>
      <c r="C776" s="5">
        <v>2.5</v>
      </c>
      <c r="D776" s="5">
        <v>7.75</v>
      </c>
      <c r="E776" s="5">
        <v>2.6300000000000003</v>
      </c>
      <c r="F776" s="4" t="s">
        <v>20</v>
      </c>
    </row>
    <row r="777" spans="1:6" x14ac:dyDescent="0.3">
      <c r="A777">
        <v>1054</v>
      </c>
      <c r="B777" s="5">
        <v>6.6</v>
      </c>
      <c r="C777" s="5">
        <v>1.6</v>
      </c>
      <c r="D777" s="5">
        <v>7.76</v>
      </c>
      <c r="E777" s="5">
        <v>2.4339999999999997</v>
      </c>
      <c r="F777" s="4" t="s">
        <v>15</v>
      </c>
    </row>
    <row r="778" spans="1:6" x14ac:dyDescent="0.3">
      <c r="A778">
        <v>1127</v>
      </c>
      <c r="B778" s="5">
        <v>7.8</v>
      </c>
      <c r="C778" s="5">
        <v>2</v>
      </c>
      <c r="D778" s="5">
        <v>7.76</v>
      </c>
      <c r="E778" s="5">
        <v>2.62</v>
      </c>
      <c r="F778" s="4" t="s">
        <v>20</v>
      </c>
    </row>
    <row r="779" spans="1:6" x14ac:dyDescent="0.3">
      <c r="A779">
        <v>1465</v>
      </c>
      <c r="B779" s="5">
        <v>7.2</v>
      </c>
      <c r="C779" s="5">
        <v>1.4</v>
      </c>
      <c r="D779" s="5">
        <v>7.76</v>
      </c>
      <c r="E779" s="5">
        <v>3.0375000000000001</v>
      </c>
      <c r="F779" s="4" t="s">
        <v>15</v>
      </c>
    </row>
    <row r="780" spans="1:6" x14ac:dyDescent="0.3">
      <c r="A780">
        <v>1954</v>
      </c>
      <c r="B780" s="5">
        <v>5.8</v>
      </c>
      <c r="C780" s="5">
        <v>2</v>
      </c>
      <c r="D780" s="5">
        <v>7.76</v>
      </c>
      <c r="E780" s="5">
        <v>2.1719999999999997</v>
      </c>
      <c r="F780" s="4" t="s">
        <v>15</v>
      </c>
    </row>
    <row r="781" spans="1:6" x14ac:dyDescent="0.3">
      <c r="A781">
        <v>1157</v>
      </c>
      <c r="B781" s="5">
        <v>3.3333333333333335</v>
      </c>
      <c r="C781" s="5">
        <v>1.6666666666666667</v>
      </c>
      <c r="D781" s="5">
        <v>7.7666666666666657</v>
      </c>
      <c r="E781" s="5">
        <v>1.78</v>
      </c>
      <c r="F781" s="4" t="s">
        <v>20</v>
      </c>
    </row>
    <row r="782" spans="1:6" x14ac:dyDescent="0.3">
      <c r="A782">
        <v>1125</v>
      </c>
      <c r="B782" s="5">
        <v>6.75</v>
      </c>
      <c r="C782" s="5">
        <v>2.5</v>
      </c>
      <c r="D782" s="5">
        <v>7.7750000000000004</v>
      </c>
      <c r="E782" s="5">
        <v>2.73</v>
      </c>
      <c r="F782" s="4" t="s">
        <v>15</v>
      </c>
    </row>
    <row r="783" spans="1:6" x14ac:dyDescent="0.3">
      <c r="A783">
        <v>1436</v>
      </c>
      <c r="B783" s="5">
        <v>4.25</v>
      </c>
      <c r="C783" s="5">
        <v>2</v>
      </c>
      <c r="D783" s="5">
        <v>7.7750000000000004</v>
      </c>
      <c r="E783" s="5">
        <v>2.7366666666666668</v>
      </c>
      <c r="F783" s="4" t="s">
        <v>15</v>
      </c>
    </row>
    <row r="784" spans="1:6" x14ac:dyDescent="0.3">
      <c r="A784">
        <v>1072</v>
      </c>
      <c r="B784" s="5">
        <v>4.8</v>
      </c>
      <c r="C784" s="5">
        <v>1.4</v>
      </c>
      <c r="D784" s="5">
        <v>7.7800000000000011</v>
      </c>
      <c r="E784" s="5">
        <v>2</v>
      </c>
      <c r="F784" s="4" t="s">
        <v>20</v>
      </c>
    </row>
    <row r="785" spans="1:6" x14ac:dyDescent="0.3">
      <c r="A785">
        <v>1573</v>
      </c>
      <c r="B785" s="5">
        <v>5.5</v>
      </c>
      <c r="C785" s="5">
        <v>1.5</v>
      </c>
      <c r="D785" s="5">
        <v>7.7999999999999989</v>
      </c>
      <c r="E785" s="5">
        <v>2.4300000000000002</v>
      </c>
      <c r="F785" s="4" t="s">
        <v>15</v>
      </c>
    </row>
    <row r="786" spans="1:6" x14ac:dyDescent="0.3">
      <c r="A786">
        <v>1029</v>
      </c>
      <c r="B786" s="5">
        <v>10</v>
      </c>
      <c r="C786" s="5">
        <v>3</v>
      </c>
      <c r="D786" s="5">
        <v>7.8</v>
      </c>
      <c r="E786" s="5">
        <v>1.87</v>
      </c>
      <c r="F786" s="4" t="s">
        <v>15</v>
      </c>
    </row>
    <row r="787" spans="1:6" x14ac:dyDescent="0.3">
      <c r="A787">
        <v>1031</v>
      </c>
      <c r="B787" s="5">
        <v>2</v>
      </c>
      <c r="C787" s="5">
        <v>3</v>
      </c>
      <c r="D787" s="5">
        <v>7.8</v>
      </c>
      <c r="E787" s="5">
        <v>2.97</v>
      </c>
      <c r="F787" s="4" t="s">
        <v>20</v>
      </c>
    </row>
    <row r="788" spans="1:6" x14ac:dyDescent="0.3">
      <c r="A788">
        <v>1120</v>
      </c>
      <c r="B788" s="5">
        <v>2</v>
      </c>
      <c r="C788" s="5">
        <v>1.5</v>
      </c>
      <c r="D788" s="5">
        <v>7.8</v>
      </c>
      <c r="E788" s="5">
        <v>2.59</v>
      </c>
      <c r="F788" s="4" t="s">
        <v>15</v>
      </c>
    </row>
    <row r="789" spans="1:6" x14ac:dyDescent="0.3">
      <c r="A789">
        <v>1318</v>
      </c>
      <c r="B789" s="5">
        <v>9</v>
      </c>
      <c r="C789" s="5">
        <v>2</v>
      </c>
      <c r="D789" s="5">
        <v>7.8</v>
      </c>
      <c r="E789" s="5">
        <v>1.8133333333333332</v>
      </c>
      <c r="F789" s="4" t="s">
        <v>15</v>
      </c>
    </row>
    <row r="790" spans="1:6" x14ac:dyDescent="0.3">
      <c r="A790">
        <v>1420</v>
      </c>
      <c r="B790" s="5">
        <v>8</v>
      </c>
      <c r="C790" s="5">
        <v>2</v>
      </c>
      <c r="D790" s="5">
        <v>7.8</v>
      </c>
      <c r="E790" s="5">
        <v>2.66</v>
      </c>
      <c r="F790" s="4" t="s">
        <v>20</v>
      </c>
    </row>
    <row r="791" spans="1:6" x14ac:dyDescent="0.3">
      <c r="A791">
        <v>1522</v>
      </c>
      <c r="B791" s="5">
        <v>6.333333333333333</v>
      </c>
      <c r="C791" s="5">
        <v>1</v>
      </c>
      <c r="D791" s="5">
        <v>7.8</v>
      </c>
      <c r="E791" s="5">
        <v>2.4866666666666668</v>
      </c>
      <c r="F791" s="4" t="s">
        <v>20</v>
      </c>
    </row>
    <row r="792" spans="1:6" x14ac:dyDescent="0.3">
      <c r="A792">
        <v>1758</v>
      </c>
      <c r="B792" s="5">
        <v>4.2</v>
      </c>
      <c r="C792" s="5">
        <v>1.4</v>
      </c>
      <c r="D792" s="5">
        <v>7.8</v>
      </c>
      <c r="E792" s="5">
        <v>2.5325000000000002</v>
      </c>
      <c r="F792" s="4" t="s">
        <v>15</v>
      </c>
    </row>
    <row r="793" spans="1:6" x14ac:dyDescent="0.3">
      <c r="A793">
        <v>1858</v>
      </c>
      <c r="B793" s="5">
        <v>2.2000000000000002</v>
      </c>
      <c r="C793" s="5">
        <v>2</v>
      </c>
      <c r="D793" s="5">
        <v>7.8</v>
      </c>
      <c r="E793" s="5">
        <v>2.9350000000000001</v>
      </c>
      <c r="F793" s="4" t="s">
        <v>20</v>
      </c>
    </row>
    <row r="794" spans="1:6" x14ac:dyDescent="0.3">
      <c r="A794">
        <v>1451</v>
      </c>
      <c r="B794" s="5">
        <v>7</v>
      </c>
      <c r="C794" s="5">
        <v>1</v>
      </c>
      <c r="D794" s="5">
        <v>7.8000000000000007</v>
      </c>
      <c r="E794" s="5">
        <v>2.2599999999999998</v>
      </c>
      <c r="F794" s="4" t="s">
        <v>20</v>
      </c>
    </row>
    <row r="795" spans="1:6" x14ac:dyDescent="0.3">
      <c r="A795">
        <v>1767</v>
      </c>
      <c r="B795" s="5">
        <v>3.5</v>
      </c>
      <c r="C795" s="5">
        <v>2.5</v>
      </c>
      <c r="D795" s="5">
        <v>7.8000000000000007</v>
      </c>
      <c r="E795" s="5">
        <v>2.5724999999999998</v>
      </c>
      <c r="F795" s="4" t="s">
        <v>15</v>
      </c>
    </row>
    <row r="796" spans="1:6" x14ac:dyDescent="0.3">
      <c r="A796">
        <v>1074</v>
      </c>
      <c r="B796" s="5">
        <v>6.4285714285714288</v>
      </c>
      <c r="C796" s="5">
        <v>2.2857142857142856</v>
      </c>
      <c r="D796" s="5">
        <v>7.8142857142857141</v>
      </c>
      <c r="E796" s="5">
        <v>2.6259999999999999</v>
      </c>
      <c r="F796" s="4" t="s">
        <v>15</v>
      </c>
    </row>
    <row r="797" spans="1:6" x14ac:dyDescent="0.3">
      <c r="A797">
        <v>1487</v>
      </c>
      <c r="B797" s="5">
        <v>4.5</v>
      </c>
      <c r="C797" s="5">
        <v>2</v>
      </c>
      <c r="D797" s="5">
        <v>7.8250000000000011</v>
      </c>
      <c r="E797" s="5">
        <v>2.2949999999999999</v>
      </c>
      <c r="F797" s="4" t="s">
        <v>20</v>
      </c>
    </row>
    <row r="798" spans="1:6" x14ac:dyDescent="0.3">
      <c r="A798">
        <v>1569</v>
      </c>
      <c r="B798" s="5">
        <v>5</v>
      </c>
      <c r="C798" s="5">
        <v>1.3333333333333333</v>
      </c>
      <c r="D798" s="5">
        <v>7.833333333333333</v>
      </c>
      <c r="E798" s="5">
        <v>2.6</v>
      </c>
      <c r="F798" s="4" t="s">
        <v>20</v>
      </c>
    </row>
    <row r="799" spans="1:6" x14ac:dyDescent="0.3">
      <c r="A799">
        <v>1589</v>
      </c>
      <c r="B799" s="5">
        <v>4.666666666666667</v>
      </c>
      <c r="C799" s="5">
        <v>2</v>
      </c>
      <c r="D799" s="5">
        <v>7.833333333333333</v>
      </c>
      <c r="E799" s="5">
        <v>1.9299999999999997</v>
      </c>
      <c r="F799" s="4" t="s">
        <v>15</v>
      </c>
    </row>
    <row r="800" spans="1:6" x14ac:dyDescent="0.3">
      <c r="A800">
        <v>1323</v>
      </c>
      <c r="B800" s="5">
        <v>5.5</v>
      </c>
      <c r="C800" s="5">
        <v>2</v>
      </c>
      <c r="D800" s="5">
        <v>7.8333333333333348</v>
      </c>
      <c r="E800" s="5">
        <v>2.3783333333333334</v>
      </c>
      <c r="F800" s="4" t="s">
        <v>20</v>
      </c>
    </row>
    <row r="801" spans="1:6" x14ac:dyDescent="0.3">
      <c r="A801">
        <v>1225</v>
      </c>
      <c r="B801" s="5">
        <v>4.5714285714285712</v>
      </c>
      <c r="C801" s="5">
        <v>2.1428571428571428</v>
      </c>
      <c r="D801" s="5">
        <v>7.8428571428571425</v>
      </c>
      <c r="E801" s="5">
        <v>2.4633333333333334</v>
      </c>
      <c r="F801" s="4" t="s">
        <v>20</v>
      </c>
    </row>
    <row r="802" spans="1:6" x14ac:dyDescent="0.3">
      <c r="A802">
        <v>1385</v>
      </c>
      <c r="B802" s="5">
        <v>5.5</v>
      </c>
      <c r="C802" s="5">
        <v>2.3333333333333335</v>
      </c>
      <c r="D802" s="5">
        <v>7.8500000000000005</v>
      </c>
      <c r="E802" s="5">
        <v>2.214</v>
      </c>
      <c r="F802" s="4" t="s">
        <v>20</v>
      </c>
    </row>
    <row r="803" spans="1:6" x14ac:dyDescent="0.3">
      <c r="A803">
        <v>1774</v>
      </c>
      <c r="B803" s="5">
        <v>3.5</v>
      </c>
      <c r="C803" s="5">
        <v>3</v>
      </c>
      <c r="D803" s="5">
        <v>7.8500000000000005</v>
      </c>
      <c r="E803" s="5">
        <v>2.7450000000000001</v>
      </c>
      <c r="F803" s="4" t="s">
        <v>15</v>
      </c>
    </row>
    <row r="804" spans="1:6" x14ac:dyDescent="0.3">
      <c r="A804">
        <v>1327</v>
      </c>
      <c r="B804" s="5">
        <v>5.666666666666667</v>
      </c>
      <c r="C804" s="5">
        <v>2.3333333333333335</v>
      </c>
      <c r="D804" s="5">
        <v>7.8666666666666663</v>
      </c>
      <c r="E804" s="5">
        <v>2.4066666666666663</v>
      </c>
      <c r="F804" s="4" t="s">
        <v>15</v>
      </c>
    </row>
    <row r="805" spans="1:6" x14ac:dyDescent="0.3">
      <c r="A805">
        <v>1081</v>
      </c>
      <c r="B805" s="5">
        <v>2</v>
      </c>
      <c r="C805" s="5">
        <v>1</v>
      </c>
      <c r="D805" s="5">
        <v>7.8666666666666671</v>
      </c>
      <c r="E805" s="5">
        <v>2.5100000000000002</v>
      </c>
      <c r="F805" s="4" t="s">
        <v>20</v>
      </c>
    </row>
    <row r="806" spans="1:6" x14ac:dyDescent="0.3">
      <c r="A806">
        <v>1243</v>
      </c>
      <c r="B806" s="5">
        <v>5</v>
      </c>
      <c r="C806" s="5">
        <v>2</v>
      </c>
      <c r="D806" s="5">
        <v>7.8666666666666671</v>
      </c>
      <c r="E806" s="5">
        <v>1.9400000000000002</v>
      </c>
      <c r="F806" s="4" t="s">
        <v>15</v>
      </c>
    </row>
    <row r="807" spans="1:6" x14ac:dyDescent="0.3">
      <c r="A807">
        <v>1546</v>
      </c>
      <c r="B807" s="5">
        <v>4.333333333333333</v>
      </c>
      <c r="C807" s="5">
        <v>2</v>
      </c>
      <c r="D807" s="5">
        <v>7.8666666666666671</v>
      </c>
      <c r="E807" s="5">
        <v>3.375</v>
      </c>
      <c r="F807" s="4" t="s">
        <v>20</v>
      </c>
    </row>
    <row r="808" spans="1:6" x14ac:dyDescent="0.3">
      <c r="A808">
        <v>1839</v>
      </c>
      <c r="B808" s="5">
        <v>3.3333333333333335</v>
      </c>
      <c r="C808" s="5">
        <v>2.5</v>
      </c>
      <c r="D808" s="5">
        <v>7.8666666666666671</v>
      </c>
      <c r="E808" s="5">
        <v>2.5116666666666667</v>
      </c>
      <c r="F808" s="4" t="s">
        <v>20</v>
      </c>
    </row>
    <row r="809" spans="1:6" x14ac:dyDescent="0.3">
      <c r="A809">
        <v>1992</v>
      </c>
      <c r="B809" s="5">
        <v>6.25</v>
      </c>
      <c r="C809" s="5">
        <v>2</v>
      </c>
      <c r="D809" s="5">
        <v>7.875</v>
      </c>
      <c r="E809" s="5">
        <v>2.48</v>
      </c>
      <c r="F809" s="4" t="s">
        <v>20</v>
      </c>
    </row>
    <row r="810" spans="1:6" x14ac:dyDescent="0.3">
      <c r="A810">
        <v>1052</v>
      </c>
      <c r="B810" s="5">
        <v>6.166666666666667</v>
      </c>
      <c r="C810" s="5">
        <v>2</v>
      </c>
      <c r="D810" s="5">
        <v>7.8833333333333329</v>
      </c>
      <c r="E810" s="5">
        <v>2.4350000000000001</v>
      </c>
      <c r="F810" s="4" t="s">
        <v>15</v>
      </c>
    </row>
    <row r="811" spans="1:6" x14ac:dyDescent="0.3">
      <c r="A811">
        <v>1947</v>
      </c>
      <c r="B811" s="5">
        <v>4.666666666666667</v>
      </c>
      <c r="C811" s="5">
        <v>2.3333333333333335</v>
      </c>
      <c r="D811" s="5">
        <v>7.8999999999999995</v>
      </c>
      <c r="E811" s="5">
        <v>2.4933333333333336</v>
      </c>
      <c r="F811" s="4" t="s">
        <v>15</v>
      </c>
    </row>
    <row r="812" spans="1:6" x14ac:dyDescent="0.3">
      <c r="A812">
        <v>1065</v>
      </c>
      <c r="B812" s="5">
        <v>9</v>
      </c>
      <c r="C812" s="5">
        <v>2.5</v>
      </c>
      <c r="D812" s="5">
        <v>7.9</v>
      </c>
      <c r="E812" s="5">
        <v>2.67</v>
      </c>
      <c r="F812" s="4" t="s">
        <v>15</v>
      </c>
    </row>
    <row r="813" spans="1:6" x14ac:dyDescent="0.3">
      <c r="A813">
        <v>1533</v>
      </c>
      <c r="B813" s="5">
        <v>8.5</v>
      </c>
      <c r="C813" s="5">
        <v>3</v>
      </c>
      <c r="D813" s="5">
        <v>7.9</v>
      </c>
      <c r="E813" s="5">
        <v>3.33</v>
      </c>
      <c r="F813" s="4" t="s">
        <v>20</v>
      </c>
    </row>
    <row r="814" spans="1:6" x14ac:dyDescent="0.3">
      <c r="A814">
        <v>1566</v>
      </c>
      <c r="B814" s="5">
        <v>2.5</v>
      </c>
      <c r="C814" s="5">
        <v>1.5</v>
      </c>
      <c r="D814" s="5">
        <v>7.9</v>
      </c>
      <c r="E814" s="5">
        <v>2.8250000000000002</v>
      </c>
      <c r="F814" s="4" t="s">
        <v>20</v>
      </c>
    </row>
    <row r="815" spans="1:6" x14ac:dyDescent="0.3">
      <c r="A815">
        <v>1582</v>
      </c>
      <c r="B815" s="5">
        <v>5.5</v>
      </c>
      <c r="C815" s="5">
        <v>1.5</v>
      </c>
      <c r="D815" s="5">
        <v>7.9</v>
      </c>
      <c r="E815" s="5">
        <v>2.35</v>
      </c>
      <c r="F815" s="4" t="s">
        <v>15</v>
      </c>
    </row>
    <row r="816" spans="1:6" x14ac:dyDescent="0.3">
      <c r="A816">
        <v>1874</v>
      </c>
      <c r="B816" s="5">
        <v>6</v>
      </c>
      <c r="C816" s="5">
        <v>3</v>
      </c>
      <c r="D816" s="5">
        <v>7.9</v>
      </c>
      <c r="E816" s="5">
        <v>1.54</v>
      </c>
      <c r="F816" s="4" t="s">
        <v>15</v>
      </c>
    </row>
    <row r="817" spans="1:6" x14ac:dyDescent="0.3">
      <c r="A817">
        <v>1515</v>
      </c>
      <c r="B817" s="5">
        <v>5.333333333333333</v>
      </c>
      <c r="C817" s="5">
        <v>1.5</v>
      </c>
      <c r="D817" s="5">
        <v>7.9000000000000012</v>
      </c>
      <c r="E817" s="5">
        <v>2.5059999999999998</v>
      </c>
      <c r="F817" s="4" t="s">
        <v>15</v>
      </c>
    </row>
    <row r="818" spans="1:6" x14ac:dyDescent="0.3">
      <c r="A818">
        <v>1662</v>
      </c>
      <c r="B818" s="5">
        <v>5.4</v>
      </c>
      <c r="C818" s="5">
        <v>2.6</v>
      </c>
      <c r="D818" s="5">
        <v>7.92</v>
      </c>
      <c r="E818" s="5">
        <v>2.0233333333333334</v>
      </c>
      <c r="F818" s="4" t="s">
        <v>20</v>
      </c>
    </row>
    <row r="819" spans="1:6" x14ac:dyDescent="0.3">
      <c r="A819">
        <v>1064</v>
      </c>
      <c r="B819" s="5">
        <v>6</v>
      </c>
      <c r="C819" s="5">
        <v>2.5</v>
      </c>
      <c r="D819" s="5">
        <v>7.9250000000000007</v>
      </c>
      <c r="E819" s="5">
        <v>1.9750000000000001</v>
      </c>
      <c r="F819" s="4" t="s">
        <v>20</v>
      </c>
    </row>
    <row r="820" spans="1:6" x14ac:dyDescent="0.3">
      <c r="A820">
        <v>1732</v>
      </c>
      <c r="B820" s="5">
        <v>7.666666666666667</v>
      </c>
      <c r="C820" s="5">
        <v>3</v>
      </c>
      <c r="D820" s="5">
        <v>7.9333333333333336</v>
      </c>
      <c r="E820" s="5">
        <v>3.15</v>
      </c>
      <c r="F820" s="4" t="s">
        <v>20</v>
      </c>
    </row>
    <row r="821" spans="1:6" x14ac:dyDescent="0.3">
      <c r="A821">
        <v>1864</v>
      </c>
      <c r="B821" s="5">
        <v>4.666666666666667</v>
      </c>
      <c r="C821" s="5">
        <v>1.6666666666666667</v>
      </c>
      <c r="D821" s="5">
        <v>7.9333333333333336</v>
      </c>
      <c r="E821" s="5">
        <v>2.9933333333333336</v>
      </c>
      <c r="F821" s="4" t="s">
        <v>15</v>
      </c>
    </row>
    <row r="822" spans="1:6" x14ac:dyDescent="0.3">
      <c r="A822">
        <v>1665</v>
      </c>
      <c r="B822" s="5">
        <v>5.4285714285714288</v>
      </c>
      <c r="C822" s="5">
        <v>1.8571428571428572</v>
      </c>
      <c r="D822" s="5">
        <v>7.9428571428571431</v>
      </c>
      <c r="E822" s="5">
        <v>2.83</v>
      </c>
      <c r="F822" s="4" t="s">
        <v>20</v>
      </c>
    </row>
    <row r="823" spans="1:6" x14ac:dyDescent="0.3">
      <c r="A823">
        <v>1305</v>
      </c>
      <c r="B823" s="5">
        <v>3.5</v>
      </c>
      <c r="C823" s="5">
        <v>1.75</v>
      </c>
      <c r="D823" s="5">
        <v>7.9500000000000011</v>
      </c>
      <c r="E823" s="5">
        <v>2.895</v>
      </c>
      <c r="F823" s="4" t="s">
        <v>15</v>
      </c>
    </row>
    <row r="824" spans="1:6" x14ac:dyDescent="0.3">
      <c r="A824">
        <v>1905</v>
      </c>
      <c r="B824" s="5">
        <v>3</v>
      </c>
      <c r="C824" s="5">
        <v>1.75</v>
      </c>
      <c r="D824" s="5">
        <v>7.9749999999999996</v>
      </c>
      <c r="E824" s="5">
        <v>2.73</v>
      </c>
      <c r="F824" s="4" t="s">
        <v>15</v>
      </c>
    </row>
    <row r="825" spans="1:6" x14ac:dyDescent="0.3">
      <c r="A825">
        <v>1636</v>
      </c>
      <c r="B825" s="5">
        <v>6.75</v>
      </c>
      <c r="C825" s="5">
        <v>1.25</v>
      </c>
      <c r="D825" s="5">
        <v>7.9750000000000005</v>
      </c>
      <c r="E825" s="5">
        <v>2.44</v>
      </c>
      <c r="F825" s="4" t="s">
        <v>20</v>
      </c>
    </row>
    <row r="826" spans="1:6" x14ac:dyDescent="0.3">
      <c r="A826">
        <v>1103</v>
      </c>
      <c r="B826" s="5">
        <v>4.5999999999999996</v>
      </c>
      <c r="C826" s="5">
        <v>1.4</v>
      </c>
      <c r="D826" s="5">
        <v>7.9799999999999995</v>
      </c>
      <c r="E826" s="5">
        <v>2.2633333333333336</v>
      </c>
      <c r="F826" s="4" t="s">
        <v>20</v>
      </c>
    </row>
    <row r="827" spans="1:6" x14ac:dyDescent="0.3">
      <c r="A827">
        <v>1492</v>
      </c>
      <c r="B827" s="5">
        <v>7</v>
      </c>
      <c r="C827" s="5">
        <v>2.5</v>
      </c>
      <c r="D827" s="5">
        <v>7.9999999999999991</v>
      </c>
      <c r="E827" s="5">
        <v>2.3066666666666666</v>
      </c>
      <c r="F827" s="4" t="s">
        <v>15</v>
      </c>
    </row>
    <row r="828" spans="1:6" x14ac:dyDescent="0.3">
      <c r="A828">
        <v>1198</v>
      </c>
      <c r="B828" s="5">
        <v>8</v>
      </c>
      <c r="C828" s="5">
        <v>2</v>
      </c>
      <c r="D828" s="5">
        <v>8</v>
      </c>
      <c r="E828" s="5">
        <v>2.8049999999999997</v>
      </c>
      <c r="F828" s="4" t="s">
        <v>20</v>
      </c>
    </row>
    <row r="829" spans="1:6" x14ac:dyDescent="0.3">
      <c r="A829">
        <v>1223</v>
      </c>
      <c r="B829" s="5">
        <v>5</v>
      </c>
      <c r="C829" s="5">
        <v>1.6</v>
      </c>
      <c r="D829" s="5">
        <v>8</v>
      </c>
      <c r="E829" s="5">
        <v>2.4799999999999995</v>
      </c>
      <c r="F829" s="4" t="s">
        <v>15</v>
      </c>
    </row>
    <row r="830" spans="1:6" x14ac:dyDescent="0.3">
      <c r="A830">
        <v>1296</v>
      </c>
      <c r="B830" s="5">
        <v>6</v>
      </c>
      <c r="C830" s="5">
        <v>2</v>
      </c>
      <c r="D830" s="5">
        <v>8</v>
      </c>
      <c r="E830" s="5">
        <v>3.66</v>
      </c>
      <c r="F830" s="4" t="s">
        <v>20</v>
      </c>
    </row>
    <row r="831" spans="1:6" x14ac:dyDescent="0.3">
      <c r="A831">
        <v>1360</v>
      </c>
      <c r="B831" s="5">
        <v>4.8</v>
      </c>
      <c r="C831" s="5">
        <v>2.2000000000000002</v>
      </c>
      <c r="D831" s="5">
        <v>8</v>
      </c>
      <c r="E831" s="5">
        <v>1.6074999999999999</v>
      </c>
      <c r="F831" s="4" t="s">
        <v>20</v>
      </c>
    </row>
    <row r="832" spans="1:6" x14ac:dyDescent="0.3">
      <c r="A832">
        <v>1413</v>
      </c>
      <c r="B832" s="5">
        <v>5.6</v>
      </c>
      <c r="C832" s="5">
        <v>1.4</v>
      </c>
      <c r="D832" s="5">
        <v>8</v>
      </c>
      <c r="E832" s="5">
        <v>2.3819999999999997</v>
      </c>
      <c r="F832" s="4" t="s">
        <v>15</v>
      </c>
    </row>
    <row r="833" spans="1:6" x14ac:dyDescent="0.3">
      <c r="A833">
        <v>1441</v>
      </c>
      <c r="B833" s="5">
        <v>3</v>
      </c>
      <c r="C833" s="5">
        <v>2</v>
      </c>
      <c r="D833" s="5">
        <v>8</v>
      </c>
      <c r="E833" s="5">
        <v>1.7866666666666664</v>
      </c>
      <c r="F833" s="4" t="s">
        <v>15</v>
      </c>
    </row>
    <row r="834" spans="1:6" x14ac:dyDescent="0.3">
      <c r="A834">
        <v>1595</v>
      </c>
      <c r="B834" s="5">
        <v>6.75</v>
      </c>
      <c r="C834" s="5">
        <v>2.5</v>
      </c>
      <c r="D834" s="5">
        <v>8</v>
      </c>
      <c r="E834" s="5">
        <v>2.4266666666666663</v>
      </c>
      <c r="F834" s="4" t="s">
        <v>20</v>
      </c>
    </row>
    <row r="835" spans="1:6" x14ac:dyDescent="0.3">
      <c r="A835">
        <v>1820</v>
      </c>
      <c r="B835" s="5">
        <v>9</v>
      </c>
      <c r="C835" s="5">
        <v>2.5</v>
      </c>
      <c r="D835" s="5">
        <v>8</v>
      </c>
      <c r="E835" s="5">
        <v>1.7250000000000001</v>
      </c>
      <c r="F835" s="4" t="s">
        <v>20</v>
      </c>
    </row>
    <row r="836" spans="1:6" x14ac:dyDescent="0.3">
      <c r="A836">
        <v>1971</v>
      </c>
      <c r="B836" s="5">
        <v>3</v>
      </c>
      <c r="C836" s="5">
        <v>2.5</v>
      </c>
      <c r="D836" s="5">
        <v>8</v>
      </c>
      <c r="E836" s="5">
        <v>2.8</v>
      </c>
      <c r="F836" s="4" t="s">
        <v>15</v>
      </c>
    </row>
    <row r="837" spans="1:6" x14ac:dyDescent="0.3">
      <c r="A837">
        <v>1632</v>
      </c>
      <c r="B837" s="5">
        <v>4.25</v>
      </c>
      <c r="C837" s="5">
        <v>2.25</v>
      </c>
      <c r="D837" s="5">
        <v>8.0250000000000004</v>
      </c>
      <c r="E837" s="5">
        <v>3.1200000000000006</v>
      </c>
      <c r="F837" s="4" t="s">
        <v>20</v>
      </c>
    </row>
    <row r="838" spans="1:6" x14ac:dyDescent="0.3">
      <c r="A838">
        <v>1281</v>
      </c>
      <c r="B838" s="5">
        <v>4</v>
      </c>
      <c r="C838" s="5">
        <v>1.3333333333333333</v>
      </c>
      <c r="D838" s="5">
        <v>8.0333333333333332</v>
      </c>
      <c r="E838" s="5">
        <v>3.3650000000000002</v>
      </c>
      <c r="F838" s="4" t="s">
        <v>15</v>
      </c>
    </row>
    <row r="839" spans="1:6" x14ac:dyDescent="0.3">
      <c r="A839">
        <v>1852</v>
      </c>
      <c r="B839" s="5">
        <v>3</v>
      </c>
      <c r="C839" s="5">
        <v>2.2000000000000002</v>
      </c>
      <c r="D839" s="5">
        <v>8.0399999999999991</v>
      </c>
      <c r="E839" s="5">
        <v>2.02</v>
      </c>
      <c r="F839" s="4" t="s">
        <v>20</v>
      </c>
    </row>
    <row r="840" spans="1:6" x14ac:dyDescent="0.3">
      <c r="A840">
        <v>1590</v>
      </c>
      <c r="B840" s="5">
        <v>6.5</v>
      </c>
      <c r="C840" s="5">
        <v>3</v>
      </c>
      <c r="D840" s="5">
        <v>8.0500000000000007</v>
      </c>
      <c r="E840" s="5">
        <v>2.8449999999999998</v>
      </c>
      <c r="F840" s="4" t="s">
        <v>20</v>
      </c>
    </row>
    <row r="841" spans="1:6" x14ac:dyDescent="0.3">
      <c r="A841">
        <v>1686</v>
      </c>
      <c r="B841" s="5">
        <v>6.5</v>
      </c>
      <c r="C841" s="5">
        <v>1.75</v>
      </c>
      <c r="D841" s="5">
        <v>8.0500000000000007</v>
      </c>
      <c r="E841" s="5">
        <v>2.04</v>
      </c>
      <c r="F841" s="4" t="s">
        <v>15</v>
      </c>
    </row>
    <row r="842" spans="1:6" x14ac:dyDescent="0.3">
      <c r="A842">
        <v>1722</v>
      </c>
      <c r="B842" s="5">
        <v>2</v>
      </c>
      <c r="C842" s="5">
        <v>1.5</v>
      </c>
      <c r="D842" s="5">
        <v>8.0500000000000007</v>
      </c>
      <c r="E842" s="5">
        <v>1.38</v>
      </c>
      <c r="F842" s="4" t="s">
        <v>20</v>
      </c>
    </row>
    <row r="843" spans="1:6" x14ac:dyDescent="0.3">
      <c r="A843">
        <v>1997</v>
      </c>
      <c r="B843" s="5">
        <v>6.5</v>
      </c>
      <c r="C843" s="5">
        <v>2.5</v>
      </c>
      <c r="D843" s="5">
        <v>8.0500000000000007</v>
      </c>
      <c r="E843" s="5">
        <v>2.71</v>
      </c>
      <c r="F843" s="4" t="s">
        <v>20</v>
      </c>
    </row>
    <row r="844" spans="1:6" x14ac:dyDescent="0.3">
      <c r="A844">
        <v>1972</v>
      </c>
      <c r="B844" s="5">
        <v>6.4</v>
      </c>
      <c r="C844" s="5">
        <v>1.8</v>
      </c>
      <c r="D844" s="5">
        <v>8.06</v>
      </c>
      <c r="E844" s="5">
        <v>2.3899999999999997</v>
      </c>
      <c r="F844" s="4" t="s">
        <v>20</v>
      </c>
    </row>
    <row r="845" spans="1:6" x14ac:dyDescent="0.3">
      <c r="A845">
        <v>1383</v>
      </c>
      <c r="B845" s="5">
        <v>7</v>
      </c>
      <c r="C845" s="5">
        <v>1</v>
      </c>
      <c r="D845" s="5">
        <v>8.0666666666666664</v>
      </c>
      <c r="E845" s="5">
        <v>2.375</v>
      </c>
      <c r="F845" s="4" t="s">
        <v>20</v>
      </c>
    </row>
    <row r="846" spans="1:6" x14ac:dyDescent="0.3">
      <c r="A846">
        <v>1653</v>
      </c>
      <c r="B846" s="5">
        <v>6</v>
      </c>
      <c r="C846" s="5">
        <v>1.6666666666666667</v>
      </c>
      <c r="D846" s="5">
        <v>8.0666666666666664</v>
      </c>
      <c r="E846" s="5">
        <v>3.2600000000000002</v>
      </c>
      <c r="F846" s="4" t="s">
        <v>20</v>
      </c>
    </row>
    <row r="847" spans="1:6" x14ac:dyDescent="0.3">
      <c r="A847">
        <v>1505</v>
      </c>
      <c r="B847" s="5">
        <v>3.2</v>
      </c>
      <c r="C847" s="5">
        <v>2.2000000000000002</v>
      </c>
      <c r="D847" s="5">
        <v>8.0799999999999983</v>
      </c>
      <c r="E847" s="5">
        <v>2.9849999999999999</v>
      </c>
      <c r="F847" s="4" t="s">
        <v>20</v>
      </c>
    </row>
    <row r="848" spans="1:6" x14ac:dyDescent="0.3">
      <c r="A848">
        <v>1939</v>
      </c>
      <c r="B848" s="5">
        <v>6.6</v>
      </c>
      <c r="C848" s="5">
        <v>2.2000000000000002</v>
      </c>
      <c r="D848" s="5">
        <v>8.08</v>
      </c>
      <c r="E848" s="5">
        <v>2.4359999999999999</v>
      </c>
      <c r="F848" s="4" t="s">
        <v>20</v>
      </c>
    </row>
    <row r="849" spans="1:6" x14ac:dyDescent="0.3">
      <c r="A849">
        <v>1168</v>
      </c>
      <c r="B849" s="5">
        <v>6</v>
      </c>
      <c r="C849" s="5">
        <v>2</v>
      </c>
      <c r="D849" s="5">
        <v>8.1</v>
      </c>
      <c r="E849" s="5">
        <v>2.37</v>
      </c>
      <c r="F849" s="4" t="s">
        <v>20</v>
      </c>
    </row>
    <row r="850" spans="1:6" x14ac:dyDescent="0.3">
      <c r="A850">
        <v>1238</v>
      </c>
      <c r="B850" s="5">
        <v>9.1999999999999993</v>
      </c>
      <c r="C850" s="5">
        <v>1.6</v>
      </c>
      <c r="D850" s="5">
        <v>8.1</v>
      </c>
      <c r="E850" s="5">
        <v>2.7666666666666671</v>
      </c>
      <c r="F850" s="4" t="s">
        <v>15</v>
      </c>
    </row>
    <row r="851" spans="1:6" x14ac:dyDescent="0.3">
      <c r="A851">
        <v>1384</v>
      </c>
      <c r="B851" s="5">
        <v>6.666666666666667</v>
      </c>
      <c r="C851" s="5">
        <v>1.6666666666666667</v>
      </c>
      <c r="D851" s="5">
        <v>8.1</v>
      </c>
      <c r="E851" s="5">
        <v>2.5099999999999998</v>
      </c>
      <c r="F851" s="4" t="s">
        <v>15</v>
      </c>
    </row>
    <row r="852" spans="1:6" x14ac:dyDescent="0.3">
      <c r="A852">
        <v>1840</v>
      </c>
      <c r="B852" s="5">
        <v>2</v>
      </c>
      <c r="C852" s="5">
        <v>3</v>
      </c>
      <c r="D852" s="5">
        <v>8.1</v>
      </c>
      <c r="E852" s="5">
        <v>3.08</v>
      </c>
      <c r="F852" s="4" t="s">
        <v>15</v>
      </c>
    </row>
    <row r="853" spans="1:6" x14ac:dyDescent="0.3">
      <c r="A853">
        <v>1723</v>
      </c>
      <c r="B853" s="5">
        <v>5</v>
      </c>
      <c r="C853" s="5">
        <v>2</v>
      </c>
      <c r="D853" s="5">
        <v>8.1000000000000014</v>
      </c>
      <c r="E853" s="5">
        <v>3.87</v>
      </c>
      <c r="F853" s="4" t="s">
        <v>20</v>
      </c>
    </row>
    <row r="854" spans="1:6" x14ac:dyDescent="0.3">
      <c r="A854">
        <v>1797</v>
      </c>
      <c r="B854" s="5">
        <v>5.8</v>
      </c>
      <c r="C854" s="5">
        <v>2.2000000000000002</v>
      </c>
      <c r="D854" s="5">
        <v>8.1199999999999992</v>
      </c>
      <c r="E854" s="5">
        <v>2.2000000000000002</v>
      </c>
      <c r="F854" s="4" t="s">
        <v>20</v>
      </c>
    </row>
    <row r="855" spans="1:6" x14ac:dyDescent="0.3">
      <c r="A855">
        <v>1000</v>
      </c>
      <c r="B855" s="5">
        <v>5.5</v>
      </c>
      <c r="C855" s="5">
        <v>2.1666666666666665</v>
      </c>
      <c r="D855" s="5">
        <v>8.1333333333333329</v>
      </c>
      <c r="E855" s="5">
        <v>2.5300000000000002</v>
      </c>
      <c r="F855" s="4" t="s">
        <v>15</v>
      </c>
    </row>
    <row r="856" spans="1:6" x14ac:dyDescent="0.3">
      <c r="A856">
        <v>1087</v>
      </c>
      <c r="B856" s="5">
        <v>4.666666666666667</v>
      </c>
      <c r="C856" s="5">
        <v>2.3333333333333335</v>
      </c>
      <c r="D856" s="5">
        <v>8.1333333333333329</v>
      </c>
      <c r="E856" s="5">
        <v>2.1866666666666665</v>
      </c>
      <c r="F856" s="4" t="s">
        <v>20</v>
      </c>
    </row>
    <row r="857" spans="1:6" x14ac:dyDescent="0.3">
      <c r="A857">
        <v>1389</v>
      </c>
      <c r="B857" s="5">
        <v>5.333333333333333</v>
      </c>
      <c r="C857" s="5">
        <v>1.6666666666666667</v>
      </c>
      <c r="D857" s="5">
        <v>8.1333333333333329</v>
      </c>
      <c r="E857" s="5">
        <v>3.13</v>
      </c>
      <c r="F857" s="4" t="s">
        <v>20</v>
      </c>
    </row>
    <row r="858" spans="1:6" x14ac:dyDescent="0.3">
      <c r="A858">
        <v>1334</v>
      </c>
      <c r="B858" s="5">
        <v>6</v>
      </c>
      <c r="C858" s="5">
        <v>2.2000000000000002</v>
      </c>
      <c r="D858" s="5">
        <v>8.14</v>
      </c>
      <c r="E858" s="5">
        <v>2.7466666666666666</v>
      </c>
      <c r="F858" s="4" t="s">
        <v>15</v>
      </c>
    </row>
    <row r="859" spans="1:6" x14ac:dyDescent="0.3">
      <c r="A859">
        <v>1096</v>
      </c>
      <c r="B859" s="5">
        <v>8</v>
      </c>
      <c r="C859" s="5">
        <v>2</v>
      </c>
      <c r="D859" s="5">
        <v>8.15</v>
      </c>
      <c r="E859" s="5">
        <v>3.1799999999999997</v>
      </c>
      <c r="F859" s="4" t="s">
        <v>20</v>
      </c>
    </row>
    <row r="860" spans="1:6" x14ac:dyDescent="0.3">
      <c r="A860">
        <v>1468</v>
      </c>
      <c r="B860" s="5">
        <v>4.25</v>
      </c>
      <c r="C860" s="5">
        <v>1.25</v>
      </c>
      <c r="D860" s="5">
        <v>8.15</v>
      </c>
      <c r="E860" s="5">
        <v>2.4333333333333331</v>
      </c>
      <c r="F860" s="4" t="s">
        <v>15</v>
      </c>
    </row>
    <row r="861" spans="1:6" x14ac:dyDescent="0.3">
      <c r="A861">
        <v>1827</v>
      </c>
      <c r="B861" s="5">
        <v>5.625</v>
      </c>
      <c r="C861" s="5">
        <v>2</v>
      </c>
      <c r="D861" s="5">
        <v>8.1624999999999996</v>
      </c>
      <c r="E861" s="5">
        <v>2.2137499999999997</v>
      </c>
      <c r="F861" s="4" t="s">
        <v>15</v>
      </c>
    </row>
    <row r="862" spans="1:6" x14ac:dyDescent="0.3">
      <c r="A862">
        <v>1551</v>
      </c>
      <c r="B862" s="5">
        <v>6.333333333333333</v>
      </c>
      <c r="C862" s="5">
        <v>2</v>
      </c>
      <c r="D862" s="5">
        <v>8.1666666666666661</v>
      </c>
      <c r="E862" s="5">
        <v>2.7633333333333332</v>
      </c>
      <c r="F862" s="4" t="s">
        <v>20</v>
      </c>
    </row>
    <row r="863" spans="1:6" x14ac:dyDescent="0.3">
      <c r="A863">
        <v>1574</v>
      </c>
      <c r="B863" s="5">
        <v>4.4000000000000004</v>
      </c>
      <c r="C863" s="5">
        <v>1.4</v>
      </c>
      <c r="D863" s="5">
        <v>8.18</v>
      </c>
      <c r="E863" s="5">
        <v>3.07</v>
      </c>
      <c r="F863" s="4" t="s">
        <v>15</v>
      </c>
    </row>
    <row r="864" spans="1:6" x14ac:dyDescent="0.3">
      <c r="A864">
        <v>1837</v>
      </c>
      <c r="B864" s="5">
        <v>4.2</v>
      </c>
      <c r="C864" s="5">
        <v>2.2000000000000002</v>
      </c>
      <c r="D864" s="5">
        <v>8.18</v>
      </c>
      <c r="E864" s="5">
        <v>2.2474999999999996</v>
      </c>
      <c r="F864" s="4" t="s">
        <v>20</v>
      </c>
    </row>
    <row r="865" spans="1:6" x14ac:dyDescent="0.3">
      <c r="A865">
        <v>1411</v>
      </c>
      <c r="B865" s="5">
        <v>2</v>
      </c>
      <c r="C865" s="5">
        <v>1</v>
      </c>
      <c r="D865" s="5">
        <v>8.1999999999999993</v>
      </c>
      <c r="E865" s="5">
        <v>2.0499999999999998</v>
      </c>
      <c r="F865" s="4" t="s">
        <v>20</v>
      </c>
    </row>
    <row r="866" spans="1:6" x14ac:dyDescent="0.3">
      <c r="A866">
        <v>1417</v>
      </c>
      <c r="B866" s="5">
        <v>3.4</v>
      </c>
      <c r="C866" s="5">
        <v>2.4</v>
      </c>
      <c r="D866" s="5">
        <v>8.1999999999999993</v>
      </c>
      <c r="E866" s="5">
        <v>2.7075000000000005</v>
      </c>
      <c r="F866" s="4" t="s">
        <v>20</v>
      </c>
    </row>
    <row r="867" spans="1:6" x14ac:dyDescent="0.3">
      <c r="A867">
        <v>1625</v>
      </c>
      <c r="B867" s="5">
        <v>6.5</v>
      </c>
      <c r="C867" s="5">
        <v>2.5</v>
      </c>
      <c r="D867" s="5">
        <v>8.1999999999999993</v>
      </c>
      <c r="E867" s="5">
        <v>2.61</v>
      </c>
      <c r="F867" s="4" t="s">
        <v>15</v>
      </c>
    </row>
    <row r="868" spans="1:6" x14ac:dyDescent="0.3">
      <c r="A868">
        <v>1911</v>
      </c>
      <c r="B868" s="5">
        <v>5.6</v>
      </c>
      <c r="C868" s="5">
        <v>1.6</v>
      </c>
      <c r="D868" s="5">
        <v>8.1999999999999993</v>
      </c>
      <c r="E868" s="5">
        <v>2.99</v>
      </c>
      <c r="F868" s="4" t="s">
        <v>15</v>
      </c>
    </row>
    <row r="869" spans="1:6" x14ac:dyDescent="0.3">
      <c r="A869">
        <v>1530</v>
      </c>
      <c r="B869" s="5">
        <v>8</v>
      </c>
      <c r="C869" s="5">
        <v>2</v>
      </c>
      <c r="D869" s="5">
        <v>8.2333333333333343</v>
      </c>
      <c r="E869" s="5">
        <v>2.73</v>
      </c>
      <c r="F869" s="4" t="s">
        <v>20</v>
      </c>
    </row>
    <row r="870" spans="1:6" x14ac:dyDescent="0.3">
      <c r="A870">
        <v>1162</v>
      </c>
      <c r="B870" s="5">
        <v>5.2</v>
      </c>
      <c r="C870" s="5">
        <v>2.2000000000000002</v>
      </c>
      <c r="D870" s="5">
        <v>8.24</v>
      </c>
      <c r="E870" s="5">
        <v>1.7466666666666668</v>
      </c>
      <c r="F870" s="4" t="s">
        <v>15</v>
      </c>
    </row>
    <row r="871" spans="1:6" x14ac:dyDescent="0.3">
      <c r="A871">
        <v>1059</v>
      </c>
      <c r="B871" s="5">
        <v>6</v>
      </c>
      <c r="C871" s="5">
        <v>2.25</v>
      </c>
      <c r="D871" s="5">
        <v>8.25</v>
      </c>
      <c r="E871" s="5">
        <v>2.5275000000000003</v>
      </c>
      <c r="F871" s="4" t="s">
        <v>15</v>
      </c>
    </row>
    <row r="872" spans="1:6" x14ac:dyDescent="0.3">
      <c r="A872">
        <v>1121</v>
      </c>
      <c r="B872" s="5">
        <v>5.75</v>
      </c>
      <c r="C872" s="5">
        <v>2.75</v>
      </c>
      <c r="D872" s="5">
        <v>8.25</v>
      </c>
      <c r="E872" s="5">
        <v>3.0533333333333332</v>
      </c>
      <c r="F872" s="4" t="s">
        <v>20</v>
      </c>
    </row>
    <row r="873" spans="1:6" x14ac:dyDescent="0.3">
      <c r="A873">
        <v>1210</v>
      </c>
      <c r="B873" s="5">
        <v>9.3333333333333339</v>
      </c>
      <c r="C873" s="5">
        <v>1.3333333333333333</v>
      </c>
      <c r="D873" s="5">
        <v>8.2999999999999989</v>
      </c>
      <c r="E873" s="5">
        <v>3.39</v>
      </c>
      <c r="F873" s="4" t="s">
        <v>20</v>
      </c>
    </row>
    <row r="874" spans="1:6" x14ac:dyDescent="0.3">
      <c r="A874">
        <v>1367</v>
      </c>
      <c r="B874" s="5">
        <v>6</v>
      </c>
      <c r="C874" s="5">
        <v>1</v>
      </c>
      <c r="D874" s="5">
        <v>8.3000000000000007</v>
      </c>
      <c r="E874" s="5">
        <v>2.67</v>
      </c>
      <c r="F874" s="4" t="s">
        <v>15</v>
      </c>
    </row>
    <row r="875" spans="1:6" x14ac:dyDescent="0.3">
      <c r="A875">
        <v>1691</v>
      </c>
      <c r="B875" s="5">
        <v>5.5</v>
      </c>
      <c r="C875" s="5">
        <v>1.5</v>
      </c>
      <c r="D875" s="5">
        <v>8.3000000000000007</v>
      </c>
      <c r="E875" s="5">
        <v>2.61</v>
      </c>
      <c r="F875" s="4" t="s">
        <v>20</v>
      </c>
    </row>
    <row r="876" spans="1:6" x14ac:dyDescent="0.3">
      <c r="A876">
        <v>1956</v>
      </c>
      <c r="B876" s="5">
        <v>5.75</v>
      </c>
      <c r="C876" s="5">
        <v>1.75</v>
      </c>
      <c r="D876" s="5">
        <v>8.3000000000000007</v>
      </c>
      <c r="E876" s="5">
        <v>2.11</v>
      </c>
      <c r="F876" s="4" t="s">
        <v>15</v>
      </c>
    </row>
    <row r="877" spans="1:6" x14ac:dyDescent="0.3">
      <c r="A877">
        <v>1012</v>
      </c>
      <c r="B877" s="5">
        <v>6.666666666666667</v>
      </c>
      <c r="C877" s="5">
        <v>2.6666666666666665</v>
      </c>
      <c r="D877" s="5">
        <v>8.3333333333333339</v>
      </c>
      <c r="E877" s="5">
        <v>1.79</v>
      </c>
      <c r="F877" s="4" t="s">
        <v>20</v>
      </c>
    </row>
    <row r="878" spans="1:6" x14ac:dyDescent="0.3">
      <c r="A878">
        <v>1293</v>
      </c>
      <c r="B878" s="5">
        <v>1</v>
      </c>
      <c r="C878" s="5">
        <v>2</v>
      </c>
      <c r="D878" s="5">
        <v>8.35</v>
      </c>
      <c r="E878" s="5">
        <v>3.07</v>
      </c>
      <c r="F878" s="4" t="s">
        <v>15</v>
      </c>
    </row>
    <row r="879" spans="1:6" x14ac:dyDescent="0.3">
      <c r="A879">
        <v>1875</v>
      </c>
      <c r="B879" s="5">
        <v>6.25</v>
      </c>
      <c r="C879" s="5">
        <v>1.75</v>
      </c>
      <c r="D879" s="5">
        <v>8.35</v>
      </c>
      <c r="E879" s="5">
        <v>2.4733333333333332</v>
      </c>
      <c r="F879" s="4" t="s">
        <v>20</v>
      </c>
    </row>
    <row r="880" spans="1:6" x14ac:dyDescent="0.3">
      <c r="A880">
        <v>1953</v>
      </c>
      <c r="B880" s="5">
        <v>7.5</v>
      </c>
      <c r="C880" s="5">
        <v>1.5</v>
      </c>
      <c r="D880" s="5">
        <v>8.35</v>
      </c>
      <c r="E880" s="5">
        <v>2.335</v>
      </c>
      <c r="F880" s="4" t="s">
        <v>20</v>
      </c>
    </row>
    <row r="881" spans="1:6" x14ac:dyDescent="0.3">
      <c r="A881">
        <v>1102</v>
      </c>
      <c r="B881" s="5">
        <v>3.3333333333333335</v>
      </c>
      <c r="C881" s="5">
        <v>2</v>
      </c>
      <c r="D881" s="5">
        <v>8.3666666666666671</v>
      </c>
      <c r="E881" s="5">
        <v>2.5499999999999998</v>
      </c>
      <c r="F881" s="4" t="s">
        <v>15</v>
      </c>
    </row>
    <row r="882" spans="1:6" x14ac:dyDescent="0.3">
      <c r="A882">
        <v>1511</v>
      </c>
      <c r="B882" s="5">
        <v>9.3333333333333339</v>
      </c>
      <c r="C882" s="5">
        <v>2.6666666666666665</v>
      </c>
      <c r="D882" s="5">
        <v>8.3666666666666671</v>
      </c>
      <c r="E882" s="5">
        <v>1.3099999999999998</v>
      </c>
      <c r="F882" s="4" t="s">
        <v>15</v>
      </c>
    </row>
    <row r="883" spans="1:6" x14ac:dyDescent="0.3">
      <c r="A883">
        <v>1642</v>
      </c>
      <c r="B883" s="5">
        <v>6.333333333333333</v>
      </c>
      <c r="C883" s="5">
        <v>2</v>
      </c>
      <c r="D883" s="5">
        <v>8.3666666666666671</v>
      </c>
      <c r="E883" s="5">
        <v>3.06</v>
      </c>
      <c r="F883" s="4" t="s">
        <v>20</v>
      </c>
    </row>
    <row r="884" spans="1:6" x14ac:dyDescent="0.3">
      <c r="A884">
        <v>1770</v>
      </c>
      <c r="B884" s="5">
        <v>10</v>
      </c>
      <c r="C884" s="5">
        <v>1</v>
      </c>
      <c r="D884" s="5">
        <v>8.3666666666666671</v>
      </c>
      <c r="E884" s="5">
        <v>1.88</v>
      </c>
      <c r="F884" s="4" t="s">
        <v>20</v>
      </c>
    </row>
    <row r="885" spans="1:6" x14ac:dyDescent="0.3">
      <c r="A885">
        <v>1426</v>
      </c>
      <c r="B885" s="5">
        <v>4.25</v>
      </c>
      <c r="C885" s="5">
        <v>1.75</v>
      </c>
      <c r="D885" s="5">
        <v>8.375</v>
      </c>
      <c r="E885" s="5">
        <v>4.046666666666666</v>
      </c>
      <c r="F885" s="4" t="s">
        <v>15</v>
      </c>
    </row>
    <row r="886" spans="1:6" x14ac:dyDescent="0.3">
      <c r="A886">
        <v>1943</v>
      </c>
      <c r="B886" s="5">
        <v>6.25</v>
      </c>
      <c r="C886" s="5">
        <v>2.25</v>
      </c>
      <c r="D886" s="5">
        <v>8.375</v>
      </c>
      <c r="E886" s="5">
        <v>2.39</v>
      </c>
      <c r="F886" s="4" t="s">
        <v>15</v>
      </c>
    </row>
    <row r="887" spans="1:6" x14ac:dyDescent="0.3">
      <c r="A887">
        <v>1615</v>
      </c>
      <c r="B887" s="5">
        <v>4.4000000000000004</v>
      </c>
      <c r="C887" s="5">
        <v>2</v>
      </c>
      <c r="D887" s="5">
        <v>8.379999999999999</v>
      </c>
      <c r="E887" s="5">
        <v>2.5</v>
      </c>
      <c r="F887" s="4" t="s">
        <v>15</v>
      </c>
    </row>
    <row r="888" spans="1:6" x14ac:dyDescent="0.3">
      <c r="A888">
        <v>1430</v>
      </c>
      <c r="B888" s="5">
        <v>9</v>
      </c>
      <c r="C888" s="5">
        <v>1</v>
      </c>
      <c r="D888" s="5">
        <v>8.4</v>
      </c>
      <c r="E888" s="5">
        <v>3.61</v>
      </c>
      <c r="F888" s="4" t="s">
        <v>15</v>
      </c>
    </row>
    <row r="889" spans="1:6" x14ac:dyDescent="0.3">
      <c r="A889">
        <v>1472</v>
      </c>
      <c r="B889" s="5">
        <v>3.5</v>
      </c>
      <c r="C889" s="5">
        <v>2.5</v>
      </c>
      <c r="D889" s="5">
        <v>8.4</v>
      </c>
      <c r="E889" s="5">
        <v>2.5300000000000002</v>
      </c>
      <c r="F889" s="4" t="s">
        <v>15</v>
      </c>
    </row>
    <row r="890" spans="1:6" x14ac:dyDescent="0.3">
      <c r="A890">
        <v>1674</v>
      </c>
      <c r="B890" s="5">
        <v>7</v>
      </c>
      <c r="C890" s="5">
        <v>2.3333333333333335</v>
      </c>
      <c r="D890" s="5">
        <v>8.4</v>
      </c>
      <c r="E890" s="5">
        <v>2.5099999999999998</v>
      </c>
      <c r="F890" s="4" t="s">
        <v>20</v>
      </c>
    </row>
    <row r="891" spans="1:6" x14ac:dyDescent="0.3">
      <c r="A891">
        <v>1759</v>
      </c>
      <c r="B891" s="5">
        <v>3</v>
      </c>
      <c r="C891" s="5">
        <v>3</v>
      </c>
      <c r="D891" s="5">
        <v>8.4</v>
      </c>
      <c r="E891" s="5">
        <v>2.37</v>
      </c>
      <c r="F891" s="4" t="s">
        <v>15</v>
      </c>
    </row>
    <row r="892" spans="1:6" x14ac:dyDescent="0.3">
      <c r="A892">
        <v>1224</v>
      </c>
      <c r="B892" s="5">
        <v>3.3333333333333335</v>
      </c>
      <c r="C892" s="5">
        <v>2</v>
      </c>
      <c r="D892" s="5">
        <v>8.4333333333333318</v>
      </c>
      <c r="E892" s="5">
        <v>2.42</v>
      </c>
      <c r="F892" s="4" t="s">
        <v>20</v>
      </c>
    </row>
    <row r="893" spans="1:6" x14ac:dyDescent="0.3">
      <c r="A893">
        <v>1351</v>
      </c>
      <c r="B893" s="5">
        <v>3.6666666666666665</v>
      </c>
      <c r="C893" s="5">
        <v>1.3333333333333333</v>
      </c>
      <c r="D893" s="5">
        <v>8.4333333333333318</v>
      </c>
      <c r="E893" s="5">
        <v>2.6166666666666667</v>
      </c>
      <c r="F893" s="4" t="s">
        <v>15</v>
      </c>
    </row>
    <row r="894" spans="1:6" x14ac:dyDescent="0.3">
      <c r="A894">
        <v>1455</v>
      </c>
      <c r="B894" s="5">
        <v>4.5</v>
      </c>
      <c r="C894" s="5">
        <v>2</v>
      </c>
      <c r="D894" s="5">
        <v>8.4499999999999993</v>
      </c>
      <c r="E894" s="5">
        <v>2.98</v>
      </c>
      <c r="F894" s="4" t="s">
        <v>15</v>
      </c>
    </row>
    <row r="895" spans="1:6" x14ac:dyDescent="0.3">
      <c r="A895">
        <v>1900</v>
      </c>
      <c r="B895" s="5">
        <v>6</v>
      </c>
      <c r="C895" s="5">
        <v>1</v>
      </c>
      <c r="D895" s="5">
        <v>8.4499999999999993</v>
      </c>
      <c r="E895" s="5">
        <v>1.9350000000000001</v>
      </c>
      <c r="F895" s="4" t="s">
        <v>15</v>
      </c>
    </row>
    <row r="896" spans="1:6" x14ac:dyDescent="0.3">
      <c r="A896">
        <v>1641</v>
      </c>
      <c r="B896" s="5">
        <v>7.5</v>
      </c>
      <c r="C896" s="5">
        <v>2.5</v>
      </c>
      <c r="D896" s="5">
        <v>8.4500000000000011</v>
      </c>
      <c r="E896" s="5">
        <v>2.1175000000000002</v>
      </c>
      <c r="F896" s="4" t="s">
        <v>15</v>
      </c>
    </row>
    <row r="897" spans="1:6" x14ac:dyDescent="0.3">
      <c r="A897">
        <v>1333</v>
      </c>
      <c r="B897" s="5">
        <v>7.5</v>
      </c>
      <c r="C897" s="5">
        <v>1.75</v>
      </c>
      <c r="D897" s="5">
        <v>8.5</v>
      </c>
      <c r="E897" s="5">
        <v>2.6425000000000001</v>
      </c>
      <c r="F897" s="4" t="s">
        <v>15</v>
      </c>
    </row>
    <row r="898" spans="1:6" x14ac:dyDescent="0.3">
      <c r="A898">
        <v>1627</v>
      </c>
      <c r="B898" s="5">
        <v>8.5</v>
      </c>
      <c r="C898" s="5">
        <v>1</v>
      </c>
      <c r="D898" s="5">
        <v>8.5</v>
      </c>
      <c r="E898" s="5">
        <v>2.0100000000000002</v>
      </c>
      <c r="F898" s="4" t="s">
        <v>15</v>
      </c>
    </row>
    <row r="899" spans="1:6" x14ac:dyDescent="0.3">
      <c r="A899">
        <v>1785</v>
      </c>
      <c r="B899" s="5">
        <v>8</v>
      </c>
      <c r="C899" s="5">
        <v>1</v>
      </c>
      <c r="D899" s="5">
        <v>8.5</v>
      </c>
      <c r="E899" s="5">
        <v>2.16</v>
      </c>
      <c r="F899" s="4" t="s">
        <v>20</v>
      </c>
    </row>
    <row r="900" spans="1:6" x14ac:dyDescent="0.3">
      <c r="A900">
        <v>1859</v>
      </c>
      <c r="B900" s="5">
        <v>6</v>
      </c>
      <c r="C900" s="5">
        <v>2</v>
      </c>
      <c r="D900" s="5">
        <v>8.5</v>
      </c>
      <c r="E900" s="5">
        <v>2.94</v>
      </c>
      <c r="F900" s="4" t="s">
        <v>15</v>
      </c>
    </row>
    <row r="901" spans="1:6" x14ac:dyDescent="0.3">
      <c r="A901">
        <v>1133</v>
      </c>
      <c r="B901" s="5">
        <v>6.333333333333333</v>
      </c>
      <c r="C901" s="5">
        <v>1</v>
      </c>
      <c r="D901" s="5">
        <v>8.5333333333333332</v>
      </c>
      <c r="E901" s="5">
        <v>2.04</v>
      </c>
      <c r="F901" s="4" t="s">
        <v>15</v>
      </c>
    </row>
    <row r="902" spans="1:6" x14ac:dyDescent="0.3">
      <c r="A902">
        <v>1259</v>
      </c>
      <c r="B902" s="5">
        <v>5.333333333333333</v>
      </c>
      <c r="C902" s="5">
        <v>2</v>
      </c>
      <c r="D902" s="5">
        <v>8.5333333333333332</v>
      </c>
      <c r="E902" s="5">
        <v>2.52</v>
      </c>
      <c r="F902" s="4" t="s">
        <v>15</v>
      </c>
    </row>
    <row r="903" spans="1:6" x14ac:dyDescent="0.3">
      <c r="A903">
        <v>1664</v>
      </c>
      <c r="B903" s="5">
        <v>4.75</v>
      </c>
      <c r="C903" s="5">
        <v>2.25</v>
      </c>
      <c r="D903" s="5">
        <v>8.5499999999999989</v>
      </c>
      <c r="E903" s="5">
        <v>2.44</v>
      </c>
      <c r="F903" s="4" t="s">
        <v>20</v>
      </c>
    </row>
    <row r="904" spans="1:6" x14ac:dyDescent="0.3">
      <c r="A904">
        <v>1356</v>
      </c>
      <c r="B904" s="5">
        <v>5</v>
      </c>
      <c r="C904" s="5">
        <v>2</v>
      </c>
      <c r="D904" s="5">
        <v>8.5500000000000007</v>
      </c>
      <c r="E904" s="5">
        <v>2.29</v>
      </c>
      <c r="F904" s="4" t="s">
        <v>20</v>
      </c>
    </row>
    <row r="905" spans="1:6" x14ac:dyDescent="0.3">
      <c r="A905">
        <v>1720</v>
      </c>
      <c r="B905" s="5">
        <v>6</v>
      </c>
      <c r="C905" s="5">
        <v>2</v>
      </c>
      <c r="D905" s="5">
        <v>8.5500000000000007</v>
      </c>
      <c r="E905" s="5">
        <v>2.335</v>
      </c>
      <c r="F905" s="4" t="s">
        <v>15</v>
      </c>
    </row>
    <row r="906" spans="1:6" x14ac:dyDescent="0.3">
      <c r="A906">
        <v>1843</v>
      </c>
      <c r="B906" s="5">
        <v>2</v>
      </c>
      <c r="C906" s="5">
        <v>1.5</v>
      </c>
      <c r="D906" s="5">
        <v>8.5500000000000007</v>
      </c>
      <c r="E906" s="5">
        <v>2.4050000000000002</v>
      </c>
      <c r="F906" s="4" t="s">
        <v>20</v>
      </c>
    </row>
    <row r="907" spans="1:6" x14ac:dyDescent="0.3">
      <c r="A907">
        <v>1666</v>
      </c>
      <c r="B907" s="5">
        <v>3.6666666666666665</v>
      </c>
      <c r="C907" s="5">
        <v>2.6666666666666665</v>
      </c>
      <c r="D907" s="5">
        <v>8.5666666666666664</v>
      </c>
      <c r="E907" s="5">
        <v>2.5750000000000002</v>
      </c>
      <c r="F907" s="4" t="s">
        <v>20</v>
      </c>
    </row>
    <row r="908" spans="1:6" x14ac:dyDescent="0.3">
      <c r="A908">
        <v>1702</v>
      </c>
      <c r="B908" s="5">
        <v>2.3333333333333335</v>
      </c>
      <c r="C908" s="5">
        <v>2.3333333333333335</v>
      </c>
      <c r="D908" s="5">
        <v>8.6</v>
      </c>
      <c r="E908" s="5">
        <v>2.3400000000000003</v>
      </c>
      <c r="F908" s="4" t="s">
        <v>15</v>
      </c>
    </row>
    <row r="909" spans="1:6" x14ac:dyDescent="0.3">
      <c r="A909">
        <v>1410</v>
      </c>
      <c r="B909" s="5">
        <v>4.5</v>
      </c>
      <c r="C909" s="5">
        <v>1</v>
      </c>
      <c r="D909" s="5">
        <v>8.65</v>
      </c>
      <c r="E909" s="5">
        <v>2.41</v>
      </c>
      <c r="F909" s="4" t="s">
        <v>15</v>
      </c>
    </row>
    <row r="910" spans="1:6" x14ac:dyDescent="0.3">
      <c r="A910">
        <v>1808</v>
      </c>
      <c r="B910" s="5">
        <v>9</v>
      </c>
      <c r="C910" s="5">
        <v>1.5</v>
      </c>
      <c r="D910" s="5">
        <v>8.65</v>
      </c>
      <c r="E910" s="5">
        <v>1.95</v>
      </c>
      <c r="F910" s="4" t="s">
        <v>20</v>
      </c>
    </row>
    <row r="911" spans="1:6" x14ac:dyDescent="0.3">
      <c r="A911">
        <v>1275</v>
      </c>
      <c r="B911" s="5">
        <v>4</v>
      </c>
      <c r="C911" s="5">
        <v>1.5</v>
      </c>
      <c r="D911" s="5">
        <v>8.6999999999999993</v>
      </c>
      <c r="E911" s="5">
        <v>2.3200000000000003</v>
      </c>
      <c r="F911" s="4" t="s">
        <v>20</v>
      </c>
    </row>
    <row r="912" spans="1:6" x14ac:dyDescent="0.3">
      <c r="A912">
        <v>1613</v>
      </c>
      <c r="B912" s="5">
        <v>5.5</v>
      </c>
      <c r="C912" s="5">
        <v>2.5</v>
      </c>
      <c r="D912" s="5">
        <v>8.6999999999999993</v>
      </c>
      <c r="E912" s="5">
        <v>1.65</v>
      </c>
      <c r="F912" s="4" t="s">
        <v>15</v>
      </c>
    </row>
    <row r="913" spans="1:6" x14ac:dyDescent="0.3">
      <c r="A913">
        <v>1855</v>
      </c>
      <c r="B913" s="5">
        <v>6</v>
      </c>
      <c r="C913" s="5">
        <v>2</v>
      </c>
      <c r="D913" s="5">
        <v>8.7333333333333325</v>
      </c>
      <c r="E913" s="5">
        <v>1.9233333333333331</v>
      </c>
      <c r="F913" s="4" t="s">
        <v>20</v>
      </c>
    </row>
    <row r="914" spans="1:6" x14ac:dyDescent="0.3">
      <c r="A914">
        <v>1119</v>
      </c>
      <c r="B914" s="5">
        <v>4.5</v>
      </c>
      <c r="C914" s="5">
        <v>1.8333333333333333</v>
      </c>
      <c r="D914" s="5">
        <v>8.7333333333333343</v>
      </c>
      <c r="E914" s="5">
        <v>2.9624999999999995</v>
      </c>
      <c r="F914" s="4" t="s">
        <v>20</v>
      </c>
    </row>
    <row r="915" spans="1:6" x14ac:dyDescent="0.3">
      <c r="A915">
        <v>1950</v>
      </c>
      <c r="B915" s="5">
        <v>6</v>
      </c>
      <c r="C915" s="5">
        <v>1</v>
      </c>
      <c r="D915" s="5">
        <v>8.75</v>
      </c>
      <c r="E915" s="5">
        <v>2.8</v>
      </c>
      <c r="F915" s="4" t="s">
        <v>20</v>
      </c>
    </row>
    <row r="916" spans="1:6" x14ac:dyDescent="0.3">
      <c r="A916">
        <v>1209</v>
      </c>
      <c r="B916" s="5">
        <v>3</v>
      </c>
      <c r="C916" s="5">
        <v>1.6666666666666667</v>
      </c>
      <c r="D916" s="5">
        <v>8.7666666666666657</v>
      </c>
      <c r="E916" s="5">
        <v>2.1433333333333331</v>
      </c>
      <c r="F916" s="4" t="s">
        <v>20</v>
      </c>
    </row>
    <row r="917" spans="1:6" x14ac:dyDescent="0.3">
      <c r="A917">
        <v>1806</v>
      </c>
      <c r="B917" s="5">
        <v>9.3333333333333339</v>
      </c>
      <c r="C917" s="5">
        <v>2.3333333333333335</v>
      </c>
      <c r="D917" s="5">
        <v>8.7666666666666657</v>
      </c>
      <c r="E917" s="5">
        <v>2.42</v>
      </c>
      <c r="F917" s="4" t="s">
        <v>20</v>
      </c>
    </row>
    <row r="918" spans="1:6" x14ac:dyDescent="0.3">
      <c r="A918">
        <v>1056</v>
      </c>
      <c r="B918" s="5">
        <v>9</v>
      </c>
      <c r="C918" s="5">
        <v>3</v>
      </c>
      <c r="D918" s="5">
        <v>8.8000000000000007</v>
      </c>
      <c r="E918" s="5">
        <v>2.54</v>
      </c>
      <c r="F918" s="4" t="s">
        <v>20</v>
      </c>
    </row>
    <row r="919" spans="1:6" x14ac:dyDescent="0.3">
      <c r="A919">
        <v>1063</v>
      </c>
      <c r="B919" s="5">
        <v>3</v>
      </c>
      <c r="C919" s="5">
        <v>1</v>
      </c>
      <c r="D919" s="5">
        <v>8.8000000000000007</v>
      </c>
      <c r="E919" s="5">
        <v>2.29</v>
      </c>
      <c r="F919" s="4" t="s">
        <v>20</v>
      </c>
    </row>
    <row r="920" spans="1:6" x14ac:dyDescent="0.3">
      <c r="A920">
        <v>1845</v>
      </c>
      <c r="B920" s="5">
        <v>7</v>
      </c>
      <c r="C920" s="5">
        <v>2.5</v>
      </c>
      <c r="D920" s="5">
        <v>8.8000000000000007</v>
      </c>
      <c r="E920" s="5">
        <v>2.625</v>
      </c>
      <c r="F920" s="4" t="s">
        <v>15</v>
      </c>
    </row>
    <row r="921" spans="1:6" x14ac:dyDescent="0.3">
      <c r="A921">
        <v>1583</v>
      </c>
      <c r="B921" s="5">
        <v>6</v>
      </c>
      <c r="C921" s="5">
        <v>2.2000000000000002</v>
      </c>
      <c r="D921" s="5">
        <v>8.86</v>
      </c>
      <c r="E921" s="5">
        <v>2.4079999999999999</v>
      </c>
      <c r="F921" s="4" t="s">
        <v>20</v>
      </c>
    </row>
    <row r="922" spans="1:6" x14ac:dyDescent="0.3">
      <c r="A922">
        <v>1711</v>
      </c>
      <c r="B922" s="5">
        <v>2.5</v>
      </c>
      <c r="C922" s="5">
        <v>2</v>
      </c>
      <c r="D922" s="5">
        <v>8.8999999999999986</v>
      </c>
      <c r="E922" s="5">
        <v>2.6100000000000003</v>
      </c>
      <c r="F922" s="4" t="s">
        <v>20</v>
      </c>
    </row>
    <row r="923" spans="1:6" x14ac:dyDescent="0.3">
      <c r="A923">
        <v>1030</v>
      </c>
      <c r="B923" s="5">
        <v>6</v>
      </c>
      <c r="C923" s="5">
        <v>1</v>
      </c>
      <c r="D923" s="5">
        <v>8.9</v>
      </c>
      <c r="E923" s="5">
        <v>2.42</v>
      </c>
      <c r="F923" s="4" t="s">
        <v>15</v>
      </c>
    </row>
    <row r="924" spans="1:6" x14ac:dyDescent="0.3">
      <c r="A924">
        <v>1403</v>
      </c>
      <c r="B924" s="5">
        <v>2</v>
      </c>
      <c r="C924" s="5">
        <v>1</v>
      </c>
      <c r="D924" s="5">
        <v>8.9</v>
      </c>
      <c r="E924" s="5">
        <v>1.51</v>
      </c>
      <c r="F924" s="4" t="s">
        <v>20</v>
      </c>
    </row>
    <row r="925" spans="1:6" x14ac:dyDescent="0.3">
      <c r="A925">
        <v>1648</v>
      </c>
      <c r="B925" s="5">
        <v>5</v>
      </c>
      <c r="C925" s="5">
        <v>1</v>
      </c>
      <c r="D925" s="5">
        <v>8.9</v>
      </c>
      <c r="E925" s="5">
        <v>1.86</v>
      </c>
      <c r="F925" s="4" t="s">
        <v>20</v>
      </c>
    </row>
    <row r="926" spans="1:6" x14ac:dyDescent="0.3">
      <c r="A926">
        <v>1681</v>
      </c>
      <c r="B926" s="5">
        <v>4</v>
      </c>
      <c r="C926" s="5">
        <v>2.5</v>
      </c>
      <c r="D926" s="5">
        <v>8.9499999999999993</v>
      </c>
      <c r="E926" s="5">
        <v>1.41</v>
      </c>
      <c r="F926" s="4" t="s">
        <v>15</v>
      </c>
    </row>
    <row r="927" spans="1:6" x14ac:dyDescent="0.3">
      <c r="A927">
        <v>1639</v>
      </c>
      <c r="B927" s="5">
        <v>8</v>
      </c>
      <c r="C927" s="5">
        <v>3</v>
      </c>
      <c r="D927" s="5">
        <v>9</v>
      </c>
      <c r="E927" s="5">
        <v>2.68</v>
      </c>
      <c r="F927" s="4" t="s">
        <v>15</v>
      </c>
    </row>
    <row r="928" spans="1:6" x14ac:dyDescent="0.3">
      <c r="A928">
        <v>1962</v>
      </c>
      <c r="B928" s="5">
        <v>7</v>
      </c>
      <c r="C928" s="5">
        <v>2</v>
      </c>
      <c r="D928" s="5">
        <v>9</v>
      </c>
      <c r="E928" s="5">
        <v>1.91</v>
      </c>
      <c r="F928" s="4" t="s">
        <v>20</v>
      </c>
    </row>
    <row r="929" spans="1:6" x14ac:dyDescent="0.3">
      <c r="A929">
        <v>1912</v>
      </c>
      <c r="B929" s="5">
        <v>6</v>
      </c>
      <c r="C929" s="5">
        <v>3</v>
      </c>
      <c r="D929" s="5">
        <v>9.1</v>
      </c>
      <c r="E929" s="5">
        <v>2.5499999999999998</v>
      </c>
      <c r="F929" s="4" t="s">
        <v>15</v>
      </c>
    </row>
    <row r="930" spans="1:6" x14ac:dyDescent="0.3">
      <c r="A930">
        <v>1978</v>
      </c>
      <c r="B930" s="5">
        <v>3</v>
      </c>
      <c r="C930" s="5">
        <v>3</v>
      </c>
      <c r="D930" s="5">
        <v>9.1999999999999993</v>
      </c>
      <c r="E930" s="5">
        <v>2.38</v>
      </c>
      <c r="F930" s="4" t="s">
        <v>20</v>
      </c>
    </row>
    <row r="931" spans="1:6" x14ac:dyDescent="0.3">
      <c r="A931">
        <v>1967</v>
      </c>
      <c r="B931" s="5">
        <v>6</v>
      </c>
      <c r="C931" s="5">
        <v>2</v>
      </c>
      <c r="D931" s="5">
        <v>9.2333333333333343</v>
      </c>
      <c r="E931" s="5">
        <v>2.8200000000000003</v>
      </c>
      <c r="F931" s="4" t="s">
        <v>20</v>
      </c>
    </row>
    <row r="932" spans="1:6" x14ac:dyDescent="0.3">
      <c r="A932">
        <v>1889</v>
      </c>
      <c r="B932" s="5">
        <v>4</v>
      </c>
      <c r="C932" s="5">
        <v>3</v>
      </c>
      <c r="D932" s="5">
        <v>9.4</v>
      </c>
      <c r="E932" s="5">
        <v>1.94</v>
      </c>
      <c r="F932" s="4" t="s">
        <v>20</v>
      </c>
    </row>
    <row r="933" spans="1:6" x14ac:dyDescent="0.3">
      <c r="A933">
        <v>1285</v>
      </c>
      <c r="B933" s="5">
        <v>2.5</v>
      </c>
      <c r="C933" s="5">
        <v>3</v>
      </c>
      <c r="D933" s="5">
        <v>9.4499999999999993</v>
      </c>
      <c r="E933" s="5">
        <v>2.99</v>
      </c>
      <c r="F933" s="4" t="s">
        <v>15</v>
      </c>
    </row>
    <row r="934" spans="1:6" x14ac:dyDescent="0.3">
      <c r="A934">
        <v>1789</v>
      </c>
      <c r="B934" s="5">
        <v>1</v>
      </c>
      <c r="C934" s="5">
        <v>3</v>
      </c>
      <c r="D934" s="5">
        <v>9.5</v>
      </c>
      <c r="E934" s="5">
        <v>1.22</v>
      </c>
      <c r="F934" s="4" t="s">
        <v>15</v>
      </c>
    </row>
    <row r="935" spans="1:6" x14ac:dyDescent="0.3">
      <c r="A935">
        <v>1626</v>
      </c>
      <c r="B935" s="5">
        <v>5</v>
      </c>
      <c r="C935" s="5">
        <v>2.5</v>
      </c>
      <c r="D935" s="5">
        <v>9.5500000000000007</v>
      </c>
      <c r="E935" s="5">
        <v>2.3099999999999996</v>
      </c>
      <c r="F935" s="4" t="s">
        <v>15</v>
      </c>
    </row>
    <row r="936" spans="1:6" x14ac:dyDescent="0.3">
      <c r="A936">
        <v>1371</v>
      </c>
      <c r="B936" s="5">
        <v>2</v>
      </c>
      <c r="C936" s="5">
        <v>3</v>
      </c>
      <c r="D936" s="5">
        <v>9.8000000000000007</v>
      </c>
      <c r="E936" s="5">
        <v>2.4</v>
      </c>
      <c r="F936" s="4" t="s">
        <v>15</v>
      </c>
    </row>
    <row r="937" spans="1:6" x14ac:dyDescent="0.3">
      <c r="A937">
        <v>1696</v>
      </c>
      <c r="B937" s="5">
        <v>5</v>
      </c>
      <c r="C937" s="5">
        <v>3</v>
      </c>
      <c r="D937" s="5">
        <v>9.8000000000000007</v>
      </c>
      <c r="E937" s="5">
        <v>2.77</v>
      </c>
      <c r="F937" s="4" t="s">
        <v>20</v>
      </c>
    </row>
    <row r="938" spans="1:6" x14ac:dyDescent="0.3">
      <c r="A938">
        <v>1306</v>
      </c>
      <c r="B938" s="5">
        <v>9</v>
      </c>
      <c r="C938" s="5">
        <v>1</v>
      </c>
      <c r="D938" s="5">
        <v>10</v>
      </c>
      <c r="E938" s="5">
        <v>3.53</v>
      </c>
      <c r="F938" s="4" t="s">
        <v>15</v>
      </c>
    </row>
    <row r="939" spans="1:6" x14ac:dyDescent="0.3">
      <c r="A939">
        <v>1316</v>
      </c>
      <c r="B939" s="5">
        <v>4</v>
      </c>
      <c r="C939" s="5">
        <v>1</v>
      </c>
      <c r="D939" s="5">
        <v>10</v>
      </c>
      <c r="E939" s="5">
        <v>3.8</v>
      </c>
      <c r="F939" s="4" t="s">
        <v>20</v>
      </c>
    </row>
    <row r="940" spans="1:6" x14ac:dyDescent="0.3">
      <c r="A940">
        <v>1378</v>
      </c>
      <c r="B940" s="5">
        <v>7</v>
      </c>
      <c r="C940" s="5">
        <v>3</v>
      </c>
      <c r="D940" s="5">
        <v>10</v>
      </c>
      <c r="E940" s="5">
        <v>1.39</v>
      </c>
      <c r="F940" s="4" t="s">
        <v>15</v>
      </c>
    </row>
    <row r="941" spans="1:6" x14ac:dyDescent="0.3">
      <c r="A941">
        <v>1719</v>
      </c>
      <c r="B941" s="5">
        <v>2</v>
      </c>
      <c r="C941" s="5">
        <v>1</v>
      </c>
      <c r="D941" s="5">
        <v>10</v>
      </c>
      <c r="E941" s="5">
        <v>1.89</v>
      </c>
      <c r="F941" s="4" t="s">
        <v>20</v>
      </c>
    </row>
    <row r="942" spans="1:6" x14ac:dyDescent="0.3">
      <c r="A942">
        <v>1787</v>
      </c>
      <c r="B942" s="5">
        <v>5</v>
      </c>
      <c r="C942" s="5">
        <v>2</v>
      </c>
      <c r="D942" s="5">
        <v>10</v>
      </c>
      <c r="E942" s="5">
        <v>3.04</v>
      </c>
      <c r="F942" s="4" t="s">
        <v>20</v>
      </c>
    </row>
    <row r="943" spans="1:6" x14ac:dyDescent="0.3">
      <c r="A943">
        <v>1878</v>
      </c>
      <c r="B943" s="5">
        <v>9</v>
      </c>
      <c r="C943" s="5">
        <v>2</v>
      </c>
      <c r="D943" s="5">
        <v>10</v>
      </c>
      <c r="E943" s="5">
        <v>2.93</v>
      </c>
      <c r="F943" s="4" t="s">
        <v>20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F1BC5-FC59-45E1-B8C1-FA43C1BE57B9}">
  <dimension ref="A1"/>
  <sheetViews>
    <sheetView showGridLines="0" tabSelected="1" workbookViewId="0">
      <selection activeCell="P15" sqref="P1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Original dataset</vt:lpstr>
      <vt:lpstr>Cleaned data</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Rex Cabilar</cp:lastModifiedBy>
  <dcterms:created xsi:type="dcterms:W3CDTF">2026-06-13T07:14:48Z</dcterms:created>
  <dcterms:modified xsi:type="dcterms:W3CDTF">2026-06-13T10:42:44Z</dcterms:modified>
</cp:coreProperties>
</file>